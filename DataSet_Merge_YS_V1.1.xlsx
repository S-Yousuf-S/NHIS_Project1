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yStuff\TechStuffs\DigicromeAcademy\Internship\Project 1\"/>
    </mc:Choice>
  </mc:AlternateContent>
  <xr:revisionPtr revIDLastSave="0" documentId="13_ncr:1_{22C9F67A-3866-4698-A44C-40210612F591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DataSet_Merge" sheetId="1" r:id="rId1"/>
    <sheet name="DataSet_A" sheetId="3" r:id="rId2"/>
    <sheet name="Insights" sheetId="2" r:id="rId3"/>
    <sheet name="WeatherBasedRentals" sheetId="4" r:id="rId4"/>
    <sheet name="DayWiseRentals" sheetId="5" r:id="rId5"/>
    <sheet name="Correlation_Matrix" sheetId="7" r:id="rId6"/>
  </sheets>
  <externalReferences>
    <externalReference r:id="rId7"/>
  </externalReferences>
  <calcPr calcId="191029"/>
  <pivotCaches>
    <pivotCache cacheId="4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/>
  <c r="K57" i="1" a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/>
  <c r="K83" i="1" a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/>
  <c r="K95" i="1" a="1"/>
  <c r="K96" i="1"/>
  <c r="K96" i="1" a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/>
  <c r="K105" i="1" a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/>
  <c r="K141" i="1" a="1"/>
  <c r="K142" i="1" a="1"/>
  <c r="K142" i="1" s="1"/>
  <c r="K143" i="1" a="1"/>
  <c r="K143" i="1" s="1"/>
  <c r="K144" i="1"/>
  <c r="K144" i="1" a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/>
  <c r="K167" i="1" a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/>
  <c r="K180" i="1" a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/>
  <c r="K190" i="1" a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/>
  <c r="K213" i="1" a="1"/>
  <c r="K214" i="1"/>
  <c r="K214" i="1" a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/>
  <c r="K226" i="1" a="1"/>
  <c r="K227" i="1" a="1"/>
  <c r="K227" i="1" s="1"/>
  <c r="K228" i="1" a="1"/>
  <c r="K228" i="1" s="1"/>
  <c r="K229" i="1"/>
  <c r="K229" i="1" a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/>
  <c r="K252" i="1" a="1"/>
  <c r="K253" i="1"/>
  <c r="K253" i="1" a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/>
  <c r="K262" i="1" a="1"/>
  <c r="K263" i="1" a="1"/>
  <c r="K263" i="1" s="1"/>
  <c r="K264" i="1" a="1"/>
  <c r="K264" i="1" s="1"/>
  <c r="K265" i="1"/>
  <c r="K265" i="1" a="1"/>
  <c r="K266" i="1" a="1"/>
  <c r="K266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/>
  <c r="K275" i="1" a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 s="1"/>
  <c r="K290" i="1" a="1"/>
  <c r="K290" i="1" s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 s="1"/>
  <c r="K297" i="1" a="1"/>
  <c r="K297" i="1" s="1"/>
  <c r="K298" i="1" a="1"/>
  <c r="K298" i="1" s="1"/>
  <c r="K299" i="1"/>
  <c r="K299" i="1" a="1"/>
  <c r="K300" i="1" a="1"/>
  <c r="K300" i="1" s="1"/>
  <c r="K301" i="1"/>
  <c r="K301" i="1" a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4" i="1" a="1"/>
  <c r="K344" i="1" s="1"/>
  <c r="K345" i="1"/>
  <c r="K345" i="1" a="1"/>
  <c r="K346" i="1" a="1"/>
  <c r="K346" i="1" s="1"/>
  <c r="K347" i="1" a="1"/>
  <c r="K347" i="1" s="1"/>
  <c r="K348" i="1" a="1"/>
  <c r="K348" i="1" s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 s="1"/>
  <c r="K357" i="1"/>
  <c r="K357" i="1" a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/>
  <c r="K370" i="1" a="1"/>
  <c r="K371" i="1"/>
  <c r="K371" i="1" a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0" i="1" a="1"/>
  <c r="K380" i="1" s="1"/>
  <c r="K381" i="1" a="1"/>
  <c r="K381" i="1" s="1"/>
  <c r="K382" i="1" a="1"/>
  <c r="K382" i="1" s="1"/>
  <c r="K383" i="1"/>
  <c r="K383" i="1" a="1"/>
  <c r="K384" i="1"/>
  <c r="K384" i="1" a="1"/>
  <c r="K385" i="1" a="1"/>
  <c r="K385" i="1" s="1"/>
  <c r="K386" i="1" a="1"/>
  <c r="K386" i="1" s="1"/>
  <c r="K387" i="1" a="1"/>
  <c r="K387" i="1" s="1"/>
  <c r="K388" i="1" a="1"/>
  <c r="K388" i="1" s="1"/>
  <c r="K389" i="1" a="1"/>
  <c r="K389" i="1" s="1"/>
  <c r="K390" i="1" a="1"/>
  <c r="K390" i="1" s="1"/>
  <c r="K391" i="1" a="1"/>
  <c r="K391" i="1" s="1"/>
  <c r="K392" i="1" a="1"/>
  <c r="K392" i="1" s="1"/>
  <c r="K393" i="1"/>
  <c r="K393" i="1" a="1"/>
  <c r="K394" i="1" a="1"/>
  <c r="K394" i="1" s="1"/>
  <c r="K395" i="1" a="1"/>
  <c r="K395" i="1" s="1"/>
  <c r="K396" i="1"/>
  <c r="K396" i="1" a="1"/>
  <c r="K397" i="1" a="1"/>
  <c r="K397" i="1" s="1"/>
  <c r="K398" i="1" a="1"/>
  <c r="K398" i="1" s="1"/>
  <c r="K399" i="1" a="1"/>
  <c r="K399" i="1" s="1"/>
  <c r="K400" i="1" a="1"/>
  <c r="K400" i="1" s="1"/>
  <c r="K401" i="1" a="1"/>
  <c r="K401" i="1" s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2" i="1" a="1"/>
  <c r="K422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8" i="1" a="1"/>
  <c r="K428" i="1" s="1"/>
  <c r="K429" i="1"/>
  <c r="K429" i="1" a="1"/>
  <c r="K430" i="1" a="1"/>
  <c r="K430" i="1" s="1"/>
  <c r="K431" i="1" a="1"/>
  <c r="K431" i="1" s="1"/>
  <c r="K432" i="1"/>
  <c r="K432" i="1" a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/>
  <c r="K455" i="1" a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465" i="1" a="1"/>
  <c r="K465" i="1" s="1"/>
  <c r="K466" i="1" a="1"/>
  <c r="K466" i="1" s="1"/>
  <c r="K467" i="1" a="1"/>
  <c r="K467" i="1" s="1"/>
  <c r="K468" i="1"/>
  <c r="K468" i="1" a="1"/>
  <c r="K469" i="1" a="1"/>
  <c r="K469" i="1" s="1"/>
  <c r="K470" i="1" a="1"/>
  <c r="K470" i="1" s="1"/>
  <c r="K471" i="1" a="1"/>
  <c r="K471" i="1" s="1"/>
  <c r="K472" i="1" a="1"/>
  <c r="K472" i="1" s="1"/>
  <c r="K473" i="1" a="1"/>
  <c r="K473" i="1" s="1"/>
  <c r="K474" i="1" a="1"/>
  <c r="K474" i="1" s="1"/>
  <c r="K475" i="1" a="1"/>
  <c r="K475" i="1" s="1"/>
  <c r="K476" i="1" a="1"/>
  <c r="K476" i="1" s="1"/>
  <c r="K477" i="1" a="1"/>
  <c r="K477" i="1" s="1"/>
  <c r="K478" i="1"/>
  <c r="K478" i="1" a="1"/>
  <c r="K479" i="1" a="1"/>
  <c r="K479" i="1" s="1"/>
  <c r="K480" i="1" a="1"/>
  <c r="K480" i="1" s="1"/>
  <c r="K481" i="1" a="1"/>
  <c r="K481" i="1" s="1"/>
  <c r="K482" i="1" a="1"/>
  <c r="K482" i="1" s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8" i="1" a="1"/>
  <c r="K488" i="1" s="1"/>
  <c r="K489" i="1"/>
  <c r="K489" i="1" a="1"/>
  <c r="K490" i="1" a="1"/>
  <c r="K490" i="1" s="1"/>
  <c r="K491" i="1" a="1"/>
  <c r="K491" i="1" s="1"/>
  <c r="K492" i="1" a="1"/>
  <c r="K492" i="1" s="1"/>
  <c r="K493" i="1" a="1"/>
  <c r="K493" i="1" s="1"/>
  <c r="K494" i="1" a="1"/>
  <c r="K494" i="1" s="1"/>
  <c r="K495" i="1" a="1"/>
  <c r="K495" i="1" s="1"/>
  <c r="K496" i="1" a="1"/>
  <c r="K496" i="1" s="1"/>
  <c r="K497" i="1" a="1"/>
  <c r="K497" i="1" s="1"/>
  <c r="K498" i="1" a="1"/>
  <c r="K498" i="1" s="1"/>
  <c r="K499" i="1" a="1"/>
  <c r="K499" i="1" s="1"/>
  <c r="K500" i="1" a="1"/>
  <c r="K500" i="1" s="1"/>
  <c r="K501" i="1"/>
  <c r="K501" i="1" a="1"/>
  <c r="K502" i="1"/>
  <c r="K502" i="1" a="1"/>
  <c r="K503" i="1" a="1"/>
  <c r="K503" i="1" s="1"/>
  <c r="K504" i="1" a="1"/>
  <c r="K504" i="1" s="1"/>
  <c r="K505" i="1" a="1"/>
  <c r="K505" i="1" s="1"/>
  <c r="K506" i="1" a="1"/>
  <c r="K506" i="1" s="1"/>
  <c r="K507" i="1" a="1"/>
  <c r="K507" i="1" s="1"/>
  <c r="K508" i="1" a="1"/>
  <c r="K508" i="1" s="1"/>
  <c r="K509" i="1" a="1"/>
  <c r="K509" i="1" s="1"/>
  <c r="K510" i="1" a="1"/>
  <c r="K510" i="1" s="1"/>
  <c r="K511" i="1" a="1"/>
  <c r="K511" i="1" s="1"/>
  <c r="K512" i="1" a="1"/>
  <c r="K512" i="1" s="1"/>
  <c r="K513" i="1" a="1"/>
  <c r="K513" i="1" s="1"/>
  <c r="K514" i="1" a="1"/>
  <c r="K514" i="1" s="1"/>
  <c r="K515" i="1" a="1"/>
  <c r="K515" i="1" s="1"/>
  <c r="K516" i="1" a="1"/>
  <c r="K516" i="1" s="1"/>
  <c r="K517" i="1" a="1"/>
  <c r="K517" i="1" s="1"/>
  <c r="K518" i="1" a="1"/>
  <c r="K518" i="1" s="1"/>
  <c r="K519" i="1" a="1"/>
  <c r="K519" i="1" s="1"/>
  <c r="K520" i="1" a="1"/>
  <c r="K520" i="1" s="1"/>
  <c r="K521" i="1" a="1"/>
  <c r="K521" i="1" s="1"/>
  <c r="K522" i="1" a="1"/>
  <c r="K522" i="1" s="1"/>
  <c r="K523" i="1" a="1"/>
  <c r="K523" i="1" s="1"/>
  <c r="K524" i="1" a="1"/>
  <c r="K524" i="1" s="1"/>
  <c r="K525" i="1" a="1"/>
  <c r="K525" i="1" s="1"/>
  <c r="K526" i="1" a="1"/>
  <c r="K526" i="1" s="1"/>
  <c r="K527" i="1" a="1"/>
  <c r="K527" i="1" s="1"/>
  <c r="K528" i="1" a="1"/>
  <c r="K528" i="1" s="1"/>
  <c r="K529" i="1" a="1"/>
  <c r="K529" i="1" s="1"/>
  <c r="K530" i="1" a="1"/>
  <c r="K530" i="1" s="1"/>
  <c r="K531" i="1" a="1"/>
  <c r="K531" i="1" s="1"/>
  <c r="K532" i="1" a="1"/>
  <c r="K532" i="1" s="1"/>
  <c r="K533" i="1" a="1"/>
  <c r="K533" i="1" s="1"/>
  <c r="K534" i="1" a="1"/>
  <c r="K534" i="1" s="1"/>
  <c r="K535" i="1" a="1"/>
  <c r="K535" i="1" s="1"/>
  <c r="K536" i="1" a="1"/>
  <c r="K536" i="1" s="1"/>
  <c r="K537" i="1" a="1"/>
  <c r="K537" i="1" s="1"/>
  <c r="K538" i="1" a="1"/>
  <c r="K538" i="1" s="1"/>
  <c r="K539" i="1" a="1"/>
  <c r="K539" i="1" s="1"/>
  <c r="K540" i="1" a="1"/>
  <c r="K540" i="1" s="1"/>
  <c r="K541" i="1" a="1"/>
  <c r="K541" i="1" s="1"/>
  <c r="K542" i="1" a="1"/>
  <c r="K542" i="1" s="1"/>
  <c r="K543" i="1" a="1"/>
  <c r="K543" i="1" s="1"/>
  <c r="K544" i="1" a="1"/>
  <c r="K544" i="1" s="1"/>
  <c r="K545" i="1" a="1"/>
  <c r="K545" i="1" s="1"/>
  <c r="K546" i="1" a="1"/>
  <c r="K546" i="1" s="1"/>
  <c r="K547" i="1" a="1"/>
  <c r="K547" i="1" s="1"/>
  <c r="K548" i="1" a="1"/>
  <c r="K548" i="1" s="1"/>
  <c r="K549" i="1" a="1"/>
  <c r="K549" i="1" s="1"/>
  <c r="K550" i="1" a="1"/>
  <c r="K550" i="1" s="1"/>
  <c r="K551" i="1" a="1"/>
  <c r="K551" i="1" s="1"/>
  <c r="K552" i="1" a="1"/>
  <c r="K552" i="1" s="1"/>
  <c r="K553" i="1" a="1"/>
  <c r="K553" i="1" s="1"/>
  <c r="K554" i="1" a="1"/>
  <c r="K554" i="1" s="1"/>
  <c r="K555" i="1" a="1"/>
  <c r="K555" i="1" s="1"/>
  <c r="K556" i="1" a="1"/>
  <c r="K556" i="1" s="1"/>
  <c r="K557" i="1" a="1"/>
  <c r="K557" i="1" s="1"/>
  <c r="K558" i="1" a="1"/>
  <c r="K558" i="1" s="1"/>
  <c r="K559" i="1" a="1"/>
  <c r="K559" i="1" s="1"/>
  <c r="K560" i="1" a="1"/>
  <c r="K560" i="1" s="1"/>
  <c r="K561" i="1" a="1"/>
  <c r="K561" i="1" s="1"/>
  <c r="K562" i="1" a="1"/>
  <c r="K562" i="1" s="1"/>
  <c r="K563" i="1" a="1"/>
  <c r="K563" i="1" s="1"/>
  <c r="K564" i="1" a="1"/>
  <c r="K564" i="1" s="1"/>
  <c r="K565" i="1" a="1"/>
  <c r="K565" i="1" s="1"/>
  <c r="K566" i="1" a="1"/>
  <c r="K566" i="1" s="1"/>
  <c r="K567" i="1" a="1"/>
  <c r="K567" i="1" s="1"/>
  <c r="K568" i="1" a="1"/>
  <c r="K568" i="1" s="1"/>
  <c r="K569" i="1" a="1"/>
  <c r="K569" i="1" s="1"/>
  <c r="K570" i="1" a="1"/>
  <c r="K570" i="1" s="1"/>
  <c r="K571" i="1" a="1"/>
  <c r="K571" i="1" s="1"/>
  <c r="K572" i="1" a="1"/>
  <c r="K572" i="1" s="1"/>
  <c r="K573" i="1" a="1"/>
  <c r="K573" i="1" s="1"/>
  <c r="K574" i="1" a="1"/>
  <c r="K574" i="1" s="1"/>
  <c r="K575" i="1" a="1"/>
  <c r="K575" i="1" s="1"/>
  <c r="K576" i="1" a="1"/>
  <c r="K576" i="1" s="1"/>
  <c r="K577" i="1" a="1"/>
  <c r="K577" i="1" s="1"/>
  <c r="K578" i="1" a="1"/>
  <c r="K578" i="1" s="1"/>
  <c r="K579" i="1" a="1"/>
  <c r="K579" i="1" s="1"/>
  <c r="K580" i="1" a="1"/>
  <c r="K580" i="1" s="1"/>
  <c r="K581" i="1" a="1"/>
  <c r="K581" i="1" s="1"/>
  <c r="K582" i="1" a="1"/>
  <c r="K582" i="1" s="1"/>
  <c r="K583" i="1" a="1"/>
  <c r="K583" i="1" s="1"/>
  <c r="K584" i="1" a="1"/>
  <c r="K584" i="1" s="1"/>
  <c r="K585" i="1" a="1"/>
  <c r="K585" i="1" s="1"/>
  <c r="K586" i="1" a="1"/>
  <c r="K586" i="1" s="1"/>
  <c r="K587" i="1" a="1"/>
  <c r="K587" i="1" s="1"/>
  <c r="K588" i="1" a="1"/>
  <c r="K588" i="1" s="1"/>
  <c r="K589" i="1" a="1"/>
  <c r="K589" i="1" s="1"/>
  <c r="K590" i="1" a="1"/>
  <c r="K590" i="1" s="1"/>
  <c r="K591" i="1" a="1"/>
  <c r="K591" i="1" s="1"/>
  <c r="K592" i="1" a="1"/>
  <c r="K592" i="1" s="1"/>
  <c r="K593" i="1" a="1"/>
  <c r="K593" i="1" s="1"/>
  <c r="K594" i="1" a="1"/>
  <c r="K594" i="1" s="1"/>
  <c r="K595" i="1" a="1"/>
  <c r="K595" i="1" s="1"/>
  <c r="K596" i="1" a="1"/>
  <c r="K596" i="1" s="1"/>
  <c r="K597" i="1" a="1"/>
  <c r="K597" i="1" s="1"/>
  <c r="K598" i="1" a="1"/>
  <c r="K598" i="1" s="1"/>
  <c r="K599" i="1" a="1"/>
  <c r="K599" i="1" s="1"/>
  <c r="K600" i="1" a="1"/>
  <c r="K600" i="1" s="1"/>
  <c r="K601" i="1" a="1"/>
  <c r="K601" i="1" s="1"/>
  <c r="K602" i="1" a="1"/>
  <c r="K602" i="1" s="1"/>
  <c r="K603" i="1" a="1"/>
  <c r="K603" i="1" s="1"/>
  <c r="K604" i="1" a="1"/>
  <c r="K604" i="1" s="1"/>
  <c r="K605" i="1" a="1"/>
  <c r="K605" i="1" s="1"/>
  <c r="K606" i="1" a="1"/>
  <c r="K606" i="1" s="1"/>
  <c r="K607" i="1" a="1"/>
  <c r="K607" i="1" s="1"/>
  <c r="K608" i="1" a="1"/>
  <c r="K608" i="1" s="1"/>
  <c r="K609" i="1" a="1"/>
  <c r="K609" i="1" s="1"/>
  <c r="K610" i="1" a="1"/>
  <c r="K610" i="1" s="1"/>
  <c r="K611" i="1" a="1"/>
  <c r="K611" i="1" s="1"/>
  <c r="E3" i="2" l="1"/>
  <c r="E4" i="2"/>
  <c r="E2" i="2"/>
  <c r="H2" i="2"/>
  <c r="H3" i="2"/>
  <c r="H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<sst xmlns="http://schemas.openxmlformats.org/spreadsheetml/2006/main" count="71" uniqueCount="44">
  <si>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</si>
  <si>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</si>
  <si>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</si>
  <si>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</si>
  <si>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</si>
  <si>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</si>
  <si>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</si>
  <si>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</si>
  <si>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</si>
  <si>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</si>
  <si>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</si>
  <si>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</si>
  <si>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</si>
  <si>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</si>
  <si>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</si>
  <si>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</si>
  <si>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Total Instants</t>
  </si>
  <si>
    <t>Clear Sky</t>
  </si>
  <si>
    <t>Average Temp</t>
  </si>
  <si>
    <t>Mist/Cloudy</t>
  </si>
  <si>
    <t>Light Rain/Light Snow</t>
  </si>
  <si>
    <t>Heavy Rain,Heavy Snow</t>
  </si>
  <si>
    <t>Avg. Atemp</t>
  </si>
  <si>
    <t>Avg. Humidity</t>
  </si>
  <si>
    <t>Total Casuals</t>
  </si>
  <si>
    <t>Total Registered</t>
  </si>
  <si>
    <t>Total Count</t>
  </si>
  <si>
    <t>Avg. WindSpeed</t>
  </si>
  <si>
    <t>Now after merging dataset 1 and 2 we can see some unnecessary columns but we won't delete it now until appending with Dataset_3</t>
  </si>
  <si>
    <t>For Merging Dataset 1 and Dataset 2 we used Xlookup</t>
  </si>
  <si>
    <t>High Humidity</t>
  </si>
  <si>
    <t>Medium Humidity</t>
  </si>
  <si>
    <t>Low Humidity</t>
  </si>
  <si>
    <t>Instant Count</t>
  </si>
  <si>
    <t>High Windspeed</t>
  </si>
  <si>
    <t>Moderate Windspeed</t>
  </si>
  <si>
    <t>Low Windspeed</t>
  </si>
  <si>
    <t>Now keep this merged data in DataSet_Merge sheet and copy&amp;paste same data into neighbouring sheet "DataSet_A"</t>
  </si>
  <si>
    <t xml:space="preserve">Once paste, use paste special and select values. </t>
  </si>
  <si>
    <t>Now you can use this datasheet in Github too</t>
  </si>
  <si>
    <t>Avg Rentals</t>
  </si>
  <si>
    <t>Weather Situation</t>
  </si>
  <si>
    <t>Time of the Day</t>
  </si>
  <si>
    <t>Days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</si>
</sst>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4F81BD"/>
      </top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4" borderId="4" xfId="0" applyFont="1" applyFill="1" applyBorder="1"/>
    <xf numFmtId="0" fontId="1" fillId="4" borderId="10" xfId="0" applyFont="1" applyFill="1" applyBorder="1"/>
    <xf numFmtId="0" fontId="1" fillId="4" borderId="5" xfId="0" applyFont="1" applyFill="1" applyBorder="1"/>
    <xf numFmtId="0" fontId="0" fillId="4" borderId="8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6" borderId="4" xfId="0" applyFont="1" applyFill="1" applyBorder="1"/>
    <xf numFmtId="0" fontId="0" fillId="6" borderId="5" xfId="0" applyFill="1" applyBorder="1"/>
    <xf numFmtId="0" fontId="1" fillId="6" borderId="6" xfId="0" applyFont="1" applyFill="1" applyBorder="1"/>
    <xf numFmtId="0" fontId="0" fillId="6" borderId="7" xfId="0" applyFill="1" applyBorder="1"/>
    <xf numFmtId="0" fontId="1" fillId="6" borderId="8" xfId="0" applyFont="1" applyFill="1" applyBorder="1"/>
    <xf numFmtId="0" fontId="0" fillId="6" borderId="9" xfId="0" applyFill="1" applyBorder="1"/>
    <xf numFmtId="0" fontId="1" fillId="5" borderId="3" xfId="0" applyFont="1" applyFill="1" applyBorder="1"/>
    <xf numFmtId="0" fontId="0" fillId="7" borderId="5" xfId="0" applyFill="1" applyBorder="1"/>
    <xf numFmtId="0" fontId="0" fillId="7" borderId="7" xfId="0" applyFill="1" applyBorder="1"/>
    <xf numFmtId="0" fontId="0" fillId="7" borderId="9" xfId="0" applyFill="1" applyBorder="1"/>
    <xf numFmtId="0" fontId="1" fillId="7" borderId="4" xfId="0" applyFont="1" applyFill="1" applyBorder="1"/>
    <xf numFmtId="0" fontId="1" fillId="7" borderId="6" xfId="0" applyFont="1" applyFill="1" applyBorder="1"/>
    <xf numFmtId="0" fontId="1" fillId="7" borderId="8" xfId="0" applyFont="1" applyFill="1" applyBorder="1"/>
    <xf numFmtId="0" fontId="5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0" borderId="0" xfId="0" applyFill="1" applyBorder="1" applyAlignment="1"/>
    <xf numFmtId="0" fontId="0" fillId="0" borderId="12" xfId="0" applyFill="1" applyBorder="1" applyAlignment="1"/>
    <xf numFmtId="0" fontId="6" fillId="0" borderId="13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1" fillId="5" borderId="0" xfId="0" applyFont="1" applyFill="1" applyBorder="1" applyAlignment="1"/>
    <xf numFmtId="0" fontId="1" fillId="5" borderId="12" xfId="0" applyFont="1" applyFill="1" applyBorder="1" applyAlignment="1"/>
    <xf numFmtId="2" fontId="0" fillId="0" borderId="0" xfId="0" applyNumberFormat="1" applyFill="1" applyBorder="1" applyAlignment="1"/>
    <xf numFmtId="2" fontId="0" fillId="0" borderId="12" xfId="0" applyNumberFormat="1" applyFill="1" applyBorder="1" applyAlignment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[DataSet_Merge_YS_V1.1.xlsx]WeatherBasedRentals!PivotTable7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Weather</a:t>
            </a:r>
            <a:r>
              <a:rPr lang="en-IN" b="1" baseline="0"/>
              <a:t> based Avg. Rentals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WeatherBasedRentals!$B$3:$B$4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WeatherBasedRentals!$A$5:$A$28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WeatherBasedRentals!$B$5:$B$28</c:f>
              <c:numCache>
                <c:formatCode>0</c:formatCode>
                <c:ptCount val="24"/>
                <c:pt idx="0">
                  <c:v>14.25</c:v>
                </c:pt>
                <c:pt idx="1">
                  <c:v>8.5</c:v>
                </c:pt>
                <c:pt idx="2">
                  <c:v>7.1538461538461542</c:v>
                </c:pt>
                <c:pt idx="3">
                  <c:v>4.8888888888888893</c:v>
                </c:pt>
                <c:pt idx="4">
                  <c:v>1.6363636363636365</c:v>
                </c:pt>
                <c:pt idx="5">
                  <c:v>4.3076923076923075</c:v>
                </c:pt>
                <c:pt idx="6">
                  <c:v>22.142857142857142</c:v>
                </c:pt>
                <c:pt idx="7">
                  <c:v>58.411764705882355</c:v>
                </c:pt>
                <c:pt idx="8">
                  <c:v>129</c:v>
                </c:pt>
                <c:pt idx="9">
                  <c:v>80.533333333333331</c:v>
                </c:pt>
                <c:pt idx="10">
                  <c:v>52.357142857142854</c:v>
                </c:pt>
                <c:pt idx="11">
                  <c:v>59.615384615384613</c:v>
                </c:pt>
                <c:pt idx="12">
                  <c:v>78.769230769230774</c:v>
                </c:pt>
                <c:pt idx="13">
                  <c:v>81.533333333333331</c:v>
                </c:pt>
                <c:pt idx="14">
                  <c:v>74.666666666666671</c:v>
                </c:pt>
                <c:pt idx="15">
                  <c:v>72.733333333333334</c:v>
                </c:pt>
                <c:pt idx="16">
                  <c:v>79.647058823529406</c:v>
                </c:pt>
                <c:pt idx="17">
                  <c:v>135.55000000000001</c:v>
                </c:pt>
                <c:pt idx="18">
                  <c:v>121.11111111111111</c:v>
                </c:pt>
                <c:pt idx="19">
                  <c:v>87.3</c:v>
                </c:pt>
                <c:pt idx="20">
                  <c:v>59.5</c:v>
                </c:pt>
                <c:pt idx="21">
                  <c:v>41.631578947368418</c:v>
                </c:pt>
                <c:pt idx="22">
                  <c:v>31.533333333333335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C-4AA4-BBA3-94623EDAE361}"/>
            </c:ext>
          </c:extLst>
        </c:ser>
        <c:ser>
          <c:idx val="1"/>
          <c:order val="1"/>
          <c:tx>
            <c:strRef>
              <c:f>WeatherBasedRentals!$C$3:$C$4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WeatherBasedRentals!$A$5:$A$28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WeatherBasedRentals!$C$5:$C$28</c:f>
              <c:numCache>
                <c:formatCode>0</c:formatCode>
                <c:ptCount val="24"/>
                <c:pt idx="0">
                  <c:v>14.2</c:v>
                </c:pt>
                <c:pt idx="1">
                  <c:v>10.272727272727273</c:v>
                </c:pt>
                <c:pt idx="2">
                  <c:v>7.75</c:v>
                </c:pt>
                <c:pt idx="3">
                  <c:v>4.8</c:v>
                </c:pt>
                <c:pt idx="4">
                  <c:v>2.4285714285714284</c:v>
                </c:pt>
                <c:pt idx="5">
                  <c:v>3.6666666666666665</c:v>
                </c:pt>
                <c:pt idx="6">
                  <c:v>15.6</c:v>
                </c:pt>
                <c:pt idx="7">
                  <c:v>46.25</c:v>
                </c:pt>
                <c:pt idx="8">
                  <c:v>171.66666666666666</c:v>
                </c:pt>
                <c:pt idx="9">
                  <c:v>101.125</c:v>
                </c:pt>
                <c:pt idx="10">
                  <c:v>49.1</c:v>
                </c:pt>
                <c:pt idx="11">
                  <c:v>55.363636363636367</c:v>
                </c:pt>
                <c:pt idx="12">
                  <c:v>69.583333333333329</c:v>
                </c:pt>
                <c:pt idx="13">
                  <c:v>71.400000000000006</c:v>
                </c:pt>
                <c:pt idx="14">
                  <c:v>63.777777777777779</c:v>
                </c:pt>
                <c:pt idx="15">
                  <c:v>72.599999999999994</c:v>
                </c:pt>
                <c:pt idx="16">
                  <c:v>91.75</c:v>
                </c:pt>
                <c:pt idx="17">
                  <c:v>135.5</c:v>
                </c:pt>
                <c:pt idx="18">
                  <c:v>128.66666666666666</c:v>
                </c:pt>
                <c:pt idx="19">
                  <c:v>106.33333333333333</c:v>
                </c:pt>
                <c:pt idx="20">
                  <c:v>71.5</c:v>
                </c:pt>
                <c:pt idx="21">
                  <c:v>47.4</c:v>
                </c:pt>
                <c:pt idx="22">
                  <c:v>35.888888888888886</c:v>
                </c:pt>
                <c:pt idx="23">
                  <c:v>26.333333333333332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4C-4AA4-BBA3-94623EDAE361}"/>
            </c:ext>
          </c:extLst>
        </c:ser>
        <c:ser>
          <c:idx val="2"/>
          <c:order val="2"/>
          <c:tx>
            <c:strRef>
              <c:f>WeatherBasedRentals!$D$3:$D$4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WeatherBasedRentals!$A$5:$A$28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WeatherBasedRentals!$D$5:$D$28</c:f>
              <c:numCache>
                <c:formatCode>0</c:formatCode>
                <c:ptCount val="24"/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1.5</c:v>
                </c:pt>
                <c:pt idx="5">
                  <c:v>3</c:v>
                </c:pt>
                <c:pt idx="6">
                  <c:v>5</c:v>
                </c:pt>
                <c:pt idx="7">
                  <c:v>30</c:v>
                </c:pt>
                <c:pt idx="8">
                  <c:v>31.666666666666668</c:v>
                </c:pt>
                <c:pt idx="9">
                  <c:v>59.666666666666664</c:v>
                </c:pt>
                <c:pt idx="10">
                  <c:v>38.5</c:v>
                </c:pt>
                <c:pt idx="11">
                  <c:v>35.5</c:v>
                </c:pt>
                <c:pt idx="12">
                  <c:v>38.5</c:v>
                </c:pt>
                <c:pt idx="13">
                  <c:v>39</c:v>
                </c:pt>
                <c:pt idx="14">
                  <c:v>44.333333333333336</c:v>
                </c:pt>
                <c:pt idx="15">
                  <c:v>58.5</c:v>
                </c:pt>
                <c:pt idx="16">
                  <c:v>76</c:v>
                </c:pt>
                <c:pt idx="17">
                  <c:v>26</c:v>
                </c:pt>
                <c:pt idx="18">
                  <c:v>65</c:v>
                </c:pt>
                <c:pt idx="19">
                  <c:v>49.333333333333336</c:v>
                </c:pt>
                <c:pt idx="20">
                  <c:v>32.5</c:v>
                </c:pt>
                <c:pt idx="21">
                  <c:v>23.5</c:v>
                </c:pt>
                <c:pt idx="22">
                  <c:v>21</c:v>
                </c:pt>
                <c:pt idx="23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4C-4AA4-BBA3-94623EDAE361}"/>
            </c:ext>
          </c:extLst>
        </c:ser>
        <c:ser>
          <c:idx val="3"/>
          <c:order val="3"/>
          <c:tx>
            <c:strRef>
              <c:f>WeatherBasedRentals!$E$3:$E$4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WeatherBasedRentals!$A$5:$A$28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WeatherBasedRentals!$E$5:$E$28</c:f>
              <c:numCache>
                <c:formatCode>0</c:formatCode>
                <c:ptCount val="24"/>
                <c:pt idx="1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4C-4AA4-BBA3-94623EDAE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8461808"/>
        <c:axId val="868460368"/>
      </c:lineChart>
      <c:catAx>
        <c:axId val="86846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Time</a:t>
                </a:r>
                <a:r>
                  <a:rPr lang="en-IN" b="1" baseline="0"/>
                  <a:t> of Day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460368"/>
        <c:crosses val="autoZero"/>
        <c:auto val="1"/>
        <c:lblAlgn val="ctr"/>
        <c:lblOffset val="100"/>
        <c:noMultiLvlLbl val="0"/>
      </c:catAx>
      <c:valAx>
        <c:axId val="8684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Avg.</a:t>
                </a:r>
                <a:r>
                  <a:rPr lang="en-IN" b="1" baseline="0"/>
                  <a:t> Rentals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46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[DataSet_Merge_YS_V1.1.xlsx]DayWiseRentals!PivotTable8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Day</a:t>
            </a:r>
            <a:r>
              <a:rPr lang="en-IN" baseline="0"/>
              <a:t> wise Rentals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DayWiseRentals!$B$3</c:f>
              <c:strCache>
                <c:ptCount val="1"/>
                <c:pt idx="0">
                  <c:v>Total Casuals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DayWiseRentals!$A$4:$A$10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DayWiseRentals!$B$4:$B$10</c:f>
              <c:numCache>
                <c:formatCode>General</c:formatCode>
                <c:ptCount val="7"/>
                <c:pt idx="0">
                  <c:v>586</c:v>
                </c:pt>
                <c:pt idx="1">
                  <c:v>364</c:v>
                </c:pt>
                <c:pt idx="2">
                  <c:v>346</c:v>
                </c:pt>
                <c:pt idx="3">
                  <c:v>219</c:v>
                </c:pt>
                <c:pt idx="4">
                  <c:v>224</c:v>
                </c:pt>
                <c:pt idx="5">
                  <c:v>293</c:v>
                </c:pt>
                <c:pt idx="6">
                  <c:v>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E-4B54-BEEE-6353C74D36EE}"/>
            </c:ext>
          </c:extLst>
        </c:ser>
        <c:ser>
          <c:idx val="1"/>
          <c:order val="1"/>
          <c:tx>
            <c:strRef>
              <c:f>DayWiseRentals!$C$3</c:f>
              <c:strCache>
                <c:ptCount val="1"/>
                <c:pt idx="0">
                  <c:v>Total Registered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DayWiseRentals!$A$4:$A$10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DayWiseRentals!$C$4:$C$10</c:f>
              <c:numCache>
                <c:formatCode>General</c:formatCode>
                <c:ptCount val="7"/>
                <c:pt idx="0">
                  <c:v>3227</c:v>
                </c:pt>
                <c:pt idx="1">
                  <c:v>4722</c:v>
                </c:pt>
                <c:pt idx="2">
                  <c:v>5147</c:v>
                </c:pt>
                <c:pt idx="3">
                  <c:v>4699</c:v>
                </c:pt>
                <c:pt idx="4">
                  <c:v>5146</c:v>
                </c:pt>
                <c:pt idx="5">
                  <c:v>4752</c:v>
                </c:pt>
                <c:pt idx="6">
                  <c:v>3459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FE-4B54-BEEE-6353C74D3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68752336"/>
        <c:axId val="868749456"/>
      </c:barChart>
      <c:catAx>
        <c:axId val="868752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749456"/>
        <c:crosses val="autoZero"/>
        <c:auto val="1"/>
        <c:lblAlgn val="ctr"/>
        <c:lblOffset val="100"/>
        <c:noMultiLvlLbl val="0"/>
      </c:catAx>
      <c:valAx>
        <c:axId val="86874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75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5</xdr:row>
      <xdr:rowOff>41910</xdr:rowOff>
    </xdr:from>
    <xdr:to>
      <xdr:col>12</xdr:col>
      <xdr:colOff>335280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D1AC47-1A09-6EBB-BC12-96DF3674D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1</xdr:row>
      <xdr:rowOff>171450</xdr:rowOff>
    </xdr:from>
    <xdr:to>
      <xdr:col>11</xdr:col>
      <xdr:colOff>274320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D1CCDB-312D-F3C8-A071-0753B87F3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yStuff\TechStuffs\DigicromeAcademy\Internship\Project%201\DataSet_2_YS.xlsx" TargetMode="External"/><Relationship Id="rId1" Type="http://schemas.openxmlformats.org/officeDocument/2006/relationships/externalLinkPath" Target="DataSet_2_Y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ven_Dataset"/>
      <sheetName val="atemp_blanks"/>
      <sheetName val="Dataset_2"/>
      <sheetName val="AtempBasedRentals"/>
      <sheetName val="HumidityBasedRentals"/>
      <sheetName val="WindspeedBasedRental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suf Sakkaf" refreshedDate="46106.757951041669" createdVersion="8" refreshedVersion="8" minRefreshableVersion="3" recordCount="610" xr:uid="{339286E0-15A3-4BB9-9CCE-062BC4060466}">
  <cacheSource type="worksheet">
    <worksheetSource name="Table26"/>
  </cacheSource>
  <cacheFields count="16">
    <cacheField name="instant" numFmtId="0">
      <sharedItems containsSemiMixedTypes="0" containsString="0" containsNumber="1" containsInteger="1" minValue="1" maxValue="610"/>
    </cacheField>
    <cacheField name="dteday" numFmtId="16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1"/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weathersi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" numFmtId="0">
      <sharedItems containsSemiMixedTypes="0" containsString="0" containsNumber="1" minValue="0.02" maxValue="0.46"/>
    </cacheField>
    <cacheField name="atemp" numFmtId="0">
      <sharedItems containsSemiMixedTypes="0" containsString="0" containsNumber="1" minValue="0" maxValue="0.45450000000000002"/>
    </cacheField>
    <cacheField name="hum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247"/>
    </cacheField>
    <cacheField name="c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d v="2011-01-01T00:00:00"/>
    <n v="1"/>
    <n v="0"/>
    <n v="1"/>
    <x v="0"/>
    <b v="0"/>
    <x v="0"/>
    <x v="0"/>
    <n v="0.24"/>
    <n v="0.28789999999999999"/>
    <n v="0.81"/>
    <n v="0"/>
    <n v="3"/>
    <n v="13"/>
    <n v="16"/>
  </r>
  <r>
    <n v="2"/>
    <d v="2011-01-01T00:00:00"/>
    <n v="1"/>
    <n v="0"/>
    <n v="1"/>
    <x v="1"/>
    <b v="0"/>
    <x v="0"/>
    <x v="0"/>
    <n v="0.22"/>
    <n v="0.2727"/>
    <n v="0.8"/>
    <n v="0"/>
    <n v="8"/>
    <n v="32"/>
    <n v="40"/>
  </r>
  <r>
    <n v="3"/>
    <d v="2011-01-01T00:00:00"/>
    <n v="1"/>
    <n v="0"/>
    <n v="1"/>
    <x v="2"/>
    <b v="0"/>
    <x v="0"/>
    <x v="0"/>
    <n v="0.22"/>
    <n v="0.2727"/>
    <n v="0.8"/>
    <n v="0"/>
    <n v="5"/>
    <n v="27"/>
    <n v="32"/>
  </r>
  <r>
    <n v="4"/>
    <d v="2011-01-01T00:00:00"/>
    <n v="1"/>
    <n v="0"/>
    <n v="1"/>
    <x v="3"/>
    <b v="0"/>
    <x v="0"/>
    <x v="0"/>
    <n v="0.24"/>
    <n v="0.28789999999999999"/>
    <n v="0.75"/>
    <n v="0"/>
    <n v="3"/>
    <n v="10"/>
    <n v="13"/>
  </r>
  <r>
    <n v="5"/>
    <d v="2011-01-01T00:00:00"/>
    <n v="1"/>
    <n v="0"/>
    <n v="1"/>
    <x v="4"/>
    <b v="0"/>
    <x v="0"/>
    <x v="0"/>
    <n v="0.24"/>
    <n v="0.28789999999999999"/>
    <n v="0.75"/>
    <n v="0"/>
    <n v="0"/>
    <n v="1"/>
    <n v="1"/>
  </r>
  <r>
    <n v="6"/>
    <d v="2011-01-01T00:00:00"/>
    <n v="1"/>
    <n v="0"/>
    <n v="1"/>
    <x v="5"/>
    <b v="0"/>
    <x v="0"/>
    <x v="1"/>
    <n v="0.24"/>
    <n v="0.2576"/>
    <n v="0.75"/>
    <n v="8.9599999999999999E-2"/>
    <n v="0"/>
    <n v="1"/>
    <n v="1"/>
  </r>
  <r>
    <n v="7"/>
    <d v="2011-01-01T00:00:00"/>
    <n v="1"/>
    <n v="0"/>
    <n v="1"/>
    <x v="6"/>
    <b v="0"/>
    <x v="0"/>
    <x v="0"/>
    <n v="0.22"/>
    <n v="0.2727"/>
    <n v="0.8"/>
    <n v="0"/>
    <n v="2"/>
    <n v="0"/>
    <n v="2"/>
  </r>
  <r>
    <n v="8"/>
    <d v="2011-01-01T00:00:00"/>
    <n v="1"/>
    <n v="0"/>
    <n v="1"/>
    <x v="7"/>
    <b v="0"/>
    <x v="0"/>
    <x v="0"/>
    <n v="0.2"/>
    <n v="0.2576"/>
    <n v="0.86"/>
    <n v="0"/>
    <n v="1"/>
    <n v="2"/>
    <n v="3"/>
  </r>
  <r>
    <n v="9"/>
    <d v="2011-01-01T00:00:00"/>
    <n v="1"/>
    <n v="0"/>
    <n v="1"/>
    <x v="8"/>
    <b v="0"/>
    <x v="0"/>
    <x v="0"/>
    <n v="0.24"/>
    <n v="0.19989999999999999"/>
    <n v="0.75"/>
    <n v="0"/>
    <n v="1"/>
    <n v="7"/>
    <n v="8"/>
  </r>
  <r>
    <n v="10"/>
    <d v="2011-01-01T00:00:00"/>
    <n v="1"/>
    <n v="0"/>
    <n v="1"/>
    <x v="9"/>
    <b v="0"/>
    <x v="0"/>
    <x v="0"/>
    <n v="0.32"/>
    <n v="0.34849999999999998"/>
    <n v="0.76"/>
    <n v="0"/>
    <n v="8"/>
    <n v="6"/>
    <n v="14"/>
  </r>
  <r>
    <n v="11"/>
    <d v="2011-01-01T00:00:00"/>
    <n v="1"/>
    <n v="0"/>
    <n v="1"/>
    <x v="10"/>
    <b v="0"/>
    <x v="0"/>
    <x v="0"/>
    <n v="0.38"/>
    <n v="0.39389999999999997"/>
    <n v="0.76"/>
    <n v="0.25369999999999998"/>
    <n v="12"/>
    <n v="24"/>
    <n v="36"/>
  </r>
  <r>
    <n v="12"/>
    <d v="2011-01-01T00:00:00"/>
    <n v="1"/>
    <n v="0"/>
    <n v="1"/>
    <x v="11"/>
    <b v="0"/>
    <x v="0"/>
    <x v="0"/>
    <n v="0.36"/>
    <n v="0.33329999999999999"/>
    <n v="0.81"/>
    <n v="0.28360000000000002"/>
    <n v="26"/>
    <n v="30"/>
    <n v="56"/>
  </r>
  <r>
    <n v="13"/>
    <d v="2011-01-01T00:00:00"/>
    <n v="1"/>
    <n v="0"/>
    <n v="1"/>
    <x v="12"/>
    <b v="0"/>
    <x v="0"/>
    <x v="0"/>
    <n v="0.42"/>
    <n v="0.42420000000000002"/>
    <n v="0.77"/>
    <n v="0.28360000000000002"/>
    <n v="29"/>
    <n v="55"/>
    <n v="84"/>
  </r>
  <r>
    <n v="14"/>
    <d v="2011-01-01T00:00:00"/>
    <n v="1"/>
    <n v="0"/>
    <n v="1"/>
    <x v="13"/>
    <b v="0"/>
    <x v="0"/>
    <x v="1"/>
    <n v="0.46"/>
    <n v="0.45450000000000002"/>
    <n v="0.72"/>
    <n v="0.29849999999999999"/>
    <n v="47"/>
    <n v="47"/>
    <n v="94"/>
  </r>
  <r>
    <n v="15"/>
    <d v="2011-01-01T00:00:00"/>
    <n v="1"/>
    <n v="0"/>
    <n v="1"/>
    <x v="14"/>
    <b v="0"/>
    <x v="0"/>
    <x v="1"/>
    <n v="0.46"/>
    <n v="0.45450000000000002"/>
    <n v="0.72"/>
    <n v="0.28360000000000002"/>
    <n v="35"/>
    <n v="71"/>
    <n v="106"/>
  </r>
  <r>
    <n v="16"/>
    <d v="2011-01-01T00:00:00"/>
    <n v="1"/>
    <n v="0"/>
    <n v="1"/>
    <x v="15"/>
    <b v="0"/>
    <x v="0"/>
    <x v="1"/>
    <n v="0.44"/>
    <n v="0.43940000000000001"/>
    <n v="0.77"/>
    <n v="0.29849999999999999"/>
    <n v="40"/>
    <n v="70"/>
    <n v="110"/>
  </r>
  <r>
    <n v="17"/>
    <d v="2011-01-01T00:00:00"/>
    <n v="1"/>
    <n v="0"/>
    <n v="1"/>
    <x v="16"/>
    <b v="0"/>
    <x v="0"/>
    <x v="1"/>
    <n v="0.42"/>
    <n v="0.42420000000000002"/>
    <n v="0.82"/>
    <n v="0.29849999999999999"/>
    <n v="41"/>
    <n v="52"/>
    <n v="93"/>
  </r>
  <r>
    <n v="18"/>
    <d v="2011-01-01T00:00:00"/>
    <n v="1"/>
    <n v="0"/>
    <n v="1"/>
    <x v="17"/>
    <b v="0"/>
    <x v="0"/>
    <x v="1"/>
    <n v="0.44"/>
    <n v="0.19989999999999999"/>
    <n v="0.82"/>
    <n v="0.28360000000000002"/>
    <n v="15"/>
    <n v="52"/>
    <n v="67"/>
  </r>
  <r>
    <n v="19"/>
    <d v="2011-01-01T00:00:00"/>
    <n v="1"/>
    <n v="0"/>
    <n v="1"/>
    <x v="18"/>
    <b v="0"/>
    <x v="0"/>
    <x v="2"/>
    <n v="0.42"/>
    <n v="0.42420000000000002"/>
    <n v="0.88"/>
    <n v="0.25369999999999998"/>
    <n v="9"/>
    <n v="26"/>
    <n v="35"/>
  </r>
  <r>
    <n v="20"/>
    <d v="2011-01-01T00:00:00"/>
    <n v="1"/>
    <n v="0"/>
    <n v="1"/>
    <x v="19"/>
    <b v="0"/>
    <x v="0"/>
    <x v="2"/>
    <n v="0.42"/>
    <n v="0.42420000000000002"/>
    <n v="0.88"/>
    <n v="0.25369999999999998"/>
    <n v="6"/>
    <n v="31"/>
    <n v="37"/>
  </r>
  <r>
    <n v="21"/>
    <d v="2011-01-01T00:00:00"/>
    <n v="1"/>
    <n v="0"/>
    <n v="1"/>
    <x v="20"/>
    <b v="0"/>
    <x v="0"/>
    <x v="1"/>
    <n v="0.4"/>
    <n v="0.40910000000000002"/>
    <n v="0.87"/>
    <n v="0.25369999999999998"/>
    <n v="11"/>
    <n v="25"/>
    <n v="36"/>
  </r>
  <r>
    <n v="22"/>
    <d v="2011-01-01T00:00:00"/>
    <n v="1"/>
    <n v="0"/>
    <n v="1"/>
    <x v="21"/>
    <b v="0"/>
    <x v="0"/>
    <x v="1"/>
    <n v="0.4"/>
    <n v="0.40910000000000002"/>
    <n v="0.87"/>
    <n v="0.19400000000000001"/>
    <n v="3"/>
    <n v="31"/>
    <n v="34"/>
  </r>
  <r>
    <n v="23"/>
    <d v="2011-01-01T00:00:00"/>
    <n v="1"/>
    <n v="0"/>
    <n v="1"/>
    <x v="22"/>
    <b v="0"/>
    <x v="0"/>
    <x v="1"/>
    <n v="0.4"/>
    <n v="0.40910000000000002"/>
    <n v="0.94"/>
    <n v="0.22389999999999999"/>
    <n v="11"/>
    <n v="17"/>
    <n v="28"/>
  </r>
  <r>
    <n v="24"/>
    <d v="2011-01-01T00:00:00"/>
    <n v="1"/>
    <n v="0"/>
    <n v="1"/>
    <x v="23"/>
    <b v="0"/>
    <x v="0"/>
    <x v="1"/>
    <n v="0.46"/>
    <n v="0.19989999999999999"/>
    <n v="0.88"/>
    <n v="0.29849999999999999"/>
    <n v="15"/>
    <n v="24"/>
    <n v="39"/>
  </r>
  <r>
    <n v="25"/>
    <d v="2011-01-02T00:00:00"/>
    <n v="1"/>
    <n v="0"/>
    <n v="1"/>
    <x v="0"/>
    <b v="0"/>
    <x v="1"/>
    <x v="1"/>
    <n v="0.46"/>
    <n v="0.45450000000000002"/>
    <n v="0.88"/>
    <n v="0.29849999999999999"/>
    <n v="4"/>
    <n v="13"/>
    <n v="17"/>
  </r>
  <r>
    <n v="26"/>
    <d v="2011-01-02T00:00:00"/>
    <n v="1"/>
    <n v="0"/>
    <n v="1"/>
    <x v="1"/>
    <b v="0"/>
    <x v="1"/>
    <x v="1"/>
    <n v="0.44"/>
    <n v="0.43940000000000001"/>
    <n v="0.94"/>
    <n v="0.25369999999999998"/>
    <n v="1"/>
    <n v="16"/>
    <n v="17"/>
  </r>
  <r>
    <n v="27"/>
    <d v="2011-01-02T00:00:00"/>
    <n v="1"/>
    <n v="0"/>
    <n v="1"/>
    <x v="2"/>
    <b v="0"/>
    <x v="1"/>
    <x v="1"/>
    <n v="0.42"/>
    <n v="0.42420000000000002"/>
    <n v="1"/>
    <n v="0.28360000000000002"/>
    <n v="1"/>
    <n v="8"/>
    <n v="9"/>
  </r>
  <r>
    <n v="28"/>
    <d v="2011-01-02T00:00:00"/>
    <n v="1"/>
    <n v="0"/>
    <n v="1"/>
    <x v="3"/>
    <b v="0"/>
    <x v="1"/>
    <x v="1"/>
    <n v="0.46"/>
    <n v="0.45450000000000002"/>
    <n v="0.94"/>
    <n v="0.19400000000000001"/>
    <n v="2"/>
    <n v="4"/>
    <n v="6"/>
  </r>
  <r>
    <n v="29"/>
    <d v="2011-01-02T00:00:00"/>
    <n v="1"/>
    <n v="0"/>
    <n v="1"/>
    <x v="4"/>
    <b v="0"/>
    <x v="1"/>
    <x v="1"/>
    <n v="0.46"/>
    <n v="0.19989999999999999"/>
    <n v="0.94"/>
    <n v="0.19400000000000001"/>
    <n v="2"/>
    <n v="1"/>
    <n v="3"/>
  </r>
  <r>
    <n v="30"/>
    <d v="2011-01-02T00:00:00"/>
    <n v="1"/>
    <n v="0"/>
    <n v="1"/>
    <x v="6"/>
    <b v="0"/>
    <x v="1"/>
    <x v="2"/>
    <n v="0.42"/>
    <n v="0.42420000000000002"/>
    <n v="0.77"/>
    <n v="0.29849999999999999"/>
    <n v="0"/>
    <n v="2"/>
    <n v="2"/>
  </r>
  <r>
    <n v="31"/>
    <d v="2011-01-02T00:00:00"/>
    <n v="1"/>
    <n v="0"/>
    <n v="1"/>
    <x v="7"/>
    <b v="0"/>
    <x v="1"/>
    <x v="1"/>
    <n v="0.4"/>
    <n v="0.40910000000000002"/>
    <n v="0.76"/>
    <n v="0.19400000000000001"/>
    <n v="0"/>
    <n v="1"/>
    <n v="1"/>
  </r>
  <r>
    <n v="32"/>
    <d v="2011-01-02T00:00:00"/>
    <n v="1"/>
    <n v="0"/>
    <n v="1"/>
    <x v="8"/>
    <b v="0"/>
    <x v="1"/>
    <x v="2"/>
    <n v="0.4"/>
    <n v="0.40910000000000002"/>
    <n v="0.71"/>
    <n v="0.22389999999999999"/>
    <n v="0"/>
    <n v="8"/>
    <n v="8"/>
  </r>
  <r>
    <n v="33"/>
    <d v="2011-01-02T00:00:00"/>
    <n v="1"/>
    <n v="0"/>
    <n v="1"/>
    <x v="9"/>
    <b v="0"/>
    <x v="1"/>
    <x v="1"/>
    <n v="0.38"/>
    <n v="0.19989999999999999"/>
    <n v="0.76"/>
    <n v="0.22389999999999999"/>
    <n v="1"/>
    <n v="19"/>
    <n v="20"/>
  </r>
  <r>
    <n v="34"/>
    <d v="2011-01-02T00:00:00"/>
    <n v="1"/>
    <n v="0"/>
    <n v="1"/>
    <x v="10"/>
    <b v="0"/>
    <x v="1"/>
    <x v="1"/>
    <n v="0.36"/>
    <n v="0.34849999999999998"/>
    <n v="0.81"/>
    <n v="0.22389999999999999"/>
    <n v="7"/>
    <n v="46"/>
    <n v="53"/>
  </r>
  <r>
    <n v="35"/>
    <d v="2011-01-02T00:00:00"/>
    <n v="1"/>
    <n v="0"/>
    <n v="1"/>
    <x v="11"/>
    <b v="0"/>
    <x v="1"/>
    <x v="1"/>
    <n v="0.36"/>
    <n v="0.33329999999999999"/>
    <n v="0.71"/>
    <n v="0.25369999999999998"/>
    <n v="16"/>
    <n v="54"/>
    <n v="70"/>
  </r>
  <r>
    <n v="36"/>
    <d v="2011-01-02T00:00:00"/>
    <n v="1"/>
    <n v="0"/>
    <n v="1"/>
    <x v="12"/>
    <b v="0"/>
    <x v="1"/>
    <x v="1"/>
    <n v="0.36"/>
    <n v="0.33329999999999999"/>
    <n v="0.66"/>
    <n v="0.29849999999999999"/>
    <n v="20"/>
    <n v="73"/>
    <n v="93"/>
  </r>
  <r>
    <n v="37"/>
    <d v="2011-01-02T00:00:00"/>
    <n v="1"/>
    <n v="0"/>
    <n v="1"/>
    <x v="13"/>
    <b v="0"/>
    <x v="1"/>
    <x v="1"/>
    <n v="0.36"/>
    <n v="0.34849999999999998"/>
    <n v="0.66"/>
    <n v="0.1343"/>
    <n v="11"/>
    <n v="64"/>
    <n v="75"/>
  </r>
  <r>
    <n v="38"/>
    <d v="2011-01-02T00:00:00"/>
    <n v="1"/>
    <n v="0"/>
    <n v="1"/>
    <x v="14"/>
    <b v="0"/>
    <x v="1"/>
    <x v="2"/>
    <n v="0.36"/>
    <n v="0.19989999999999999"/>
    <n v="0.76"/>
    <n v="0.19400000000000001"/>
    <n v="4"/>
    <n v="55"/>
    <n v="59"/>
  </r>
  <r>
    <n v="39"/>
    <d v="2011-01-02T00:00:00"/>
    <n v="1"/>
    <n v="0"/>
    <n v="1"/>
    <x v="15"/>
    <b v="0"/>
    <x v="1"/>
    <x v="2"/>
    <n v="0.34"/>
    <n v="0.33329999999999999"/>
    <n v="0.81"/>
    <n v="0.16420000000000001"/>
    <n v="19"/>
    <n v="55"/>
    <n v="74"/>
  </r>
  <r>
    <n v="40"/>
    <d v="2011-01-02T00:00:00"/>
    <n v="1"/>
    <n v="0"/>
    <n v="1"/>
    <x v="16"/>
    <b v="0"/>
    <x v="1"/>
    <x v="2"/>
    <n v="0.34"/>
    <n v="0.33329999999999999"/>
    <n v="0.71"/>
    <n v="0.16420000000000001"/>
    <n v="9"/>
    <n v="67"/>
    <n v="76"/>
  </r>
  <r>
    <n v="41"/>
    <d v="2011-01-02T00:00:00"/>
    <n v="1"/>
    <n v="0"/>
    <n v="1"/>
    <x v="17"/>
    <b v="0"/>
    <x v="1"/>
    <x v="0"/>
    <n v="0.34"/>
    <n v="0.33329999999999999"/>
    <n v="0.56999999999999995"/>
    <n v="0.19400000000000001"/>
    <n v="7"/>
    <n v="58"/>
    <n v="65"/>
  </r>
  <r>
    <n v="42"/>
    <d v="2011-01-02T00:00:00"/>
    <n v="1"/>
    <n v="0"/>
    <n v="1"/>
    <x v="18"/>
    <b v="0"/>
    <x v="1"/>
    <x v="1"/>
    <n v="0.36"/>
    <n v="0.33329999999999999"/>
    <n v="0.46"/>
    <n v="0.32840000000000003"/>
    <n v="10"/>
    <n v="43"/>
    <n v="53"/>
  </r>
  <r>
    <n v="43"/>
    <d v="2011-01-02T00:00:00"/>
    <n v="1"/>
    <n v="0"/>
    <n v="1"/>
    <x v="19"/>
    <b v="0"/>
    <x v="1"/>
    <x v="0"/>
    <n v="0.32"/>
    <n v="0.28789999999999999"/>
    <n v="0.42"/>
    <n v="0.44779999999999998"/>
    <n v="1"/>
    <n v="29"/>
    <n v="30"/>
  </r>
  <r>
    <n v="44"/>
    <d v="2011-01-02T00:00:00"/>
    <n v="1"/>
    <n v="0"/>
    <n v="1"/>
    <x v="20"/>
    <b v="0"/>
    <x v="1"/>
    <x v="0"/>
    <n v="0.3"/>
    <n v="0.19989999999999999"/>
    <n v="0.39"/>
    <n v="0.35820000000000002"/>
    <n v="5"/>
    <n v="17"/>
    <n v="22"/>
  </r>
  <r>
    <n v="45"/>
    <d v="2011-01-02T00:00:00"/>
    <n v="1"/>
    <n v="0"/>
    <n v="1"/>
    <x v="21"/>
    <b v="0"/>
    <x v="1"/>
    <x v="0"/>
    <n v="0.26"/>
    <n v="0.2273"/>
    <n v="0.44"/>
    <n v="0.32840000000000003"/>
    <n v="11"/>
    <n v="20"/>
    <n v="31"/>
  </r>
  <r>
    <n v="46"/>
    <d v="2011-01-02T00:00:00"/>
    <n v="1"/>
    <n v="0"/>
    <n v="1"/>
    <x v="22"/>
    <b v="0"/>
    <x v="1"/>
    <x v="0"/>
    <n v="0.24"/>
    <n v="0.21210000000000001"/>
    <n v="0.44"/>
    <n v="0.29849999999999999"/>
    <n v="0"/>
    <n v="9"/>
    <n v="9"/>
  </r>
  <r>
    <n v="47"/>
    <d v="2011-01-02T00:00:00"/>
    <n v="1"/>
    <n v="0"/>
    <n v="1"/>
    <x v="23"/>
    <b v="0"/>
    <x v="1"/>
    <x v="0"/>
    <n v="0.22"/>
    <n v="0.2273"/>
    <n v="0.47"/>
    <n v="0.16420000000000001"/>
    <n v="0"/>
    <n v="8"/>
    <n v="8"/>
  </r>
  <r>
    <n v="48"/>
    <d v="2011-01-03T00:00:00"/>
    <n v="1"/>
    <n v="0"/>
    <n v="1"/>
    <x v="0"/>
    <b v="0"/>
    <x v="2"/>
    <x v="0"/>
    <n v="0.22"/>
    <n v="0.19700000000000001"/>
    <n v="0.44"/>
    <n v="0.35820000000000002"/>
    <n v="0"/>
    <n v="5"/>
    <n v="5"/>
  </r>
  <r>
    <n v="49"/>
    <d v="2011-01-03T00:00:00"/>
    <n v="1"/>
    <n v="0"/>
    <n v="1"/>
    <x v="1"/>
    <b v="0"/>
    <x v="2"/>
    <x v="0"/>
    <n v="0.2"/>
    <n v="0.19989999999999999"/>
    <n v="0.44"/>
    <n v="0.41789999999999999"/>
    <n v="0"/>
    <n v="2"/>
    <n v="2"/>
  </r>
  <r>
    <n v="50"/>
    <d v="2011-01-03T00:00:00"/>
    <n v="1"/>
    <n v="0"/>
    <n v="1"/>
    <x v="4"/>
    <b v="0"/>
    <x v="2"/>
    <x v="0"/>
    <n v="0.16"/>
    <n v="0.13639999999999999"/>
    <n v="0.47"/>
    <n v="0.3881"/>
    <n v="0"/>
    <n v="1"/>
    <n v="1"/>
  </r>
  <r>
    <n v="51"/>
    <d v="2011-01-03T00:00:00"/>
    <n v="1"/>
    <n v="0"/>
    <n v="1"/>
    <x v="5"/>
    <b v="0"/>
    <x v="2"/>
    <x v="0"/>
    <n v="0.16"/>
    <n v="0.13639999999999999"/>
    <n v="0.47"/>
    <n v="0.28360000000000002"/>
    <n v="0"/>
    <n v="3"/>
    <n v="3"/>
  </r>
  <r>
    <n v="52"/>
    <d v="2011-01-03T00:00:00"/>
    <n v="1"/>
    <n v="0"/>
    <n v="1"/>
    <x v="6"/>
    <b v="0"/>
    <x v="2"/>
    <x v="0"/>
    <n v="0.14000000000000001"/>
    <n v="0.1061"/>
    <n v="0.5"/>
    <n v="0.3881"/>
    <n v="0"/>
    <n v="30"/>
    <n v="30"/>
  </r>
  <r>
    <n v="53"/>
    <d v="2011-01-03T00:00:00"/>
    <n v="1"/>
    <n v="0"/>
    <n v="1"/>
    <x v="7"/>
    <b v="0"/>
    <x v="2"/>
    <x v="0"/>
    <n v="0.14000000000000001"/>
    <n v="0.13639999999999999"/>
    <n v="0.5"/>
    <n v="0.19400000000000001"/>
    <n v="1"/>
    <n v="63"/>
    <n v="64"/>
  </r>
  <r>
    <n v="54"/>
    <d v="2011-01-03T00:00:00"/>
    <n v="1"/>
    <n v="0"/>
    <n v="1"/>
    <x v="8"/>
    <b v="0"/>
    <x v="2"/>
    <x v="0"/>
    <n v="0.14000000000000001"/>
    <n v="0.1212"/>
    <n v="0.5"/>
    <n v="0.28360000000000002"/>
    <n v="1"/>
    <n v="153"/>
    <n v="154"/>
  </r>
  <r>
    <n v="55"/>
    <d v="2011-01-03T00:00:00"/>
    <n v="1"/>
    <n v="0"/>
    <n v="1"/>
    <x v="9"/>
    <b v="0"/>
    <x v="2"/>
    <x v="0"/>
    <n v="0.16"/>
    <n v="0.13639999999999999"/>
    <n v="0.43"/>
    <n v="0.3881"/>
    <n v="7"/>
    <n v="81"/>
    <n v="88"/>
  </r>
  <r>
    <n v="56"/>
    <d v="2011-01-03T00:00:00"/>
    <n v="1"/>
    <n v="0"/>
    <n v="1"/>
    <x v="10"/>
    <b v="0"/>
    <x v="2"/>
    <x v="0"/>
    <n v="0.18"/>
    <n v="0.16669999999999999"/>
    <n v="0.43"/>
    <n v="0.25369999999999998"/>
    <n v="11"/>
    <n v="33"/>
    <n v="44"/>
  </r>
  <r>
    <n v="57"/>
    <d v="2011-01-03T00:00:00"/>
    <n v="1"/>
    <n v="0"/>
    <n v="1"/>
    <x v="11"/>
    <b v="0"/>
    <x v="2"/>
    <x v="0"/>
    <n v="0.2"/>
    <n v="0.18179999999999999"/>
    <n v="0.4"/>
    <n v="0.32840000000000003"/>
    <n v="10"/>
    <n v="41"/>
    <n v="51"/>
  </r>
  <r>
    <n v="58"/>
    <d v="2011-01-03T00:00:00"/>
    <n v="1"/>
    <n v="0"/>
    <n v="1"/>
    <x v="12"/>
    <b v="0"/>
    <x v="2"/>
    <x v="0"/>
    <n v="0.22"/>
    <n v="0.21210000000000001"/>
    <n v="0.35"/>
    <n v="0.29849999999999999"/>
    <n v="13"/>
    <n v="48"/>
    <n v="61"/>
  </r>
  <r>
    <n v="59"/>
    <d v="2011-01-03T00:00:00"/>
    <n v="1"/>
    <n v="0"/>
    <n v="1"/>
    <x v="13"/>
    <b v="0"/>
    <x v="2"/>
    <x v="0"/>
    <n v="0.24"/>
    <n v="0.19989999999999999"/>
    <n v="0.35"/>
    <n v="0.28360000000000002"/>
    <n v="8"/>
    <n v="53"/>
    <n v="61"/>
  </r>
  <r>
    <n v="60"/>
    <d v="2011-01-03T00:00:00"/>
    <n v="1"/>
    <n v="0"/>
    <n v="1"/>
    <x v="14"/>
    <b v="0"/>
    <x v="2"/>
    <x v="0"/>
    <n v="0.26"/>
    <n v="0.2424"/>
    <n v="0.3"/>
    <n v="0.28360000000000002"/>
    <n v="11"/>
    <n v="66"/>
    <n v="77"/>
  </r>
  <r>
    <n v="61"/>
    <d v="2011-01-03T00:00:00"/>
    <n v="1"/>
    <n v="0"/>
    <n v="1"/>
    <x v="15"/>
    <b v="0"/>
    <x v="2"/>
    <x v="0"/>
    <n v="0.26"/>
    <n v="0.2424"/>
    <n v="0.3"/>
    <n v="0.25369999999999998"/>
    <n v="14"/>
    <n v="58"/>
    <n v="72"/>
  </r>
  <r>
    <n v="62"/>
    <d v="2011-01-03T00:00:00"/>
    <n v="1"/>
    <n v="0"/>
    <n v="1"/>
    <x v="16"/>
    <b v="0"/>
    <x v="2"/>
    <x v="0"/>
    <n v="0.26"/>
    <n v="0.2424"/>
    <n v="0.3"/>
    <n v="0.25369999999999998"/>
    <n v="9"/>
    <n v="67"/>
    <n v="76"/>
  </r>
  <r>
    <n v="63"/>
    <d v="2011-01-03T00:00:00"/>
    <n v="1"/>
    <n v="0"/>
    <n v="1"/>
    <x v="17"/>
    <b v="0"/>
    <x v="2"/>
    <x v="0"/>
    <n v="0.24"/>
    <n v="0.2273"/>
    <n v="0.3"/>
    <n v="0.22389999999999999"/>
    <n v="11"/>
    <n v="146"/>
    <n v="157"/>
  </r>
  <r>
    <n v="64"/>
    <d v="2011-01-03T00:00:00"/>
    <n v="1"/>
    <n v="0"/>
    <n v="1"/>
    <x v="18"/>
    <b v="0"/>
    <x v="2"/>
    <x v="0"/>
    <n v="0.24"/>
    <n v="0.2576"/>
    <n v="0.32"/>
    <n v="0.1045"/>
    <n v="9"/>
    <n v="148"/>
    <n v="157"/>
  </r>
  <r>
    <n v="65"/>
    <d v="2011-01-03T00:00:00"/>
    <n v="1"/>
    <n v="0"/>
    <n v="1"/>
    <x v="19"/>
    <b v="0"/>
    <x v="2"/>
    <x v="0"/>
    <n v="0.2"/>
    <n v="0.2576"/>
    <n v="0.47"/>
    <n v="0"/>
    <n v="8"/>
    <n v="102"/>
    <n v="110"/>
  </r>
  <r>
    <n v="66"/>
    <d v="2011-01-03T00:00:00"/>
    <n v="1"/>
    <n v="0"/>
    <n v="1"/>
    <x v="20"/>
    <b v="0"/>
    <x v="2"/>
    <x v="0"/>
    <n v="0.2"/>
    <n v="0.19989999999999999"/>
    <n v="0.47"/>
    <n v="0.1045"/>
    <n v="3"/>
    <n v="49"/>
    <n v="52"/>
  </r>
  <r>
    <n v="67"/>
    <d v="2011-01-03T00:00:00"/>
    <n v="1"/>
    <n v="0"/>
    <n v="1"/>
    <x v="21"/>
    <b v="0"/>
    <x v="2"/>
    <x v="0"/>
    <n v="0.18"/>
    <n v="0.19700000000000001"/>
    <n v="0.64"/>
    <n v="0.1343"/>
    <n v="3"/>
    <n v="49"/>
    <n v="52"/>
  </r>
  <r>
    <n v="68"/>
    <d v="2011-01-03T00:00:00"/>
    <n v="1"/>
    <n v="0"/>
    <n v="1"/>
    <x v="22"/>
    <b v="0"/>
    <x v="2"/>
    <x v="0"/>
    <n v="0.14000000000000001"/>
    <n v="0.1515"/>
    <n v="0.69"/>
    <n v="0.1343"/>
    <n v="0"/>
    <n v="20"/>
    <n v="20"/>
  </r>
  <r>
    <n v="69"/>
    <d v="2011-01-03T00:00:00"/>
    <n v="1"/>
    <n v="0"/>
    <n v="1"/>
    <x v="23"/>
    <b v="0"/>
    <x v="2"/>
    <x v="0"/>
    <n v="0.18"/>
    <n v="0.21210000000000001"/>
    <n v="0.55000000000000004"/>
    <n v="0.1045"/>
    <n v="1"/>
    <n v="11"/>
    <n v="12"/>
  </r>
  <r>
    <n v="70"/>
    <d v="2011-01-04T00:00:00"/>
    <n v="1"/>
    <n v="0"/>
    <n v="1"/>
    <x v="0"/>
    <b v="0"/>
    <x v="3"/>
    <x v="0"/>
    <n v="0.16"/>
    <n v="0.19989999999999999"/>
    <n v="0.55000000000000004"/>
    <n v="0.1045"/>
    <n v="0"/>
    <n v="5"/>
    <n v="5"/>
  </r>
  <r>
    <n v="71"/>
    <d v="2011-01-04T00:00:00"/>
    <n v="1"/>
    <n v="0"/>
    <n v="1"/>
    <x v="1"/>
    <b v="0"/>
    <x v="3"/>
    <x v="0"/>
    <n v="0.16"/>
    <n v="0.18179999999999999"/>
    <n v="0.59"/>
    <n v="0.1045"/>
    <n v="0"/>
    <n v="2"/>
    <n v="2"/>
  </r>
  <r>
    <n v="72"/>
    <d v="2011-01-04T00:00:00"/>
    <n v="1"/>
    <n v="0"/>
    <n v="1"/>
    <x v="2"/>
    <b v="0"/>
    <x v="3"/>
    <x v="0"/>
    <n v="0.14000000000000001"/>
    <n v="0.1515"/>
    <n v="0.63"/>
    <n v="0.1343"/>
    <n v="0"/>
    <n v="1"/>
    <n v="1"/>
  </r>
  <r>
    <n v="73"/>
    <d v="2011-01-04T00:00:00"/>
    <n v="1"/>
    <n v="0"/>
    <n v="1"/>
    <x v="4"/>
    <b v="0"/>
    <x v="3"/>
    <x v="0"/>
    <n v="0.14000000000000001"/>
    <n v="0.18179999999999999"/>
    <n v="0.63"/>
    <n v="8.9599999999999999E-2"/>
    <n v="0"/>
    <n v="2"/>
    <n v="2"/>
  </r>
  <r>
    <n v="74"/>
    <d v="2011-01-04T00:00:00"/>
    <n v="1"/>
    <n v="0"/>
    <n v="1"/>
    <x v="5"/>
    <b v="0"/>
    <x v="3"/>
    <x v="0"/>
    <n v="0.12"/>
    <n v="0.1515"/>
    <n v="0.68"/>
    <n v="0.1045"/>
    <n v="0"/>
    <n v="4"/>
    <n v="4"/>
  </r>
  <r>
    <n v="75"/>
    <d v="2011-01-04T00:00:00"/>
    <n v="1"/>
    <n v="0"/>
    <n v="1"/>
    <x v="6"/>
    <b v="0"/>
    <x v="3"/>
    <x v="0"/>
    <n v="0.12"/>
    <n v="0.1515"/>
    <n v="0.74"/>
    <n v="0.1045"/>
    <n v="0"/>
    <n v="36"/>
    <n v="36"/>
  </r>
  <r>
    <n v="76"/>
    <d v="2011-01-04T00:00:00"/>
    <n v="1"/>
    <n v="0"/>
    <n v="1"/>
    <x v="7"/>
    <b v="0"/>
    <x v="3"/>
    <x v="0"/>
    <n v="0.12"/>
    <n v="0.1515"/>
    <n v="0.74"/>
    <n v="0.1343"/>
    <n v="2"/>
    <n v="92"/>
    <n v="94"/>
  </r>
  <r>
    <n v="77"/>
    <d v="2011-01-04T00:00:00"/>
    <n v="1"/>
    <n v="0"/>
    <n v="1"/>
    <x v="8"/>
    <b v="0"/>
    <x v="3"/>
    <x v="0"/>
    <n v="0.14000000000000001"/>
    <n v="0.1515"/>
    <n v="0.69"/>
    <n v="0.16420000000000001"/>
    <n v="2"/>
    <n v="177"/>
    <n v="179"/>
  </r>
  <r>
    <n v="78"/>
    <d v="2011-01-04T00:00:00"/>
    <n v="1"/>
    <n v="0"/>
    <n v="1"/>
    <x v="9"/>
    <b v="0"/>
    <x v="3"/>
    <x v="0"/>
    <n v="0.16"/>
    <n v="0.1515"/>
    <n v="0.64"/>
    <n v="0.22389999999999999"/>
    <n v="2"/>
    <n v="98"/>
    <n v="100"/>
  </r>
  <r>
    <n v="79"/>
    <d v="2011-01-04T00:00:00"/>
    <n v="1"/>
    <n v="0"/>
    <n v="1"/>
    <x v="10"/>
    <b v="0"/>
    <x v="3"/>
    <x v="1"/>
    <n v="0.16"/>
    <n v="0.13639999999999999"/>
    <n v="0.69"/>
    <n v="0.32840000000000003"/>
    <n v="5"/>
    <n v="37"/>
    <n v="42"/>
  </r>
  <r>
    <n v="80"/>
    <d v="2011-01-04T00:00:00"/>
    <n v="1"/>
    <n v="0"/>
    <n v="1"/>
    <x v="11"/>
    <b v="0"/>
    <x v="3"/>
    <x v="0"/>
    <n v="0.22"/>
    <n v="0.21210000000000001"/>
    <n v="0.51"/>
    <n v="0.29849999999999999"/>
    <n v="7"/>
    <n v="50"/>
    <n v="57"/>
  </r>
  <r>
    <n v="81"/>
    <d v="2011-01-04T00:00:00"/>
    <n v="1"/>
    <n v="0"/>
    <n v="1"/>
    <x v="12"/>
    <b v="0"/>
    <x v="3"/>
    <x v="0"/>
    <n v="0.22"/>
    <n v="0.2273"/>
    <n v="0.51"/>
    <n v="0.16420000000000001"/>
    <n v="12"/>
    <n v="66"/>
    <n v="78"/>
  </r>
  <r>
    <n v="82"/>
    <d v="2011-01-04T00:00:00"/>
    <n v="1"/>
    <n v="0"/>
    <n v="1"/>
    <x v="13"/>
    <b v="0"/>
    <x v="3"/>
    <x v="0"/>
    <n v="0.24"/>
    <n v="0.2273"/>
    <n v="0.56000000000000005"/>
    <n v="0.19400000000000001"/>
    <n v="18"/>
    <n v="79"/>
    <n v="97"/>
  </r>
  <r>
    <n v="83"/>
    <d v="2011-01-04T00:00:00"/>
    <n v="1"/>
    <n v="0"/>
    <n v="1"/>
    <x v="14"/>
    <b v="0"/>
    <x v="3"/>
    <x v="0"/>
    <n v="0.26"/>
    <n v="0.2576"/>
    <n v="0.52"/>
    <n v="0.22389999999999999"/>
    <n v="9"/>
    <n v="54"/>
    <n v="63"/>
  </r>
  <r>
    <n v="84"/>
    <d v="2011-01-04T00:00:00"/>
    <n v="1"/>
    <n v="0"/>
    <n v="1"/>
    <x v="15"/>
    <b v="0"/>
    <x v="3"/>
    <x v="0"/>
    <n v="0.28000000000000003"/>
    <n v="0.2727"/>
    <n v="0.52"/>
    <n v="0.25369999999999998"/>
    <n v="17"/>
    <n v="48"/>
    <n v="65"/>
  </r>
  <r>
    <n v="85"/>
    <d v="2011-01-04T00:00:00"/>
    <n v="1"/>
    <n v="0"/>
    <n v="1"/>
    <x v="16"/>
    <b v="0"/>
    <x v="3"/>
    <x v="0"/>
    <n v="0.3"/>
    <n v="0.28789999999999999"/>
    <n v="0.49"/>
    <n v="0.25369999999999998"/>
    <n v="15"/>
    <n v="68"/>
    <n v="83"/>
  </r>
  <r>
    <n v="86"/>
    <d v="2011-01-04T00:00:00"/>
    <n v="1"/>
    <n v="0"/>
    <n v="1"/>
    <x v="17"/>
    <b v="0"/>
    <x v="3"/>
    <x v="0"/>
    <n v="0.28000000000000003"/>
    <n v="0.2727"/>
    <n v="0.48"/>
    <n v="0.22389999999999999"/>
    <n v="10"/>
    <n v="202"/>
    <n v="212"/>
  </r>
  <r>
    <n v="87"/>
    <d v="2011-01-04T00:00:00"/>
    <n v="1"/>
    <n v="0"/>
    <n v="1"/>
    <x v="18"/>
    <b v="0"/>
    <x v="3"/>
    <x v="0"/>
    <n v="0.26"/>
    <n v="0.2576"/>
    <n v="0.48"/>
    <n v="0.19400000000000001"/>
    <n v="3"/>
    <n v="179"/>
    <n v="182"/>
  </r>
  <r>
    <n v="88"/>
    <d v="2011-01-04T00:00:00"/>
    <n v="1"/>
    <n v="0"/>
    <n v="1"/>
    <x v="19"/>
    <b v="0"/>
    <x v="3"/>
    <x v="0"/>
    <n v="0.24"/>
    <n v="0.2576"/>
    <n v="0.48"/>
    <n v="0.1045"/>
    <n v="2"/>
    <n v="110"/>
    <n v="112"/>
  </r>
  <r>
    <n v="89"/>
    <d v="2011-01-04T00:00:00"/>
    <n v="1"/>
    <n v="0"/>
    <n v="1"/>
    <x v="20"/>
    <b v="0"/>
    <x v="3"/>
    <x v="0"/>
    <n v="0.24"/>
    <n v="0.2576"/>
    <n v="0.48"/>
    <n v="0.1045"/>
    <n v="1"/>
    <n v="53"/>
    <n v="54"/>
  </r>
  <r>
    <n v="90"/>
    <d v="2011-01-04T00:00:00"/>
    <n v="1"/>
    <n v="0"/>
    <n v="1"/>
    <x v="21"/>
    <b v="0"/>
    <x v="3"/>
    <x v="0"/>
    <n v="0.22"/>
    <n v="0.2727"/>
    <n v="0.64"/>
    <n v="0"/>
    <n v="0"/>
    <n v="48"/>
    <n v="48"/>
  </r>
  <r>
    <n v="91"/>
    <d v="2011-01-04T00:00:00"/>
    <n v="1"/>
    <n v="0"/>
    <n v="1"/>
    <x v="22"/>
    <b v="0"/>
    <x v="3"/>
    <x v="0"/>
    <n v="0.22"/>
    <n v="0.2576"/>
    <n v="0.64"/>
    <n v="8.9599999999999999E-2"/>
    <n v="1"/>
    <n v="34"/>
    <n v="35"/>
  </r>
  <r>
    <n v="92"/>
    <d v="2011-01-04T00:00:00"/>
    <n v="1"/>
    <n v="0"/>
    <n v="1"/>
    <x v="23"/>
    <b v="0"/>
    <x v="3"/>
    <x v="0"/>
    <n v="0.2"/>
    <n v="0.2273"/>
    <n v="0.69"/>
    <n v="8.9599999999999999E-2"/>
    <n v="2"/>
    <n v="9"/>
    <n v="11"/>
  </r>
  <r>
    <n v="93"/>
    <d v="2011-01-05T00:00:00"/>
    <n v="1"/>
    <n v="0"/>
    <n v="1"/>
    <x v="0"/>
    <b v="0"/>
    <x v="4"/>
    <x v="0"/>
    <n v="0.2"/>
    <n v="0.2576"/>
    <n v="0.64"/>
    <n v="0"/>
    <n v="0"/>
    <n v="6"/>
    <n v="6"/>
  </r>
  <r>
    <n v="94"/>
    <d v="2011-01-05T00:00:00"/>
    <n v="1"/>
    <n v="0"/>
    <n v="1"/>
    <x v="1"/>
    <b v="0"/>
    <x v="4"/>
    <x v="0"/>
    <n v="0.16"/>
    <n v="0.19700000000000001"/>
    <n v="0.74"/>
    <n v="8.9599999999999999E-2"/>
    <n v="0"/>
    <n v="6"/>
    <n v="6"/>
  </r>
  <r>
    <n v="95"/>
    <d v="2011-01-05T00:00:00"/>
    <n v="1"/>
    <n v="0"/>
    <n v="1"/>
    <x v="2"/>
    <b v="0"/>
    <x v="4"/>
    <x v="0"/>
    <n v="0.16"/>
    <n v="0.19700000000000001"/>
    <n v="0.74"/>
    <n v="8.9599999999999999E-2"/>
    <n v="0"/>
    <n v="2"/>
    <n v="2"/>
  </r>
  <r>
    <n v="96"/>
    <d v="2011-01-05T00:00:00"/>
    <n v="1"/>
    <n v="0"/>
    <n v="1"/>
    <x v="4"/>
    <b v="0"/>
    <x v="4"/>
    <x v="0"/>
    <n v="0.24"/>
    <n v="0.2273"/>
    <n v="0.48"/>
    <n v="0.22389999999999999"/>
    <n v="0"/>
    <n v="2"/>
    <n v="2"/>
  </r>
  <r>
    <n v="97"/>
    <d v="2011-01-05T00:00:00"/>
    <n v="1"/>
    <n v="0"/>
    <n v="1"/>
    <x v="5"/>
    <b v="0"/>
    <x v="4"/>
    <x v="0"/>
    <n v="0.22"/>
    <n v="0.2273"/>
    <n v="0.47"/>
    <n v="0.16420000000000001"/>
    <n v="0"/>
    <n v="3"/>
    <n v="3"/>
  </r>
  <r>
    <n v="98"/>
    <d v="2011-01-05T00:00:00"/>
    <n v="1"/>
    <n v="0"/>
    <n v="1"/>
    <x v="6"/>
    <b v="0"/>
    <x v="4"/>
    <x v="0"/>
    <n v="0.2"/>
    <n v="0.19700000000000001"/>
    <n v="0.47"/>
    <n v="0.22389999999999999"/>
    <n v="0"/>
    <n v="33"/>
    <n v="33"/>
  </r>
  <r>
    <n v="99"/>
    <d v="2011-01-05T00:00:00"/>
    <n v="1"/>
    <n v="0"/>
    <n v="1"/>
    <x v="7"/>
    <b v="0"/>
    <x v="4"/>
    <x v="0"/>
    <n v="0.18"/>
    <n v="0.18179999999999999"/>
    <n v="0.43"/>
    <n v="0.19400000000000001"/>
    <n v="1"/>
    <n v="87"/>
    <n v="88"/>
  </r>
  <r>
    <n v="100"/>
    <d v="2011-01-05T00:00:00"/>
    <n v="1"/>
    <n v="0"/>
    <n v="1"/>
    <x v="8"/>
    <b v="0"/>
    <x v="4"/>
    <x v="0"/>
    <n v="0.2"/>
    <n v="0.18179999999999999"/>
    <n v="0.4"/>
    <n v="0.29849999999999999"/>
    <n v="3"/>
    <n v="192"/>
    <n v="195"/>
  </r>
  <r>
    <n v="101"/>
    <d v="2011-01-05T00:00:00"/>
    <n v="1"/>
    <n v="0"/>
    <n v="1"/>
    <x v="9"/>
    <b v="0"/>
    <x v="4"/>
    <x v="0"/>
    <n v="0.22"/>
    <n v="0.19700000000000001"/>
    <n v="0.37"/>
    <n v="0.32840000000000003"/>
    <n v="6"/>
    <n v="109"/>
    <n v="115"/>
  </r>
  <r>
    <n v="102"/>
    <d v="2011-01-05T00:00:00"/>
    <n v="1"/>
    <n v="0"/>
    <n v="1"/>
    <x v="10"/>
    <b v="0"/>
    <x v="4"/>
    <x v="0"/>
    <n v="0.22"/>
    <n v="0.19700000000000001"/>
    <n v="0.37"/>
    <n v="0.32840000000000003"/>
    <n v="4"/>
    <n v="53"/>
    <n v="57"/>
  </r>
  <r>
    <n v="103"/>
    <d v="2011-01-05T00:00:00"/>
    <n v="1"/>
    <n v="0"/>
    <n v="1"/>
    <x v="11"/>
    <b v="0"/>
    <x v="4"/>
    <x v="0"/>
    <n v="0.26"/>
    <n v="0.2273"/>
    <n v="0.33"/>
    <n v="0.32840000000000003"/>
    <n v="12"/>
    <n v="34"/>
    <n v="46"/>
  </r>
  <r>
    <n v="104"/>
    <d v="2011-01-05T00:00:00"/>
    <n v="1"/>
    <n v="0"/>
    <n v="1"/>
    <x v="12"/>
    <b v="0"/>
    <x v="4"/>
    <x v="0"/>
    <n v="0.26"/>
    <n v="0.2273"/>
    <n v="0.33"/>
    <n v="0.32840000000000003"/>
    <n v="5"/>
    <n v="74"/>
    <n v="79"/>
  </r>
  <r>
    <n v="105"/>
    <d v="2011-01-05T00:00:00"/>
    <n v="1"/>
    <n v="0"/>
    <n v="1"/>
    <x v="13"/>
    <b v="0"/>
    <x v="4"/>
    <x v="0"/>
    <n v="0.28000000000000003"/>
    <n v="0.2576"/>
    <n v="0.3"/>
    <n v="0.29849999999999999"/>
    <n v="6"/>
    <n v="65"/>
    <n v="71"/>
  </r>
  <r>
    <n v="106"/>
    <d v="2011-01-05T00:00:00"/>
    <n v="1"/>
    <n v="0"/>
    <n v="1"/>
    <x v="14"/>
    <b v="0"/>
    <x v="4"/>
    <x v="0"/>
    <n v="0.3"/>
    <n v="0.28789999999999999"/>
    <n v="0.28000000000000003"/>
    <n v="0.19400000000000001"/>
    <n v="10"/>
    <n v="52"/>
    <n v="62"/>
  </r>
  <r>
    <n v="107"/>
    <d v="2011-01-05T00:00:00"/>
    <n v="1"/>
    <n v="0"/>
    <n v="1"/>
    <x v="15"/>
    <b v="0"/>
    <x v="4"/>
    <x v="0"/>
    <n v="0.3"/>
    <n v="0.28789999999999999"/>
    <n v="0.28000000000000003"/>
    <n v="0.19400000000000001"/>
    <n v="7"/>
    <n v="55"/>
    <n v="62"/>
  </r>
  <r>
    <n v="108"/>
    <d v="2011-01-05T00:00:00"/>
    <n v="1"/>
    <n v="0"/>
    <n v="1"/>
    <x v="16"/>
    <b v="0"/>
    <x v="4"/>
    <x v="0"/>
    <n v="0.3"/>
    <n v="0.31819999999999998"/>
    <n v="0.28000000000000003"/>
    <n v="8.9599999999999999E-2"/>
    <n v="4"/>
    <n v="85"/>
    <n v="89"/>
  </r>
  <r>
    <n v="109"/>
    <d v="2011-01-05T00:00:00"/>
    <n v="1"/>
    <n v="0"/>
    <n v="1"/>
    <x v="17"/>
    <b v="0"/>
    <x v="4"/>
    <x v="0"/>
    <n v="0.24"/>
    <n v="0.2273"/>
    <n v="0.38"/>
    <n v="0.19400000000000001"/>
    <n v="4"/>
    <n v="186"/>
    <n v="190"/>
  </r>
  <r>
    <n v="110"/>
    <d v="2011-01-05T00:00:00"/>
    <n v="1"/>
    <n v="0"/>
    <n v="1"/>
    <x v="18"/>
    <b v="0"/>
    <x v="4"/>
    <x v="0"/>
    <n v="0.24"/>
    <n v="0.2424"/>
    <n v="0.38"/>
    <n v="0.1343"/>
    <n v="3"/>
    <n v="166"/>
    <n v="169"/>
  </r>
  <r>
    <n v="111"/>
    <d v="2011-01-05T00:00:00"/>
    <n v="1"/>
    <n v="0"/>
    <n v="1"/>
    <x v="19"/>
    <b v="0"/>
    <x v="4"/>
    <x v="0"/>
    <n v="0.24"/>
    <n v="0.2576"/>
    <n v="0.38"/>
    <n v="0.1045"/>
    <n v="5"/>
    <n v="127"/>
    <n v="132"/>
  </r>
  <r>
    <n v="112"/>
    <d v="2011-01-05T00:00:00"/>
    <n v="1"/>
    <n v="0"/>
    <n v="1"/>
    <x v="20"/>
    <b v="0"/>
    <x v="4"/>
    <x v="0"/>
    <n v="0.22"/>
    <n v="0.2273"/>
    <n v="0.47"/>
    <n v="0.16420000000000001"/>
    <n v="7"/>
    <n v="82"/>
    <n v="89"/>
  </r>
  <r>
    <n v="113"/>
    <d v="2011-01-05T00:00:00"/>
    <n v="1"/>
    <n v="0"/>
    <n v="1"/>
    <x v="21"/>
    <b v="0"/>
    <x v="4"/>
    <x v="0"/>
    <n v="0.2"/>
    <n v="0.19700000000000001"/>
    <n v="0.51"/>
    <n v="0.19400000000000001"/>
    <n v="3"/>
    <n v="40"/>
    <n v="43"/>
  </r>
  <r>
    <n v="114"/>
    <d v="2011-01-05T00:00:00"/>
    <n v="1"/>
    <n v="0"/>
    <n v="1"/>
    <x v="22"/>
    <b v="0"/>
    <x v="4"/>
    <x v="0"/>
    <n v="0.18"/>
    <n v="0.19700000000000001"/>
    <n v="0.55000000000000004"/>
    <n v="0.1343"/>
    <n v="1"/>
    <n v="41"/>
    <n v="42"/>
  </r>
  <r>
    <n v="115"/>
    <d v="2011-01-05T00:00:00"/>
    <n v="1"/>
    <n v="0"/>
    <n v="1"/>
    <x v="23"/>
    <b v="0"/>
    <x v="4"/>
    <x v="0"/>
    <n v="0.2"/>
    <n v="0.2576"/>
    <n v="0.47"/>
    <n v="0"/>
    <n v="1"/>
    <n v="18"/>
    <n v="19"/>
  </r>
  <r>
    <n v="116"/>
    <d v="2011-01-06T00:00:00"/>
    <n v="1"/>
    <n v="0"/>
    <n v="1"/>
    <x v="0"/>
    <b v="0"/>
    <x v="5"/>
    <x v="0"/>
    <n v="0.18"/>
    <n v="0.2424"/>
    <n v="0.55000000000000004"/>
    <n v="0"/>
    <n v="0"/>
    <n v="11"/>
    <n v="11"/>
  </r>
  <r>
    <n v="117"/>
    <d v="2011-01-06T00:00:00"/>
    <n v="1"/>
    <n v="0"/>
    <n v="1"/>
    <x v="1"/>
    <b v="0"/>
    <x v="5"/>
    <x v="0"/>
    <n v="0.16"/>
    <n v="0.2273"/>
    <n v="0.64"/>
    <n v="0"/>
    <n v="0"/>
    <n v="4"/>
    <n v="4"/>
  </r>
  <r>
    <n v="118"/>
    <d v="2011-01-06T00:00:00"/>
    <n v="1"/>
    <n v="0"/>
    <n v="1"/>
    <x v="2"/>
    <b v="0"/>
    <x v="5"/>
    <x v="0"/>
    <n v="0.16"/>
    <n v="0.2273"/>
    <n v="0.64"/>
    <n v="0"/>
    <n v="0"/>
    <n v="2"/>
    <n v="2"/>
  </r>
  <r>
    <n v="119"/>
    <d v="2011-01-06T00:00:00"/>
    <n v="1"/>
    <n v="0"/>
    <n v="1"/>
    <x v="4"/>
    <b v="0"/>
    <x v="5"/>
    <x v="1"/>
    <n v="0.16"/>
    <n v="0.19700000000000001"/>
    <n v="0.64"/>
    <n v="8.9599999999999999E-2"/>
    <n v="0"/>
    <n v="1"/>
    <n v="1"/>
  </r>
  <r>
    <n v="120"/>
    <d v="2011-01-06T00:00:00"/>
    <n v="1"/>
    <n v="0"/>
    <n v="1"/>
    <x v="5"/>
    <b v="0"/>
    <x v="5"/>
    <x v="1"/>
    <n v="0.14000000000000001"/>
    <n v="0.18179999999999999"/>
    <n v="0.69"/>
    <n v="8.9599999999999999E-2"/>
    <n v="0"/>
    <n v="4"/>
    <n v="4"/>
  </r>
  <r>
    <n v="121"/>
    <d v="2011-01-06T00:00:00"/>
    <n v="1"/>
    <n v="0"/>
    <n v="1"/>
    <x v="6"/>
    <b v="0"/>
    <x v="5"/>
    <x v="1"/>
    <n v="0.14000000000000001"/>
    <n v="0.16669999999999999"/>
    <n v="0.63"/>
    <n v="0.1045"/>
    <n v="0"/>
    <n v="36"/>
    <n v="36"/>
  </r>
  <r>
    <n v="122"/>
    <d v="2011-01-06T00:00:00"/>
    <n v="1"/>
    <n v="0"/>
    <n v="1"/>
    <x v="7"/>
    <b v="0"/>
    <x v="5"/>
    <x v="1"/>
    <n v="0.16"/>
    <n v="0.2273"/>
    <n v="0.59"/>
    <n v="0"/>
    <n v="0"/>
    <n v="95"/>
    <n v="95"/>
  </r>
  <r>
    <n v="123"/>
    <d v="2011-01-06T00:00:00"/>
    <n v="1"/>
    <n v="0"/>
    <n v="1"/>
    <x v="8"/>
    <b v="0"/>
    <x v="5"/>
    <x v="0"/>
    <n v="0.16"/>
    <n v="0.2273"/>
    <n v="0.59"/>
    <n v="0"/>
    <n v="3"/>
    <n v="216"/>
    <n v="219"/>
  </r>
  <r>
    <n v="124"/>
    <d v="2011-01-06T00:00:00"/>
    <n v="1"/>
    <n v="0"/>
    <n v="1"/>
    <x v="9"/>
    <b v="0"/>
    <x v="5"/>
    <x v="1"/>
    <n v="0.18"/>
    <n v="0.2424"/>
    <n v="0.51"/>
    <n v="0"/>
    <n v="6"/>
    <n v="116"/>
    <n v="122"/>
  </r>
  <r>
    <n v="125"/>
    <d v="2011-01-06T00:00:00"/>
    <n v="1"/>
    <n v="0"/>
    <n v="1"/>
    <x v="10"/>
    <b v="0"/>
    <x v="5"/>
    <x v="0"/>
    <n v="0.2"/>
    <n v="0.2576"/>
    <n v="0.47"/>
    <n v="0"/>
    <n v="3"/>
    <n v="42"/>
    <n v="45"/>
  </r>
  <r>
    <n v="126"/>
    <d v="2011-01-06T00:00:00"/>
    <n v="1"/>
    <n v="0"/>
    <n v="1"/>
    <x v="11"/>
    <b v="0"/>
    <x v="5"/>
    <x v="0"/>
    <n v="0.22"/>
    <n v="0.2576"/>
    <n v="0.44"/>
    <n v="8.9599999999999999E-2"/>
    <n v="2"/>
    <n v="57"/>
    <n v="59"/>
  </r>
  <r>
    <n v="127"/>
    <d v="2011-01-06T00:00:00"/>
    <n v="1"/>
    <n v="0"/>
    <n v="1"/>
    <x v="12"/>
    <b v="0"/>
    <x v="5"/>
    <x v="0"/>
    <n v="0.26"/>
    <n v="0.28789999999999999"/>
    <n v="0.35"/>
    <n v="0"/>
    <n v="6"/>
    <n v="78"/>
    <n v="84"/>
  </r>
  <r>
    <n v="128"/>
    <d v="2011-01-06T00:00:00"/>
    <n v="1"/>
    <n v="0"/>
    <n v="1"/>
    <x v="13"/>
    <b v="0"/>
    <x v="5"/>
    <x v="0"/>
    <n v="0.26"/>
    <n v="0.2727"/>
    <n v="0.35"/>
    <n v="0.1045"/>
    <n v="12"/>
    <n v="55"/>
    <n v="67"/>
  </r>
  <r>
    <n v="129"/>
    <d v="2011-01-06T00:00:00"/>
    <n v="1"/>
    <n v="0"/>
    <n v="1"/>
    <x v="14"/>
    <b v="0"/>
    <x v="5"/>
    <x v="0"/>
    <n v="0.28000000000000003"/>
    <n v="0.2727"/>
    <n v="0.36"/>
    <n v="0.16420000000000001"/>
    <n v="11"/>
    <n v="59"/>
    <n v="70"/>
  </r>
  <r>
    <n v="130"/>
    <d v="2011-01-06T00:00:00"/>
    <n v="1"/>
    <n v="0"/>
    <n v="1"/>
    <x v="15"/>
    <b v="0"/>
    <x v="5"/>
    <x v="0"/>
    <n v="0.28000000000000003"/>
    <n v="0.2727"/>
    <n v="0.36"/>
    <n v="0"/>
    <n v="8"/>
    <n v="54"/>
    <n v="62"/>
  </r>
  <r>
    <n v="131"/>
    <d v="2011-01-06T00:00:00"/>
    <n v="1"/>
    <n v="0"/>
    <n v="1"/>
    <x v="16"/>
    <b v="0"/>
    <x v="5"/>
    <x v="0"/>
    <n v="0.26"/>
    <n v="0.2576"/>
    <n v="0.38"/>
    <n v="0.16420000000000001"/>
    <n v="12"/>
    <n v="74"/>
    <n v="86"/>
  </r>
  <r>
    <n v="132"/>
    <d v="2011-01-06T00:00:00"/>
    <n v="1"/>
    <n v="0"/>
    <n v="1"/>
    <x v="17"/>
    <b v="0"/>
    <x v="5"/>
    <x v="0"/>
    <n v="0.22"/>
    <n v="0.2273"/>
    <n v="0.51"/>
    <n v="0.16420000000000001"/>
    <n v="9"/>
    <n v="163"/>
    <n v="172"/>
  </r>
  <r>
    <n v="133"/>
    <d v="2011-01-06T00:00:00"/>
    <n v="1"/>
    <n v="0"/>
    <n v="1"/>
    <x v="18"/>
    <b v="0"/>
    <x v="5"/>
    <x v="0"/>
    <n v="0.22"/>
    <n v="0.2273"/>
    <n v="0.51"/>
    <n v="0.1343"/>
    <n v="5"/>
    <n v="158"/>
    <n v="163"/>
  </r>
  <r>
    <n v="134"/>
    <d v="2011-01-06T00:00:00"/>
    <n v="1"/>
    <n v="0"/>
    <n v="1"/>
    <x v="19"/>
    <b v="0"/>
    <x v="5"/>
    <x v="0"/>
    <n v="0.22"/>
    <n v="0.2576"/>
    <n v="0.55000000000000004"/>
    <n v="8.9599999999999999E-2"/>
    <n v="3"/>
    <n v="109"/>
    <n v="112"/>
  </r>
  <r>
    <n v="135"/>
    <d v="2011-01-06T00:00:00"/>
    <n v="1"/>
    <n v="0"/>
    <n v="1"/>
    <x v="20"/>
    <b v="0"/>
    <x v="5"/>
    <x v="0"/>
    <n v="0.2"/>
    <n v="0.21210000000000001"/>
    <n v="0.51"/>
    <n v="0.16420000000000001"/>
    <n v="3"/>
    <n v="66"/>
    <n v="69"/>
  </r>
  <r>
    <n v="136"/>
    <d v="2011-01-06T00:00:00"/>
    <n v="1"/>
    <n v="0"/>
    <n v="1"/>
    <x v="21"/>
    <b v="0"/>
    <x v="5"/>
    <x v="1"/>
    <n v="0.22"/>
    <n v="0.21210000000000001"/>
    <n v="0.55000000000000004"/>
    <n v="0.22389999999999999"/>
    <n v="0"/>
    <n v="48"/>
    <n v="48"/>
  </r>
  <r>
    <n v="137"/>
    <d v="2011-01-06T00:00:00"/>
    <n v="1"/>
    <n v="0"/>
    <n v="1"/>
    <x v="22"/>
    <b v="0"/>
    <x v="5"/>
    <x v="1"/>
    <n v="0.22"/>
    <n v="0.21210000000000001"/>
    <n v="0.51"/>
    <n v="0.28360000000000002"/>
    <n v="1"/>
    <n v="51"/>
    <n v="52"/>
  </r>
  <r>
    <n v="138"/>
    <d v="2011-01-06T00:00:00"/>
    <n v="1"/>
    <n v="0"/>
    <n v="1"/>
    <x v="23"/>
    <b v="0"/>
    <x v="5"/>
    <x v="1"/>
    <n v="0.2"/>
    <n v="0.19700000000000001"/>
    <n v="0.59"/>
    <n v="0.19400000000000001"/>
    <n v="4"/>
    <n v="19"/>
    <n v="23"/>
  </r>
  <r>
    <n v="139"/>
    <d v="2011-01-07T00:00:00"/>
    <n v="1"/>
    <n v="0"/>
    <n v="1"/>
    <x v="0"/>
    <b v="0"/>
    <x v="6"/>
    <x v="1"/>
    <n v="0.2"/>
    <n v="0.19700000000000001"/>
    <n v="0.64"/>
    <n v="0.19400000000000001"/>
    <n v="4"/>
    <n v="13"/>
    <n v="17"/>
  </r>
  <r>
    <n v="140"/>
    <d v="2011-01-07T00:00:00"/>
    <n v="1"/>
    <n v="0"/>
    <n v="1"/>
    <x v="1"/>
    <b v="0"/>
    <x v="6"/>
    <x v="1"/>
    <n v="0.2"/>
    <n v="0.19700000000000001"/>
    <n v="0.69"/>
    <n v="0.22389999999999999"/>
    <n v="2"/>
    <n v="5"/>
    <n v="7"/>
  </r>
  <r>
    <n v="141"/>
    <d v="2011-01-07T00:00:00"/>
    <n v="1"/>
    <n v="0"/>
    <n v="1"/>
    <x v="2"/>
    <b v="0"/>
    <x v="6"/>
    <x v="1"/>
    <n v="0.2"/>
    <n v="0.19700000000000001"/>
    <n v="0.69"/>
    <n v="0.22389999999999999"/>
    <n v="0"/>
    <n v="1"/>
    <n v="1"/>
  </r>
  <r>
    <n v="142"/>
    <d v="2011-01-07T00:00:00"/>
    <n v="1"/>
    <n v="0"/>
    <n v="1"/>
    <x v="4"/>
    <b v="0"/>
    <x v="6"/>
    <x v="1"/>
    <n v="0.2"/>
    <n v="0.21210000000000001"/>
    <n v="0.69"/>
    <n v="0.1343"/>
    <n v="0"/>
    <n v="1"/>
    <n v="1"/>
  </r>
  <r>
    <n v="143"/>
    <d v="2011-01-07T00:00:00"/>
    <n v="1"/>
    <n v="0"/>
    <n v="1"/>
    <x v="5"/>
    <b v="0"/>
    <x v="6"/>
    <x v="2"/>
    <n v="0.22"/>
    <n v="0.2727"/>
    <n v="0.55000000000000004"/>
    <n v="0"/>
    <n v="0"/>
    <n v="5"/>
    <n v="5"/>
  </r>
  <r>
    <n v="144"/>
    <d v="2011-01-07T00:00:00"/>
    <n v="1"/>
    <n v="0"/>
    <n v="1"/>
    <x v="6"/>
    <b v="0"/>
    <x v="6"/>
    <x v="1"/>
    <n v="0.2"/>
    <n v="0.2576"/>
    <n v="0.69"/>
    <n v="0"/>
    <n v="8"/>
    <n v="26"/>
    <n v="34"/>
  </r>
  <r>
    <n v="145"/>
    <d v="2011-01-07T00:00:00"/>
    <n v="1"/>
    <n v="0"/>
    <n v="1"/>
    <x v="7"/>
    <b v="0"/>
    <x v="6"/>
    <x v="0"/>
    <n v="0.2"/>
    <n v="0.21210000000000001"/>
    <n v="0.69"/>
    <n v="0.1343"/>
    <n v="8"/>
    <n v="76"/>
    <n v="84"/>
  </r>
  <r>
    <n v="146"/>
    <d v="2011-01-07T00:00:00"/>
    <n v="1"/>
    <n v="0"/>
    <n v="1"/>
    <x v="8"/>
    <b v="0"/>
    <x v="6"/>
    <x v="0"/>
    <n v="0.2"/>
    <n v="0.19700000000000001"/>
    <n v="0.51"/>
    <n v="0.25369999999999998"/>
    <n v="20"/>
    <n v="190"/>
    <n v="210"/>
  </r>
  <r>
    <n v="147"/>
    <d v="2011-01-07T00:00:00"/>
    <n v="1"/>
    <n v="0"/>
    <n v="1"/>
    <x v="9"/>
    <b v="0"/>
    <x v="6"/>
    <x v="0"/>
    <n v="0.2"/>
    <n v="0.18179999999999999"/>
    <n v="0.47"/>
    <n v="0.29849999999999999"/>
    <n v="9"/>
    <n v="125"/>
    <n v="134"/>
  </r>
  <r>
    <n v="148"/>
    <d v="2011-01-07T00:00:00"/>
    <n v="1"/>
    <n v="0"/>
    <n v="1"/>
    <x v="10"/>
    <b v="0"/>
    <x v="6"/>
    <x v="0"/>
    <n v="0.22"/>
    <n v="0.19700000000000001"/>
    <n v="0.37"/>
    <n v="0.32840000000000003"/>
    <n v="16"/>
    <n v="47"/>
    <n v="63"/>
  </r>
  <r>
    <n v="149"/>
    <d v="2011-01-07T00:00:00"/>
    <n v="1"/>
    <n v="0"/>
    <n v="1"/>
    <x v="11"/>
    <b v="0"/>
    <x v="6"/>
    <x v="1"/>
    <n v="0.2"/>
    <n v="0.19700000000000001"/>
    <n v="0.4"/>
    <n v="0.22389999999999999"/>
    <n v="19"/>
    <n v="48"/>
    <n v="67"/>
  </r>
  <r>
    <n v="150"/>
    <d v="2011-01-07T00:00:00"/>
    <n v="1"/>
    <n v="0"/>
    <n v="1"/>
    <x v="12"/>
    <b v="0"/>
    <x v="6"/>
    <x v="1"/>
    <n v="0.2"/>
    <n v="0.19700000000000001"/>
    <n v="0.37"/>
    <n v="0.25369999999999998"/>
    <n v="9"/>
    <n v="50"/>
    <n v="59"/>
  </r>
  <r>
    <n v="151"/>
    <d v="2011-01-07T00:00:00"/>
    <n v="1"/>
    <n v="0"/>
    <n v="1"/>
    <x v="13"/>
    <b v="0"/>
    <x v="6"/>
    <x v="1"/>
    <n v="0.2"/>
    <n v="0.18179999999999999"/>
    <n v="0.37"/>
    <n v="0.28360000000000002"/>
    <n v="9"/>
    <n v="64"/>
    <n v="73"/>
  </r>
  <r>
    <n v="152"/>
    <d v="2011-01-07T00:00:00"/>
    <n v="1"/>
    <n v="0"/>
    <n v="1"/>
    <x v="14"/>
    <b v="0"/>
    <x v="6"/>
    <x v="1"/>
    <n v="0.2"/>
    <n v="0.19700000000000001"/>
    <n v="0.4"/>
    <n v="0.25369999999999998"/>
    <n v="7"/>
    <n v="43"/>
    <n v="50"/>
  </r>
  <r>
    <n v="153"/>
    <d v="2011-01-07T00:00:00"/>
    <n v="1"/>
    <n v="0"/>
    <n v="1"/>
    <x v="15"/>
    <b v="0"/>
    <x v="6"/>
    <x v="1"/>
    <n v="0.2"/>
    <n v="0.21210000000000001"/>
    <n v="0.37"/>
    <n v="0.16420000000000001"/>
    <n v="9"/>
    <n v="63"/>
    <n v="72"/>
  </r>
  <r>
    <n v="154"/>
    <d v="2011-01-07T00:00:00"/>
    <n v="1"/>
    <n v="0"/>
    <n v="1"/>
    <x v="16"/>
    <b v="0"/>
    <x v="6"/>
    <x v="1"/>
    <n v="0.2"/>
    <n v="0.21210000000000001"/>
    <n v="0.37"/>
    <n v="0.16420000000000001"/>
    <n v="5"/>
    <n v="82"/>
    <n v="87"/>
  </r>
  <r>
    <n v="155"/>
    <d v="2011-01-07T00:00:00"/>
    <n v="1"/>
    <n v="0"/>
    <n v="1"/>
    <x v="17"/>
    <b v="0"/>
    <x v="6"/>
    <x v="1"/>
    <n v="0.2"/>
    <n v="0.2576"/>
    <n v="0.37"/>
    <n v="0"/>
    <n v="9"/>
    <n v="178"/>
    <n v="187"/>
  </r>
  <r>
    <n v="156"/>
    <d v="2011-01-07T00:00:00"/>
    <n v="1"/>
    <n v="0"/>
    <n v="1"/>
    <x v="18"/>
    <b v="0"/>
    <x v="6"/>
    <x v="0"/>
    <n v="0.2"/>
    <n v="0.2273"/>
    <n v="0.4"/>
    <n v="8.9599999999999999E-2"/>
    <n v="7"/>
    <n v="116"/>
    <n v="123"/>
  </r>
  <r>
    <n v="157"/>
    <d v="2011-01-07T00:00:00"/>
    <n v="1"/>
    <n v="0"/>
    <n v="1"/>
    <x v="19"/>
    <b v="0"/>
    <x v="6"/>
    <x v="0"/>
    <n v="0.16"/>
    <n v="0.19700000000000001"/>
    <n v="0.55000000000000004"/>
    <n v="8.9599999999999999E-2"/>
    <n v="3"/>
    <n v="92"/>
    <n v="95"/>
  </r>
  <r>
    <n v="158"/>
    <d v="2011-01-07T00:00:00"/>
    <n v="1"/>
    <n v="0"/>
    <n v="1"/>
    <x v="20"/>
    <b v="0"/>
    <x v="6"/>
    <x v="0"/>
    <n v="0.18"/>
    <n v="0.21210000000000001"/>
    <n v="0.47"/>
    <n v="0.1045"/>
    <n v="1"/>
    <n v="50"/>
    <n v="51"/>
  </r>
  <r>
    <n v="159"/>
    <d v="2011-01-07T00:00:00"/>
    <n v="1"/>
    <n v="0"/>
    <n v="1"/>
    <x v="21"/>
    <b v="0"/>
    <x v="6"/>
    <x v="0"/>
    <n v="0.18"/>
    <n v="0.19700000000000001"/>
    <n v="0.47"/>
    <n v="0.1343"/>
    <n v="0"/>
    <n v="39"/>
    <n v="39"/>
  </r>
  <r>
    <n v="160"/>
    <d v="2011-01-07T00:00:00"/>
    <n v="1"/>
    <n v="0"/>
    <n v="1"/>
    <x v="22"/>
    <b v="0"/>
    <x v="6"/>
    <x v="1"/>
    <n v="0.18"/>
    <n v="0.19700000000000001"/>
    <n v="0.43"/>
    <n v="0.16420000000000001"/>
    <n v="2"/>
    <n v="34"/>
    <n v="36"/>
  </r>
  <r>
    <n v="161"/>
    <d v="2011-01-07T00:00:00"/>
    <n v="1"/>
    <n v="0"/>
    <n v="1"/>
    <x v="23"/>
    <b v="0"/>
    <x v="6"/>
    <x v="1"/>
    <n v="0.18"/>
    <n v="0.19700000000000001"/>
    <n v="0.51"/>
    <n v="0.16420000000000001"/>
    <n v="1"/>
    <n v="14"/>
    <n v="15"/>
  </r>
  <r>
    <n v="162"/>
    <d v="2011-01-08T00:00:00"/>
    <n v="1"/>
    <n v="0"/>
    <n v="1"/>
    <x v="0"/>
    <b v="0"/>
    <x v="0"/>
    <x v="1"/>
    <n v="0.18"/>
    <n v="0.19700000000000001"/>
    <n v="0.51"/>
    <n v="0.16420000000000001"/>
    <n v="1"/>
    <n v="24"/>
    <n v="25"/>
  </r>
  <r>
    <n v="163"/>
    <d v="2011-01-08T00:00:00"/>
    <n v="1"/>
    <n v="0"/>
    <n v="1"/>
    <x v="1"/>
    <b v="0"/>
    <x v="0"/>
    <x v="1"/>
    <n v="0.18"/>
    <n v="0.21210000000000001"/>
    <n v="0.55000000000000004"/>
    <n v="8.9599999999999999E-2"/>
    <n v="1"/>
    <n v="15"/>
    <n v="16"/>
  </r>
  <r>
    <n v="164"/>
    <d v="2011-01-08T00:00:00"/>
    <n v="1"/>
    <n v="0"/>
    <n v="1"/>
    <x v="2"/>
    <b v="0"/>
    <x v="0"/>
    <x v="1"/>
    <n v="0.18"/>
    <n v="0.2424"/>
    <n v="0.55000000000000004"/>
    <n v="0"/>
    <n v="3"/>
    <n v="13"/>
    <n v="16"/>
  </r>
  <r>
    <n v="165"/>
    <d v="2011-01-08T00:00:00"/>
    <n v="1"/>
    <n v="0"/>
    <n v="1"/>
    <x v="3"/>
    <b v="0"/>
    <x v="0"/>
    <x v="2"/>
    <n v="0.18"/>
    <n v="0.19700000000000001"/>
    <n v="0.55000000000000004"/>
    <n v="0.16420000000000001"/>
    <n v="0"/>
    <n v="7"/>
    <n v="7"/>
  </r>
  <r>
    <n v="166"/>
    <d v="2011-01-08T00:00:00"/>
    <n v="1"/>
    <n v="0"/>
    <n v="1"/>
    <x v="4"/>
    <b v="0"/>
    <x v="0"/>
    <x v="2"/>
    <n v="0.18"/>
    <n v="0.19700000000000001"/>
    <n v="0.55000000000000004"/>
    <n v="0.16420000000000001"/>
    <n v="0"/>
    <n v="1"/>
    <n v="1"/>
  </r>
  <r>
    <n v="167"/>
    <d v="2011-01-08T00:00:00"/>
    <n v="1"/>
    <n v="0"/>
    <n v="1"/>
    <x v="5"/>
    <b v="0"/>
    <x v="0"/>
    <x v="1"/>
    <n v="0.16"/>
    <n v="0.16669999999999999"/>
    <n v="0.74"/>
    <n v="0.16420000000000001"/>
    <n v="0"/>
    <n v="5"/>
    <n v="5"/>
  </r>
  <r>
    <n v="168"/>
    <d v="2011-01-08T00:00:00"/>
    <n v="1"/>
    <n v="0"/>
    <n v="1"/>
    <x v="6"/>
    <b v="0"/>
    <x v="0"/>
    <x v="1"/>
    <n v="0.16"/>
    <n v="0.16669999999999999"/>
    <n v="0.74"/>
    <n v="0.16420000000000001"/>
    <n v="0"/>
    <n v="2"/>
    <n v="2"/>
  </r>
  <r>
    <n v="169"/>
    <d v="2011-01-08T00:00:00"/>
    <n v="1"/>
    <n v="0"/>
    <n v="1"/>
    <x v="7"/>
    <b v="0"/>
    <x v="0"/>
    <x v="1"/>
    <n v="0.16"/>
    <n v="0.18179999999999999"/>
    <n v="0.74"/>
    <n v="0.1045"/>
    <n v="1"/>
    <n v="8"/>
    <n v="9"/>
  </r>
  <r>
    <n v="170"/>
    <d v="2011-01-08T00:00:00"/>
    <n v="1"/>
    <n v="0"/>
    <n v="1"/>
    <x v="8"/>
    <b v="0"/>
    <x v="0"/>
    <x v="2"/>
    <n v="0.16"/>
    <n v="0.18179999999999999"/>
    <n v="0.93"/>
    <n v="0.1045"/>
    <n v="0"/>
    <n v="15"/>
    <n v="15"/>
  </r>
  <r>
    <n v="171"/>
    <d v="2011-01-08T00:00:00"/>
    <n v="1"/>
    <n v="0"/>
    <n v="1"/>
    <x v="9"/>
    <b v="0"/>
    <x v="0"/>
    <x v="2"/>
    <n v="0.16"/>
    <n v="0.18179999999999999"/>
    <n v="0.93"/>
    <n v="0.1045"/>
    <n v="0"/>
    <n v="20"/>
    <n v="20"/>
  </r>
  <r>
    <n v="172"/>
    <d v="2011-01-08T00:00:00"/>
    <n v="1"/>
    <n v="0"/>
    <n v="1"/>
    <x v="10"/>
    <b v="0"/>
    <x v="0"/>
    <x v="1"/>
    <n v="0.18"/>
    <n v="0.19700000000000001"/>
    <n v="0.8"/>
    <n v="0.16420000000000001"/>
    <n v="5"/>
    <n v="56"/>
    <n v="61"/>
  </r>
  <r>
    <n v="173"/>
    <d v="2011-01-08T00:00:00"/>
    <n v="1"/>
    <n v="0"/>
    <n v="1"/>
    <x v="11"/>
    <b v="0"/>
    <x v="0"/>
    <x v="1"/>
    <n v="0.2"/>
    <n v="0.18179999999999999"/>
    <n v="0.69"/>
    <n v="0.3881"/>
    <n v="2"/>
    <n v="60"/>
    <n v="62"/>
  </r>
  <r>
    <n v="174"/>
    <d v="2011-01-08T00:00:00"/>
    <n v="1"/>
    <n v="0"/>
    <n v="1"/>
    <x v="12"/>
    <b v="0"/>
    <x v="0"/>
    <x v="1"/>
    <n v="0.2"/>
    <n v="0.18179999999999999"/>
    <n v="0.59"/>
    <n v="0.35820000000000002"/>
    <n v="8"/>
    <n v="90"/>
    <n v="98"/>
  </r>
  <r>
    <n v="175"/>
    <d v="2011-01-08T00:00:00"/>
    <n v="1"/>
    <n v="0"/>
    <n v="1"/>
    <x v="13"/>
    <b v="0"/>
    <x v="0"/>
    <x v="0"/>
    <n v="0.2"/>
    <n v="0.18179999999999999"/>
    <n v="0.44"/>
    <n v="0.32840000000000003"/>
    <n v="7"/>
    <n v="95"/>
    <n v="102"/>
  </r>
  <r>
    <n v="176"/>
    <d v="2011-01-08T00:00:00"/>
    <n v="1"/>
    <n v="0"/>
    <n v="1"/>
    <x v="14"/>
    <b v="0"/>
    <x v="0"/>
    <x v="0"/>
    <n v="0.2"/>
    <n v="0.16669999999999999"/>
    <n v="0.32"/>
    <n v="0.49249999999999999"/>
    <n v="12"/>
    <n v="83"/>
    <n v="95"/>
  </r>
  <r>
    <n v="177"/>
    <d v="2011-01-08T00:00:00"/>
    <n v="1"/>
    <n v="0"/>
    <n v="1"/>
    <x v="15"/>
    <b v="0"/>
    <x v="0"/>
    <x v="0"/>
    <n v="0.2"/>
    <n v="0.16669999999999999"/>
    <n v="0.32"/>
    <n v="0.44779999999999998"/>
    <n v="5"/>
    <n v="69"/>
    <n v="74"/>
  </r>
  <r>
    <n v="178"/>
    <d v="2011-01-08T00:00:00"/>
    <n v="1"/>
    <n v="0"/>
    <n v="1"/>
    <x v="16"/>
    <b v="0"/>
    <x v="0"/>
    <x v="0"/>
    <n v="0.18"/>
    <n v="0.13639999999999999"/>
    <n v="0.28999999999999998"/>
    <n v="0.44779999999999998"/>
    <n v="8"/>
    <n v="68"/>
    <n v="76"/>
  </r>
  <r>
    <n v="179"/>
    <d v="2011-01-08T00:00:00"/>
    <n v="1"/>
    <n v="0"/>
    <n v="1"/>
    <x v="17"/>
    <b v="0"/>
    <x v="0"/>
    <x v="0"/>
    <n v="0.16"/>
    <n v="0.1212"/>
    <n v="0.37"/>
    <n v="0.55220000000000002"/>
    <n v="5"/>
    <n v="64"/>
    <n v="69"/>
  </r>
  <r>
    <n v="180"/>
    <d v="2011-01-08T00:00:00"/>
    <n v="1"/>
    <n v="0"/>
    <n v="1"/>
    <x v="18"/>
    <b v="0"/>
    <x v="0"/>
    <x v="0"/>
    <n v="0.14000000000000001"/>
    <n v="0.1212"/>
    <n v="0.39"/>
    <n v="0.29849999999999999"/>
    <n v="3"/>
    <n v="52"/>
    <n v="55"/>
  </r>
  <r>
    <n v="181"/>
    <d v="2011-01-08T00:00:00"/>
    <n v="1"/>
    <n v="0"/>
    <n v="1"/>
    <x v="19"/>
    <b v="0"/>
    <x v="0"/>
    <x v="0"/>
    <n v="0.14000000000000001"/>
    <n v="0.1212"/>
    <n v="0.36"/>
    <n v="0.25369999999999998"/>
    <n v="4"/>
    <n v="26"/>
    <n v="30"/>
  </r>
  <r>
    <n v="182"/>
    <d v="2011-01-08T00:00:00"/>
    <n v="1"/>
    <n v="0"/>
    <n v="1"/>
    <x v="20"/>
    <b v="0"/>
    <x v="0"/>
    <x v="0"/>
    <n v="0.12"/>
    <n v="0.1212"/>
    <n v="0.36"/>
    <n v="0.25369999999999998"/>
    <n v="0"/>
    <n v="28"/>
    <n v="28"/>
  </r>
  <r>
    <n v="183"/>
    <d v="2011-01-08T00:00:00"/>
    <n v="1"/>
    <n v="0"/>
    <n v="1"/>
    <x v="21"/>
    <b v="0"/>
    <x v="0"/>
    <x v="0"/>
    <n v="0.12"/>
    <n v="0.1061"/>
    <n v="0.39"/>
    <n v="0.35820000000000002"/>
    <n v="2"/>
    <n v="35"/>
    <n v="37"/>
  </r>
  <r>
    <n v="184"/>
    <d v="2011-01-08T00:00:00"/>
    <n v="1"/>
    <n v="0"/>
    <n v="1"/>
    <x v="22"/>
    <b v="0"/>
    <x v="0"/>
    <x v="0"/>
    <n v="0.12"/>
    <n v="0.1061"/>
    <n v="0.36"/>
    <n v="0.3881"/>
    <n v="1"/>
    <n v="33"/>
    <n v="34"/>
  </r>
  <r>
    <n v="185"/>
    <d v="2011-01-08T00:00:00"/>
    <n v="1"/>
    <n v="0"/>
    <n v="1"/>
    <x v="23"/>
    <b v="0"/>
    <x v="0"/>
    <x v="0"/>
    <n v="0.1"/>
    <n v="6.0600000000000001E-2"/>
    <n v="0.39"/>
    <n v="0.44779999999999998"/>
    <n v="0"/>
    <n v="22"/>
    <n v="22"/>
  </r>
  <r>
    <n v="186"/>
    <d v="2011-01-09T00:00:00"/>
    <n v="1"/>
    <n v="0"/>
    <n v="1"/>
    <x v="0"/>
    <b v="0"/>
    <x v="1"/>
    <x v="0"/>
    <n v="0.1"/>
    <n v="7.5800000000000006E-2"/>
    <n v="0.42"/>
    <n v="0.3881"/>
    <n v="1"/>
    <n v="24"/>
    <n v="25"/>
  </r>
  <r>
    <n v="187"/>
    <d v="2011-01-09T00:00:00"/>
    <n v="1"/>
    <n v="0"/>
    <n v="1"/>
    <x v="1"/>
    <b v="0"/>
    <x v="1"/>
    <x v="0"/>
    <n v="0.1"/>
    <n v="6.0600000000000001E-2"/>
    <n v="0.42"/>
    <n v="0.4627"/>
    <n v="0"/>
    <n v="12"/>
    <n v="12"/>
  </r>
  <r>
    <n v="188"/>
    <d v="2011-01-09T00:00:00"/>
    <n v="1"/>
    <n v="0"/>
    <n v="1"/>
    <x v="2"/>
    <b v="0"/>
    <x v="1"/>
    <x v="0"/>
    <n v="0.1"/>
    <n v="6.0600000000000001E-2"/>
    <n v="0.46"/>
    <n v="0.4627"/>
    <n v="0"/>
    <n v="11"/>
    <n v="11"/>
  </r>
  <r>
    <n v="189"/>
    <d v="2011-01-09T00:00:00"/>
    <n v="1"/>
    <n v="0"/>
    <n v="1"/>
    <x v="3"/>
    <b v="0"/>
    <x v="1"/>
    <x v="0"/>
    <n v="0.1"/>
    <n v="7.5800000000000006E-2"/>
    <n v="0.46"/>
    <n v="0.41789999999999999"/>
    <n v="0"/>
    <n v="4"/>
    <n v="4"/>
  </r>
  <r>
    <n v="190"/>
    <d v="2011-01-09T00:00:00"/>
    <n v="1"/>
    <n v="0"/>
    <n v="1"/>
    <x v="4"/>
    <b v="0"/>
    <x v="1"/>
    <x v="0"/>
    <n v="0.08"/>
    <n v="9.0899999999999995E-2"/>
    <n v="0.53"/>
    <n v="0.19400000000000001"/>
    <n v="0"/>
    <n v="1"/>
    <n v="1"/>
  </r>
  <r>
    <n v="191"/>
    <d v="2011-01-09T00:00:00"/>
    <n v="1"/>
    <n v="0"/>
    <n v="1"/>
    <x v="5"/>
    <b v="0"/>
    <x v="1"/>
    <x v="0"/>
    <n v="0.08"/>
    <n v="9.0899999999999995E-2"/>
    <n v="0.53"/>
    <n v="0.19400000000000001"/>
    <n v="0"/>
    <n v="1"/>
    <n v="1"/>
  </r>
  <r>
    <n v="192"/>
    <d v="2011-01-09T00:00:00"/>
    <n v="1"/>
    <n v="0"/>
    <n v="1"/>
    <x v="6"/>
    <b v="0"/>
    <x v="1"/>
    <x v="0"/>
    <n v="0.1"/>
    <n v="9.0899999999999995E-2"/>
    <n v="0.49"/>
    <n v="0.28360000000000002"/>
    <n v="0"/>
    <n v="1"/>
    <n v="1"/>
  </r>
  <r>
    <n v="193"/>
    <d v="2011-01-09T00:00:00"/>
    <n v="1"/>
    <n v="0"/>
    <n v="1"/>
    <x v="7"/>
    <b v="0"/>
    <x v="1"/>
    <x v="0"/>
    <n v="0.08"/>
    <n v="9.0899999999999995E-2"/>
    <n v="0.53"/>
    <n v="0.19400000000000001"/>
    <n v="1"/>
    <n v="5"/>
    <n v="6"/>
  </r>
  <r>
    <n v="194"/>
    <d v="2011-01-09T00:00:00"/>
    <n v="1"/>
    <n v="0"/>
    <n v="1"/>
    <x v="8"/>
    <b v="0"/>
    <x v="1"/>
    <x v="0"/>
    <n v="0.1"/>
    <n v="9.0899999999999995E-2"/>
    <n v="0.49"/>
    <n v="0.28360000000000002"/>
    <n v="0"/>
    <n v="10"/>
    <n v="10"/>
  </r>
  <r>
    <n v="195"/>
    <d v="2011-01-09T00:00:00"/>
    <n v="1"/>
    <n v="0"/>
    <n v="1"/>
    <x v="9"/>
    <b v="0"/>
    <x v="1"/>
    <x v="0"/>
    <n v="0.12"/>
    <n v="7.5800000000000006E-2"/>
    <n v="0.46"/>
    <n v="0.52239999999999998"/>
    <n v="0"/>
    <n v="19"/>
    <n v="19"/>
  </r>
  <r>
    <n v="196"/>
    <d v="2011-01-09T00:00:00"/>
    <n v="1"/>
    <n v="0"/>
    <n v="1"/>
    <x v="10"/>
    <b v="0"/>
    <x v="1"/>
    <x v="0"/>
    <n v="0.14000000000000001"/>
    <n v="0.1061"/>
    <n v="0.43"/>
    <n v="0.3881"/>
    <n v="0"/>
    <n v="49"/>
    <n v="49"/>
  </r>
  <r>
    <n v="197"/>
    <d v="2011-01-09T00:00:00"/>
    <n v="1"/>
    <n v="0"/>
    <n v="1"/>
    <x v="11"/>
    <b v="0"/>
    <x v="1"/>
    <x v="0"/>
    <n v="0.16"/>
    <n v="0.1212"/>
    <n v="0.4"/>
    <n v="0.52239999999999998"/>
    <n v="2"/>
    <n v="47"/>
    <n v="49"/>
  </r>
  <r>
    <n v="198"/>
    <d v="2011-01-09T00:00:00"/>
    <n v="1"/>
    <n v="0"/>
    <n v="1"/>
    <x v="12"/>
    <b v="0"/>
    <x v="1"/>
    <x v="0"/>
    <n v="0.18"/>
    <n v="0.13639999999999999"/>
    <n v="0.37"/>
    <n v="0.44779999999999998"/>
    <n v="4"/>
    <n v="79"/>
    <n v="83"/>
  </r>
  <r>
    <n v="199"/>
    <d v="2011-01-09T00:00:00"/>
    <n v="1"/>
    <n v="0"/>
    <n v="1"/>
    <x v="13"/>
    <b v="0"/>
    <x v="1"/>
    <x v="0"/>
    <n v="0.2"/>
    <n v="0.16669999999999999"/>
    <n v="0.34"/>
    <n v="0.44779999999999998"/>
    <n v="6"/>
    <n v="69"/>
    <n v="75"/>
  </r>
  <r>
    <n v="200"/>
    <d v="2011-01-09T00:00:00"/>
    <n v="1"/>
    <n v="0"/>
    <n v="1"/>
    <x v="14"/>
    <b v="0"/>
    <x v="1"/>
    <x v="0"/>
    <n v="0.22"/>
    <n v="0.18179999999999999"/>
    <n v="0.32"/>
    <n v="0.4627"/>
    <n v="8"/>
    <n v="64"/>
    <n v="72"/>
  </r>
  <r>
    <n v="201"/>
    <d v="2011-01-09T00:00:00"/>
    <n v="1"/>
    <n v="0"/>
    <n v="1"/>
    <x v="15"/>
    <b v="0"/>
    <x v="1"/>
    <x v="0"/>
    <n v="0.22"/>
    <n v="0.19700000000000001"/>
    <n v="0.35"/>
    <n v="0.35820000000000002"/>
    <n v="5"/>
    <n v="77"/>
    <n v="82"/>
  </r>
  <r>
    <n v="202"/>
    <d v="2011-01-09T00:00:00"/>
    <n v="1"/>
    <n v="0"/>
    <n v="1"/>
    <x v="16"/>
    <b v="0"/>
    <x v="1"/>
    <x v="0"/>
    <n v="0.2"/>
    <n v="0.16669999999999999"/>
    <n v="0.34"/>
    <n v="0.44779999999999998"/>
    <n v="13"/>
    <n v="79"/>
    <n v="92"/>
  </r>
  <r>
    <n v="203"/>
    <d v="2011-01-09T00:00:00"/>
    <n v="1"/>
    <n v="0"/>
    <n v="1"/>
    <x v="17"/>
    <b v="0"/>
    <x v="1"/>
    <x v="0"/>
    <n v="0.18"/>
    <n v="0.1515"/>
    <n v="0.37"/>
    <n v="0.3881"/>
    <n v="3"/>
    <n v="59"/>
    <n v="62"/>
  </r>
  <r>
    <n v="204"/>
    <d v="2011-01-09T00:00:00"/>
    <n v="1"/>
    <n v="0"/>
    <n v="1"/>
    <x v="18"/>
    <b v="0"/>
    <x v="1"/>
    <x v="0"/>
    <n v="0.16"/>
    <n v="0.13639999999999999"/>
    <n v="0.4"/>
    <n v="0.32840000000000003"/>
    <n v="4"/>
    <n v="44"/>
    <n v="48"/>
  </r>
  <r>
    <n v="205"/>
    <d v="2011-01-09T00:00:00"/>
    <n v="1"/>
    <n v="0"/>
    <n v="1"/>
    <x v="19"/>
    <b v="0"/>
    <x v="1"/>
    <x v="0"/>
    <n v="0.16"/>
    <n v="0.13639999999999999"/>
    <n v="0.43"/>
    <n v="0.32840000000000003"/>
    <n v="1"/>
    <n v="40"/>
    <n v="41"/>
  </r>
  <r>
    <n v="206"/>
    <d v="2011-01-09T00:00:00"/>
    <n v="1"/>
    <n v="0"/>
    <n v="1"/>
    <x v="20"/>
    <b v="0"/>
    <x v="1"/>
    <x v="0"/>
    <n v="0.14000000000000001"/>
    <n v="0.1212"/>
    <n v="0.46"/>
    <n v="0.25369999999999998"/>
    <n v="0"/>
    <n v="38"/>
    <n v="38"/>
  </r>
  <r>
    <n v="207"/>
    <d v="2011-01-09T00:00:00"/>
    <n v="1"/>
    <n v="0"/>
    <n v="1"/>
    <x v="21"/>
    <b v="0"/>
    <x v="1"/>
    <x v="0"/>
    <n v="0.14000000000000001"/>
    <n v="0.1061"/>
    <n v="0.46"/>
    <n v="0.41789999999999999"/>
    <n v="1"/>
    <n v="19"/>
    <n v="20"/>
  </r>
  <r>
    <n v="208"/>
    <d v="2011-01-09T00:00:00"/>
    <n v="1"/>
    <n v="0"/>
    <n v="1"/>
    <x v="22"/>
    <b v="0"/>
    <x v="1"/>
    <x v="0"/>
    <n v="0.14000000000000001"/>
    <n v="0.1212"/>
    <n v="0.46"/>
    <n v="0.29849999999999999"/>
    <n v="5"/>
    <n v="10"/>
    <n v="15"/>
  </r>
  <r>
    <n v="209"/>
    <d v="2011-01-09T00:00:00"/>
    <n v="1"/>
    <n v="0"/>
    <n v="1"/>
    <x v="23"/>
    <b v="0"/>
    <x v="1"/>
    <x v="0"/>
    <n v="0.12"/>
    <n v="0.13639999999999999"/>
    <n v="0.5"/>
    <n v="0.19400000000000001"/>
    <n v="0"/>
    <n v="6"/>
    <n v="6"/>
  </r>
  <r>
    <n v="210"/>
    <d v="2011-01-10T00:00:00"/>
    <n v="1"/>
    <n v="0"/>
    <n v="1"/>
    <x v="0"/>
    <b v="0"/>
    <x v="2"/>
    <x v="0"/>
    <n v="0.12"/>
    <n v="0.1212"/>
    <n v="0.5"/>
    <n v="0.28360000000000002"/>
    <n v="2"/>
    <n v="3"/>
    <n v="5"/>
  </r>
  <r>
    <n v="211"/>
    <d v="2011-01-10T00:00:00"/>
    <n v="1"/>
    <n v="0"/>
    <n v="1"/>
    <x v="1"/>
    <b v="0"/>
    <x v="2"/>
    <x v="0"/>
    <n v="0.12"/>
    <n v="0.1212"/>
    <n v="0.5"/>
    <n v="0.28360000000000002"/>
    <n v="1"/>
    <n v="0"/>
    <n v="1"/>
  </r>
  <r>
    <n v="212"/>
    <d v="2011-01-10T00:00:00"/>
    <n v="1"/>
    <n v="0"/>
    <n v="1"/>
    <x v="2"/>
    <b v="0"/>
    <x v="2"/>
    <x v="0"/>
    <n v="0.12"/>
    <n v="0.1212"/>
    <n v="0.5"/>
    <n v="0.22389999999999999"/>
    <n v="0"/>
    <n v="3"/>
    <n v="3"/>
  </r>
  <r>
    <n v="213"/>
    <d v="2011-01-10T00:00:00"/>
    <n v="1"/>
    <n v="0"/>
    <n v="1"/>
    <x v="3"/>
    <b v="0"/>
    <x v="2"/>
    <x v="0"/>
    <n v="0.12"/>
    <n v="0.1212"/>
    <n v="0.5"/>
    <n v="0.22389999999999999"/>
    <n v="0"/>
    <n v="1"/>
    <n v="1"/>
  </r>
  <r>
    <n v="214"/>
    <d v="2011-01-10T00:00:00"/>
    <n v="1"/>
    <n v="0"/>
    <n v="1"/>
    <x v="4"/>
    <b v="0"/>
    <x v="2"/>
    <x v="0"/>
    <n v="0.1"/>
    <n v="0.1212"/>
    <n v="0.54"/>
    <n v="0.1343"/>
    <n v="1"/>
    <n v="2"/>
    <n v="3"/>
  </r>
  <r>
    <n v="215"/>
    <d v="2011-01-10T00:00:00"/>
    <n v="1"/>
    <n v="0"/>
    <n v="1"/>
    <x v="5"/>
    <b v="0"/>
    <x v="2"/>
    <x v="0"/>
    <n v="0.1"/>
    <n v="0.1061"/>
    <n v="0.54"/>
    <n v="0.25369999999999998"/>
    <n v="0"/>
    <n v="3"/>
    <n v="3"/>
  </r>
  <r>
    <n v="216"/>
    <d v="2011-01-10T00:00:00"/>
    <n v="1"/>
    <n v="0"/>
    <n v="1"/>
    <x v="6"/>
    <b v="0"/>
    <x v="2"/>
    <x v="0"/>
    <n v="0.12"/>
    <n v="0.1212"/>
    <n v="0.5"/>
    <n v="0.28360000000000002"/>
    <n v="0"/>
    <n v="31"/>
    <n v="31"/>
  </r>
  <r>
    <n v="217"/>
    <d v="2011-01-10T00:00:00"/>
    <n v="1"/>
    <n v="0"/>
    <n v="1"/>
    <x v="7"/>
    <b v="0"/>
    <x v="2"/>
    <x v="0"/>
    <n v="0.12"/>
    <n v="0.1212"/>
    <n v="0.5"/>
    <n v="0.22389999999999999"/>
    <n v="2"/>
    <n v="75"/>
    <n v="77"/>
  </r>
  <r>
    <n v="218"/>
    <d v="2011-01-10T00:00:00"/>
    <n v="1"/>
    <n v="0"/>
    <n v="1"/>
    <x v="8"/>
    <b v="0"/>
    <x v="2"/>
    <x v="1"/>
    <n v="0.12"/>
    <n v="0.1212"/>
    <n v="0.5"/>
    <n v="0.28360000000000002"/>
    <n v="4"/>
    <n v="184"/>
    <n v="188"/>
  </r>
  <r>
    <n v="219"/>
    <d v="2011-01-10T00:00:00"/>
    <n v="1"/>
    <n v="0"/>
    <n v="1"/>
    <x v="9"/>
    <b v="0"/>
    <x v="2"/>
    <x v="1"/>
    <n v="0.14000000000000001"/>
    <n v="0.1212"/>
    <n v="0.5"/>
    <n v="0.25369999999999998"/>
    <n v="2"/>
    <n v="92"/>
    <n v="94"/>
  </r>
  <r>
    <n v="220"/>
    <d v="2011-01-10T00:00:00"/>
    <n v="1"/>
    <n v="0"/>
    <n v="1"/>
    <x v="10"/>
    <b v="0"/>
    <x v="2"/>
    <x v="1"/>
    <n v="0.14000000000000001"/>
    <n v="0.1212"/>
    <n v="0.5"/>
    <n v="0.29849999999999999"/>
    <n v="0"/>
    <n v="31"/>
    <n v="31"/>
  </r>
  <r>
    <n v="221"/>
    <d v="2011-01-10T00:00:00"/>
    <n v="1"/>
    <n v="0"/>
    <n v="1"/>
    <x v="11"/>
    <b v="0"/>
    <x v="2"/>
    <x v="1"/>
    <n v="0.16"/>
    <n v="0.13639999999999999"/>
    <n v="0.47"/>
    <n v="0.28360000000000002"/>
    <n v="2"/>
    <n v="28"/>
    <n v="30"/>
  </r>
  <r>
    <n v="222"/>
    <d v="2011-01-10T00:00:00"/>
    <n v="1"/>
    <n v="0"/>
    <n v="1"/>
    <x v="12"/>
    <b v="0"/>
    <x v="2"/>
    <x v="1"/>
    <n v="0.2"/>
    <n v="0.18179999999999999"/>
    <n v="0.4"/>
    <n v="0.28360000000000002"/>
    <n v="5"/>
    <n v="47"/>
    <n v="52"/>
  </r>
  <r>
    <n v="223"/>
    <d v="2011-01-10T00:00:00"/>
    <n v="1"/>
    <n v="0"/>
    <n v="1"/>
    <x v="13"/>
    <b v="0"/>
    <x v="2"/>
    <x v="1"/>
    <n v="0.2"/>
    <n v="0.18179999999999999"/>
    <n v="0.4"/>
    <n v="0.28360000000000002"/>
    <n v="4"/>
    <n v="50"/>
    <n v="54"/>
  </r>
  <r>
    <n v="224"/>
    <d v="2011-01-10T00:00:00"/>
    <n v="1"/>
    <n v="0"/>
    <n v="1"/>
    <x v="14"/>
    <b v="0"/>
    <x v="2"/>
    <x v="1"/>
    <n v="0.2"/>
    <n v="0.19700000000000001"/>
    <n v="0.4"/>
    <n v="0.22389999999999999"/>
    <n v="0"/>
    <n v="47"/>
    <n v="47"/>
  </r>
  <r>
    <n v="225"/>
    <d v="2011-01-10T00:00:00"/>
    <n v="1"/>
    <n v="0"/>
    <n v="1"/>
    <x v="15"/>
    <b v="0"/>
    <x v="2"/>
    <x v="1"/>
    <n v="0.2"/>
    <n v="0.19700000000000001"/>
    <n v="0.4"/>
    <n v="0.22389999999999999"/>
    <n v="2"/>
    <n v="43"/>
    <n v="45"/>
  </r>
  <r>
    <n v="226"/>
    <d v="2011-01-10T00:00:00"/>
    <n v="1"/>
    <n v="0"/>
    <n v="1"/>
    <x v="16"/>
    <b v="0"/>
    <x v="2"/>
    <x v="0"/>
    <n v="0.2"/>
    <n v="0.21210000000000001"/>
    <n v="0.4"/>
    <n v="0.1343"/>
    <n v="4"/>
    <n v="70"/>
    <n v="74"/>
  </r>
  <r>
    <n v="227"/>
    <d v="2011-01-10T00:00:00"/>
    <n v="1"/>
    <n v="0"/>
    <n v="1"/>
    <x v="17"/>
    <b v="0"/>
    <x v="2"/>
    <x v="0"/>
    <n v="0.2"/>
    <n v="0.2273"/>
    <n v="0.4"/>
    <n v="0.1045"/>
    <n v="4"/>
    <n v="174"/>
    <n v="178"/>
  </r>
  <r>
    <n v="228"/>
    <d v="2011-01-10T00:00:00"/>
    <n v="1"/>
    <n v="0"/>
    <n v="1"/>
    <x v="18"/>
    <b v="0"/>
    <x v="2"/>
    <x v="0"/>
    <n v="0.2"/>
    <n v="0.19700000000000001"/>
    <n v="0.4"/>
    <n v="0.22389999999999999"/>
    <n v="1"/>
    <n v="154"/>
    <n v="155"/>
  </r>
  <r>
    <n v="229"/>
    <d v="2011-01-10T00:00:00"/>
    <n v="1"/>
    <n v="0"/>
    <n v="1"/>
    <x v="19"/>
    <b v="0"/>
    <x v="2"/>
    <x v="0"/>
    <n v="0.16"/>
    <n v="0.16669999999999999"/>
    <n v="0.47"/>
    <n v="0.16420000000000001"/>
    <n v="3"/>
    <n v="92"/>
    <n v="95"/>
  </r>
  <r>
    <n v="230"/>
    <d v="2011-01-10T00:00:00"/>
    <n v="1"/>
    <n v="0"/>
    <n v="1"/>
    <x v="20"/>
    <b v="0"/>
    <x v="2"/>
    <x v="0"/>
    <n v="0.16"/>
    <n v="0.16669999999999999"/>
    <n v="0.5"/>
    <n v="0.16420000000000001"/>
    <n v="1"/>
    <n v="73"/>
    <n v="74"/>
  </r>
  <r>
    <n v="231"/>
    <d v="2011-01-10T00:00:00"/>
    <n v="1"/>
    <n v="0"/>
    <n v="1"/>
    <x v="21"/>
    <b v="0"/>
    <x v="2"/>
    <x v="0"/>
    <n v="0.14000000000000001"/>
    <n v="0.13639999999999999"/>
    <n v="0.59"/>
    <n v="0.19400000000000001"/>
    <n v="1"/>
    <n v="37"/>
    <n v="38"/>
  </r>
  <r>
    <n v="232"/>
    <d v="2011-01-10T00:00:00"/>
    <n v="1"/>
    <n v="0"/>
    <n v="1"/>
    <x v="22"/>
    <b v="0"/>
    <x v="2"/>
    <x v="0"/>
    <n v="0.14000000000000001"/>
    <n v="0.1515"/>
    <n v="0.59"/>
    <n v="0.16420000000000001"/>
    <n v="2"/>
    <n v="22"/>
    <n v="24"/>
  </r>
  <r>
    <n v="233"/>
    <d v="2011-01-10T00:00:00"/>
    <n v="1"/>
    <n v="0"/>
    <n v="1"/>
    <x v="23"/>
    <b v="0"/>
    <x v="2"/>
    <x v="0"/>
    <n v="0.14000000000000001"/>
    <n v="0.1515"/>
    <n v="0.59"/>
    <n v="0.16420000000000001"/>
    <n v="0"/>
    <n v="18"/>
    <n v="18"/>
  </r>
  <r>
    <n v="234"/>
    <d v="2011-01-11T00:00:00"/>
    <n v="1"/>
    <n v="0"/>
    <n v="1"/>
    <x v="0"/>
    <b v="0"/>
    <x v="3"/>
    <x v="0"/>
    <n v="0.14000000000000001"/>
    <n v="0.16669999999999999"/>
    <n v="0.59"/>
    <n v="0.1045"/>
    <n v="2"/>
    <n v="10"/>
    <n v="12"/>
  </r>
  <r>
    <n v="235"/>
    <d v="2011-01-11T00:00:00"/>
    <n v="1"/>
    <n v="0"/>
    <n v="1"/>
    <x v="1"/>
    <b v="0"/>
    <x v="3"/>
    <x v="0"/>
    <n v="0.14000000000000001"/>
    <n v="0.1515"/>
    <n v="0.59"/>
    <n v="0.16420000000000001"/>
    <n v="0"/>
    <n v="3"/>
    <n v="3"/>
  </r>
  <r>
    <n v="236"/>
    <d v="2011-01-11T00:00:00"/>
    <n v="1"/>
    <n v="0"/>
    <n v="1"/>
    <x v="2"/>
    <b v="0"/>
    <x v="3"/>
    <x v="1"/>
    <n v="0.16"/>
    <n v="0.1515"/>
    <n v="0.55000000000000004"/>
    <n v="0.19400000000000001"/>
    <n v="0"/>
    <n v="3"/>
    <n v="3"/>
  </r>
  <r>
    <n v="237"/>
    <d v="2011-01-11T00:00:00"/>
    <n v="1"/>
    <n v="0"/>
    <n v="1"/>
    <x v="5"/>
    <b v="0"/>
    <x v="3"/>
    <x v="1"/>
    <n v="0.16"/>
    <n v="0.18179999999999999"/>
    <n v="0.55000000000000004"/>
    <n v="0.1343"/>
    <n v="0"/>
    <n v="6"/>
    <n v="6"/>
  </r>
  <r>
    <n v="238"/>
    <d v="2011-01-11T00:00:00"/>
    <n v="1"/>
    <n v="0"/>
    <n v="1"/>
    <x v="6"/>
    <b v="0"/>
    <x v="3"/>
    <x v="1"/>
    <n v="0.16"/>
    <n v="0.18179999999999999"/>
    <n v="0.55000000000000004"/>
    <n v="0.1343"/>
    <n v="0"/>
    <n v="27"/>
    <n v="27"/>
  </r>
  <r>
    <n v="239"/>
    <d v="2011-01-11T00:00:00"/>
    <n v="1"/>
    <n v="0"/>
    <n v="1"/>
    <x v="7"/>
    <b v="0"/>
    <x v="3"/>
    <x v="1"/>
    <n v="0.16"/>
    <n v="0.2273"/>
    <n v="0.55000000000000004"/>
    <n v="0"/>
    <n v="2"/>
    <n v="97"/>
    <n v="99"/>
  </r>
  <r>
    <n v="240"/>
    <d v="2011-01-11T00:00:00"/>
    <n v="1"/>
    <n v="0"/>
    <n v="1"/>
    <x v="8"/>
    <b v="0"/>
    <x v="3"/>
    <x v="1"/>
    <n v="0.18"/>
    <n v="0.21210000000000001"/>
    <n v="0.51"/>
    <n v="8.9599999999999999E-2"/>
    <n v="3"/>
    <n v="214"/>
    <n v="217"/>
  </r>
  <r>
    <n v="241"/>
    <d v="2011-01-11T00:00:00"/>
    <n v="1"/>
    <n v="0"/>
    <n v="1"/>
    <x v="9"/>
    <b v="0"/>
    <x v="3"/>
    <x v="1"/>
    <n v="0.18"/>
    <n v="0.19700000000000001"/>
    <n v="0.51"/>
    <n v="0.16420000000000001"/>
    <n v="3"/>
    <n v="127"/>
    <n v="130"/>
  </r>
  <r>
    <n v="242"/>
    <d v="2011-01-11T00:00:00"/>
    <n v="1"/>
    <n v="0"/>
    <n v="1"/>
    <x v="10"/>
    <b v="0"/>
    <x v="3"/>
    <x v="1"/>
    <n v="0.2"/>
    <n v="0.21210000000000001"/>
    <n v="0.51"/>
    <n v="0.16420000000000001"/>
    <n v="3"/>
    <n v="51"/>
    <n v="54"/>
  </r>
  <r>
    <n v="243"/>
    <d v="2011-01-11T00:00:00"/>
    <n v="1"/>
    <n v="0"/>
    <n v="1"/>
    <x v="11"/>
    <b v="0"/>
    <x v="3"/>
    <x v="1"/>
    <n v="0.2"/>
    <n v="0.21210000000000001"/>
    <n v="0.47"/>
    <n v="0.1343"/>
    <n v="4"/>
    <n v="31"/>
    <n v="35"/>
  </r>
  <r>
    <n v="244"/>
    <d v="2011-01-11T00:00:00"/>
    <n v="1"/>
    <n v="0"/>
    <n v="1"/>
    <x v="12"/>
    <b v="0"/>
    <x v="3"/>
    <x v="1"/>
    <n v="0.2"/>
    <n v="0.2273"/>
    <n v="0.51"/>
    <n v="0.1045"/>
    <n v="2"/>
    <n v="55"/>
    <n v="57"/>
  </r>
  <r>
    <n v="245"/>
    <d v="2011-01-11T00:00:00"/>
    <n v="1"/>
    <n v="0"/>
    <n v="1"/>
    <x v="13"/>
    <b v="0"/>
    <x v="3"/>
    <x v="1"/>
    <n v="0.2"/>
    <n v="0.2273"/>
    <n v="0.59"/>
    <n v="8.9599999999999999E-2"/>
    <n v="6"/>
    <n v="46"/>
    <n v="52"/>
  </r>
  <r>
    <n v="246"/>
    <d v="2011-01-11T00:00:00"/>
    <n v="1"/>
    <n v="0"/>
    <n v="1"/>
    <x v="14"/>
    <b v="0"/>
    <x v="3"/>
    <x v="1"/>
    <n v="0.2"/>
    <n v="0.2273"/>
    <n v="0.59"/>
    <n v="8.9599999999999999E-2"/>
    <n v="3"/>
    <n v="60"/>
    <n v="63"/>
  </r>
  <r>
    <n v="247"/>
    <d v="2011-01-11T00:00:00"/>
    <n v="1"/>
    <n v="0"/>
    <n v="1"/>
    <x v="15"/>
    <b v="0"/>
    <x v="3"/>
    <x v="1"/>
    <n v="0.16"/>
    <n v="0.19700000000000001"/>
    <n v="0.8"/>
    <n v="8.9599999999999999E-2"/>
    <n v="2"/>
    <n v="45"/>
    <n v="47"/>
  </r>
  <r>
    <n v="248"/>
    <d v="2011-01-11T00:00:00"/>
    <n v="1"/>
    <n v="0"/>
    <n v="1"/>
    <x v="16"/>
    <b v="0"/>
    <x v="3"/>
    <x v="1"/>
    <n v="0.16"/>
    <n v="0.1515"/>
    <n v="0.86"/>
    <n v="0.22389999999999999"/>
    <n v="4"/>
    <n v="72"/>
    <n v="76"/>
  </r>
  <r>
    <n v="249"/>
    <d v="2011-01-11T00:00:00"/>
    <n v="1"/>
    <n v="0"/>
    <n v="1"/>
    <x v="17"/>
    <b v="0"/>
    <x v="3"/>
    <x v="1"/>
    <n v="0.16"/>
    <n v="0.1515"/>
    <n v="0.86"/>
    <n v="0.22389999999999999"/>
    <n v="6"/>
    <n v="130"/>
    <n v="136"/>
  </r>
  <r>
    <n v="250"/>
    <d v="2011-01-11T00:00:00"/>
    <n v="1"/>
    <n v="0"/>
    <n v="1"/>
    <x v="18"/>
    <b v="0"/>
    <x v="3"/>
    <x v="2"/>
    <n v="0.16"/>
    <n v="0.18179999999999999"/>
    <n v="0.93"/>
    <n v="0.1045"/>
    <n v="1"/>
    <n v="94"/>
    <n v="95"/>
  </r>
  <r>
    <n v="251"/>
    <d v="2011-01-11T00:00:00"/>
    <n v="1"/>
    <n v="0"/>
    <n v="1"/>
    <x v="19"/>
    <b v="0"/>
    <x v="3"/>
    <x v="2"/>
    <n v="0.16"/>
    <n v="0.2273"/>
    <n v="0.93"/>
    <n v="0"/>
    <n v="0"/>
    <n v="51"/>
    <n v="51"/>
  </r>
  <r>
    <n v="252"/>
    <d v="2011-01-11T00:00:00"/>
    <n v="1"/>
    <n v="0"/>
    <n v="1"/>
    <x v="20"/>
    <b v="0"/>
    <x v="3"/>
    <x v="2"/>
    <n v="0.16"/>
    <n v="0.1515"/>
    <n v="0.93"/>
    <n v="0.19400000000000001"/>
    <n v="0"/>
    <n v="32"/>
    <n v="32"/>
  </r>
  <r>
    <n v="253"/>
    <d v="2011-01-11T00:00:00"/>
    <n v="1"/>
    <n v="0"/>
    <n v="1"/>
    <x v="21"/>
    <b v="0"/>
    <x v="3"/>
    <x v="2"/>
    <n v="0.16"/>
    <n v="0.19700000000000001"/>
    <n v="0.86"/>
    <n v="8.9599999999999999E-2"/>
    <n v="0"/>
    <n v="20"/>
    <n v="20"/>
  </r>
  <r>
    <n v="254"/>
    <d v="2011-01-11T00:00:00"/>
    <n v="1"/>
    <n v="0"/>
    <n v="1"/>
    <x v="22"/>
    <b v="0"/>
    <x v="3"/>
    <x v="2"/>
    <n v="0.16"/>
    <n v="0.18179999999999999"/>
    <n v="0.93"/>
    <n v="0.1045"/>
    <n v="1"/>
    <n v="28"/>
    <n v="29"/>
  </r>
  <r>
    <n v="255"/>
    <d v="2011-01-11T00:00:00"/>
    <n v="1"/>
    <n v="0"/>
    <n v="1"/>
    <x v="23"/>
    <b v="0"/>
    <x v="3"/>
    <x v="2"/>
    <n v="0.16"/>
    <n v="0.19700000000000001"/>
    <n v="0.93"/>
    <n v="8.9599999999999999E-2"/>
    <n v="1"/>
    <n v="18"/>
    <n v="19"/>
  </r>
  <r>
    <n v="256"/>
    <d v="2011-01-12T00:00:00"/>
    <n v="1"/>
    <n v="0"/>
    <n v="1"/>
    <x v="0"/>
    <b v="0"/>
    <x v="4"/>
    <x v="1"/>
    <n v="0.16"/>
    <n v="0.19700000000000001"/>
    <n v="0.86"/>
    <n v="8.9599999999999999E-2"/>
    <n v="0"/>
    <n v="7"/>
    <n v="7"/>
  </r>
  <r>
    <n v="257"/>
    <d v="2011-01-12T00:00:00"/>
    <n v="1"/>
    <n v="0"/>
    <n v="1"/>
    <x v="1"/>
    <b v="0"/>
    <x v="4"/>
    <x v="1"/>
    <n v="0.16"/>
    <n v="0.18179999999999999"/>
    <n v="0.86"/>
    <n v="0.1045"/>
    <n v="0"/>
    <n v="6"/>
    <n v="6"/>
  </r>
  <r>
    <n v="258"/>
    <d v="2011-01-12T00:00:00"/>
    <n v="1"/>
    <n v="0"/>
    <n v="1"/>
    <x v="2"/>
    <b v="0"/>
    <x v="4"/>
    <x v="0"/>
    <n v="0.14000000000000001"/>
    <n v="0.1515"/>
    <n v="0.86"/>
    <n v="0.1343"/>
    <n v="0"/>
    <n v="1"/>
    <n v="1"/>
  </r>
  <r>
    <n v="259"/>
    <d v="2011-01-12T00:00:00"/>
    <n v="1"/>
    <n v="0"/>
    <n v="1"/>
    <x v="5"/>
    <b v="0"/>
    <x v="4"/>
    <x v="0"/>
    <n v="0.14000000000000001"/>
    <n v="0.1515"/>
    <n v="0.86"/>
    <n v="0.16420000000000001"/>
    <n v="0"/>
    <n v="5"/>
    <n v="5"/>
  </r>
  <r>
    <n v="260"/>
    <d v="2011-01-12T00:00:00"/>
    <n v="1"/>
    <n v="0"/>
    <n v="1"/>
    <x v="6"/>
    <b v="0"/>
    <x v="4"/>
    <x v="0"/>
    <n v="0.12"/>
    <n v="0.1515"/>
    <n v="0.93"/>
    <n v="0.1343"/>
    <n v="0"/>
    <n v="16"/>
    <n v="16"/>
  </r>
  <r>
    <n v="261"/>
    <d v="2011-01-12T00:00:00"/>
    <n v="1"/>
    <n v="0"/>
    <n v="1"/>
    <x v="7"/>
    <b v="0"/>
    <x v="4"/>
    <x v="0"/>
    <n v="0.14000000000000001"/>
    <n v="0.1515"/>
    <n v="0.69"/>
    <n v="0.1343"/>
    <n v="0"/>
    <n v="54"/>
    <n v="54"/>
  </r>
  <r>
    <n v="262"/>
    <d v="2011-01-12T00:00:00"/>
    <n v="1"/>
    <n v="0"/>
    <n v="1"/>
    <x v="8"/>
    <b v="0"/>
    <x v="4"/>
    <x v="0"/>
    <n v="0.16"/>
    <n v="0.16669999999999999"/>
    <n v="0.59"/>
    <n v="0.16420000000000001"/>
    <n v="3"/>
    <n v="125"/>
    <n v="128"/>
  </r>
  <r>
    <n v="263"/>
    <d v="2011-01-12T00:00:00"/>
    <n v="1"/>
    <n v="0"/>
    <n v="1"/>
    <x v="9"/>
    <b v="0"/>
    <x v="4"/>
    <x v="0"/>
    <n v="0.16"/>
    <n v="0.13639999999999999"/>
    <n v="0.59"/>
    <n v="0.32840000000000003"/>
    <n v="3"/>
    <n v="78"/>
    <n v="81"/>
  </r>
  <r>
    <n v="264"/>
    <d v="2011-01-12T00:00:00"/>
    <n v="1"/>
    <n v="0"/>
    <n v="1"/>
    <x v="10"/>
    <b v="0"/>
    <x v="4"/>
    <x v="0"/>
    <n v="0.18"/>
    <n v="0.18179999999999999"/>
    <n v="0.55000000000000004"/>
    <n v="0.22389999999999999"/>
    <n v="0"/>
    <n v="39"/>
    <n v="39"/>
  </r>
  <r>
    <n v="265"/>
    <d v="2011-01-12T00:00:00"/>
    <n v="1"/>
    <n v="0"/>
    <n v="1"/>
    <x v="11"/>
    <b v="0"/>
    <x v="4"/>
    <x v="0"/>
    <n v="0.2"/>
    <n v="0.18179999999999999"/>
    <n v="0.51"/>
    <n v="0.3881"/>
    <n v="3"/>
    <n v="32"/>
    <n v="35"/>
  </r>
  <r>
    <n v="266"/>
    <d v="2011-01-12T00:00:00"/>
    <n v="1"/>
    <n v="0"/>
    <n v="1"/>
    <x v="12"/>
    <b v="0"/>
    <x v="4"/>
    <x v="0"/>
    <n v="0.2"/>
    <n v="0.1515"/>
    <n v="0.47"/>
    <n v="0.58209999999999995"/>
    <n v="3"/>
    <n v="52"/>
    <n v="55"/>
  </r>
  <r>
    <n v="267"/>
    <d v="2011-01-12T00:00:00"/>
    <n v="1"/>
    <n v="0"/>
    <n v="1"/>
    <x v="13"/>
    <b v="0"/>
    <x v="4"/>
    <x v="0"/>
    <n v="0.22"/>
    <n v="0.19700000000000001"/>
    <n v="0.44"/>
    <n v="0.35820000000000002"/>
    <n v="0"/>
    <n v="49"/>
    <n v="49"/>
  </r>
  <r>
    <n v="268"/>
    <d v="2011-01-12T00:00:00"/>
    <n v="1"/>
    <n v="0"/>
    <n v="1"/>
    <x v="14"/>
    <b v="0"/>
    <x v="4"/>
    <x v="0"/>
    <n v="0.2"/>
    <n v="0.18179999999999999"/>
    <n v="0.47"/>
    <n v="0.32840000000000003"/>
    <n v="0"/>
    <n v="44"/>
    <n v="44"/>
  </r>
  <r>
    <n v="269"/>
    <d v="2011-01-12T00:00:00"/>
    <n v="1"/>
    <n v="0"/>
    <n v="1"/>
    <x v="15"/>
    <b v="0"/>
    <x v="4"/>
    <x v="0"/>
    <n v="0.2"/>
    <n v="0.16669999999999999"/>
    <n v="0.47"/>
    <n v="0.41789999999999999"/>
    <n v="1"/>
    <n v="48"/>
    <n v="49"/>
  </r>
  <r>
    <n v="270"/>
    <d v="2011-01-12T00:00:00"/>
    <n v="1"/>
    <n v="0"/>
    <n v="1"/>
    <x v="16"/>
    <b v="0"/>
    <x v="4"/>
    <x v="0"/>
    <n v="0.22"/>
    <n v="0.19700000000000001"/>
    <n v="0.44"/>
    <n v="0.32840000000000003"/>
    <n v="5"/>
    <n v="63"/>
    <n v="68"/>
  </r>
  <r>
    <n v="271"/>
    <d v="2011-01-12T00:00:00"/>
    <n v="1"/>
    <n v="0"/>
    <n v="1"/>
    <x v="17"/>
    <b v="0"/>
    <x v="4"/>
    <x v="0"/>
    <n v="0.2"/>
    <n v="0.18179999999999999"/>
    <n v="0.47"/>
    <n v="0.35820000000000002"/>
    <n v="0"/>
    <n v="139"/>
    <n v="139"/>
  </r>
  <r>
    <n v="272"/>
    <d v="2011-01-12T00:00:00"/>
    <n v="1"/>
    <n v="0"/>
    <n v="1"/>
    <x v="18"/>
    <b v="0"/>
    <x v="4"/>
    <x v="0"/>
    <n v="0.2"/>
    <n v="0.1515"/>
    <n v="0.47"/>
    <n v="0.52239999999999998"/>
    <n v="2"/>
    <n v="135"/>
    <n v="137"/>
  </r>
  <r>
    <n v="273"/>
    <d v="2011-01-12T00:00:00"/>
    <n v="1"/>
    <n v="0"/>
    <n v="1"/>
    <x v="19"/>
    <b v="0"/>
    <x v="4"/>
    <x v="0"/>
    <n v="0.18"/>
    <n v="0.1515"/>
    <n v="0.47"/>
    <n v="0.41789999999999999"/>
    <n v="1"/>
    <n v="82"/>
    <n v="83"/>
  </r>
  <r>
    <n v="274"/>
    <d v="2011-01-12T00:00:00"/>
    <n v="1"/>
    <n v="0"/>
    <n v="1"/>
    <x v="20"/>
    <b v="0"/>
    <x v="4"/>
    <x v="0"/>
    <n v="0.16"/>
    <n v="0.13639999999999999"/>
    <n v="0.5"/>
    <n v="0.32840000000000003"/>
    <n v="2"/>
    <n v="54"/>
    <n v="56"/>
  </r>
  <r>
    <n v="275"/>
    <d v="2011-01-12T00:00:00"/>
    <n v="1"/>
    <n v="0"/>
    <n v="1"/>
    <x v="21"/>
    <b v="0"/>
    <x v="4"/>
    <x v="0"/>
    <n v="0.16"/>
    <n v="0.13639999999999999"/>
    <n v="0.55000000000000004"/>
    <n v="0.32840000000000003"/>
    <n v="0"/>
    <n v="57"/>
    <n v="57"/>
  </r>
  <r>
    <n v="276"/>
    <d v="2011-01-12T00:00:00"/>
    <n v="1"/>
    <n v="0"/>
    <n v="1"/>
    <x v="22"/>
    <b v="0"/>
    <x v="4"/>
    <x v="0"/>
    <n v="0.16"/>
    <n v="0.1212"/>
    <n v="0.55000000000000004"/>
    <n v="0.44779999999999998"/>
    <n v="1"/>
    <n v="32"/>
    <n v="33"/>
  </r>
  <r>
    <n v="277"/>
    <d v="2011-01-12T00:00:00"/>
    <n v="1"/>
    <n v="0"/>
    <n v="1"/>
    <x v="23"/>
    <b v="0"/>
    <x v="4"/>
    <x v="0"/>
    <n v="0.14000000000000001"/>
    <n v="0.1061"/>
    <n v="0.59"/>
    <n v="0.41789999999999999"/>
    <n v="1"/>
    <n v="19"/>
    <n v="20"/>
  </r>
  <r>
    <n v="278"/>
    <d v="2011-01-13T00:00:00"/>
    <n v="1"/>
    <n v="0"/>
    <n v="1"/>
    <x v="0"/>
    <b v="0"/>
    <x v="5"/>
    <x v="0"/>
    <n v="0.14000000000000001"/>
    <n v="0.1212"/>
    <n v="0.59"/>
    <n v="0.28360000000000002"/>
    <n v="1"/>
    <n v="6"/>
    <n v="7"/>
  </r>
  <r>
    <n v="279"/>
    <d v="2011-01-13T00:00:00"/>
    <n v="1"/>
    <n v="0"/>
    <n v="1"/>
    <x v="1"/>
    <b v="0"/>
    <x v="5"/>
    <x v="0"/>
    <n v="0.14000000000000001"/>
    <n v="0.1212"/>
    <n v="0.5"/>
    <n v="0.28360000000000002"/>
    <n v="0"/>
    <n v="2"/>
    <n v="2"/>
  </r>
  <r>
    <n v="280"/>
    <d v="2011-01-13T00:00:00"/>
    <n v="1"/>
    <n v="0"/>
    <n v="1"/>
    <x v="2"/>
    <b v="0"/>
    <x v="5"/>
    <x v="0"/>
    <n v="0.14000000000000001"/>
    <n v="0.1212"/>
    <n v="0.5"/>
    <n v="0.35820000000000002"/>
    <n v="0"/>
    <n v="2"/>
    <n v="2"/>
  </r>
  <r>
    <n v="281"/>
    <d v="2011-01-13T00:00:00"/>
    <n v="1"/>
    <n v="0"/>
    <n v="1"/>
    <x v="3"/>
    <b v="0"/>
    <x v="5"/>
    <x v="0"/>
    <n v="0.14000000000000001"/>
    <n v="0.1212"/>
    <n v="0.5"/>
    <n v="0.32840000000000003"/>
    <n v="0"/>
    <n v="3"/>
    <n v="3"/>
  </r>
  <r>
    <n v="282"/>
    <d v="2011-01-13T00:00:00"/>
    <n v="1"/>
    <n v="0"/>
    <n v="1"/>
    <x v="4"/>
    <b v="0"/>
    <x v="5"/>
    <x v="0"/>
    <n v="0.14000000000000001"/>
    <n v="0.1212"/>
    <n v="0.5"/>
    <n v="0.25369999999999998"/>
    <n v="0"/>
    <n v="4"/>
    <n v="4"/>
  </r>
  <r>
    <n v="283"/>
    <d v="2011-01-13T00:00:00"/>
    <n v="1"/>
    <n v="0"/>
    <n v="1"/>
    <x v="5"/>
    <b v="0"/>
    <x v="5"/>
    <x v="0"/>
    <n v="0.14000000000000001"/>
    <n v="0.1212"/>
    <n v="0.5"/>
    <n v="0.29849999999999999"/>
    <n v="0"/>
    <n v="3"/>
    <n v="3"/>
  </r>
  <r>
    <n v="284"/>
    <d v="2011-01-13T00:00:00"/>
    <n v="1"/>
    <n v="0"/>
    <n v="1"/>
    <x v="6"/>
    <b v="0"/>
    <x v="5"/>
    <x v="0"/>
    <n v="0.12"/>
    <n v="0.1515"/>
    <n v="0.54"/>
    <n v="0.1343"/>
    <n v="0"/>
    <n v="28"/>
    <n v="28"/>
  </r>
  <r>
    <n v="285"/>
    <d v="2011-01-13T00:00:00"/>
    <n v="1"/>
    <n v="0"/>
    <n v="1"/>
    <x v="7"/>
    <b v="0"/>
    <x v="5"/>
    <x v="0"/>
    <n v="0.12"/>
    <n v="0.1515"/>
    <n v="0.54"/>
    <n v="0.1343"/>
    <n v="0"/>
    <n v="72"/>
    <n v="72"/>
  </r>
  <r>
    <n v="286"/>
    <d v="2011-01-13T00:00:00"/>
    <n v="1"/>
    <n v="0"/>
    <n v="1"/>
    <x v="8"/>
    <b v="0"/>
    <x v="5"/>
    <x v="0"/>
    <n v="0.14000000000000001"/>
    <n v="0.13639999999999999"/>
    <n v="0.5"/>
    <n v="0.19400000000000001"/>
    <n v="5"/>
    <n v="197"/>
    <n v="202"/>
  </r>
  <r>
    <n v="287"/>
    <d v="2011-01-13T00:00:00"/>
    <n v="1"/>
    <n v="0"/>
    <n v="1"/>
    <x v="9"/>
    <b v="0"/>
    <x v="5"/>
    <x v="0"/>
    <n v="0.14000000000000001"/>
    <n v="0.1212"/>
    <n v="0.5"/>
    <n v="0.32840000000000003"/>
    <n v="2"/>
    <n v="137"/>
    <n v="139"/>
  </r>
  <r>
    <n v="288"/>
    <d v="2011-01-13T00:00:00"/>
    <n v="1"/>
    <n v="0"/>
    <n v="1"/>
    <x v="10"/>
    <b v="0"/>
    <x v="5"/>
    <x v="1"/>
    <n v="0.16"/>
    <n v="0.13639999999999999"/>
    <n v="0.5"/>
    <n v="0.35820000000000002"/>
    <n v="2"/>
    <n v="36"/>
    <n v="38"/>
  </r>
  <r>
    <n v="289"/>
    <d v="2011-01-13T00:00:00"/>
    <n v="1"/>
    <n v="0"/>
    <n v="1"/>
    <x v="11"/>
    <b v="0"/>
    <x v="5"/>
    <x v="1"/>
    <n v="0.2"/>
    <n v="0.16669999999999999"/>
    <n v="0.44"/>
    <n v="0.44779999999999998"/>
    <n v="4"/>
    <n v="33"/>
    <n v="37"/>
  </r>
  <r>
    <n v="290"/>
    <d v="2011-01-13T00:00:00"/>
    <n v="1"/>
    <n v="0"/>
    <n v="1"/>
    <x v="12"/>
    <b v="0"/>
    <x v="5"/>
    <x v="0"/>
    <n v="0.2"/>
    <n v="0.16669999999999999"/>
    <n v="0.44"/>
    <n v="0.41789999999999999"/>
    <n v="3"/>
    <n v="49"/>
    <n v="52"/>
  </r>
  <r>
    <n v="291"/>
    <d v="2011-01-13T00:00:00"/>
    <n v="1"/>
    <n v="0"/>
    <n v="1"/>
    <x v="13"/>
    <b v="0"/>
    <x v="5"/>
    <x v="0"/>
    <n v="0.22"/>
    <n v="0.19700000000000001"/>
    <n v="0.41"/>
    <n v="0.44779999999999998"/>
    <n v="2"/>
    <n v="81"/>
    <n v="83"/>
  </r>
  <r>
    <n v="292"/>
    <d v="2011-01-13T00:00:00"/>
    <n v="1"/>
    <n v="0"/>
    <n v="1"/>
    <x v="14"/>
    <b v="0"/>
    <x v="5"/>
    <x v="0"/>
    <n v="0.22"/>
    <n v="0.19700000000000001"/>
    <n v="0.41"/>
    <n v="0.3881"/>
    <n v="3"/>
    <n v="39"/>
    <n v="42"/>
  </r>
  <r>
    <n v="293"/>
    <d v="2011-01-13T00:00:00"/>
    <n v="1"/>
    <n v="0"/>
    <n v="1"/>
    <x v="15"/>
    <b v="0"/>
    <x v="5"/>
    <x v="0"/>
    <n v="0.24"/>
    <n v="0.21210000000000001"/>
    <n v="0.38"/>
    <n v="0.29849999999999999"/>
    <n v="5"/>
    <n v="55"/>
    <n v="60"/>
  </r>
  <r>
    <n v="294"/>
    <d v="2011-01-13T00:00:00"/>
    <n v="1"/>
    <n v="0"/>
    <n v="1"/>
    <x v="16"/>
    <b v="0"/>
    <x v="5"/>
    <x v="0"/>
    <n v="0.24"/>
    <n v="0.21210000000000001"/>
    <n v="0.38"/>
    <n v="0.35820000000000002"/>
    <n v="2"/>
    <n v="76"/>
    <n v="78"/>
  </r>
  <r>
    <n v="295"/>
    <d v="2011-01-13T00:00:00"/>
    <n v="1"/>
    <n v="0"/>
    <n v="1"/>
    <x v="17"/>
    <b v="0"/>
    <x v="5"/>
    <x v="0"/>
    <n v="0.2"/>
    <n v="0.18179999999999999"/>
    <n v="0.4"/>
    <n v="0.28360000000000002"/>
    <n v="4"/>
    <n v="158"/>
    <n v="162"/>
  </r>
  <r>
    <n v="296"/>
    <d v="2011-01-13T00:00:00"/>
    <n v="1"/>
    <n v="0"/>
    <n v="1"/>
    <x v="18"/>
    <b v="0"/>
    <x v="5"/>
    <x v="0"/>
    <n v="0.2"/>
    <n v="0.18179999999999999"/>
    <n v="0.4"/>
    <n v="0.32840000000000003"/>
    <n v="3"/>
    <n v="141"/>
    <n v="144"/>
  </r>
  <r>
    <n v="297"/>
    <d v="2011-01-13T00:00:00"/>
    <n v="1"/>
    <n v="0"/>
    <n v="1"/>
    <x v="19"/>
    <b v="0"/>
    <x v="5"/>
    <x v="0"/>
    <n v="0.16"/>
    <n v="0.1515"/>
    <n v="0.47"/>
    <n v="0.25369999999999998"/>
    <n v="1"/>
    <n v="98"/>
    <n v="99"/>
  </r>
  <r>
    <n v="298"/>
    <d v="2011-01-13T00:00:00"/>
    <n v="1"/>
    <n v="0"/>
    <n v="1"/>
    <x v="20"/>
    <b v="0"/>
    <x v="5"/>
    <x v="0"/>
    <n v="0.16"/>
    <n v="0.1515"/>
    <n v="0.47"/>
    <n v="0.22389999999999999"/>
    <n v="0"/>
    <n v="64"/>
    <n v="64"/>
  </r>
  <r>
    <n v="299"/>
    <d v="2011-01-13T00:00:00"/>
    <n v="1"/>
    <n v="0"/>
    <n v="1"/>
    <x v="21"/>
    <b v="0"/>
    <x v="5"/>
    <x v="0"/>
    <n v="0.14000000000000001"/>
    <n v="0.1212"/>
    <n v="0.46"/>
    <n v="0.29849999999999999"/>
    <n v="0"/>
    <n v="40"/>
    <n v="40"/>
  </r>
  <r>
    <n v="300"/>
    <d v="2011-01-13T00:00:00"/>
    <n v="1"/>
    <n v="0"/>
    <n v="1"/>
    <x v="22"/>
    <b v="0"/>
    <x v="5"/>
    <x v="0"/>
    <n v="0.14000000000000001"/>
    <n v="0.1212"/>
    <n v="0.46"/>
    <n v="0.32840000000000003"/>
    <n v="0"/>
    <n v="30"/>
    <n v="30"/>
  </r>
  <r>
    <n v="301"/>
    <d v="2011-01-13T00:00:00"/>
    <n v="1"/>
    <n v="0"/>
    <n v="1"/>
    <x v="23"/>
    <b v="0"/>
    <x v="5"/>
    <x v="0"/>
    <n v="0.12"/>
    <n v="0.13639999999999999"/>
    <n v="0.5"/>
    <n v="0.19400000000000001"/>
    <n v="1"/>
    <n v="14"/>
    <n v="15"/>
  </r>
  <r>
    <n v="302"/>
    <d v="2011-01-14T00:00:00"/>
    <n v="1"/>
    <n v="0"/>
    <n v="1"/>
    <x v="0"/>
    <b v="0"/>
    <x v="6"/>
    <x v="0"/>
    <n v="0.12"/>
    <n v="0.13639999999999999"/>
    <n v="0.5"/>
    <n v="0.19400000000000001"/>
    <n v="0"/>
    <n v="14"/>
    <n v="14"/>
  </r>
  <r>
    <n v="303"/>
    <d v="2011-01-14T00:00:00"/>
    <n v="1"/>
    <n v="0"/>
    <n v="1"/>
    <x v="1"/>
    <b v="0"/>
    <x v="6"/>
    <x v="0"/>
    <n v="0.1"/>
    <n v="0.1212"/>
    <n v="0.54"/>
    <n v="0.16420000000000001"/>
    <n v="0"/>
    <n v="5"/>
    <n v="5"/>
  </r>
  <r>
    <n v="304"/>
    <d v="2011-01-14T00:00:00"/>
    <n v="1"/>
    <n v="0"/>
    <n v="1"/>
    <x v="2"/>
    <b v="0"/>
    <x v="6"/>
    <x v="0"/>
    <n v="0.1"/>
    <n v="0.1212"/>
    <n v="0.54"/>
    <n v="0.1343"/>
    <n v="0"/>
    <n v="1"/>
    <n v="1"/>
  </r>
  <r>
    <n v="305"/>
    <d v="2011-01-14T00:00:00"/>
    <n v="1"/>
    <n v="0"/>
    <n v="1"/>
    <x v="3"/>
    <b v="0"/>
    <x v="6"/>
    <x v="0"/>
    <n v="0.1"/>
    <n v="0.13639999999999999"/>
    <n v="0.54"/>
    <n v="0.1045"/>
    <n v="0"/>
    <n v="1"/>
    <n v="1"/>
  </r>
  <r>
    <n v="306"/>
    <d v="2011-01-14T00:00:00"/>
    <n v="1"/>
    <n v="0"/>
    <n v="1"/>
    <x v="5"/>
    <b v="0"/>
    <x v="6"/>
    <x v="0"/>
    <n v="0.1"/>
    <n v="0.13639999999999999"/>
    <n v="0.54"/>
    <n v="8.9599999999999999E-2"/>
    <n v="0"/>
    <n v="8"/>
    <n v="8"/>
  </r>
  <r>
    <n v="307"/>
    <d v="2011-01-14T00:00:00"/>
    <n v="1"/>
    <n v="0"/>
    <n v="1"/>
    <x v="6"/>
    <b v="0"/>
    <x v="6"/>
    <x v="0"/>
    <n v="0.1"/>
    <n v="0.18179999999999999"/>
    <n v="0.54"/>
    <n v="0"/>
    <n v="0"/>
    <n v="17"/>
    <n v="17"/>
  </r>
  <r>
    <n v="308"/>
    <d v="2011-01-14T00:00:00"/>
    <n v="1"/>
    <n v="0"/>
    <n v="1"/>
    <x v="7"/>
    <b v="0"/>
    <x v="6"/>
    <x v="0"/>
    <n v="0.1"/>
    <n v="0.1212"/>
    <n v="0.74"/>
    <n v="0.16420000000000001"/>
    <n v="0"/>
    <n v="70"/>
    <n v="70"/>
  </r>
  <r>
    <n v="309"/>
    <d v="2011-01-14T00:00:00"/>
    <n v="1"/>
    <n v="0"/>
    <n v="1"/>
    <x v="8"/>
    <b v="0"/>
    <x v="6"/>
    <x v="0"/>
    <n v="0.12"/>
    <n v="0.16669999999999999"/>
    <n v="0.68"/>
    <n v="0"/>
    <n v="2"/>
    <n v="156"/>
    <n v="158"/>
  </r>
  <r>
    <n v="310"/>
    <d v="2011-01-14T00:00:00"/>
    <n v="1"/>
    <n v="0"/>
    <n v="1"/>
    <x v="9"/>
    <b v="0"/>
    <x v="6"/>
    <x v="0"/>
    <n v="0.14000000000000001"/>
    <n v="0.1515"/>
    <n v="0.69"/>
    <n v="0.1343"/>
    <n v="0"/>
    <n v="117"/>
    <n v="117"/>
  </r>
  <r>
    <n v="311"/>
    <d v="2011-01-14T00:00:00"/>
    <n v="1"/>
    <n v="0"/>
    <n v="1"/>
    <x v="10"/>
    <b v="0"/>
    <x v="6"/>
    <x v="0"/>
    <n v="0.18"/>
    <n v="0.18179999999999999"/>
    <n v="0.55000000000000004"/>
    <n v="0.19400000000000001"/>
    <n v="4"/>
    <n v="40"/>
    <n v="44"/>
  </r>
  <r>
    <n v="312"/>
    <d v="2011-01-14T00:00:00"/>
    <n v="1"/>
    <n v="0"/>
    <n v="1"/>
    <x v="11"/>
    <b v="0"/>
    <x v="6"/>
    <x v="0"/>
    <n v="0.18"/>
    <n v="0.16669999999999999"/>
    <n v="0.51"/>
    <n v="0.28360000000000002"/>
    <n v="6"/>
    <n v="47"/>
    <n v="53"/>
  </r>
  <r>
    <n v="313"/>
    <d v="2011-01-14T00:00:00"/>
    <n v="1"/>
    <n v="0"/>
    <n v="1"/>
    <x v="12"/>
    <b v="0"/>
    <x v="6"/>
    <x v="0"/>
    <n v="0.2"/>
    <n v="0.19700000000000001"/>
    <n v="0.44"/>
    <n v="0.25369999999999998"/>
    <n v="2"/>
    <n v="59"/>
    <n v="61"/>
  </r>
  <r>
    <n v="314"/>
    <d v="2011-01-14T00:00:00"/>
    <n v="1"/>
    <n v="0"/>
    <n v="1"/>
    <x v="13"/>
    <b v="0"/>
    <x v="6"/>
    <x v="0"/>
    <n v="0.22"/>
    <n v="0.19700000000000001"/>
    <n v="0.37"/>
    <n v="0.3881"/>
    <n v="4"/>
    <n v="73"/>
    <n v="77"/>
  </r>
  <r>
    <n v="315"/>
    <d v="2011-01-14T00:00:00"/>
    <n v="1"/>
    <n v="0"/>
    <n v="1"/>
    <x v="14"/>
    <b v="0"/>
    <x v="6"/>
    <x v="0"/>
    <n v="0.22"/>
    <n v="0.21210000000000001"/>
    <n v="0.41"/>
    <n v="0.28360000000000002"/>
    <n v="5"/>
    <n v="59"/>
    <n v="64"/>
  </r>
  <r>
    <n v="316"/>
    <d v="2011-01-14T00:00:00"/>
    <n v="1"/>
    <n v="0"/>
    <n v="1"/>
    <x v="15"/>
    <b v="0"/>
    <x v="6"/>
    <x v="0"/>
    <n v="0.24"/>
    <n v="0.2424"/>
    <n v="0.38"/>
    <n v="0.16420000000000001"/>
    <n v="9"/>
    <n v="59"/>
    <n v="68"/>
  </r>
  <r>
    <n v="317"/>
    <d v="2011-01-14T00:00:00"/>
    <n v="1"/>
    <n v="0"/>
    <n v="1"/>
    <x v="16"/>
    <b v="0"/>
    <x v="6"/>
    <x v="0"/>
    <n v="0.22"/>
    <n v="0.2424"/>
    <n v="0.41"/>
    <n v="0.1045"/>
    <n v="3"/>
    <n v="87"/>
    <n v="90"/>
  </r>
  <r>
    <n v="318"/>
    <d v="2011-01-14T00:00:00"/>
    <n v="1"/>
    <n v="0"/>
    <n v="1"/>
    <x v="17"/>
    <b v="0"/>
    <x v="6"/>
    <x v="0"/>
    <n v="0.22"/>
    <n v="0.2273"/>
    <n v="0.41"/>
    <n v="0.16420000000000001"/>
    <n v="4"/>
    <n v="155"/>
    <n v="159"/>
  </r>
  <r>
    <n v="319"/>
    <d v="2011-01-14T00:00:00"/>
    <n v="1"/>
    <n v="0"/>
    <n v="1"/>
    <x v="18"/>
    <b v="0"/>
    <x v="6"/>
    <x v="0"/>
    <n v="0.2"/>
    <n v="0.2576"/>
    <n v="0.47"/>
    <n v="0"/>
    <n v="5"/>
    <n v="134"/>
    <n v="139"/>
  </r>
  <r>
    <n v="320"/>
    <d v="2011-01-14T00:00:00"/>
    <n v="1"/>
    <n v="0"/>
    <n v="1"/>
    <x v="19"/>
    <b v="0"/>
    <x v="6"/>
    <x v="0"/>
    <n v="0.16"/>
    <n v="0.19700000000000001"/>
    <n v="0.59"/>
    <n v="8.9599999999999999E-2"/>
    <n v="3"/>
    <n v="89"/>
    <n v="92"/>
  </r>
  <r>
    <n v="321"/>
    <d v="2011-01-14T00:00:00"/>
    <n v="1"/>
    <n v="0"/>
    <n v="1"/>
    <x v="20"/>
    <b v="0"/>
    <x v="6"/>
    <x v="0"/>
    <n v="0.18"/>
    <n v="0.2424"/>
    <n v="0.59"/>
    <n v="0"/>
    <n v="0"/>
    <n v="68"/>
    <n v="68"/>
  </r>
  <r>
    <n v="322"/>
    <d v="2011-01-14T00:00:00"/>
    <n v="1"/>
    <n v="0"/>
    <n v="1"/>
    <x v="21"/>
    <b v="0"/>
    <x v="6"/>
    <x v="0"/>
    <n v="0.16"/>
    <n v="0.2273"/>
    <n v="0.69"/>
    <n v="0"/>
    <n v="4"/>
    <n v="48"/>
    <n v="52"/>
  </r>
  <r>
    <n v="323"/>
    <d v="2011-01-14T00:00:00"/>
    <n v="1"/>
    <n v="0"/>
    <n v="1"/>
    <x v="22"/>
    <b v="0"/>
    <x v="6"/>
    <x v="1"/>
    <n v="0.16"/>
    <n v="0.2273"/>
    <n v="0.69"/>
    <n v="0"/>
    <n v="2"/>
    <n v="34"/>
    <n v="36"/>
  </r>
  <r>
    <n v="324"/>
    <d v="2011-01-14T00:00:00"/>
    <n v="1"/>
    <n v="0"/>
    <n v="1"/>
    <x v="23"/>
    <b v="0"/>
    <x v="6"/>
    <x v="1"/>
    <n v="0.18"/>
    <n v="0.2424"/>
    <n v="0.55000000000000004"/>
    <n v="0"/>
    <n v="1"/>
    <n v="26"/>
    <n v="27"/>
  </r>
  <r>
    <n v="325"/>
    <d v="2011-01-15T00:00:00"/>
    <n v="1"/>
    <n v="0"/>
    <n v="1"/>
    <x v="0"/>
    <b v="0"/>
    <x v="0"/>
    <x v="0"/>
    <n v="0.18"/>
    <n v="0.2424"/>
    <n v="0.55000000000000004"/>
    <n v="0"/>
    <n v="3"/>
    <n v="25"/>
    <n v="28"/>
  </r>
  <r>
    <n v="326"/>
    <d v="2011-01-15T00:00:00"/>
    <n v="1"/>
    <n v="0"/>
    <n v="1"/>
    <x v="1"/>
    <b v="0"/>
    <x v="0"/>
    <x v="1"/>
    <n v="0.16"/>
    <n v="0.19700000000000001"/>
    <n v="0.59"/>
    <n v="8.9599999999999999E-2"/>
    <n v="2"/>
    <n v="18"/>
    <n v="20"/>
  </r>
  <r>
    <n v="327"/>
    <d v="2011-01-15T00:00:00"/>
    <n v="1"/>
    <n v="0"/>
    <n v="1"/>
    <x v="2"/>
    <b v="0"/>
    <x v="0"/>
    <x v="1"/>
    <n v="0.16"/>
    <n v="0.19700000000000001"/>
    <n v="0.59"/>
    <n v="8.9599999999999999E-2"/>
    <n v="0"/>
    <n v="12"/>
    <n v="12"/>
  </r>
  <r>
    <n v="328"/>
    <d v="2011-01-15T00:00:00"/>
    <n v="1"/>
    <n v="0"/>
    <n v="1"/>
    <x v="3"/>
    <b v="0"/>
    <x v="0"/>
    <x v="1"/>
    <n v="0.16"/>
    <n v="0.2273"/>
    <n v="0.59"/>
    <n v="0"/>
    <n v="1"/>
    <n v="7"/>
    <n v="8"/>
  </r>
  <r>
    <n v="329"/>
    <d v="2011-01-15T00:00:00"/>
    <n v="1"/>
    <n v="0"/>
    <n v="1"/>
    <x v="4"/>
    <b v="0"/>
    <x v="0"/>
    <x v="1"/>
    <n v="0.16"/>
    <n v="0.2273"/>
    <n v="0.59"/>
    <n v="0"/>
    <n v="0"/>
    <n v="5"/>
    <n v="5"/>
  </r>
  <r>
    <n v="330"/>
    <d v="2011-01-15T00:00:00"/>
    <n v="1"/>
    <n v="0"/>
    <n v="1"/>
    <x v="5"/>
    <b v="0"/>
    <x v="0"/>
    <x v="0"/>
    <n v="0.16"/>
    <n v="0.2273"/>
    <n v="0.59"/>
    <n v="0"/>
    <n v="0"/>
    <n v="1"/>
    <n v="1"/>
  </r>
  <r>
    <n v="331"/>
    <d v="2011-01-15T00:00:00"/>
    <n v="1"/>
    <n v="0"/>
    <n v="1"/>
    <x v="6"/>
    <b v="0"/>
    <x v="0"/>
    <x v="0"/>
    <n v="0.14000000000000001"/>
    <n v="0.16669999999999999"/>
    <n v="0.63"/>
    <n v="0.1045"/>
    <n v="1"/>
    <n v="2"/>
    <n v="3"/>
  </r>
  <r>
    <n v="332"/>
    <d v="2011-01-15T00:00:00"/>
    <n v="1"/>
    <n v="0"/>
    <n v="1"/>
    <x v="7"/>
    <b v="0"/>
    <x v="0"/>
    <x v="0"/>
    <n v="0.14000000000000001"/>
    <n v="0.21210000000000001"/>
    <n v="0.63"/>
    <n v="0"/>
    <n v="1"/>
    <n v="9"/>
    <n v="10"/>
  </r>
  <r>
    <n v="333"/>
    <d v="2011-01-15T00:00:00"/>
    <n v="1"/>
    <n v="0"/>
    <n v="1"/>
    <x v="8"/>
    <b v="0"/>
    <x v="0"/>
    <x v="0"/>
    <n v="0.14000000000000001"/>
    <n v="0.1515"/>
    <n v="0.63"/>
    <n v="0.1343"/>
    <n v="1"/>
    <n v="22"/>
    <n v="23"/>
  </r>
  <r>
    <n v="334"/>
    <d v="2011-01-15T00:00:00"/>
    <n v="1"/>
    <n v="0"/>
    <n v="1"/>
    <x v="9"/>
    <b v="0"/>
    <x v="0"/>
    <x v="0"/>
    <n v="0.16"/>
    <n v="0.18179999999999999"/>
    <n v="0.64"/>
    <n v="0.1343"/>
    <n v="2"/>
    <n v="31"/>
    <n v="33"/>
  </r>
  <r>
    <n v="335"/>
    <d v="2011-01-15T00:00:00"/>
    <n v="1"/>
    <n v="0"/>
    <n v="1"/>
    <x v="10"/>
    <b v="0"/>
    <x v="0"/>
    <x v="0"/>
    <n v="0.18"/>
    <n v="0.19700000000000001"/>
    <n v="0.59"/>
    <n v="0.16420000000000001"/>
    <n v="2"/>
    <n v="57"/>
    <n v="59"/>
  </r>
  <r>
    <n v="336"/>
    <d v="2011-01-15T00:00:00"/>
    <n v="1"/>
    <n v="0"/>
    <n v="1"/>
    <x v="11"/>
    <b v="0"/>
    <x v="0"/>
    <x v="0"/>
    <n v="0.2"/>
    <n v="0.19700000000000001"/>
    <n v="0.55000000000000004"/>
    <n v="0.22389999999999999"/>
    <n v="18"/>
    <n v="54"/>
    <n v="72"/>
  </r>
  <r>
    <n v="337"/>
    <d v="2011-01-15T00:00:00"/>
    <n v="1"/>
    <n v="0"/>
    <n v="1"/>
    <x v="12"/>
    <b v="0"/>
    <x v="0"/>
    <x v="0"/>
    <n v="0.24"/>
    <n v="0.2273"/>
    <n v="0.48"/>
    <n v="0.22389999999999999"/>
    <n v="15"/>
    <n v="74"/>
    <n v="89"/>
  </r>
  <r>
    <n v="338"/>
    <d v="2011-01-15T00:00:00"/>
    <n v="1"/>
    <n v="0"/>
    <n v="1"/>
    <x v="13"/>
    <b v="0"/>
    <x v="0"/>
    <x v="0"/>
    <n v="0.28000000000000003"/>
    <n v="0.2576"/>
    <n v="0.38"/>
    <n v="0.29849999999999999"/>
    <n v="21"/>
    <n v="80"/>
    <n v="101"/>
  </r>
  <r>
    <n v="339"/>
    <d v="2011-01-15T00:00:00"/>
    <n v="1"/>
    <n v="0"/>
    <n v="1"/>
    <x v="14"/>
    <b v="0"/>
    <x v="0"/>
    <x v="0"/>
    <n v="0.3"/>
    <n v="0.28789999999999999"/>
    <n v="0.39"/>
    <n v="0.28360000000000002"/>
    <n v="26"/>
    <n v="92"/>
    <n v="118"/>
  </r>
  <r>
    <n v="340"/>
    <d v="2011-01-15T00:00:00"/>
    <n v="1"/>
    <n v="0"/>
    <n v="1"/>
    <x v="15"/>
    <b v="0"/>
    <x v="0"/>
    <x v="1"/>
    <n v="0.32"/>
    <n v="0.31819999999999998"/>
    <n v="0.36"/>
    <n v="0.19400000000000001"/>
    <n v="21"/>
    <n v="108"/>
    <n v="129"/>
  </r>
  <r>
    <n v="341"/>
    <d v="2011-01-15T00:00:00"/>
    <n v="1"/>
    <n v="0"/>
    <n v="1"/>
    <x v="16"/>
    <b v="0"/>
    <x v="0"/>
    <x v="1"/>
    <n v="0.34"/>
    <n v="0.33329999999999999"/>
    <n v="0.34"/>
    <n v="0.19400000000000001"/>
    <n v="33"/>
    <n v="95"/>
    <n v="128"/>
  </r>
  <r>
    <n v="342"/>
    <d v="2011-01-15T00:00:00"/>
    <n v="1"/>
    <n v="0"/>
    <n v="1"/>
    <x v="17"/>
    <b v="0"/>
    <x v="0"/>
    <x v="1"/>
    <n v="0.32"/>
    <n v="0.30299999999999999"/>
    <n v="0.36"/>
    <n v="0.28360000000000002"/>
    <n v="29"/>
    <n v="54"/>
    <n v="83"/>
  </r>
  <r>
    <n v="343"/>
    <d v="2011-01-15T00:00:00"/>
    <n v="1"/>
    <n v="0"/>
    <n v="1"/>
    <x v="18"/>
    <b v="0"/>
    <x v="0"/>
    <x v="1"/>
    <n v="0.3"/>
    <n v="0.28789999999999999"/>
    <n v="0.45"/>
    <n v="0.25369999999999998"/>
    <n v="15"/>
    <n v="69"/>
    <n v="84"/>
  </r>
  <r>
    <n v="344"/>
    <d v="2011-01-15T00:00:00"/>
    <n v="1"/>
    <n v="0"/>
    <n v="1"/>
    <x v="19"/>
    <b v="0"/>
    <x v="0"/>
    <x v="1"/>
    <n v="0.32"/>
    <n v="0.30299999999999999"/>
    <n v="0.39"/>
    <n v="0.25369999999999998"/>
    <n v="14"/>
    <n v="60"/>
    <n v="74"/>
  </r>
  <r>
    <n v="345"/>
    <d v="2011-01-15T00:00:00"/>
    <n v="1"/>
    <n v="0"/>
    <n v="1"/>
    <x v="20"/>
    <b v="0"/>
    <x v="0"/>
    <x v="1"/>
    <n v="0.32"/>
    <n v="0.30299999999999999"/>
    <n v="0.39"/>
    <n v="0.25369999999999998"/>
    <n v="6"/>
    <n v="35"/>
    <n v="41"/>
  </r>
  <r>
    <n v="346"/>
    <d v="2011-01-15T00:00:00"/>
    <n v="1"/>
    <n v="0"/>
    <n v="1"/>
    <x v="21"/>
    <b v="0"/>
    <x v="0"/>
    <x v="1"/>
    <n v="0.32"/>
    <n v="0.30299999999999999"/>
    <n v="0.39"/>
    <n v="0.22389999999999999"/>
    <n v="6"/>
    <n v="51"/>
    <n v="57"/>
  </r>
  <r>
    <n v="347"/>
    <d v="2011-01-15T00:00:00"/>
    <n v="1"/>
    <n v="0"/>
    <n v="1"/>
    <x v="22"/>
    <b v="0"/>
    <x v="0"/>
    <x v="1"/>
    <n v="0.3"/>
    <n v="0.31819999999999998"/>
    <n v="0.42"/>
    <n v="0.1045"/>
    <n v="0"/>
    <n v="26"/>
    <n v="26"/>
  </r>
  <r>
    <n v="348"/>
    <d v="2011-01-15T00:00:00"/>
    <n v="1"/>
    <n v="0"/>
    <n v="1"/>
    <x v="23"/>
    <b v="0"/>
    <x v="0"/>
    <x v="0"/>
    <n v="0.3"/>
    <n v="0.28789999999999999"/>
    <n v="0.45"/>
    <n v="0.28360000000000002"/>
    <n v="5"/>
    <n v="39"/>
    <n v="44"/>
  </r>
  <r>
    <n v="349"/>
    <d v="2011-01-16T00:00:00"/>
    <n v="1"/>
    <n v="0"/>
    <n v="1"/>
    <x v="0"/>
    <b v="0"/>
    <x v="1"/>
    <x v="0"/>
    <n v="0.26"/>
    <n v="0.30299999999999999"/>
    <n v="0.56000000000000005"/>
    <n v="0"/>
    <n v="6"/>
    <n v="33"/>
    <n v="39"/>
  </r>
  <r>
    <n v="350"/>
    <d v="2011-01-16T00:00:00"/>
    <n v="1"/>
    <n v="0"/>
    <n v="1"/>
    <x v="1"/>
    <b v="0"/>
    <x v="1"/>
    <x v="0"/>
    <n v="0.26"/>
    <n v="0.2727"/>
    <n v="0.56000000000000005"/>
    <n v="0.1343"/>
    <n v="4"/>
    <n v="19"/>
    <n v="23"/>
  </r>
  <r>
    <n v="351"/>
    <d v="2011-01-16T00:00:00"/>
    <n v="1"/>
    <n v="0"/>
    <n v="1"/>
    <x v="2"/>
    <b v="0"/>
    <x v="1"/>
    <x v="0"/>
    <n v="0.26"/>
    <n v="0.28789999999999999"/>
    <n v="0.56000000000000005"/>
    <n v="8.9599999999999999E-2"/>
    <n v="3"/>
    <n v="13"/>
    <n v="16"/>
  </r>
  <r>
    <n v="352"/>
    <d v="2011-01-16T00:00:00"/>
    <n v="1"/>
    <n v="0"/>
    <n v="1"/>
    <x v="3"/>
    <b v="0"/>
    <x v="1"/>
    <x v="0"/>
    <n v="0.22"/>
    <n v="0.2727"/>
    <n v="0.69"/>
    <n v="0"/>
    <n v="9"/>
    <n v="6"/>
    <n v="15"/>
  </r>
  <r>
    <n v="353"/>
    <d v="2011-01-16T00:00:00"/>
    <n v="1"/>
    <n v="0"/>
    <n v="1"/>
    <x v="4"/>
    <b v="0"/>
    <x v="1"/>
    <x v="0"/>
    <n v="0.26"/>
    <n v="0.2576"/>
    <n v="0.56000000000000005"/>
    <n v="0.16420000000000001"/>
    <n v="0"/>
    <n v="1"/>
    <n v="1"/>
  </r>
  <r>
    <n v="354"/>
    <d v="2011-01-16T00:00:00"/>
    <n v="1"/>
    <n v="0"/>
    <n v="1"/>
    <x v="5"/>
    <b v="0"/>
    <x v="1"/>
    <x v="1"/>
    <n v="0.26"/>
    <n v="0.2576"/>
    <n v="0.56000000000000005"/>
    <n v="0.16420000000000001"/>
    <n v="1"/>
    <n v="1"/>
    <n v="2"/>
  </r>
  <r>
    <n v="355"/>
    <d v="2011-01-16T00:00:00"/>
    <n v="1"/>
    <n v="0"/>
    <n v="1"/>
    <x v="6"/>
    <b v="0"/>
    <x v="1"/>
    <x v="1"/>
    <n v="0.26"/>
    <n v="0.2576"/>
    <n v="0.56000000000000005"/>
    <n v="0.16420000000000001"/>
    <n v="0"/>
    <n v="1"/>
    <n v="1"/>
  </r>
  <r>
    <n v="356"/>
    <d v="2011-01-16T00:00:00"/>
    <n v="1"/>
    <n v="0"/>
    <n v="1"/>
    <x v="7"/>
    <b v="0"/>
    <x v="1"/>
    <x v="1"/>
    <n v="0.24"/>
    <n v="0.21210000000000001"/>
    <n v="0.56000000000000005"/>
    <n v="0.29849999999999999"/>
    <n v="0"/>
    <n v="3"/>
    <n v="3"/>
  </r>
  <r>
    <n v="357"/>
    <d v="2011-01-16T00:00:00"/>
    <n v="1"/>
    <n v="0"/>
    <n v="1"/>
    <x v="8"/>
    <b v="0"/>
    <x v="1"/>
    <x v="0"/>
    <n v="0.22"/>
    <n v="0.21210000000000001"/>
    <n v="0.55000000000000004"/>
    <n v="0.28360000000000002"/>
    <n v="0"/>
    <n v="18"/>
    <n v="18"/>
  </r>
  <r>
    <n v="358"/>
    <d v="2011-01-16T00:00:00"/>
    <n v="1"/>
    <n v="0"/>
    <n v="1"/>
    <x v="9"/>
    <b v="0"/>
    <x v="1"/>
    <x v="0"/>
    <n v="0.22"/>
    <n v="0.21210000000000001"/>
    <n v="0.51"/>
    <n v="0.25369999999999998"/>
    <n v="3"/>
    <n v="29"/>
    <n v="32"/>
  </r>
  <r>
    <n v="359"/>
    <d v="2011-01-16T00:00:00"/>
    <n v="1"/>
    <n v="0"/>
    <n v="1"/>
    <x v="10"/>
    <b v="0"/>
    <x v="1"/>
    <x v="0"/>
    <n v="0.22"/>
    <n v="0.21210000000000001"/>
    <n v="0.51"/>
    <n v="0.28360000000000002"/>
    <n v="8"/>
    <n v="71"/>
    <n v="79"/>
  </r>
  <r>
    <n v="360"/>
    <d v="2011-01-16T00:00:00"/>
    <n v="1"/>
    <n v="0"/>
    <n v="1"/>
    <x v="11"/>
    <b v="0"/>
    <x v="1"/>
    <x v="0"/>
    <n v="0.24"/>
    <n v="0.2273"/>
    <n v="0.44"/>
    <n v="0.25369999999999998"/>
    <n v="23"/>
    <n v="70"/>
    <n v="93"/>
  </r>
  <r>
    <n v="361"/>
    <d v="2011-01-16T00:00:00"/>
    <n v="1"/>
    <n v="0"/>
    <n v="1"/>
    <x v="12"/>
    <b v="0"/>
    <x v="1"/>
    <x v="0"/>
    <n v="0.24"/>
    <n v="0.21210000000000001"/>
    <n v="0.41"/>
    <n v="0.28360000000000002"/>
    <n v="29"/>
    <n v="75"/>
    <n v="104"/>
  </r>
  <r>
    <n v="362"/>
    <d v="2011-01-16T00:00:00"/>
    <n v="1"/>
    <n v="0"/>
    <n v="1"/>
    <x v="13"/>
    <b v="0"/>
    <x v="1"/>
    <x v="0"/>
    <n v="0.26"/>
    <n v="0.2273"/>
    <n v="0.35"/>
    <n v="0.29849999999999999"/>
    <n v="23"/>
    <n v="95"/>
    <n v="118"/>
  </r>
  <r>
    <n v="363"/>
    <d v="2011-01-16T00:00:00"/>
    <n v="1"/>
    <n v="0"/>
    <n v="1"/>
    <x v="14"/>
    <b v="0"/>
    <x v="1"/>
    <x v="0"/>
    <n v="0.28000000000000003"/>
    <n v="0.2727"/>
    <n v="0.36"/>
    <n v="0.25369999999999998"/>
    <n v="22"/>
    <n v="69"/>
    <n v="91"/>
  </r>
  <r>
    <n v="364"/>
    <d v="2011-01-16T00:00:00"/>
    <n v="1"/>
    <n v="0"/>
    <n v="1"/>
    <x v="15"/>
    <b v="0"/>
    <x v="1"/>
    <x v="0"/>
    <n v="0.26"/>
    <n v="0.2424"/>
    <n v="0.38"/>
    <n v="0.25369999999999998"/>
    <n v="35"/>
    <n v="78"/>
    <n v="113"/>
  </r>
  <r>
    <n v="365"/>
    <d v="2011-01-16T00:00:00"/>
    <n v="1"/>
    <n v="0"/>
    <n v="1"/>
    <x v="16"/>
    <b v="0"/>
    <x v="1"/>
    <x v="0"/>
    <n v="0.24"/>
    <n v="0.2273"/>
    <n v="0.38"/>
    <n v="0.22389999999999999"/>
    <n v="22"/>
    <n v="77"/>
    <n v="99"/>
  </r>
  <r>
    <n v="366"/>
    <d v="2011-01-16T00:00:00"/>
    <n v="1"/>
    <n v="0"/>
    <n v="1"/>
    <x v="17"/>
    <b v="0"/>
    <x v="1"/>
    <x v="0"/>
    <n v="0.22"/>
    <n v="0.21210000000000001"/>
    <n v="0.37"/>
    <n v="0.25369999999999998"/>
    <n v="23"/>
    <n v="82"/>
    <n v="105"/>
  </r>
  <r>
    <n v="367"/>
    <d v="2011-01-16T00:00:00"/>
    <n v="1"/>
    <n v="0"/>
    <n v="1"/>
    <x v="18"/>
    <b v="0"/>
    <x v="1"/>
    <x v="0"/>
    <n v="0.2"/>
    <n v="0.21210000000000001"/>
    <n v="0.4"/>
    <n v="0.16420000000000001"/>
    <n v="11"/>
    <n v="56"/>
    <n v="67"/>
  </r>
  <r>
    <n v="368"/>
    <d v="2011-01-16T00:00:00"/>
    <n v="1"/>
    <n v="0"/>
    <n v="1"/>
    <x v="19"/>
    <b v="0"/>
    <x v="1"/>
    <x v="0"/>
    <n v="0.18"/>
    <n v="0.19700000000000001"/>
    <n v="0.47"/>
    <n v="0.1343"/>
    <n v="14"/>
    <n v="47"/>
    <n v="61"/>
  </r>
  <r>
    <n v="369"/>
    <d v="2011-01-16T00:00:00"/>
    <n v="1"/>
    <n v="0"/>
    <n v="1"/>
    <x v="20"/>
    <b v="0"/>
    <x v="1"/>
    <x v="0"/>
    <n v="0.18"/>
    <n v="0.19700000000000001"/>
    <n v="0.47"/>
    <n v="0.16420000000000001"/>
    <n v="7"/>
    <n v="50"/>
    <n v="57"/>
  </r>
  <r>
    <n v="370"/>
    <d v="2011-01-16T00:00:00"/>
    <n v="1"/>
    <n v="0"/>
    <n v="1"/>
    <x v="21"/>
    <b v="0"/>
    <x v="1"/>
    <x v="0"/>
    <n v="0.18"/>
    <n v="0.19700000000000001"/>
    <n v="0.51"/>
    <n v="0.16420000000000001"/>
    <n v="6"/>
    <n v="22"/>
    <n v="28"/>
  </r>
  <r>
    <n v="371"/>
    <d v="2011-01-16T00:00:00"/>
    <n v="1"/>
    <n v="0"/>
    <n v="1"/>
    <x v="22"/>
    <b v="0"/>
    <x v="1"/>
    <x v="1"/>
    <n v="0.2"/>
    <n v="0.21210000000000001"/>
    <n v="0.49"/>
    <n v="0.1343"/>
    <n v="2"/>
    <n v="19"/>
    <n v="21"/>
  </r>
  <r>
    <n v="372"/>
    <d v="2011-01-16T00:00:00"/>
    <n v="1"/>
    <n v="0"/>
    <n v="1"/>
    <x v="23"/>
    <b v="0"/>
    <x v="1"/>
    <x v="1"/>
    <n v="0.2"/>
    <n v="0.2273"/>
    <n v="0.4"/>
    <n v="0.1045"/>
    <n v="0"/>
    <n v="18"/>
    <n v="18"/>
  </r>
  <r>
    <n v="373"/>
    <d v="2011-01-17T00:00:00"/>
    <n v="1"/>
    <n v="0"/>
    <n v="1"/>
    <x v="0"/>
    <b v="1"/>
    <x v="2"/>
    <x v="1"/>
    <n v="0.2"/>
    <n v="0.19700000000000001"/>
    <n v="0.47"/>
    <n v="0.22389999999999999"/>
    <n v="1"/>
    <n v="16"/>
    <n v="17"/>
  </r>
  <r>
    <n v="374"/>
    <d v="2011-01-17T00:00:00"/>
    <n v="1"/>
    <n v="0"/>
    <n v="1"/>
    <x v="1"/>
    <b v="1"/>
    <x v="2"/>
    <x v="1"/>
    <n v="0.2"/>
    <n v="0.19700000000000001"/>
    <n v="0.44"/>
    <n v="0.19400000000000001"/>
    <n v="1"/>
    <n v="15"/>
    <n v="16"/>
  </r>
  <r>
    <n v="375"/>
    <d v="2011-01-17T00:00:00"/>
    <n v="1"/>
    <n v="0"/>
    <n v="1"/>
    <x v="2"/>
    <b v="1"/>
    <x v="2"/>
    <x v="1"/>
    <n v="0.18"/>
    <n v="0.16669999999999999"/>
    <n v="0.43"/>
    <n v="0.25369999999999998"/>
    <n v="0"/>
    <n v="8"/>
    <n v="8"/>
  </r>
  <r>
    <n v="376"/>
    <d v="2011-01-17T00:00:00"/>
    <n v="1"/>
    <n v="0"/>
    <n v="1"/>
    <x v="3"/>
    <b v="1"/>
    <x v="2"/>
    <x v="1"/>
    <n v="0.18"/>
    <n v="0.18179999999999999"/>
    <n v="0.43"/>
    <n v="0.19400000000000001"/>
    <n v="0"/>
    <n v="2"/>
    <n v="2"/>
  </r>
  <r>
    <n v="377"/>
    <d v="2011-01-17T00:00:00"/>
    <n v="1"/>
    <n v="0"/>
    <n v="1"/>
    <x v="4"/>
    <b v="1"/>
    <x v="2"/>
    <x v="1"/>
    <n v="0.18"/>
    <n v="0.19700000000000001"/>
    <n v="0.43"/>
    <n v="0.1343"/>
    <n v="1"/>
    <n v="2"/>
    <n v="3"/>
  </r>
  <r>
    <n v="378"/>
    <d v="2011-01-17T00:00:00"/>
    <n v="1"/>
    <n v="0"/>
    <n v="1"/>
    <x v="5"/>
    <b v="1"/>
    <x v="2"/>
    <x v="1"/>
    <n v="0.18"/>
    <n v="0.19700000000000001"/>
    <n v="0.43"/>
    <n v="0.16420000000000001"/>
    <n v="0"/>
    <n v="1"/>
    <n v="1"/>
  </r>
  <r>
    <n v="379"/>
    <d v="2011-01-17T00:00:00"/>
    <n v="1"/>
    <n v="0"/>
    <n v="1"/>
    <x v="6"/>
    <b v="1"/>
    <x v="2"/>
    <x v="1"/>
    <n v="0.18"/>
    <n v="0.18179999999999999"/>
    <n v="0.43"/>
    <n v="0.19400000000000001"/>
    <n v="0"/>
    <n v="5"/>
    <n v="5"/>
  </r>
  <r>
    <n v="380"/>
    <d v="2011-01-17T00:00:00"/>
    <n v="1"/>
    <n v="0"/>
    <n v="1"/>
    <x v="7"/>
    <b v="1"/>
    <x v="2"/>
    <x v="1"/>
    <n v="0.16"/>
    <n v="0.18179999999999999"/>
    <n v="0.5"/>
    <n v="0.1343"/>
    <n v="4"/>
    <n v="9"/>
    <n v="13"/>
  </r>
  <r>
    <n v="381"/>
    <d v="2011-01-17T00:00:00"/>
    <n v="1"/>
    <n v="0"/>
    <n v="1"/>
    <x v="8"/>
    <b v="1"/>
    <x v="2"/>
    <x v="1"/>
    <n v="0.16"/>
    <n v="0.1515"/>
    <n v="0.47"/>
    <n v="0.22389999999999999"/>
    <n v="3"/>
    <n v="30"/>
    <n v="33"/>
  </r>
  <r>
    <n v="382"/>
    <d v="2011-01-17T00:00:00"/>
    <n v="1"/>
    <n v="0"/>
    <n v="1"/>
    <x v="9"/>
    <b v="1"/>
    <x v="2"/>
    <x v="1"/>
    <n v="0.16"/>
    <n v="0.1515"/>
    <n v="0.47"/>
    <n v="0.22389999999999999"/>
    <n v="8"/>
    <n v="39"/>
    <n v="47"/>
  </r>
  <r>
    <n v="383"/>
    <d v="2011-01-17T00:00:00"/>
    <n v="1"/>
    <n v="0"/>
    <n v="1"/>
    <x v="10"/>
    <b v="1"/>
    <x v="2"/>
    <x v="1"/>
    <n v="0.16"/>
    <n v="0.1515"/>
    <n v="0.5"/>
    <n v="0.25369999999999998"/>
    <n v="7"/>
    <n v="50"/>
    <n v="57"/>
  </r>
  <r>
    <n v="384"/>
    <d v="2011-01-17T00:00:00"/>
    <n v="1"/>
    <n v="0"/>
    <n v="1"/>
    <x v="11"/>
    <b v="1"/>
    <x v="2"/>
    <x v="1"/>
    <n v="0.16"/>
    <n v="0.1515"/>
    <n v="0.55000000000000004"/>
    <n v="0.19400000000000001"/>
    <n v="9"/>
    <n v="55"/>
    <n v="64"/>
  </r>
  <r>
    <n v="385"/>
    <d v="2011-01-17T00:00:00"/>
    <n v="1"/>
    <n v="0"/>
    <n v="1"/>
    <x v="12"/>
    <b v="1"/>
    <x v="2"/>
    <x v="1"/>
    <n v="0.18"/>
    <n v="0.19700000000000001"/>
    <n v="0.47"/>
    <n v="0.1343"/>
    <n v="10"/>
    <n v="70"/>
    <n v="80"/>
  </r>
  <r>
    <n v="386"/>
    <d v="2011-01-17T00:00:00"/>
    <n v="1"/>
    <n v="0"/>
    <n v="1"/>
    <x v="13"/>
    <b v="1"/>
    <x v="2"/>
    <x v="1"/>
    <n v="0.18"/>
    <n v="0.19700000000000001"/>
    <n v="0.47"/>
    <n v="0.1343"/>
    <n v="13"/>
    <n v="80"/>
    <n v="93"/>
  </r>
  <r>
    <n v="387"/>
    <d v="2011-01-17T00:00:00"/>
    <n v="1"/>
    <n v="0"/>
    <n v="1"/>
    <x v="14"/>
    <b v="1"/>
    <x v="2"/>
    <x v="1"/>
    <n v="0.18"/>
    <n v="0.21210000000000001"/>
    <n v="0.43"/>
    <n v="0.1045"/>
    <n v="12"/>
    <n v="74"/>
    <n v="86"/>
  </r>
  <r>
    <n v="388"/>
    <d v="2011-01-17T00:00:00"/>
    <n v="1"/>
    <n v="0"/>
    <n v="1"/>
    <x v="15"/>
    <b v="1"/>
    <x v="2"/>
    <x v="1"/>
    <n v="0.2"/>
    <n v="0.21210000000000001"/>
    <n v="0.47"/>
    <n v="0.16420000000000001"/>
    <n v="21"/>
    <n v="72"/>
    <n v="93"/>
  </r>
  <r>
    <n v="389"/>
    <d v="2011-01-17T00:00:00"/>
    <n v="1"/>
    <n v="0"/>
    <n v="1"/>
    <x v="16"/>
    <b v="1"/>
    <x v="2"/>
    <x v="1"/>
    <n v="0.2"/>
    <n v="0.21210000000000001"/>
    <n v="0.47"/>
    <n v="0.16420000000000001"/>
    <n v="6"/>
    <n v="76"/>
    <n v="82"/>
  </r>
  <r>
    <n v="390"/>
    <d v="2011-01-17T00:00:00"/>
    <n v="1"/>
    <n v="0"/>
    <n v="1"/>
    <x v="17"/>
    <b v="1"/>
    <x v="2"/>
    <x v="0"/>
    <n v="0.2"/>
    <n v="0.19700000000000001"/>
    <n v="0.51"/>
    <n v="0.19400000000000001"/>
    <n v="4"/>
    <n v="67"/>
    <n v="71"/>
  </r>
  <r>
    <n v="391"/>
    <d v="2011-01-17T00:00:00"/>
    <n v="1"/>
    <n v="0"/>
    <n v="1"/>
    <x v="18"/>
    <b v="1"/>
    <x v="2"/>
    <x v="1"/>
    <n v="0.18"/>
    <n v="0.16669999999999999"/>
    <n v="0.55000000000000004"/>
    <n v="0.25369999999999998"/>
    <n v="7"/>
    <n v="85"/>
    <n v="92"/>
  </r>
  <r>
    <n v="392"/>
    <d v="2011-01-17T00:00:00"/>
    <n v="1"/>
    <n v="0"/>
    <n v="1"/>
    <x v="19"/>
    <b v="1"/>
    <x v="2"/>
    <x v="2"/>
    <n v="0.18"/>
    <n v="0.18179999999999999"/>
    <n v="0.59"/>
    <n v="0.19400000000000001"/>
    <n v="2"/>
    <n v="58"/>
    <n v="60"/>
  </r>
  <r>
    <n v="393"/>
    <d v="2011-01-17T00:00:00"/>
    <n v="1"/>
    <n v="0"/>
    <n v="1"/>
    <x v="20"/>
    <b v="1"/>
    <x v="2"/>
    <x v="2"/>
    <n v="0.16"/>
    <n v="0.1515"/>
    <n v="0.8"/>
    <n v="0.19400000000000001"/>
    <n v="4"/>
    <n v="29"/>
    <n v="33"/>
  </r>
  <r>
    <n v="394"/>
    <d v="2011-01-17T00:00:00"/>
    <n v="1"/>
    <n v="0"/>
    <n v="1"/>
    <x v="21"/>
    <b v="1"/>
    <x v="2"/>
    <x v="2"/>
    <n v="0.16"/>
    <n v="0.1515"/>
    <n v="0.8"/>
    <n v="0.19400000000000001"/>
    <n v="3"/>
    <n v="24"/>
    <n v="27"/>
  </r>
  <r>
    <n v="395"/>
    <d v="2011-01-17T00:00:00"/>
    <n v="1"/>
    <n v="0"/>
    <n v="1"/>
    <x v="22"/>
    <b v="1"/>
    <x v="2"/>
    <x v="2"/>
    <n v="0.14000000000000001"/>
    <n v="0.1212"/>
    <n v="0.93"/>
    <n v="0.25369999999999998"/>
    <n v="0"/>
    <n v="13"/>
    <n v="13"/>
  </r>
  <r>
    <n v="396"/>
    <d v="2011-01-17T00:00:00"/>
    <n v="1"/>
    <n v="0"/>
    <n v="1"/>
    <x v="23"/>
    <b v="1"/>
    <x v="2"/>
    <x v="2"/>
    <n v="0.16"/>
    <n v="0.13639999999999999"/>
    <n v="0.86"/>
    <n v="0.28360000000000002"/>
    <n v="1"/>
    <n v="3"/>
    <n v="4"/>
  </r>
  <r>
    <n v="397"/>
    <d v="2011-01-18T00:00:00"/>
    <n v="1"/>
    <n v="0"/>
    <n v="1"/>
    <x v="12"/>
    <b v="0"/>
    <x v="3"/>
    <x v="1"/>
    <n v="0.2"/>
    <n v="0.18179999999999999"/>
    <n v="0.86"/>
    <n v="0.32840000000000003"/>
    <n v="0"/>
    <n v="3"/>
    <n v="3"/>
  </r>
  <r>
    <n v="398"/>
    <d v="2011-01-18T00:00:00"/>
    <n v="1"/>
    <n v="0"/>
    <n v="1"/>
    <x v="13"/>
    <b v="0"/>
    <x v="3"/>
    <x v="1"/>
    <n v="0.2"/>
    <n v="0.19700000000000001"/>
    <n v="0.86"/>
    <n v="0.22389999999999999"/>
    <n v="0"/>
    <n v="22"/>
    <n v="22"/>
  </r>
  <r>
    <n v="399"/>
    <d v="2011-01-18T00:00:00"/>
    <n v="1"/>
    <n v="0"/>
    <n v="1"/>
    <x v="14"/>
    <b v="0"/>
    <x v="3"/>
    <x v="1"/>
    <n v="0.22"/>
    <n v="0.2273"/>
    <n v="0.8"/>
    <n v="0.16420000000000001"/>
    <n v="2"/>
    <n v="26"/>
    <n v="28"/>
  </r>
  <r>
    <n v="400"/>
    <d v="2011-01-18T00:00:00"/>
    <n v="1"/>
    <n v="0"/>
    <n v="1"/>
    <x v="15"/>
    <b v="0"/>
    <x v="3"/>
    <x v="1"/>
    <n v="0.22"/>
    <n v="0.2273"/>
    <n v="0.87"/>
    <n v="0.16420000000000001"/>
    <n v="3"/>
    <n v="32"/>
    <n v="35"/>
  </r>
  <r>
    <n v="401"/>
    <d v="2011-01-18T00:00:00"/>
    <n v="1"/>
    <n v="0"/>
    <n v="1"/>
    <x v="16"/>
    <b v="0"/>
    <x v="3"/>
    <x v="1"/>
    <n v="0.22"/>
    <n v="0.2273"/>
    <n v="0.87"/>
    <n v="0.19400000000000001"/>
    <n v="0"/>
    <n v="61"/>
    <n v="61"/>
  </r>
  <r>
    <n v="402"/>
    <d v="2011-01-18T00:00:00"/>
    <n v="1"/>
    <n v="0"/>
    <n v="1"/>
    <x v="17"/>
    <b v="0"/>
    <x v="3"/>
    <x v="1"/>
    <n v="0.22"/>
    <n v="0.2273"/>
    <n v="0.82"/>
    <n v="0.19400000000000001"/>
    <n v="1"/>
    <n v="124"/>
    <n v="125"/>
  </r>
  <r>
    <n v="403"/>
    <d v="2011-01-18T00:00:00"/>
    <n v="1"/>
    <n v="0"/>
    <n v="1"/>
    <x v="18"/>
    <b v="0"/>
    <x v="3"/>
    <x v="1"/>
    <n v="0.22"/>
    <n v="0.2273"/>
    <n v="0.8"/>
    <n v="0.16420000000000001"/>
    <n v="1"/>
    <n v="132"/>
    <n v="133"/>
  </r>
  <r>
    <n v="404"/>
    <d v="2011-01-18T00:00:00"/>
    <n v="1"/>
    <n v="0"/>
    <n v="1"/>
    <x v="19"/>
    <b v="0"/>
    <x v="3"/>
    <x v="1"/>
    <n v="0.22"/>
    <n v="0.2273"/>
    <n v="0.8"/>
    <n v="0.1343"/>
    <n v="1"/>
    <n v="98"/>
    <n v="99"/>
  </r>
  <r>
    <n v="405"/>
    <d v="2011-01-18T00:00:00"/>
    <n v="1"/>
    <n v="0"/>
    <n v="1"/>
    <x v="20"/>
    <b v="0"/>
    <x v="3"/>
    <x v="1"/>
    <n v="0.22"/>
    <n v="0.2727"/>
    <n v="0.87"/>
    <n v="0"/>
    <n v="0"/>
    <n v="83"/>
    <n v="83"/>
  </r>
  <r>
    <n v="406"/>
    <d v="2011-01-18T00:00:00"/>
    <n v="1"/>
    <n v="0"/>
    <n v="1"/>
    <x v="21"/>
    <b v="0"/>
    <x v="3"/>
    <x v="1"/>
    <n v="0.22"/>
    <n v="0.2424"/>
    <n v="0.93"/>
    <n v="0.1045"/>
    <n v="0"/>
    <n v="41"/>
    <n v="41"/>
  </r>
  <r>
    <n v="407"/>
    <d v="2011-01-18T00:00:00"/>
    <n v="1"/>
    <n v="0"/>
    <n v="1"/>
    <x v="22"/>
    <b v="0"/>
    <x v="3"/>
    <x v="1"/>
    <n v="0.22"/>
    <n v="0.2576"/>
    <n v="0.93"/>
    <n v="8.9599999999999999E-2"/>
    <n v="0"/>
    <n v="33"/>
    <n v="33"/>
  </r>
  <r>
    <n v="408"/>
    <d v="2011-01-18T00:00:00"/>
    <n v="1"/>
    <n v="0"/>
    <n v="1"/>
    <x v="23"/>
    <b v="0"/>
    <x v="3"/>
    <x v="1"/>
    <n v="0.22"/>
    <n v="0.2727"/>
    <n v="0.93"/>
    <n v="0"/>
    <n v="1"/>
    <n v="19"/>
    <n v="20"/>
  </r>
  <r>
    <n v="409"/>
    <d v="2011-01-19T00:00:00"/>
    <n v="1"/>
    <n v="0"/>
    <n v="1"/>
    <x v="0"/>
    <b v="0"/>
    <x v="4"/>
    <x v="1"/>
    <n v="0.22"/>
    <n v="0.2727"/>
    <n v="0.93"/>
    <n v="0"/>
    <n v="0"/>
    <n v="3"/>
    <n v="3"/>
  </r>
  <r>
    <n v="410"/>
    <d v="2011-01-19T00:00:00"/>
    <n v="1"/>
    <n v="0"/>
    <n v="1"/>
    <x v="1"/>
    <b v="0"/>
    <x v="4"/>
    <x v="2"/>
    <n v="0.22"/>
    <n v="0.2273"/>
    <n v="0.93"/>
    <n v="0.1343"/>
    <n v="1"/>
    <n v="6"/>
    <n v="7"/>
  </r>
  <r>
    <n v="411"/>
    <d v="2011-01-19T00:00:00"/>
    <n v="1"/>
    <n v="0"/>
    <n v="1"/>
    <x v="2"/>
    <b v="0"/>
    <x v="4"/>
    <x v="2"/>
    <n v="0.22"/>
    <n v="0.2273"/>
    <n v="0.93"/>
    <n v="0.1343"/>
    <n v="0"/>
    <n v="3"/>
    <n v="3"/>
  </r>
  <r>
    <n v="412"/>
    <d v="2011-01-19T00:00:00"/>
    <n v="1"/>
    <n v="0"/>
    <n v="1"/>
    <x v="4"/>
    <b v="0"/>
    <x v="4"/>
    <x v="2"/>
    <n v="0.22"/>
    <n v="0.2273"/>
    <n v="0.93"/>
    <n v="0.1343"/>
    <n v="1"/>
    <n v="1"/>
    <n v="2"/>
  </r>
  <r>
    <n v="413"/>
    <d v="2011-01-19T00:00:00"/>
    <n v="1"/>
    <n v="0"/>
    <n v="1"/>
    <x v="5"/>
    <b v="0"/>
    <x v="4"/>
    <x v="1"/>
    <n v="0.22"/>
    <n v="0.2576"/>
    <n v="0.93"/>
    <n v="8.9599999999999999E-2"/>
    <n v="0"/>
    <n v="7"/>
    <n v="7"/>
  </r>
  <r>
    <n v="414"/>
    <d v="2011-01-19T00:00:00"/>
    <n v="1"/>
    <n v="0"/>
    <n v="1"/>
    <x v="6"/>
    <b v="0"/>
    <x v="4"/>
    <x v="1"/>
    <n v="0.22"/>
    <n v="0.2576"/>
    <n v="0.93"/>
    <n v="8.9599999999999999E-2"/>
    <n v="0"/>
    <n v="32"/>
    <n v="32"/>
  </r>
  <r>
    <n v="415"/>
    <d v="2011-01-19T00:00:00"/>
    <n v="1"/>
    <n v="0"/>
    <n v="1"/>
    <x v="7"/>
    <b v="0"/>
    <x v="4"/>
    <x v="1"/>
    <n v="0.24"/>
    <n v="0.2576"/>
    <n v="0.92"/>
    <n v="0.1045"/>
    <n v="1"/>
    <n v="89"/>
    <n v="90"/>
  </r>
  <r>
    <n v="416"/>
    <d v="2011-01-19T00:00:00"/>
    <n v="1"/>
    <n v="0"/>
    <n v="1"/>
    <x v="8"/>
    <b v="0"/>
    <x v="4"/>
    <x v="1"/>
    <n v="0.24"/>
    <n v="0.2576"/>
    <n v="0.93"/>
    <n v="0.1045"/>
    <n v="1"/>
    <n v="196"/>
    <n v="197"/>
  </r>
  <r>
    <n v="417"/>
    <d v="2011-01-19T00:00:00"/>
    <n v="1"/>
    <n v="0"/>
    <n v="1"/>
    <x v="9"/>
    <b v="0"/>
    <x v="4"/>
    <x v="1"/>
    <n v="0.24"/>
    <n v="0.2576"/>
    <n v="0.93"/>
    <n v="0.1045"/>
    <n v="2"/>
    <n v="107"/>
    <n v="109"/>
  </r>
  <r>
    <n v="418"/>
    <d v="2011-01-19T00:00:00"/>
    <n v="1"/>
    <n v="0"/>
    <n v="1"/>
    <x v="10"/>
    <b v="0"/>
    <x v="4"/>
    <x v="1"/>
    <n v="0.26"/>
    <n v="0.2727"/>
    <n v="0.93"/>
    <n v="0.1343"/>
    <n v="1"/>
    <n v="46"/>
    <n v="47"/>
  </r>
  <r>
    <n v="419"/>
    <d v="2011-01-19T00:00:00"/>
    <n v="1"/>
    <n v="0"/>
    <n v="1"/>
    <x v="11"/>
    <b v="0"/>
    <x v="4"/>
    <x v="1"/>
    <n v="0.28000000000000003"/>
    <n v="0.30299999999999999"/>
    <n v="0.87"/>
    <n v="8.9599999999999999E-2"/>
    <n v="5"/>
    <n v="47"/>
    <n v="52"/>
  </r>
  <r>
    <n v="420"/>
    <d v="2011-01-19T00:00:00"/>
    <n v="1"/>
    <n v="0"/>
    <n v="1"/>
    <x v="12"/>
    <b v="0"/>
    <x v="4"/>
    <x v="1"/>
    <n v="0.3"/>
    <n v="0.31819999999999998"/>
    <n v="0.81"/>
    <n v="8.9599999999999999E-2"/>
    <n v="5"/>
    <n v="65"/>
    <n v="70"/>
  </r>
  <r>
    <n v="421"/>
    <d v="2011-01-19T00:00:00"/>
    <n v="1"/>
    <n v="0"/>
    <n v="1"/>
    <x v="13"/>
    <b v="0"/>
    <x v="4"/>
    <x v="0"/>
    <n v="0.4"/>
    <n v="0.40910000000000002"/>
    <n v="0.62"/>
    <n v="0.28360000000000002"/>
    <n v="11"/>
    <n v="67"/>
    <n v="78"/>
  </r>
  <r>
    <n v="422"/>
    <d v="2011-01-19T00:00:00"/>
    <n v="1"/>
    <n v="0"/>
    <n v="1"/>
    <x v="14"/>
    <b v="0"/>
    <x v="4"/>
    <x v="0"/>
    <n v="0.4"/>
    <n v="0.40910000000000002"/>
    <n v="0.57999999999999996"/>
    <n v="0.25369999999999998"/>
    <n v="7"/>
    <n v="68"/>
    <n v="75"/>
  </r>
  <r>
    <n v="423"/>
    <d v="2011-01-19T00:00:00"/>
    <n v="1"/>
    <n v="0"/>
    <n v="1"/>
    <x v="15"/>
    <b v="0"/>
    <x v="4"/>
    <x v="0"/>
    <n v="0.4"/>
    <n v="0.40910000000000002"/>
    <n v="0.54"/>
    <n v="0.28360000000000002"/>
    <n v="4"/>
    <n v="78"/>
    <n v="82"/>
  </r>
  <r>
    <n v="424"/>
    <d v="2011-01-19T00:00:00"/>
    <n v="1"/>
    <n v="0"/>
    <n v="1"/>
    <x v="16"/>
    <b v="0"/>
    <x v="4"/>
    <x v="0"/>
    <n v="0.38"/>
    <n v="0.39389999999999997"/>
    <n v="0.57999999999999996"/>
    <n v="0.3881"/>
    <n v="10"/>
    <n v="94"/>
    <n v="104"/>
  </r>
  <r>
    <n v="425"/>
    <d v="2011-01-19T00:00:00"/>
    <n v="1"/>
    <n v="0"/>
    <n v="1"/>
    <x v="17"/>
    <b v="0"/>
    <x v="4"/>
    <x v="0"/>
    <n v="0.36"/>
    <n v="0.33329999999999999"/>
    <n v="0.56999999999999995"/>
    <n v="0.32840000000000003"/>
    <n v="7"/>
    <n v="190"/>
    <n v="197"/>
  </r>
  <r>
    <n v="426"/>
    <d v="2011-01-19T00:00:00"/>
    <n v="1"/>
    <n v="0"/>
    <n v="1"/>
    <x v="18"/>
    <b v="0"/>
    <x v="4"/>
    <x v="0"/>
    <n v="0.34"/>
    <n v="0.31819999999999998"/>
    <n v="0.61"/>
    <n v="0.28360000000000002"/>
    <n v="5"/>
    <n v="156"/>
    <n v="161"/>
  </r>
  <r>
    <n v="427"/>
    <d v="2011-01-19T00:00:00"/>
    <n v="1"/>
    <n v="0"/>
    <n v="1"/>
    <x v="19"/>
    <b v="0"/>
    <x v="4"/>
    <x v="0"/>
    <n v="0.32"/>
    <n v="0.28789999999999999"/>
    <n v="0.56999999999999995"/>
    <n v="0.41789999999999999"/>
    <n v="4"/>
    <n v="108"/>
    <n v="112"/>
  </r>
  <r>
    <n v="428"/>
    <d v="2011-01-19T00:00:00"/>
    <n v="1"/>
    <n v="0"/>
    <n v="1"/>
    <x v="20"/>
    <b v="0"/>
    <x v="4"/>
    <x v="0"/>
    <n v="0.32"/>
    <n v="0.30299999999999999"/>
    <n v="0.49"/>
    <n v="0.29849999999999999"/>
    <n v="2"/>
    <n v="74"/>
    <n v="76"/>
  </r>
  <r>
    <n v="429"/>
    <d v="2011-01-19T00:00:00"/>
    <n v="1"/>
    <n v="0"/>
    <n v="1"/>
    <x v="21"/>
    <b v="0"/>
    <x v="4"/>
    <x v="0"/>
    <n v="0.32"/>
    <n v="0.28789999999999999"/>
    <n v="0.49"/>
    <n v="0.41789999999999999"/>
    <n v="4"/>
    <n v="55"/>
    <n v="59"/>
  </r>
  <r>
    <n v="430"/>
    <d v="2011-01-19T00:00:00"/>
    <n v="1"/>
    <n v="0"/>
    <n v="1"/>
    <x v="22"/>
    <b v="0"/>
    <x v="4"/>
    <x v="0"/>
    <n v="0.3"/>
    <n v="0.30299999999999999"/>
    <n v="0.52"/>
    <n v="0.16420000000000001"/>
    <n v="6"/>
    <n v="53"/>
    <n v="59"/>
  </r>
  <r>
    <n v="431"/>
    <d v="2011-01-19T00:00:00"/>
    <n v="1"/>
    <n v="0"/>
    <n v="1"/>
    <x v="23"/>
    <b v="0"/>
    <x v="4"/>
    <x v="0"/>
    <n v="0.3"/>
    <n v="0.2727"/>
    <n v="0.52"/>
    <n v="0.4627"/>
    <n v="1"/>
    <n v="27"/>
    <n v="28"/>
  </r>
  <r>
    <n v="432"/>
    <d v="2011-01-20T00:00:00"/>
    <n v="1"/>
    <n v="0"/>
    <n v="1"/>
    <x v="0"/>
    <b v="0"/>
    <x v="5"/>
    <x v="0"/>
    <n v="0.26"/>
    <n v="0.2273"/>
    <n v="0.56000000000000005"/>
    <n v="0.3881"/>
    <n v="5"/>
    <n v="8"/>
    <n v="13"/>
  </r>
  <r>
    <n v="433"/>
    <d v="2011-01-20T00:00:00"/>
    <n v="1"/>
    <n v="0"/>
    <n v="1"/>
    <x v="1"/>
    <b v="0"/>
    <x v="5"/>
    <x v="0"/>
    <n v="0.26"/>
    <n v="0.2727"/>
    <n v="0.56000000000000005"/>
    <n v="0"/>
    <n v="2"/>
    <n v="3"/>
    <n v="5"/>
  </r>
  <r>
    <n v="434"/>
    <d v="2011-01-20T00:00:00"/>
    <n v="1"/>
    <n v="0"/>
    <n v="1"/>
    <x v="2"/>
    <b v="0"/>
    <x v="5"/>
    <x v="0"/>
    <n v="0.26"/>
    <n v="0.2727"/>
    <n v="0.56000000000000005"/>
    <n v="0"/>
    <n v="0"/>
    <n v="2"/>
    <n v="2"/>
  </r>
  <r>
    <n v="435"/>
    <d v="2011-01-20T00:00:00"/>
    <n v="1"/>
    <n v="0"/>
    <n v="1"/>
    <x v="3"/>
    <b v="0"/>
    <x v="5"/>
    <x v="0"/>
    <n v="0.26"/>
    <n v="0.2576"/>
    <n v="0.56000000000000005"/>
    <n v="0.16420000000000001"/>
    <n v="0"/>
    <n v="1"/>
    <n v="1"/>
  </r>
  <r>
    <n v="436"/>
    <d v="2011-01-20T00:00:00"/>
    <n v="1"/>
    <n v="0"/>
    <n v="1"/>
    <x v="4"/>
    <b v="0"/>
    <x v="5"/>
    <x v="0"/>
    <n v="0.26"/>
    <n v="0.2576"/>
    <n v="0.56000000000000005"/>
    <n v="0.16420000000000001"/>
    <n v="0"/>
    <n v="1"/>
    <n v="1"/>
  </r>
  <r>
    <n v="437"/>
    <d v="2011-01-20T00:00:00"/>
    <n v="1"/>
    <n v="0"/>
    <n v="1"/>
    <x v="5"/>
    <b v="0"/>
    <x v="5"/>
    <x v="0"/>
    <n v="0.24"/>
    <n v="0.2273"/>
    <n v="0.6"/>
    <n v="0.22389999999999999"/>
    <n v="0"/>
    <n v="6"/>
    <n v="6"/>
  </r>
  <r>
    <n v="438"/>
    <d v="2011-01-20T00:00:00"/>
    <n v="1"/>
    <n v="0"/>
    <n v="1"/>
    <x v="6"/>
    <b v="0"/>
    <x v="5"/>
    <x v="0"/>
    <n v="0.22"/>
    <n v="0.21210000000000001"/>
    <n v="0.6"/>
    <n v="0.22389999999999999"/>
    <n v="0"/>
    <n v="35"/>
    <n v="35"/>
  </r>
  <r>
    <n v="439"/>
    <d v="2011-01-20T00:00:00"/>
    <n v="1"/>
    <n v="0"/>
    <n v="1"/>
    <x v="7"/>
    <b v="0"/>
    <x v="5"/>
    <x v="0"/>
    <n v="0.22"/>
    <n v="0.21210000000000001"/>
    <n v="0.55000000000000004"/>
    <n v="0.22389999999999999"/>
    <n v="1"/>
    <n v="100"/>
    <n v="101"/>
  </r>
  <r>
    <n v="440"/>
    <d v="2011-01-20T00:00:00"/>
    <n v="1"/>
    <n v="0"/>
    <n v="1"/>
    <x v="8"/>
    <b v="0"/>
    <x v="5"/>
    <x v="0"/>
    <n v="0.22"/>
    <n v="0.21210000000000001"/>
    <n v="0.55000000000000004"/>
    <n v="0.28360000000000002"/>
    <n v="2"/>
    <n v="247"/>
    <n v="249"/>
  </r>
  <r>
    <n v="441"/>
    <d v="2011-01-20T00:00:00"/>
    <n v="1"/>
    <n v="0"/>
    <n v="1"/>
    <x v="9"/>
    <b v="0"/>
    <x v="5"/>
    <x v="1"/>
    <n v="0.24"/>
    <n v="0.2273"/>
    <n v="0.52"/>
    <n v="0.22389999999999999"/>
    <n v="3"/>
    <n v="140"/>
    <n v="143"/>
  </r>
  <r>
    <n v="442"/>
    <d v="2011-01-20T00:00:00"/>
    <n v="1"/>
    <n v="0"/>
    <n v="1"/>
    <x v="10"/>
    <b v="0"/>
    <x v="5"/>
    <x v="0"/>
    <n v="0.26"/>
    <n v="0.2273"/>
    <n v="0.48"/>
    <n v="0.29849999999999999"/>
    <n v="1"/>
    <n v="56"/>
    <n v="57"/>
  </r>
  <r>
    <n v="443"/>
    <d v="2011-01-20T00:00:00"/>
    <n v="1"/>
    <n v="0"/>
    <n v="1"/>
    <x v="11"/>
    <b v="0"/>
    <x v="5"/>
    <x v="1"/>
    <n v="0.28000000000000003"/>
    <n v="0.2727"/>
    <n v="0.45"/>
    <n v="0.16420000000000001"/>
    <n v="5"/>
    <n v="63"/>
    <n v="68"/>
  </r>
  <r>
    <n v="444"/>
    <d v="2011-01-20T00:00:00"/>
    <n v="1"/>
    <n v="0"/>
    <n v="1"/>
    <x v="12"/>
    <b v="0"/>
    <x v="5"/>
    <x v="1"/>
    <n v="0.3"/>
    <n v="0.33329999999999999"/>
    <n v="0.42"/>
    <n v="0"/>
    <n v="7"/>
    <n v="77"/>
    <n v="84"/>
  </r>
  <r>
    <n v="445"/>
    <d v="2011-01-20T00:00:00"/>
    <n v="1"/>
    <n v="0"/>
    <n v="1"/>
    <x v="13"/>
    <b v="0"/>
    <x v="5"/>
    <x v="1"/>
    <n v="0.28000000000000003"/>
    <n v="0.28789999999999999"/>
    <n v="0.45"/>
    <n v="0.1045"/>
    <n v="12"/>
    <n v="86"/>
    <n v="98"/>
  </r>
  <r>
    <n v="446"/>
    <d v="2011-01-20T00:00:00"/>
    <n v="1"/>
    <n v="0"/>
    <n v="1"/>
    <x v="14"/>
    <b v="0"/>
    <x v="5"/>
    <x v="1"/>
    <n v="0.3"/>
    <n v="0.30299999999999999"/>
    <n v="0.45"/>
    <n v="0.1343"/>
    <n v="6"/>
    <n v="75"/>
    <n v="81"/>
  </r>
  <r>
    <n v="447"/>
    <d v="2011-01-20T00:00:00"/>
    <n v="1"/>
    <n v="0"/>
    <n v="1"/>
    <x v="15"/>
    <b v="0"/>
    <x v="5"/>
    <x v="1"/>
    <n v="0.32"/>
    <n v="0.31819999999999998"/>
    <n v="0.45"/>
    <n v="0.19400000000000001"/>
    <n v="8"/>
    <n v="62"/>
    <n v="70"/>
  </r>
  <r>
    <n v="448"/>
    <d v="2011-01-20T00:00:00"/>
    <n v="1"/>
    <n v="0"/>
    <n v="1"/>
    <x v="16"/>
    <b v="0"/>
    <x v="5"/>
    <x v="1"/>
    <n v="0.3"/>
    <n v="0.30299999999999999"/>
    <n v="0.49"/>
    <n v="0.1343"/>
    <n v="8"/>
    <n v="83"/>
    <n v="91"/>
  </r>
  <r>
    <n v="449"/>
    <d v="2011-01-20T00:00:00"/>
    <n v="1"/>
    <n v="0"/>
    <n v="1"/>
    <x v="17"/>
    <b v="0"/>
    <x v="5"/>
    <x v="1"/>
    <n v="0.3"/>
    <n v="0.31819999999999998"/>
    <n v="0.49"/>
    <n v="0.1045"/>
    <n v="8"/>
    <n v="207"/>
    <n v="215"/>
  </r>
  <r>
    <n v="450"/>
    <d v="2011-01-20T00:00:00"/>
    <n v="1"/>
    <n v="0"/>
    <n v="1"/>
    <x v="18"/>
    <b v="0"/>
    <x v="5"/>
    <x v="1"/>
    <n v="0.26"/>
    <n v="0.2576"/>
    <n v="0.56000000000000005"/>
    <n v="0.19400000000000001"/>
    <n v="1"/>
    <n v="184"/>
    <n v="185"/>
  </r>
  <r>
    <n v="451"/>
    <d v="2011-01-20T00:00:00"/>
    <n v="1"/>
    <n v="0"/>
    <n v="1"/>
    <x v="19"/>
    <b v="0"/>
    <x v="5"/>
    <x v="0"/>
    <n v="0.26"/>
    <n v="0.2273"/>
    <n v="0.56000000000000005"/>
    <n v="0.32840000000000003"/>
    <n v="6"/>
    <n v="146"/>
    <n v="152"/>
  </r>
  <r>
    <n v="452"/>
    <d v="2011-01-20T00:00:00"/>
    <n v="1"/>
    <n v="0"/>
    <n v="1"/>
    <x v="20"/>
    <b v="0"/>
    <x v="5"/>
    <x v="1"/>
    <n v="0.26"/>
    <n v="0.2424"/>
    <n v="0.6"/>
    <n v="0.28360000000000002"/>
    <n v="2"/>
    <n v="124"/>
    <n v="126"/>
  </r>
  <r>
    <n v="453"/>
    <d v="2011-01-20T00:00:00"/>
    <n v="1"/>
    <n v="0"/>
    <n v="1"/>
    <x v="21"/>
    <b v="0"/>
    <x v="5"/>
    <x v="1"/>
    <n v="0.24"/>
    <n v="0.2273"/>
    <n v="0.6"/>
    <n v="0.25369999999999998"/>
    <n v="3"/>
    <n v="54"/>
    <n v="57"/>
  </r>
  <r>
    <n v="454"/>
    <d v="2011-01-20T00:00:00"/>
    <n v="1"/>
    <n v="0"/>
    <n v="1"/>
    <x v="22"/>
    <b v="0"/>
    <x v="5"/>
    <x v="1"/>
    <n v="0.24"/>
    <n v="0.21210000000000001"/>
    <n v="0.65"/>
    <n v="0.28360000000000002"/>
    <n v="0"/>
    <n v="56"/>
    <n v="56"/>
  </r>
  <r>
    <n v="455"/>
    <d v="2011-01-20T00:00:00"/>
    <n v="1"/>
    <n v="0"/>
    <n v="1"/>
    <x v="23"/>
    <b v="0"/>
    <x v="5"/>
    <x v="1"/>
    <n v="0.24"/>
    <n v="0.21210000000000001"/>
    <n v="0.65"/>
    <n v="0.32840000000000003"/>
    <n v="3"/>
    <n v="28"/>
    <n v="31"/>
  </r>
  <r>
    <n v="456"/>
    <d v="2011-01-21T00:00:00"/>
    <n v="1"/>
    <n v="0"/>
    <n v="1"/>
    <x v="0"/>
    <b v="0"/>
    <x v="6"/>
    <x v="1"/>
    <n v="0.24"/>
    <n v="0.2273"/>
    <n v="0.7"/>
    <n v="0.25369999999999998"/>
    <n v="1"/>
    <n v="20"/>
    <n v="21"/>
  </r>
  <r>
    <n v="457"/>
    <d v="2011-01-21T00:00:00"/>
    <n v="1"/>
    <n v="0"/>
    <n v="1"/>
    <x v="1"/>
    <b v="0"/>
    <x v="6"/>
    <x v="1"/>
    <n v="0.24"/>
    <n v="0.2273"/>
    <n v="0.7"/>
    <n v="0.25369999999999998"/>
    <n v="0"/>
    <n v="6"/>
    <n v="6"/>
  </r>
  <r>
    <n v="458"/>
    <d v="2011-01-21T00:00:00"/>
    <n v="1"/>
    <n v="0"/>
    <n v="1"/>
    <x v="2"/>
    <b v="0"/>
    <x v="6"/>
    <x v="2"/>
    <n v="0.24"/>
    <n v="0.2424"/>
    <n v="0.75"/>
    <n v="0.16420000000000001"/>
    <n v="0"/>
    <n v="2"/>
    <n v="2"/>
  </r>
  <r>
    <n v="459"/>
    <d v="2011-01-21T00:00:00"/>
    <n v="1"/>
    <n v="0"/>
    <n v="1"/>
    <x v="3"/>
    <b v="0"/>
    <x v="6"/>
    <x v="2"/>
    <n v="0.22"/>
    <n v="0.21210000000000001"/>
    <n v="0.8"/>
    <n v="0.29849999999999999"/>
    <n v="0"/>
    <n v="1"/>
    <n v="1"/>
  </r>
  <r>
    <n v="460"/>
    <d v="2011-01-21T00:00:00"/>
    <n v="1"/>
    <n v="0"/>
    <n v="1"/>
    <x v="4"/>
    <b v="0"/>
    <x v="6"/>
    <x v="1"/>
    <n v="0.22"/>
    <n v="0.2576"/>
    <n v="0.87"/>
    <n v="8.9599999999999999E-2"/>
    <n v="0"/>
    <n v="1"/>
    <n v="1"/>
  </r>
  <r>
    <n v="461"/>
    <d v="2011-01-21T00:00:00"/>
    <n v="1"/>
    <n v="0"/>
    <n v="1"/>
    <x v="5"/>
    <b v="0"/>
    <x v="6"/>
    <x v="0"/>
    <n v="0.24"/>
    <n v="0.19700000000000001"/>
    <n v="0.6"/>
    <n v="0.41789999999999999"/>
    <n v="1"/>
    <n v="4"/>
    <n v="5"/>
  </r>
  <r>
    <n v="462"/>
    <d v="2011-01-21T00:00:00"/>
    <n v="1"/>
    <n v="0"/>
    <n v="1"/>
    <x v="6"/>
    <b v="0"/>
    <x v="6"/>
    <x v="0"/>
    <n v="0.22"/>
    <n v="0.21210000000000001"/>
    <n v="0.55000000000000004"/>
    <n v="0.25369999999999998"/>
    <n v="0"/>
    <n v="27"/>
    <n v="27"/>
  </r>
  <r>
    <n v="463"/>
    <d v="2011-01-21T00:00:00"/>
    <n v="1"/>
    <n v="0"/>
    <n v="1"/>
    <x v="7"/>
    <b v="0"/>
    <x v="6"/>
    <x v="0"/>
    <n v="0.2"/>
    <n v="0.18179999999999999"/>
    <n v="0.51"/>
    <n v="0.28360000000000002"/>
    <n v="2"/>
    <n v="66"/>
    <n v="68"/>
  </r>
  <r>
    <n v="464"/>
    <d v="2011-01-21T00:00:00"/>
    <n v="1"/>
    <n v="0"/>
    <n v="1"/>
    <x v="8"/>
    <b v="0"/>
    <x v="6"/>
    <x v="0"/>
    <n v="0.2"/>
    <n v="0.18179999999999999"/>
    <n v="0.47"/>
    <n v="0.32840000000000003"/>
    <n v="7"/>
    <n v="210"/>
    <n v="217"/>
  </r>
  <r>
    <n v="465"/>
    <d v="2011-01-21T00:00:00"/>
    <n v="1"/>
    <n v="0"/>
    <n v="1"/>
    <x v="9"/>
    <b v="0"/>
    <x v="6"/>
    <x v="0"/>
    <n v="0.2"/>
    <n v="0.18179999999999999"/>
    <n v="0.51"/>
    <n v="0.35820000000000002"/>
    <n v="7"/>
    <n v="159"/>
    <n v="166"/>
  </r>
  <r>
    <n v="466"/>
    <d v="2011-01-21T00:00:00"/>
    <n v="1"/>
    <n v="0"/>
    <n v="1"/>
    <x v="10"/>
    <b v="0"/>
    <x v="6"/>
    <x v="0"/>
    <n v="0.2"/>
    <n v="0.16669999999999999"/>
    <n v="0.47"/>
    <n v="0.4627"/>
    <n v="6"/>
    <n v="57"/>
    <n v="63"/>
  </r>
  <r>
    <n v="467"/>
    <d v="2011-01-21T00:00:00"/>
    <n v="1"/>
    <n v="0"/>
    <n v="1"/>
    <x v="11"/>
    <b v="0"/>
    <x v="6"/>
    <x v="0"/>
    <n v="0.22"/>
    <n v="0.18179999999999999"/>
    <n v="0.41"/>
    <n v="0.4627"/>
    <n v="6"/>
    <n v="53"/>
    <n v="59"/>
  </r>
  <r>
    <n v="468"/>
    <d v="2011-01-21T00:00:00"/>
    <n v="1"/>
    <n v="0"/>
    <n v="1"/>
    <x v="12"/>
    <b v="0"/>
    <x v="6"/>
    <x v="0"/>
    <n v="0.22"/>
    <n v="0.18179999999999999"/>
    <n v="0.27"/>
    <n v="0.58209999999999995"/>
    <n v="11"/>
    <n v="67"/>
    <n v="78"/>
  </r>
  <r>
    <n v="469"/>
    <d v="2011-01-21T00:00:00"/>
    <n v="1"/>
    <n v="0"/>
    <n v="1"/>
    <x v="13"/>
    <b v="0"/>
    <x v="6"/>
    <x v="0"/>
    <n v="0.2"/>
    <n v="0.1515"/>
    <n v="0.21"/>
    <n v="0.58209999999999995"/>
    <n v="8"/>
    <n v="65"/>
    <n v="73"/>
  </r>
  <r>
    <n v="470"/>
    <d v="2011-01-21T00:00:00"/>
    <n v="1"/>
    <n v="0"/>
    <n v="1"/>
    <x v="14"/>
    <b v="0"/>
    <x v="6"/>
    <x v="0"/>
    <n v="0.2"/>
    <n v="0.1515"/>
    <n v="0.25"/>
    <n v="0.52239999999999998"/>
    <n v="6"/>
    <n v="56"/>
    <n v="62"/>
  </r>
  <r>
    <n v="471"/>
    <d v="2011-01-21T00:00:00"/>
    <n v="1"/>
    <n v="0"/>
    <n v="1"/>
    <x v="15"/>
    <b v="0"/>
    <x v="6"/>
    <x v="0"/>
    <n v="0.16"/>
    <n v="0.1212"/>
    <n v="0.26"/>
    <n v="0.44779999999999998"/>
    <n v="4"/>
    <n v="61"/>
    <n v="65"/>
  </r>
  <r>
    <n v="472"/>
    <d v="2011-01-21T00:00:00"/>
    <n v="1"/>
    <n v="0"/>
    <n v="1"/>
    <x v="16"/>
    <b v="0"/>
    <x v="6"/>
    <x v="0"/>
    <n v="0.16"/>
    <n v="0.13639999999999999"/>
    <n v="0.26"/>
    <n v="0.35820000000000002"/>
    <n v="0"/>
    <n v="97"/>
    <n v="97"/>
  </r>
  <r>
    <n v="473"/>
    <d v="2011-01-21T00:00:00"/>
    <n v="1"/>
    <n v="0"/>
    <n v="1"/>
    <x v="17"/>
    <b v="0"/>
    <x v="6"/>
    <x v="0"/>
    <n v="0.14000000000000001"/>
    <n v="0.1212"/>
    <n v="0.28000000000000003"/>
    <n v="0.35820000000000002"/>
    <n v="10"/>
    <n v="151"/>
    <n v="161"/>
  </r>
  <r>
    <n v="474"/>
    <d v="2011-01-21T00:00:00"/>
    <n v="1"/>
    <n v="0"/>
    <n v="1"/>
    <x v="18"/>
    <b v="0"/>
    <x v="6"/>
    <x v="0"/>
    <n v="0.12"/>
    <n v="0.1212"/>
    <n v="0.3"/>
    <n v="0.25369999999999998"/>
    <n v="1"/>
    <n v="119"/>
    <n v="120"/>
  </r>
  <r>
    <n v="475"/>
    <d v="2011-01-21T00:00:00"/>
    <n v="1"/>
    <n v="0"/>
    <n v="1"/>
    <x v="19"/>
    <b v="0"/>
    <x v="6"/>
    <x v="0"/>
    <n v="0.12"/>
    <n v="0.1061"/>
    <n v="0.3"/>
    <n v="0.32840000000000003"/>
    <n v="3"/>
    <n v="93"/>
    <n v="96"/>
  </r>
  <r>
    <n v="476"/>
    <d v="2011-01-21T00:00:00"/>
    <n v="1"/>
    <n v="0"/>
    <n v="1"/>
    <x v="20"/>
    <b v="0"/>
    <x v="6"/>
    <x v="0"/>
    <n v="0.1"/>
    <n v="7.5800000000000006E-2"/>
    <n v="0.33"/>
    <n v="0.41789999999999999"/>
    <n v="1"/>
    <n v="52"/>
    <n v="53"/>
  </r>
  <r>
    <n v="477"/>
    <d v="2011-01-21T00:00:00"/>
    <n v="1"/>
    <n v="0"/>
    <n v="1"/>
    <x v="21"/>
    <b v="0"/>
    <x v="6"/>
    <x v="0"/>
    <n v="0.08"/>
    <n v="7.5800000000000006E-2"/>
    <n v="0.38"/>
    <n v="0.28360000000000002"/>
    <n v="0"/>
    <n v="41"/>
    <n v="41"/>
  </r>
  <r>
    <n v="478"/>
    <d v="2011-01-21T00:00:00"/>
    <n v="1"/>
    <n v="0"/>
    <n v="1"/>
    <x v="22"/>
    <b v="0"/>
    <x v="6"/>
    <x v="0"/>
    <n v="0.06"/>
    <n v="3.0300000000000001E-2"/>
    <n v="0.41"/>
    <n v="0.3881"/>
    <n v="1"/>
    <n v="33"/>
    <n v="34"/>
  </r>
  <r>
    <n v="479"/>
    <d v="2011-01-21T00:00:00"/>
    <n v="1"/>
    <n v="0"/>
    <n v="1"/>
    <x v="23"/>
    <b v="0"/>
    <x v="6"/>
    <x v="0"/>
    <n v="0.06"/>
    <n v="4.5499999999999999E-2"/>
    <n v="0.38"/>
    <n v="0.32840000000000003"/>
    <n v="0"/>
    <n v="27"/>
    <n v="27"/>
  </r>
  <r>
    <n v="480"/>
    <d v="2011-01-22T00:00:00"/>
    <n v="1"/>
    <n v="0"/>
    <n v="1"/>
    <x v="0"/>
    <b v="0"/>
    <x v="0"/>
    <x v="0"/>
    <n v="0.04"/>
    <n v="3.0300000000000001E-2"/>
    <n v="0.45"/>
    <n v="0.25369999999999998"/>
    <n v="0"/>
    <n v="13"/>
    <n v="13"/>
  </r>
  <r>
    <n v="481"/>
    <d v="2011-01-22T00:00:00"/>
    <n v="1"/>
    <n v="0"/>
    <n v="1"/>
    <x v="1"/>
    <b v="0"/>
    <x v="0"/>
    <x v="1"/>
    <n v="0.04"/>
    <n v="0"/>
    <n v="0.41"/>
    <n v="0.3881"/>
    <n v="3"/>
    <n v="9"/>
    <n v="12"/>
  </r>
  <r>
    <n v="482"/>
    <d v="2011-01-22T00:00:00"/>
    <n v="1"/>
    <n v="0"/>
    <n v="1"/>
    <x v="2"/>
    <b v="0"/>
    <x v="0"/>
    <x v="1"/>
    <n v="0.04"/>
    <n v="3.0300000000000001E-2"/>
    <n v="0.41"/>
    <n v="0.25369999999999998"/>
    <n v="0"/>
    <n v="11"/>
    <n v="11"/>
  </r>
  <r>
    <n v="483"/>
    <d v="2011-01-22T00:00:00"/>
    <n v="1"/>
    <n v="0"/>
    <n v="1"/>
    <x v="3"/>
    <b v="0"/>
    <x v="0"/>
    <x v="1"/>
    <n v="0.04"/>
    <n v="3.0300000000000001E-2"/>
    <n v="0.41"/>
    <n v="0.28360000000000002"/>
    <n v="1"/>
    <n v="6"/>
    <n v="7"/>
  </r>
  <r>
    <n v="484"/>
    <d v="2011-01-22T00:00:00"/>
    <n v="1"/>
    <n v="0"/>
    <n v="1"/>
    <x v="4"/>
    <b v="0"/>
    <x v="0"/>
    <x v="1"/>
    <n v="0.02"/>
    <n v="1.52E-2"/>
    <n v="0.48"/>
    <n v="0.29849999999999999"/>
    <n v="0"/>
    <n v="3"/>
    <n v="3"/>
  </r>
  <r>
    <n v="485"/>
    <d v="2011-01-22T00:00:00"/>
    <n v="1"/>
    <n v="0"/>
    <n v="1"/>
    <x v="6"/>
    <b v="0"/>
    <x v="0"/>
    <x v="1"/>
    <n v="0.02"/>
    <n v="3.0300000000000001E-2"/>
    <n v="0.44"/>
    <n v="0.22389999999999999"/>
    <n v="0"/>
    <n v="2"/>
    <n v="2"/>
  </r>
  <r>
    <n v="486"/>
    <d v="2011-01-22T00:00:00"/>
    <n v="1"/>
    <n v="0"/>
    <n v="1"/>
    <x v="7"/>
    <b v="0"/>
    <x v="0"/>
    <x v="0"/>
    <n v="0.02"/>
    <n v="1.52E-2"/>
    <n v="0.44"/>
    <n v="0.28360000000000002"/>
    <n v="0"/>
    <n v="8"/>
    <n v="8"/>
  </r>
  <r>
    <n v="487"/>
    <d v="2011-01-22T00:00:00"/>
    <n v="1"/>
    <n v="0"/>
    <n v="1"/>
    <x v="8"/>
    <b v="0"/>
    <x v="0"/>
    <x v="0"/>
    <n v="0.02"/>
    <n v="0"/>
    <n v="0.44"/>
    <n v="0.32840000000000003"/>
    <n v="1"/>
    <n v="26"/>
    <n v="27"/>
  </r>
  <r>
    <n v="488"/>
    <d v="2011-01-22T00:00:00"/>
    <n v="1"/>
    <n v="0"/>
    <n v="1"/>
    <x v="9"/>
    <b v="0"/>
    <x v="0"/>
    <x v="0"/>
    <n v="0.04"/>
    <n v="3.0300000000000001E-2"/>
    <n v="0.41"/>
    <n v="0.25369999999999998"/>
    <n v="3"/>
    <n v="37"/>
    <n v="40"/>
  </r>
  <r>
    <n v="489"/>
    <d v="2011-01-22T00:00:00"/>
    <n v="1"/>
    <n v="0"/>
    <n v="1"/>
    <x v="10"/>
    <b v="0"/>
    <x v="0"/>
    <x v="1"/>
    <n v="0.04"/>
    <n v="6.0600000000000001E-2"/>
    <n v="0.41"/>
    <n v="0.16420000000000001"/>
    <n v="3"/>
    <n v="50"/>
    <n v="53"/>
  </r>
  <r>
    <n v="490"/>
    <d v="2011-01-22T00:00:00"/>
    <n v="1"/>
    <n v="0"/>
    <n v="1"/>
    <x v="11"/>
    <b v="0"/>
    <x v="0"/>
    <x v="1"/>
    <n v="0.06"/>
    <n v="7.5800000000000006E-2"/>
    <n v="0.38"/>
    <n v="0.1343"/>
    <n v="4"/>
    <n v="59"/>
    <n v="63"/>
  </r>
  <r>
    <n v="491"/>
    <d v="2011-01-22T00:00:00"/>
    <n v="1"/>
    <n v="0"/>
    <n v="1"/>
    <x v="12"/>
    <b v="0"/>
    <x v="0"/>
    <x v="1"/>
    <n v="0.06"/>
    <n v="0.1061"/>
    <n v="0.38"/>
    <n v="0.1045"/>
    <n v="10"/>
    <n v="60"/>
    <n v="70"/>
  </r>
  <r>
    <n v="492"/>
    <d v="2011-01-22T00:00:00"/>
    <n v="1"/>
    <n v="0"/>
    <n v="1"/>
    <x v="13"/>
    <b v="0"/>
    <x v="0"/>
    <x v="0"/>
    <n v="0.08"/>
    <n v="0.16669999999999999"/>
    <n v="0.35"/>
    <n v="0"/>
    <n v="12"/>
    <n v="72"/>
    <n v="84"/>
  </r>
  <r>
    <n v="493"/>
    <d v="2011-01-22T00:00:00"/>
    <n v="1"/>
    <n v="0"/>
    <n v="1"/>
    <x v="14"/>
    <b v="0"/>
    <x v="0"/>
    <x v="0"/>
    <n v="0.1"/>
    <n v="0.13639999999999999"/>
    <n v="0.33"/>
    <n v="0.1045"/>
    <n v="11"/>
    <n v="64"/>
    <n v="75"/>
  </r>
  <r>
    <n v="494"/>
    <d v="2011-01-22T00:00:00"/>
    <n v="1"/>
    <n v="0"/>
    <n v="1"/>
    <x v="15"/>
    <b v="0"/>
    <x v="0"/>
    <x v="0"/>
    <n v="0.12"/>
    <n v="0.1515"/>
    <n v="0.28000000000000003"/>
    <n v="0"/>
    <n v="10"/>
    <n v="93"/>
    <n v="103"/>
  </r>
  <r>
    <n v="495"/>
    <d v="2011-01-22T00:00:00"/>
    <n v="1"/>
    <n v="0"/>
    <n v="1"/>
    <x v="16"/>
    <b v="0"/>
    <x v="0"/>
    <x v="0"/>
    <n v="0.12"/>
    <n v="0.13639999999999999"/>
    <n v="0.28000000000000003"/>
    <n v="0.19400000000000001"/>
    <n v="11"/>
    <n v="72"/>
    <n v="83"/>
  </r>
  <r>
    <n v="496"/>
    <d v="2011-01-22T00:00:00"/>
    <n v="1"/>
    <n v="0"/>
    <n v="1"/>
    <x v="17"/>
    <b v="0"/>
    <x v="0"/>
    <x v="0"/>
    <n v="0.12"/>
    <n v="0.19700000000000001"/>
    <n v="0.28000000000000003"/>
    <n v="0"/>
    <n v="8"/>
    <n v="59"/>
    <n v="67"/>
  </r>
  <r>
    <n v="497"/>
    <d v="2011-01-22T00:00:00"/>
    <n v="1"/>
    <n v="0"/>
    <n v="1"/>
    <x v="18"/>
    <b v="0"/>
    <x v="0"/>
    <x v="0"/>
    <n v="0.08"/>
    <n v="9.0899999999999995E-2"/>
    <n v="0.35"/>
    <n v="0.19400000000000001"/>
    <n v="0"/>
    <n v="54"/>
    <n v="54"/>
  </r>
  <r>
    <n v="498"/>
    <d v="2011-01-22T00:00:00"/>
    <n v="1"/>
    <n v="0"/>
    <n v="1"/>
    <x v="19"/>
    <b v="0"/>
    <x v="0"/>
    <x v="0"/>
    <n v="0.08"/>
    <n v="0.1061"/>
    <n v="0.35"/>
    <n v="0.1343"/>
    <n v="6"/>
    <n v="53"/>
    <n v="59"/>
  </r>
  <r>
    <n v="499"/>
    <d v="2011-01-22T00:00:00"/>
    <n v="1"/>
    <n v="0"/>
    <n v="1"/>
    <x v="20"/>
    <b v="0"/>
    <x v="0"/>
    <x v="0"/>
    <n v="0.06"/>
    <n v="7.5800000000000006E-2"/>
    <n v="0.45"/>
    <n v="0.16420000000000001"/>
    <n v="1"/>
    <n v="44"/>
    <n v="45"/>
  </r>
  <r>
    <n v="500"/>
    <d v="2011-01-22T00:00:00"/>
    <n v="1"/>
    <n v="0"/>
    <n v="1"/>
    <x v="21"/>
    <b v="0"/>
    <x v="0"/>
    <x v="0"/>
    <n v="0.06"/>
    <n v="0.1061"/>
    <n v="0.41"/>
    <n v="8.9599999999999999E-2"/>
    <n v="0"/>
    <n v="39"/>
    <n v="39"/>
  </r>
  <r>
    <n v="501"/>
    <d v="2011-01-22T00:00:00"/>
    <n v="1"/>
    <n v="0"/>
    <n v="1"/>
    <x v="22"/>
    <b v="0"/>
    <x v="0"/>
    <x v="0"/>
    <n v="0.06"/>
    <n v="0.1515"/>
    <n v="0.49"/>
    <n v="0"/>
    <n v="7"/>
    <n v="23"/>
    <n v="30"/>
  </r>
  <r>
    <n v="502"/>
    <d v="2011-01-22T00:00:00"/>
    <n v="1"/>
    <n v="0"/>
    <n v="1"/>
    <x v="23"/>
    <b v="0"/>
    <x v="0"/>
    <x v="0"/>
    <n v="0.04"/>
    <n v="7.5800000000000006E-2"/>
    <n v="0.56999999999999995"/>
    <n v="0.1045"/>
    <n v="2"/>
    <n v="31"/>
    <n v="33"/>
  </r>
  <r>
    <n v="503"/>
    <d v="2011-01-23T00:00:00"/>
    <n v="1"/>
    <n v="0"/>
    <n v="1"/>
    <x v="0"/>
    <b v="0"/>
    <x v="1"/>
    <x v="0"/>
    <n v="0.04"/>
    <n v="7.5800000000000006E-2"/>
    <n v="0.56999999999999995"/>
    <n v="0.1045"/>
    <n v="2"/>
    <n v="20"/>
    <n v="22"/>
  </r>
  <r>
    <n v="504"/>
    <d v="2011-01-23T00:00:00"/>
    <n v="1"/>
    <n v="0"/>
    <n v="1"/>
    <x v="1"/>
    <b v="0"/>
    <x v="1"/>
    <x v="0"/>
    <n v="0.04"/>
    <n v="7.5800000000000006E-2"/>
    <n v="0.56999999999999995"/>
    <n v="0.1045"/>
    <n v="1"/>
    <n v="12"/>
    <n v="13"/>
  </r>
  <r>
    <n v="505"/>
    <d v="2011-01-23T00:00:00"/>
    <n v="1"/>
    <n v="0"/>
    <n v="1"/>
    <x v="2"/>
    <b v="0"/>
    <x v="1"/>
    <x v="0"/>
    <n v="0.02"/>
    <n v="6.0600000000000001E-2"/>
    <n v="0.62"/>
    <n v="0.1343"/>
    <n v="3"/>
    <n v="15"/>
    <n v="18"/>
  </r>
  <r>
    <n v="506"/>
    <d v="2011-01-23T00:00:00"/>
    <n v="1"/>
    <n v="0"/>
    <n v="1"/>
    <x v="3"/>
    <b v="0"/>
    <x v="1"/>
    <x v="0"/>
    <n v="0.02"/>
    <n v="6.0600000000000001E-2"/>
    <n v="0.62"/>
    <n v="0.1343"/>
    <n v="1"/>
    <n v="4"/>
    <n v="5"/>
  </r>
  <r>
    <n v="507"/>
    <d v="2011-01-23T00:00:00"/>
    <n v="1"/>
    <n v="0"/>
    <n v="1"/>
    <x v="5"/>
    <b v="0"/>
    <x v="1"/>
    <x v="1"/>
    <n v="0.04"/>
    <n v="7.5800000000000006E-2"/>
    <n v="0.56999999999999995"/>
    <n v="0.1045"/>
    <n v="0"/>
    <n v="3"/>
    <n v="3"/>
  </r>
  <r>
    <n v="508"/>
    <d v="2011-01-23T00:00:00"/>
    <n v="1"/>
    <n v="0"/>
    <n v="1"/>
    <x v="6"/>
    <b v="0"/>
    <x v="1"/>
    <x v="1"/>
    <n v="0.04"/>
    <n v="7.5800000000000006E-2"/>
    <n v="0.56999999999999995"/>
    <n v="0.1045"/>
    <n v="0"/>
    <n v="1"/>
    <n v="1"/>
  </r>
  <r>
    <n v="509"/>
    <d v="2011-01-23T00:00:00"/>
    <n v="1"/>
    <n v="0"/>
    <n v="1"/>
    <x v="7"/>
    <b v="0"/>
    <x v="1"/>
    <x v="0"/>
    <n v="0.08"/>
    <n v="0.1061"/>
    <n v="0.57999999999999996"/>
    <n v="0.16420000000000001"/>
    <n v="1"/>
    <n v="1"/>
    <n v="2"/>
  </r>
  <r>
    <n v="510"/>
    <d v="2011-01-23T00:00:00"/>
    <n v="1"/>
    <n v="0"/>
    <n v="1"/>
    <x v="8"/>
    <b v="0"/>
    <x v="1"/>
    <x v="0"/>
    <n v="0.06"/>
    <n v="7.5800000000000006E-2"/>
    <n v="0.62"/>
    <n v="0.16420000000000001"/>
    <n v="2"/>
    <n v="17"/>
    <n v="19"/>
  </r>
  <r>
    <n v="511"/>
    <d v="2011-01-23T00:00:00"/>
    <n v="1"/>
    <n v="0"/>
    <n v="1"/>
    <x v="9"/>
    <b v="0"/>
    <x v="1"/>
    <x v="0"/>
    <n v="0.1"/>
    <n v="7.5800000000000006E-2"/>
    <n v="0.54"/>
    <n v="0.35820000000000002"/>
    <n v="3"/>
    <n v="25"/>
    <n v="28"/>
  </r>
  <r>
    <n v="512"/>
    <d v="2011-01-23T00:00:00"/>
    <n v="1"/>
    <n v="0"/>
    <n v="1"/>
    <x v="10"/>
    <b v="0"/>
    <x v="1"/>
    <x v="0"/>
    <n v="0.14000000000000001"/>
    <n v="0.1061"/>
    <n v="0.46"/>
    <n v="0.3881"/>
    <n v="7"/>
    <n v="51"/>
    <n v="58"/>
  </r>
  <r>
    <n v="513"/>
    <d v="2011-01-23T00:00:00"/>
    <n v="1"/>
    <n v="0"/>
    <n v="1"/>
    <x v="11"/>
    <b v="0"/>
    <x v="1"/>
    <x v="0"/>
    <n v="0.14000000000000001"/>
    <n v="0.13639999999999999"/>
    <n v="0.43"/>
    <n v="0.22389999999999999"/>
    <n v="22"/>
    <n v="77"/>
    <n v="99"/>
  </r>
  <r>
    <n v="514"/>
    <d v="2011-01-23T00:00:00"/>
    <n v="1"/>
    <n v="0"/>
    <n v="1"/>
    <x v="12"/>
    <b v="0"/>
    <x v="1"/>
    <x v="0"/>
    <n v="0.16"/>
    <n v="0.1212"/>
    <n v="0.37"/>
    <n v="0.4627"/>
    <n v="24"/>
    <n v="92"/>
    <n v="116"/>
  </r>
  <r>
    <n v="515"/>
    <d v="2011-01-23T00:00:00"/>
    <n v="1"/>
    <n v="0"/>
    <n v="1"/>
    <x v="13"/>
    <b v="0"/>
    <x v="1"/>
    <x v="0"/>
    <n v="0.14000000000000001"/>
    <n v="0.1061"/>
    <n v="0.33"/>
    <n v="0.3881"/>
    <n v="12"/>
    <n v="75"/>
    <n v="87"/>
  </r>
  <r>
    <n v="516"/>
    <d v="2011-01-23T00:00:00"/>
    <n v="1"/>
    <n v="0"/>
    <n v="1"/>
    <x v="14"/>
    <b v="0"/>
    <x v="1"/>
    <x v="0"/>
    <n v="0.16"/>
    <n v="0.13639999999999999"/>
    <n v="0.28000000000000003"/>
    <n v="0.35820000000000002"/>
    <n v="17"/>
    <n v="93"/>
    <n v="110"/>
  </r>
  <r>
    <n v="517"/>
    <d v="2011-01-23T00:00:00"/>
    <n v="1"/>
    <n v="0"/>
    <n v="1"/>
    <x v="15"/>
    <b v="0"/>
    <x v="1"/>
    <x v="0"/>
    <n v="0.16"/>
    <n v="0.13639999999999999"/>
    <n v="0.28000000000000003"/>
    <n v="0.35820000000000002"/>
    <n v="13"/>
    <n v="64"/>
    <n v="77"/>
  </r>
  <r>
    <n v="518"/>
    <d v="2011-01-23T00:00:00"/>
    <n v="1"/>
    <n v="0"/>
    <n v="1"/>
    <x v="16"/>
    <b v="0"/>
    <x v="1"/>
    <x v="0"/>
    <n v="0.16"/>
    <n v="0.13639999999999999"/>
    <n v="0.26"/>
    <n v="0.32840000000000003"/>
    <n v="9"/>
    <n v="56"/>
    <n v="65"/>
  </r>
  <r>
    <n v="519"/>
    <d v="2011-01-23T00:00:00"/>
    <n v="1"/>
    <n v="0"/>
    <n v="1"/>
    <x v="17"/>
    <b v="0"/>
    <x v="1"/>
    <x v="0"/>
    <n v="0.14000000000000001"/>
    <n v="0.1061"/>
    <n v="0.26"/>
    <n v="0.3881"/>
    <n v="5"/>
    <n v="50"/>
    <n v="55"/>
  </r>
  <r>
    <n v="520"/>
    <d v="2011-01-23T00:00:00"/>
    <n v="1"/>
    <n v="0"/>
    <n v="1"/>
    <x v="18"/>
    <b v="0"/>
    <x v="1"/>
    <x v="0"/>
    <n v="0.12"/>
    <n v="0.1212"/>
    <n v="0.3"/>
    <n v="0.25369999999999998"/>
    <n v="5"/>
    <n v="44"/>
    <n v="49"/>
  </r>
  <r>
    <n v="521"/>
    <d v="2011-01-23T00:00:00"/>
    <n v="1"/>
    <n v="0"/>
    <n v="1"/>
    <x v="19"/>
    <b v="0"/>
    <x v="1"/>
    <x v="0"/>
    <n v="0.12"/>
    <n v="0.1212"/>
    <n v="0.3"/>
    <n v="0.28360000000000002"/>
    <n v="5"/>
    <n v="45"/>
    <n v="50"/>
  </r>
  <r>
    <n v="522"/>
    <d v="2011-01-23T00:00:00"/>
    <n v="1"/>
    <n v="0"/>
    <n v="1"/>
    <x v="20"/>
    <b v="0"/>
    <x v="1"/>
    <x v="0"/>
    <n v="0.1"/>
    <n v="0.1061"/>
    <n v="0.36"/>
    <n v="0.25369999999999998"/>
    <n v="4"/>
    <n v="31"/>
    <n v="35"/>
  </r>
  <r>
    <n v="523"/>
    <d v="2011-01-23T00:00:00"/>
    <n v="1"/>
    <n v="0"/>
    <n v="1"/>
    <x v="21"/>
    <b v="0"/>
    <x v="1"/>
    <x v="0"/>
    <n v="0.1"/>
    <n v="0.1061"/>
    <n v="0.36"/>
    <n v="0.19400000000000001"/>
    <n v="5"/>
    <n v="20"/>
    <n v="25"/>
  </r>
  <r>
    <n v="524"/>
    <d v="2011-01-23T00:00:00"/>
    <n v="1"/>
    <n v="0"/>
    <n v="1"/>
    <x v="22"/>
    <b v="0"/>
    <x v="1"/>
    <x v="0"/>
    <n v="0.08"/>
    <n v="9.0899999999999995E-2"/>
    <n v="0.38"/>
    <n v="0.19400000000000001"/>
    <n v="5"/>
    <n v="23"/>
    <n v="28"/>
  </r>
  <r>
    <n v="525"/>
    <d v="2011-01-23T00:00:00"/>
    <n v="1"/>
    <n v="0"/>
    <n v="1"/>
    <x v="23"/>
    <b v="0"/>
    <x v="1"/>
    <x v="0"/>
    <n v="0.06"/>
    <n v="6.0600000000000001E-2"/>
    <n v="0.41"/>
    <n v="0.22389999999999999"/>
    <n v="4"/>
    <n v="17"/>
    <n v="21"/>
  </r>
  <r>
    <n v="526"/>
    <d v="2011-01-24T00:00:00"/>
    <n v="1"/>
    <n v="0"/>
    <n v="1"/>
    <x v="0"/>
    <b v="0"/>
    <x v="2"/>
    <x v="0"/>
    <n v="0.06"/>
    <n v="6.0600000000000001E-2"/>
    <n v="0.41"/>
    <n v="0.19400000000000001"/>
    <n v="0"/>
    <n v="7"/>
    <n v="7"/>
  </r>
  <r>
    <n v="527"/>
    <d v="2011-01-24T00:00:00"/>
    <n v="1"/>
    <n v="0"/>
    <n v="1"/>
    <x v="1"/>
    <b v="0"/>
    <x v="2"/>
    <x v="0"/>
    <n v="0.04"/>
    <n v="4.5499999999999999E-2"/>
    <n v="0.45"/>
    <n v="0.19400000000000001"/>
    <n v="0"/>
    <n v="1"/>
    <n v="1"/>
  </r>
  <r>
    <n v="528"/>
    <d v="2011-01-24T00:00:00"/>
    <n v="1"/>
    <n v="0"/>
    <n v="1"/>
    <x v="3"/>
    <b v="0"/>
    <x v="2"/>
    <x v="0"/>
    <n v="0.04"/>
    <n v="3.0300000000000001E-2"/>
    <n v="0.45"/>
    <n v="0.25369999999999998"/>
    <n v="0"/>
    <n v="1"/>
    <n v="1"/>
  </r>
  <r>
    <n v="529"/>
    <d v="2011-01-24T00:00:00"/>
    <n v="1"/>
    <n v="0"/>
    <n v="1"/>
    <x v="4"/>
    <b v="0"/>
    <x v="2"/>
    <x v="0"/>
    <n v="0.02"/>
    <n v="6.0600000000000001E-2"/>
    <n v="0.48"/>
    <n v="0.1343"/>
    <n v="0"/>
    <n v="1"/>
    <n v="1"/>
  </r>
  <r>
    <n v="530"/>
    <d v="2011-01-24T00:00:00"/>
    <n v="1"/>
    <n v="0"/>
    <n v="1"/>
    <x v="5"/>
    <b v="0"/>
    <x v="2"/>
    <x v="0"/>
    <n v="0.02"/>
    <n v="6.0600000000000001E-2"/>
    <n v="0.48"/>
    <n v="0.1343"/>
    <n v="0"/>
    <n v="5"/>
    <n v="5"/>
  </r>
  <r>
    <n v="531"/>
    <d v="2011-01-24T00:00:00"/>
    <n v="1"/>
    <n v="0"/>
    <n v="1"/>
    <x v="6"/>
    <b v="0"/>
    <x v="2"/>
    <x v="0"/>
    <n v="0.02"/>
    <n v="7.5800000000000006E-2"/>
    <n v="0.48"/>
    <n v="8.9599999999999999E-2"/>
    <n v="0"/>
    <n v="15"/>
    <n v="15"/>
  </r>
  <r>
    <n v="532"/>
    <d v="2011-01-24T00:00:00"/>
    <n v="1"/>
    <n v="0"/>
    <n v="1"/>
    <x v="7"/>
    <b v="0"/>
    <x v="2"/>
    <x v="0"/>
    <n v="0.02"/>
    <n v="0.1212"/>
    <n v="0.48"/>
    <n v="0"/>
    <n v="5"/>
    <n v="79"/>
    <n v="84"/>
  </r>
  <r>
    <n v="533"/>
    <d v="2011-01-24T00:00:00"/>
    <n v="1"/>
    <n v="0"/>
    <n v="1"/>
    <x v="8"/>
    <b v="0"/>
    <x v="2"/>
    <x v="0"/>
    <n v="0.04"/>
    <n v="0.13639999999999999"/>
    <n v="0.49"/>
    <n v="0"/>
    <n v="6"/>
    <n v="171"/>
    <n v="177"/>
  </r>
  <r>
    <n v="534"/>
    <d v="2011-01-24T00:00:00"/>
    <n v="1"/>
    <n v="0"/>
    <n v="1"/>
    <x v="9"/>
    <b v="0"/>
    <x v="2"/>
    <x v="0"/>
    <n v="0.06"/>
    <n v="0.1515"/>
    <n v="0.41"/>
    <n v="0"/>
    <n v="4"/>
    <n v="98"/>
    <n v="102"/>
  </r>
  <r>
    <n v="535"/>
    <d v="2011-01-24T00:00:00"/>
    <n v="1"/>
    <n v="0"/>
    <n v="1"/>
    <x v="10"/>
    <b v="0"/>
    <x v="2"/>
    <x v="0"/>
    <n v="0.1"/>
    <n v="0.13639999999999999"/>
    <n v="0.42"/>
    <n v="0"/>
    <n v="6"/>
    <n v="34"/>
    <n v="40"/>
  </r>
  <r>
    <n v="536"/>
    <d v="2011-01-24T00:00:00"/>
    <n v="1"/>
    <n v="0"/>
    <n v="1"/>
    <x v="11"/>
    <b v="0"/>
    <x v="2"/>
    <x v="0"/>
    <n v="0.1"/>
    <n v="0.1212"/>
    <n v="0.46"/>
    <n v="0.1343"/>
    <n v="3"/>
    <n v="43"/>
    <n v="46"/>
  </r>
  <r>
    <n v="537"/>
    <d v="2011-01-24T00:00:00"/>
    <n v="1"/>
    <n v="0"/>
    <n v="1"/>
    <x v="12"/>
    <b v="0"/>
    <x v="2"/>
    <x v="1"/>
    <n v="0.12"/>
    <n v="0.13639999999999999"/>
    <n v="0.42"/>
    <n v="0.19400000000000001"/>
    <n v="11"/>
    <n v="52"/>
    <n v="63"/>
  </r>
  <r>
    <n v="538"/>
    <d v="2011-01-24T00:00:00"/>
    <n v="1"/>
    <n v="0"/>
    <n v="1"/>
    <x v="13"/>
    <b v="0"/>
    <x v="2"/>
    <x v="1"/>
    <n v="0.14000000000000001"/>
    <n v="0.13639999999999999"/>
    <n v="0.43"/>
    <n v="0.22389999999999999"/>
    <n v="6"/>
    <n v="54"/>
    <n v="60"/>
  </r>
  <r>
    <n v="539"/>
    <d v="2011-01-24T00:00:00"/>
    <n v="1"/>
    <n v="0"/>
    <n v="1"/>
    <x v="14"/>
    <b v="0"/>
    <x v="2"/>
    <x v="1"/>
    <n v="0.14000000000000001"/>
    <n v="0.13639999999999999"/>
    <n v="0.46"/>
    <n v="0.22389999999999999"/>
    <n v="2"/>
    <n v="43"/>
    <n v="45"/>
  </r>
  <r>
    <n v="540"/>
    <d v="2011-01-24T00:00:00"/>
    <n v="1"/>
    <n v="0"/>
    <n v="1"/>
    <x v="15"/>
    <b v="0"/>
    <x v="2"/>
    <x v="0"/>
    <n v="0.16"/>
    <n v="0.16669999999999999"/>
    <n v="0.4"/>
    <n v="0.16420000000000001"/>
    <n v="7"/>
    <n v="50"/>
    <n v="57"/>
  </r>
  <r>
    <n v="541"/>
    <d v="2011-01-24T00:00:00"/>
    <n v="1"/>
    <n v="0"/>
    <n v="1"/>
    <x v="16"/>
    <b v="0"/>
    <x v="2"/>
    <x v="0"/>
    <n v="0.16"/>
    <n v="0.1515"/>
    <n v="0.47"/>
    <n v="0.25369999999999998"/>
    <n v="4"/>
    <n v="66"/>
    <n v="70"/>
  </r>
  <r>
    <n v="542"/>
    <d v="2011-01-24T00:00:00"/>
    <n v="1"/>
    <n v="0"/>
    <n v="1"/>
    <x v="17"/>
    <b v="0"/>
    <x v="2"/>
    <x v="0"/>
    <n v="0.14000000000000001"/>
    <n v="0.1212"/>
    <n v="0.5"/>
    <n v="0.25369999999999998"/>
    <n v="6"/>
    <n v="178"/>
    <n v="184"/>
  </r>
  <r>
    <n v="543"/>
    <d v="2011-01-24T00:00:00"/>
    <n v="1"/>
    <n v="0"/>
    <n v="1"/>
    <x v="18"/>
    <b v="0"/>
    <x v="2"/>
    <x v="0"/>
    <n v="0.14000000000000001"/>
    <n v="0.13639999999999999"/>
    <n v="0.59"/>
    <n v="0.19400000000000001"/>
    <n v="8"/>
    <n v="145"/>
    <n v="153"/>
  </r>
  <r>
    <n v="544"/>
    <d v="2011-01-24T00:00:00"/>
    <n v="1"/>
    <n v="0"/>
    <n v="1"/>
    <x v="19"/>
    <b v="0"/>
    <x v="2"/>
    <x v="0"/>
    <n v="0.14000000000000001"/>
    <n v="0.1515"/>
    <n v="0.54"/>
    <n v="0.16420000000000001"/>
    <n v="5"/>
    <n v="101"/>
    <n v="106"/>
  </r>
  <r>
    <n v="545"/>
    <d v="2011-01-24T00:00:00"/>
    <n v="1"/>
    <n v="0"/>
    <n v="1"/>
    <x v="20"/>
    <b v="0"/>
    <x v="2"/>
    <x v="0"/>
    <n v="0.14000000000000001"/>
    <n v="0.13639999999999999"/>
    <n v="0.59"/>
    <n v="0.19400000000000001"/>
    <n v="1"/>
    <n v="80"/>
    <n v="81"/>
  </r>
  <r>
    <n v="546"/>
    <d v="2011-01-24T00:00:00"/>
    <n v="1"/>
    <n v="0"/>
    <n v="1"/>
    <x v="21"/>
    <b v="0"/>
    <x v="2"/>
    <x v="0"/>
    <n v="0.14000000000000001"/>
    <n v="0.1515"/>
    <n v="0.63"/>
    <n v="0.16420000000000001"/>
    <n v="6"/>
    <n v="53"/>
    <n v="59"/>
  </r>
  <r>
    <n v="547"/>
    <d v="2011-01-24T00:00:00"/>
    <n v="1"/>
    <n v="0"/>
    <n v="1"/>
    <x v="22"/>
    <b v="0"/>
    <x v="2"/>
    <x v="1"/>
    <n v="0.14000000000000001"/>
    <n v="0.13639999999999999"/>
    <n v="0.63"/>
    <n v="0.22389999999999999"/>
    <n v="3"/>
    <n v="32"/>
    <n v="35"/>
  </r>
  <r>
    <n v="548"/>
    <d v="2011-01-24T00:00:00"/>
    <n v="1"/>
    <n v="0"/>
    <n v="1"/>
    <x v="23"/>
    <b v="0"/>
    <x v="2"/>
    <x v="1"/>
    <n v="0.16"/>
    <n v="0.1515"/>
    <n v="0.64"/>
    <n v="0.25369999999999998"/>
    <n v="3"/>
    <n v="21"/>
    <n v="24"/>
  </r>
  <r>
    <n v="549"/>
    <d v="2011-01-25T00:00:00"/>
    <n v="1"/>
    <n v="0"/>
    <n v="1"/>
    <x v="0"/>
    <b v="0"/>
    <x v="3"/>
    <x v="1"/>
    <n v="0.16"/>
    <n v="0.13639999999999999"/>
    <n v="0.69"/>
    <n v="0.28360000000000002"/>
    <n v="3"/>
    <n v="6"/>
    <n v="9"/>
  </r>
  <r>
    <n v="550"/>
    <d v="2011-01-25T00:00:00"/>
    <n v="1"/>
    <n v="0"/>
    <n v="1"/>
    <x v="1"/>
    <b v="0"/>
    <x v="3"/>
    <x v="1"/>
    <n v="0.16"/>
    <n v="0.16669999999999999"/>
    <n v="0.69"/>
    <n v="0.16420000000000001"/>
    <n v="0"/>
    <n v="5"/>
    <n v="5"/>
  </r>
  <r>
    <n v="551"/>
    <d v="2011-01-25T00:00:00"/>
    <n v="1"/>
    <n v="0"/>
    <n v="1"/>
    <x v="2"/>
    <b v="0"/>
    <x v="3"/>
    <x v="0"/>
    <n v="0.16"/>
    <n v="0.1515"/>
    <n v="0.69"/>
    <n v="0.22389999999999999"/>
    <n v="0"/>
    <n v="2"/>
    <n v="2"/>
  </r>
  <r>
    <n v="552"/>
    <d v="2011-01-25T00:00:00"/>
    <n v="1"/>
    <n v="0"/>
    <n v="1"/>
    <x v="4"/>
    <b v="0"/>
    <x v="3"/>
    <x v="0"/>
    <n v="0.14000000000000001"/>
    <n v="0.16669999999999999"/>
    <n v="0.74"/>
    <n v="0.1045"/>
    <n v="0"/>
    <n v="1"/>
    <n v="1"/>
  </r>
  <r>
    <n v="553"/>
    <d v="2011-01-25T00:00:00"/>
    <n v="1"/>
    <n v="0"/>
    <n v="1"/>
    <x v="5"/>
    <b v="0"/>
    <x v="3"/>
    <x v="0"/>
    <n v="0.14000000000000001"/>
    <n v="0.13639999999999999"/>
    <n v="0.74"/>
    <n v="0.22389999999999999"/>
    <n v="0"/>
    <n v="9"/>
    <n v="9"/>
  </r>
  <r>
    <n v="554"/>
    <d v="2011-01-25T00:00:00"/>
    <n v="1"/>
    <n v="0"/>
    <n v="1"/>
    <x v="6"/>
    <b v="0"/>
    <x v="3"/>
    <x v="0"/>
    <n v="0.16"/>
    <n v="0.18179999999999999"/>
    <n v="0.74"/>
    <n v="0.1045"/>
    <n v="1"/>
    <n v="35"/>
    <n v="36"/>
  </r>
  <r>
    <n v="555"/>
    <d v="2011-01-25T00:00:00"/>
    <n v="1"/>
    <n v="0"/>
    <n v="1"/>
    <x v="7"/>
    <b v="0"/>
    <x v="3"/>
    <x v="0"/>
    <n v="0.16"/>
    <n v="0.1515"/>
    <n v="0.74"/>
    <n v="0.22389999999999999"/>
    <n v="5"/>
    <n v="103"/>
    <n v="108"/>
  </r>
  <r>
    <n v="556"/>
    <d v="2011-01-25T00:00:00"/>
    <n v="1"/>
    <n v="0"/>
    <n v="1"/>
    <x v="8"/>
    <b v="0"/>
    <x v="3"/>
    <x v="1"/>
    <n v="0.16"/>
    <n v="0.18179999999999999"/>
    <n v="0.74"/>
    <n v="0.1343"/>
    <n v="5"/>
    <n v="233"/>
    <n v="238"/>
  </r>
  <r>
    <n v="557"/>
    <d v="2011-01-25T00:00:00"/>
    <n v="1"/>
    <n v="0"/>
    <n v="1"/>
    <x v="9"/>
    <b v="0"/>
    <x v="3"/>
    <x v="1"/>
    <n v="0.2"/>
    <n v="0.2273"/>
    <n v="0.64"/>
    <n v="8.9599999999999999E-2"/>
    <n v="10"/>
    <n v="134"/>
    <n v="144"/>
  </r>
  <r>
    <n v="558"/>
    <d v="2011-01-25T00:00:00"/>
    <n v="1"/>
    <n v="0"/>
    <n v="1"/>
    <x v="10"/>
    <b v="0"/>
    <x v="3"/>
    <x v="1"/>
    <n v="0.22"/>
    <n v="0.2424"/>
    <n v="0.6"/>
    <n v="0.1045"/>
    <n v="6"/>
    <n v="49"/>
    <n v="55"/>
  </r>
  <r>
    <n v="559"/>
    <d v="2011-01-25T00:00:00"/>
    <n v="1"/>
    <n v="0"/>
    <n v="1"/>
    <x v="11"/>
    <b v="0"/>
    <x v="3"/>
    <x v="1"/>
    <n v="0.24"/>
    <n v="0.2424"/>
    <n v="0.6"/>
    <n v="0.1343"/>
    <n v="6"/>
    <n v="55"/>
    <n v="61"/>
  </r>
  <r>
    <n v="560"/>
    <d v="2011-01-25T00:00:00"/>
    <n v="1"/>
    <n v="0"/>
    <n v="1"/>
    <x v="12"/>
    <b v="0"/>
    <x v="3"/>
    <x v="1"/>
    <n v="0.26"/>
    <n v="0.28789999999999999"/>
    <n v="0.56000000000000005"/>
    <n v="8.9599999999999999E-2"/>
    <n v="21"/>
    <n v="85"/>
    <n v="106"/>
  </r>
  <r>
    <n v="561"/>
    <d v="2011-01-25T00:00:00"/>
    <n v="1"/>
    <n v="0"/>
    <n v="1"/>
    <x v="13"/>
    <b v="0"/>
    <x v="3"/>
    <x v="1"/>
    <n v="0.26"/>
    <n v="0.2727"/>
    <n v="0.56000000000000005"/>
    <n v="0.1343"/>
    <n v="21"/>
    <n v="72"/>
    <n v="93"/>
  </r>
  <r>
    <n v="562"/>
    <d v="2011-01-25T00:00:00"/>
    <n v="1"/>
    <n v="0"/>
    <n v="1"/>
    <x v="14"/>
    <b v="0"/>
    <x v="3"/>
    <x v="1"/>
    <n v="0.3"/>
    <n v="0.33329999999999999"/>
    <n v="0.45"/>
    <n v="0"/>
    <n v="11"/>
    <n v="57"/>
    <n v="68"/>
  </r>
  <r>
    <n v="563"/>
    <d v="2011-01-25T00:00:00"/>
    <n v="1"/>
    <n v="0"/>
    <n v="1"/>
    <x v="15"/>
    <b v="0"/>
    <x v="3"/>
    <x v="1"/>
    <n v="0.32"/>
    <n v="0.34849999999999998"/>
    <n v="0.42"/>
    <n v="0"/>
    <n v="21"/>
    <n v="63"/>
    <n v="84"/>
  </r>
  <r>
    <n v="564"/>
    <d v="2011-01-25T00:00:00"/>
    <n v="1"/>
    <n v="0"/>
    <n v="1"/>
    <x v="16"/>
    <b v="0"/>
    <x v="3"/>
    <x v="1"/>
    <n v="0.32"/>
    <n v="0.34849999999999998"/>
    <n v="0.42"/>
    <n v="0"/>
    <n v="14"/>
    <n v="102"/>
    <n v="116"/>
  </r>
  <r>
    <n v="565"/>
    <d v="2011-01-25T00:00:00"/>
    <n v="1"/>
    <n v="0"/>
    <n v="1"/>
    <x v="17"/>
    <b v="0"/>
    <x v="3"/>
    <x v="0"/>
    <n v="0.3"/>
    <n v="0.33329999999999999"/>
    <n v="0.45"/>
    <n v="0"/>
    <n v="14"/>
    <n v="208"/>
    <n v="222"/>
  </r>
  <r>
    <n v="566"/>
    <d v="2011-01-25T00:00:00"/>
    <n v="1"/>
    <n v="0"/>
    <n v="1"/>
    <x v="18"/>
    <b v="0"/>
    <x v="3"/>
    <x v="1"/>
    <n v="0.3"/>
    <n v="0.31819999999999998"/>
    <n v="0.49"/>
    <n v="8.9599999999999999E-2"/>
    <n v="7"/>
    <n v="218"/>
    <n v="225"/>
  </r>
  <r>
    <n v="567"/>
    <d v="2011-01-25T00:00:00"/>
    <n v="1"/>
    <n v="0"/>
    <n v="1"/>
    <x v="19"/>
    <b v="0"/>
    <x v="3"/>
    <x v="1"/>
    <n v="0.26"/>
    <n v="0.2576"/>
    <n v="0.65"/>
    <n v="0.16420000000000001"/>
    <n v="13"/>
    <n v="133"/>
    <n v="146"/>
  </r>
  <r>
    <n v="568"/>
    <d v="2011-01-25T00:00:00"/>
    <n v="1"/>
    <n v="0"/>
    <n v="1"/>
    <x v="20"/>
    <b v="0"/>
    <x v="3"/>
    <x v="0"/>
    <n v="0.24"/>
    <n v="0.2273"/>
    <n v="0.65"/>
    <n v="0.19400000000000001"/>
    <n v="16"/>
    <n v="103"/>
    <n v="119"/>
  </r>
  <r>
    <n v="569"/>
    <d v="2011-01-25T00:00:00"/>
    <n v="1"/>
    <n v="0"/>
    <n v="1"/>
    <x v="21"/>
    <b v="0"/>
    <x v="3"/>
    <x v="0"/>
    <n v="0.24"/>
    <n v="0.2273"/>
    <n v="0.65"/>
    <n v="0.19400000000000001"/>
    <n v="5"/>
    <n v="40"/>
    <n v="45"/>
  </r>
  <r>
    <n v="570"/>
    <d v="2011-01-25T00:00:00"/>
    <n v="1"/>
    <n v="0"/>
    <n v="1"/>
    <x v="22"/>
    <b v="0"/>
    <x v="3"/>
    <x v="0"/>
    <n v="0.22"/>
    <n v="0.2273"/>
    <n v="0.64"/>
    <n v="0.16420000000000001"/>
    <n v="4"/>
    <n v="49"/>
    <n v="53"/>
  </r>
  <r>
    <n v="571"/>
    <d v="2011-01-25T00:00:00"/>
    <n v="1"/>
    <n v="0"/>
    <n v="1"/>
    <x v="23"/>
    <b v="0"/>
    <x v="3"/>
    <x v="1"/>
    <n v="0.22"/>
    <n v="0.2273"/>
    <n v="0.64"/>
    <n v="0.16420000000000001"/>
    <n v="3"/>
    <n v="37"/>
    <n v="40"/>
  </r>
  <r>
    <n v="572"/>
    <d v="2011-01-26T00:00:00"/>
    <n v="1"/>
    <n v="0"/>
    <n v="1"/>
    <x v="0"/>
    <b v="0"/>
    <x v="4"/>
    <x v="1"/>
    <n v="0.22"/>
    <n v="0.2273"/>
    <n v="0.69"/>
    <n v="0.1343"/>
    <n v="3"/>
    <n v="14"/>
    <n v="17"/>
  </r>
  <r>
    <n v="573"/>
    <d v="2011-01-26T00:00:00"/>
    <n v="1"/>
    <n v="0"/>
    <n v="1"/>
    <x v="1"/>
    <b v="0"/>
    <x v="4"/>
    <x v="1"/>
    <n v="0.24"/>
    <n v="0.2424"/>
    <n v="0.65"/>
    <n v="0.1343"/>
    <n v="0"/>
    <n v="5"/>
    <n v="5"/>
  </r>
  <r>
    <n v="574"/>
    <d v="2011-01-26T00:00:00"/>
    <n v="1"/>
    <n v="0"/>
    <n v="1"/>
    <x v="2"/>
    <b v="0"/>
    <x v="4"/>
    <x v="2"/>
    <n v="0.22"/>
    <n v="0.2273"/>
    <n v="0.69"/>
    <n v="0.19400000000000001"/>
    <n v="3"/>
    <n v="7"/>
    <n v="10"/>
  </r>
  <r>
    <n v="575"/>
    <d v="2011-01-26T00:00:00"/>
    <n v="1"/>
    <n v="0"/>
    <n v="1"/>
    <x v="5"/>
    <b v="0"/>
    <x v="4"/>
    <x v="2"/>
    <n v="0.2"/>
    <n v="0.18179999999999999"/>
    <n v="0.86"/>
    <n v="0.28360000000000002"/>
    <n v="0"/>
    <n v="1"/>
    <n v="1"/>
  </r>
  <r>
    <n v="576"/>
    <d v="2011-01-26T00:00:00"/>
    <n v="1"/>
    <n v="0"/>
    <n v="1"/>
    <x v="6"/>
    <b v="0"/>
    <x v="4"/>
    <x v="2"/>
    <n v="0.2"/>
    <n v="0.18179999999999999"/>
    <n v="0.86"/>
    <n v="0.28360000000000002"/>
    <n v="0"/>
    <n v="8"/>
    <n v="8"/>
  </r>
  <r>
    <n v="577"/>
    <d v="2011-01-26T00:00:00"/>
    <n v="1"/>
    <n v="0"/>
    <n v="1"/>
    <x v="7"/>
    <b v="0"/>
    <x v="4"/>
    <x v="2"/>
    <n v="0.22"/>
    <n v="0.21210000000000001"/>
    <n v="0.87"/>
    <n v="0.29849999999999999"/>
    <n v="1"/>
    <n v="29"/>
    <n v="30"/>
  </r>
  <r>
    <n v="578"/>
    <d v="2011-01-26T00:00:00"/>
    <n v="1"/>
    <n v="0"/>
    <n v="1"/>
    <x v="8"/>
    <b v="0"/>
    <x v="4"/>
    <x v="2"/>
    <n v="0.22"/>
    <n v="0.21210000000000001"/>
    <n v="0.87"/>
    <n v="0.29849999999999999"/>
    <n v="3"/>
    <n v="69"/>
    <n v="72"/>
  </r>
  <r>
    <n v="579"/>
    <d v="2011-01-26T00:00:00"/>
    <n v="1"/>
    <n v="0"/>
    <n v="1"/>
    <x v="9"/>
    <b v="0"/>
    <x v="4"/>
    <x v="2"/>
    <n v="0.22"/>
    <n v="0.21210000000000001"/>
    <n v="0.87"/>
    <n v="0.29849999999999999"/>
    <n v="3"/>
    <n v="55"/>
    <n v="58"/>
  </r>
  <r>
    <n v="580"/>
    <d v="2011-01-26T00:00:00"/>
    <n v="1"/>
    <n v="0"/>
    <n v="1"/>
    <x v="10"/>
    <b v="0"/>
    <x v="4"/>
    <x v="2"/>
    <n v="0.22"/>
    <n v="0.21210000000000001"/>
    <n v="0.93"/>
    <n v="0.28360000000000002"/>
    <n v="2"/>
    <n v="26"/>
    <n v="28"/>
  </r>
  <r>
    <n v="581"/>
    <d v="2011-01-26T00:00:00"/>
    <n v="1"/>
    <n v="0"/>
    <n v="1"/>
    <x v="11"/>
    <b v="0"/>
    <x v="4"/>
    <x v="2"/>
    <n v="0.22"/>
    <n v="0.19700000000000001"/>
    <n v="0.93"/>
    <n v="0.32840000000000003"/>
    <n v="6"/>
    <n v="35"/>
    <n v="41"/>
  </r>
  <r>
    <n v="582"/>
    <d v="2011-01-26T00:00:00"/>
    <n v="1"/>
    <n v="0"/>
    <n v="1"/>
    <x v="12"/>
    <b v="0"/>
    <x v="4"/>
    <x v="2"/>
    <n v="0.22"/>
    <n v="0.19700000000000001"/>
    <n v="0.93"/>
    <n v="0.32840000000000003"/>
    <n v="7"/>
    <n v="41"/>
    <n v="48"/>
  </r>
  <r>
    <n v="583"/>
    <d v="2011-01-26T00:00:00"/>
    <n v="1"/>
    <n v="0"/>
    <n v="1"/>
    <x v="13"/>
    <b v="0"/>
    <x v="4"/>
    <x v="2"/>
    <n v="0.22"/>
    <n v="0.19700000000000001"/>
    <n v="0.93"/>
    <n v="0.32840000000000003"/>
    <n v="4"/>
    <n v="43"/>
    <n v="47"/>
  </r>
  <r>
    <n v="584"/>
    <d v="2011-01-26T00:00:00"/>
    <n v="1"/>
    <n v="0"/>
    <n v="1"/>
    <x v="14"/>
    <b v="0"/>
    <x v="4"/>
    <x v="2"/>
    <n v="0.22"/>
    <n v="0.19700000000000001"/>
    <n v="0.93"/>
    <n v="0.35820000000000002"/>
    <n v="0"/>
    <n v="36"/>
    <n v="36"/>
  </r>
  <r>
    <n v="585"/>
    <d v="2011-01-26T00:00:00"/>
    <n v="1"/>
    <n v="0"/>
    <n v="1"/>
    <x v="15"/>
    <b v="0"/>
    <x v="4"/>
    <x v="2"/>
    <n v="0.22"/>
    <n v="0.18179999999999999"/>
    <n v="0.93"/>
    <n v="0.4627"/>
    <n v="1"/>
    <n v="42"/>
    <n v="43"/>
  </r>
  <r>
    <n v="586"/>
    <d v="2011-01-26T00:00:00"/>
    <n v="1"/>
    <n v="0"/>
    <n v="1"/>
    <x v="16"/>
    <b v="0"/>
    <x v="4"/>
    <x v="3"/>
    <n v="0.22"/>
    <n v="0.19700000000000001"/>
    <n v="0.93"/>
    <n v="0.32840000000000003"/>
    <n v="1"/>
    <n v="35"/>
    <n v="36"/>
  </r>
  <r>
    <n v="587"/>
    <d v="2011-01-26T00:00:00"/>
    <n v="1"/>
    <n v="0"/>
    <n v="1"/>
    <x v="17"/>
    <b v="0"/>
    <x v="4"/>
    <x v="2"/>
    <n v="0.2"/>
    <n v="0.18179999999999999"/>
    <n v="0.93"/>
    <n v="0.35820000000000002"/>
    <n v="0"/>
    <n v="26"/>
    <n v="26"/>
  </r>
  <r>
    <n v="588"/>
    <d v="2011-01-27T00:00:00"/>
    <n v="1"/>
    <n v="0"/>
    <n v="1"/>
    <x v="16"/>
    <b v="0"/>
    <x v="5"/>
    <x v="0"/>
    <n v="0.22"/>
    <n v="0.2273"/>
    <n v="0.55000000000000004"/>
    <n v="0.19400000000000001"/>
    <n v="1"/>
    <n v="23"/>
    <n v="24"/>
  </r>
  <r>
    <n v="589"/>
    <d v="2011-01-27T00:00:00"/>
    <n v="1"/>
    <n v="0"/>
    <n v="1"/>
    <x v="17"/>
    <b v="0"/>
    <x v="5"/>
    <x v="0"/>
    <n v="0.22"/>
    <n v="0.2424"/>
    <n v="0.55000000000000004"/>
    <n v="0.1045"/>
    <n v="2"/>
    <n v="82"/>
    <n v="84"/>
  </r>
  <r>
    <n v="590"/>
    <d v="2011-01-27T00:00:00"/>
    <n v="1"/>
    <n v="0"/>
    <n v="1"/>
    <x v="18"/>
    <b v="0"/>
    <x v="5"/>
    <x v="0"/>
    <n v="0.2"/>
    <n v="0.2273"/>
    <n v="0.69"/>
    <n v="8.9599999999999999E-2"/>
    <n v="3"/>
    <n v="101"/>
    <n v="104"/>
  </r>
  <r>
    <n v="591"/>
    <d v="2011-01-27T00:00:00"/>
    <n v="1"/>
    <n v="0"/>
    <n v="1"/>
    <x v="19"/>
    <b v="0"/>
    <x v="5"/>
    <x v="0"/>
    <n v="0.2"/>
    <n v="0.2273"/>
    <n v="0.69"/>
    <n v="8.9599999999999999E-2"/>
    <n v="3"/>
    <n v="76"/>
    <n v="79"/>
  </r>
  <r>
    <n v="592"/>
    <d v="2011-01-27T00:00:00"/>
    <n v="1"/>
    <n v="0"/>
    <n v="1"/>
    <x v="20"/>
    <b v="0"/>
    <x v="5"/>
    <x v="0"/>
    <n v="0.18"/>
    <n v="0.21210000000000001"/>
    <n v="0.74"/>
    <n v="8.9599999999999999E-2"/>
    <n v="4"/>
    <n v="55"/>
    <n v="59"/>
  </r>
  <r>
    <n v="593"/>
    <d v="2011-01-27T00:00:00"/>
    <n v="1"/>
    <n v="0"/>
    <n v="1"/>
    <x v="21"/>
    <b v="0"/>
    <x v="5"/>
    <x v="0"/>
    <n v="0.18"/>
    <n v="0.21210000000000001"/>
    <n v="0.74"/>
    <n v="8.9599999999999999E-2"/>
    <n v="2"/>
    <n v="36"/>
    <n v="38"/>
  </r>
  <r>
    <n v="594"/>
    <d v="2011-01-27T00:00:00"/>
    <n v="1"/>
    <n v="0"/>
    <n v="1"/>
    <x v="22"/>
    <b v="0"/>
    <x v="5"/>
    <x v="0"/>
    <n v="0.18"/>
    <n v="0.21210000000000001"/>
    <n v="0.74"/>
    <n v="8.9599999999999999E-2"/>
    <n v="0"/>
    <n v="27"/>
    <n v="27"/>
  </r>
  <r>
    <n v="595"/>
    <d v="2011-01-27T00:00:00"/>
    <n v="1"/>
    <n v="0"/>
    <n v="1"/>
    <x v="23"/>
    <b v="0"/>
    <x v="5"/>
    <x v="0"/>
    <n v="0.18"/>
    <n v="0.19700000000000001"/>
    <n v="0.8"/>
    <n v="0.16420000000000001"/>
    <n v="0"/>
    <n v="16"/>
    <n v="16"/>
  </r>
  <r>
    <n v="596"/>
    <d v="2011-01-28T00:00:00"/>
    <n v="1"/>
    <n v="0"/>
    <n v="1"/>
    <x v="0"/>
    <b v="0"/>
    <x v="6"/>
    <x v="1"/>
    <n v="0.2"/>
    <n v="0.21210000000000001"/>
    <n v="0.75"/>
    <n v="0.1343"/>
    <n v="0"/>
    <n v="9"/>
    <n v="9"/>
  </r>
  <r>
    <n v="597"/>
    <d v="2011-01-28T00:00:00"/>
    <n v="1"/>
    <n v="0"/>
    <n v="1"/>
    <x v="1"/>
    <b v="0"/>
    <x v="6"/>
    <x v="1"/>
    <n v="0.2"/>
    <n v="0.21210000000000001"/>
    <n v="0.75"/>
    <n v="0.1343"/>
    <n v="1"/>
    <n v="2"/>
    <n v="3"/>
  </r>
  <r>
    <n v="598"/>
    <d v="2011-01-28T00:00:00"/>
    <n v="1"/>
    <n v="0"/>
    <n v="1"/>
    <x v="2"/>
    <b v="0"/>
    <x v="6"/>
    <x v="1"/>
    <n v="0.2"/>
    <n v="0.21210000000000001"/>
    <n v="0.75"/>
    <n v="0.16420000000000001"/>
    <n v="0"/>
    <n v="2"/>
    <n v="2"/>
  </r>
  <r>
    <n v="599"/>
    <d v="2011-01-28T00:00:00"/>
    <n v="1"/>
    <n v="0"/>
    <n v="1"/>
    <x v="3"/>
    <b v="0"/>
    <x v="6"/>
    <x v="1"/>
    <n v="0.2"/>
    <n v="0.2273"/>
    <n v="0.75"/>
    <n v="0.1045"/>
    <n v="1"/>
    <n v="0"/>
    <n v="1"/>
  </r>
  <r>
    <n v="600"/>
    <d v="2011-01-28T00:00:00"/>
    <n v="1"/>
    <n v="0"/>
    <n v="1"/>
    <x v="5"/>
    <b v="0"/>
    <x v="6"/>
    <x v="1"/>
    <n v="0.18"/>
    <n v="0.21210000000000001"/>
    <n v="0.8"/>
    <n v="0.1045"/>
    <n v="0"/>
    <n v="4"/>
    <n v="4"/>
  </r>
  <r>
    <n v="601"/>
    <d v="2011-01-28T00:00:00"/>
    <n v="1"/>
    <n v="0"/>
    <n v="1"/>
    <x v="6"/>
    <b v="0"/>
    <x v="6"/>
    <x v="1"/>
    <n v="0.18"/>
    <n v="0.19700000000000001"/>
    <n v="0.8"/>
    <n v="0.1343"/>
    <n v="0"/>
    <n v="16"/>
    <n v="16"/>
  </r>
  <r>
    <n v="602"/>
    <d v="2011-01-28T00:00:00"/>
    <n v="1"/>
    <n v="0"/>
    <n v="1"/>
    <x v="7"/>
    <b v="0"/>
    <x v="6"/>
    <x v="1"/>
    <n v="0.16"/>
    <n v="0.19700000000000001"/>
    <n v="0.86"/>
    <n v="8.9599999999999999E-2"/>
    <n v="2"/>
    <n v="58"/>
    <n v="60"/>
  </r>
  <r>
    <n v="603"/>
    <d v="2011-01-28T00:00:00"/>
    <n v="1"/>
    <n v="0"/>
    <n v="1"/>
    <x v="8"/>
    <b v="0"/>
    <x v="6"/>
    <x v="1"/>
    <n v="0.16"/>
    <n v="0.19700000000000001"/>
    <n v="0.86"/>
    <n v="8.9599999999999999E-2"/>
    <n v="2"/>
    <n v="155"/>
    <n v="157"/>
  </r>
  <r>
    <n v="604"/>
    <d v="2011-01-28T00:00:00"/>
    <n v="1"/>
    <n v="0"/>
    <n v="1"/>
    <x v="9"/>
    <b v="0"/>
    <x v="6"/>
    <x v="2"/>
    <n v="0.18"/>
    <n v="0.21210000000000001"/>
    <n v="0.86"/>
    <n v="8.9599999999999999E-2"/>
    <n v="6"/>
    <n v="95"/>
    <n v="101"/>
  </r>
  <r>
    <n v="605"/>
    <d v="2011-01-28T00:00:00"/>
    <n v="1"/>
    <n v="0"/>
    <n v="1"/>
    <x v="10"/>
    <b v="0"/>
    <x v="6"/>
    <x v="2"/>
    <n v="0.18"/>
    <n v="0.21210000000000001"/>
    <n v="0.86"/>
    <n v="0.1045"/>
    <n v="0"/>
    <n v="49"/>
    <n v="49"/>
  </r>
  <r>
    <n v="606"/>
    <d v="2011-01-28T00:00:00"/>
    <n v="1"/>
    <n v="0"/>
    <n v="1"/>
    <x v="11"/>
    <b v="0"/>
    <x v="6"/>
    <x v="2"/>
    <n v="0.18"/>
    <n v="0.21210000000000001"/>
    <n v="0.93"/>
    <n v="0.1045"/>
    <n v="0"/>
    <n v="30"/>
    <n v="30"/>
  </r>
  <r>
    <n v="607"/>
    <d v="2011-01-28T00:00:00"/>
    <n v="1"/>
    <n v="0"/>
    <n v="1"/>
    <x v="12"/>
    <b v="0"/>
    <x v="6"/>
    <x v="2"/>
    <n v="0.18"/>
    <n v="0.21210000000000001"/>
    <n v="0.93"/>
    <n v="0.1045"/>
    <n v="1"/>
    <n v="28"/>
    <n v="29"/>
  </r>
  <r>
    <n v="608"/>
    <d v="2011-01-28T00:00:00"/>
    <n v="1"/>
    <n v="0"/>
    <n v="1"/>
    <x v="13"/>
    <b v="0"/>
    <x v="6"/>
    <x v="2"/>
    <n v="0.18"/>
    <n v="0.21210000000000001"/>
    <n v="0.93"/>
    <n v="0.1045"/>
    <n v="0"/>
    <n v="31"/>
    <n v="31"/>
  </r>
  <r>
    <n v="609"/>
    <d v="2011-01-28T00:00:00"/>
    <n v="1"/>
    <n v="0"/>
    <n v="1"/>
    <x v="14"/>
    <b v="0"/>
    <x v="6"/>
    <x v="2"/>
    <n v="0.22"/>
    <n v="0.2727"/>
    <n v="0.8"/>
    <n v="0"/>
    <n v="2"/>
    <n v="36"/>
    <n v="38"/>
  </r>
  <r>
    <n v="610"/>
    <d v="2011-01-28T00:00:00"/>
    <n v="1"/>
    <n v="0"/>
    <n v="1"/>
    <x v="15"/>
    <b v="0"/>
    <x v="6"/>
    <x v="1"/>
    <n v="0.2"/>
    <n v="0.2576"/>
    <n v="0.86"/>
    <n v="0"/>
    <n v="1"/>
    <n v="4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6B20F-A96B-4E66-B0DD-8C14D49D761E}" name="PivotTable7" cacheId="4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 rowHeaderCaption="Time of the Day" colHeaderCaption="Weather Situation">
  <location ref="A3:E28" firstHeaderRow="1" firstDataRow="2" firstDataCol="1"/>
  <pivotFields count="16">
    <pivotField showAll="0"/>
    <pivotField numFmtId="164" showAll="0"/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8"/>
  </colFields>
  <colItems count="4">
    <i>
      <x/>
    </i>
    <i>
      <x v="1"/>
    </i>
    <i>
      <x v="2"/>
    </i>
    <i>
      <x v="3"/>
    </i>
  </colItems>
  <dataFields count="1">
    <dataField name="Avg Rentals" fld="15" subtotal="average" baseField="5" baseItem="0" numFmtId="1"/>
  </dataFields>
  <chartFormats count="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4DFD9-A395-4E8C-A44A-A75F2C151A2E}" name="PivotTable8" cacheId="4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 rowHeaderCaption="Days of Week">
  <location ref="A3:C10" firstHeaderRow="0" firstDataRow="1" firstDataCol="1"/>
  <pivotFields count="16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Total Casuals" fld="13" baseField="7" baseItem="0"/>
    <dataField name="Total Registered" fld="14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000EA6-D372-4896-9AE3-4A1A8A7BF9CB}" name="Table2" displayName="Table2" ref="A1:J611" totalsRowShown="0" headerRowDxfId="11" dataDxfId="10">
  <autoFilter ref="A1:J611" xr:uid="{C3000EA6-D372-4896-9AE3-4A1A8A7BF9CB}"/>
  <tableColumns count="10">
    <tableColumn id="1" xr3:uid="{2DBC1422-5C7E-4634-A697-A3727499D24D}" name="instant" dataDxfId="9"/>
    <tableColumn id="2" xr3:uid="{BFD117B7-99C2-4C85-969E-17ABF680F429}" name="dteday" dataDxfId="8"/>
    <tableColumn id="3" xr3:uid="{E06A6A01-CD60-45B4-B16C-ABDE2B0DF145}" name="season" dataDxfId="7"/>
    <tableColumn id="4" xr3:uid="{BC8399CB-141F-4C7C-A4BD-79293218AB74}" name="yr" dataDxfId="6"/>
    <tableColumn id="5" xr3:uid="{DBE55F64-83A1-4433-9561-901C35919FA4}" name="mnth" dataDxfId="5"/>
    <tableColumn id="6" xr3:uid="{E39CB9CA-CB62-4A4C-83D6-8F1F5763536F}" name="hr" dataDxfId="4"/>
    <tableColumn id="7" xr3:uid="{AD89076A-8F40-42BC-B7EA-BFEE6A08136B}" name="holiday" dataDxfId="3"/>
    <tableColumn id="8" xr3:uid="{0C400BD9-B7E6-440C-83D2-B676BBA9F5D2}" name="weekday" dataDxfId="2"/>
    <tableColumn id="9" xr3:uid="{2E21B2DE-7DC2-4EFB-B71A-7044E87E6861}" name="weathersit" dataDxfId="1"/>
    <tableColumn id="10" xr3:uid="{6B6AF138-E468-4CF3-A614-9074FB2852B1}" name="temp" dataDxfId="0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55FBCC-2426-42BD-BA0A-D3557028EF9D}" name="Table26" displayName="Table26" ref="A1:P611" totalsRowShown="0" headerRowDxfId="29" dataDxfId="28">
  <autoFilter ref="A1:P611" xr:uid="{8B55FBCC-2426-42BD-BA0A-D3557028EF9D}"/>
  <tableColumns count="16">
    <tableColumn id="1" xr3:uid="{F8DB5609-E82C-4465-8A43-B19DEFC36170}" name="instant" dataDxfId="27"/>
    <tableColumn id="2" xr3:uid="{9B1CA50B-576F-4F41-9C57-A81A086ADCA8}" name="dteday" dataDxfId="26"/>
    <tableColumn id="3" xr3:uid="{4E36B4A5-E188-464E-9E9A-B89D36D2DE5F}" name="season" dataDxfId="25"/>
    <tableColumn id="4" xr3:uid="{7A4688A5-C52E-4A6A-ACB4-F690F348C2FA}" name="yr" dataDxfId="24"/>
    <tableColumn id="5" xr3:uid="{BAD66CC1-83BE-4305-A697-EDCE7D85AD5E}" name="mnth" dataDxfId="23"/>
    <tableColumn id="6" xr3:uid="{972E2680-E08A-435A-A12E-59A5F74C820F}" name="hr" dataDxfId="22"/>
    <tableColumn id="7" xr3:uid="{F7783B8E-F5EB-4832-B619-BDA7D738714B}" name="holiday" dataDxfId="21"/>
    <tableColumn id="8" xr3:uid="{235D53D7-45BD-4657-B52E-9D9F3DA63370}" name="weekday" dataDxfId="20"/>
    <tableColumn id="9" xr3:uid="{599C24A0-E7FA-4E01-A32F-FDBA0D558947}" name="weathersit" dataDxfId="19"/>
    <tableColumn id="10" xr3:uid="{50C1A558-6C3C-448F-8F6A-CEB7AC7BBAAA}" name="temp" dataDxfId="18"/>
    <tableColumn id="11" xr3:uid="{8B7B6827-44B1-4A68-BF24-5DC1723F2259}" name="atemp" dataDxfId="17"/>
    <tableColumn id="12" xr3:uid="{E875D423-0CA6-4248-A9D1-19F1C9B4BD14}" name="hum" dataDxfId="16"/>
    <tableColumn id="13" xr3:uid="{EB745841-DC0F-49FF-A591-C740493E28E7}" name="windspeed" dataDxfId="15"/>
    <tableColumn id="14" xr3:uid="{661A536A-95B6-46BC-BE4B-D9788D2FBA02}" name="casual" dataDxfId="14"/>
    <tableColumn id="15" xr3:uid="{44102AE4-CB04-486A-858F-AC235CFF3AF1}" name="registered" dataDxfId="13"/>
    <tableColumn id="16" xr3:uid="{2CBB7C03-1197-433F-BEF5-57367F9D3BDE}" name="cnt" dataDxfId="1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1"/>
  <sheetViews>
    <sheetView workbookViewId="0">
      <selection activeCell="Q7" sqref="Q7"/>
    </sheetView>
  </sheetViews>
  <sheetFormatPr defaultRowHeight="14.4" x14ac:dyDescent="0.3"/>
  <cols>
    <col min="2" max="2" width="10.109375" bestFit="1" customWidth="1"/>
    <col min="13" max="13" width="10.10937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</row>
    <row r="2" spans="1:16" x14ac:dyDescent="0.3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  <c r="K2" cm="1">
        <f t="array" ref="K2:P2">_xlfn.XLOOKUP(Table2[[#This Row],[instant]],[1]!Table1[instant],[1]!Table1[[atemp]:[cnt]])</f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 x14ac:dyDescent="0.3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  <c r="K3" cm="1">
        <f t="array" ref="K3:P3">_xlfn.XLOOKUP(Table2[[#This Row],[instant]],[1]!Table1[instant],[1]!Table1[[atemp]:[cnt]])</f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 x14ac:dyDescent="0.3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  <c r="K4" cm="1">
        <f t="array" ref="K4:P4">_xlfn.XLOOKUP(Table2[[#This Row],[instant]],[1]!Table1[instant],[1]!Table1[[atemp]:[cnt]])</f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 x14ac:dyDescent="0.3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  <c r="K5" cm="1">
        <f t="array" ref="K5:P5">_xlfn.XLOOKUP(Table2[[#This Row],[instant]],[1]!Table1[instant],[1]!Table1[[atemp]:[cnt]])</f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 x14ac:dyDescent="0.3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  <c r="K6" cm="1">
        <f t="array" ref="K6:P6">_xlfn.XLOOKUP(Table2[[#This Row],[instant]],[1]!Table1[instant],[1]!Table1[[atemp]:[cnt]])</f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 x14ac:dyDescent="0.3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  <c r="K7" cm="1">
        <f t="array" ref="K7:P7">_xlfn.XLOOKUP(Table2[[#This Row],[instant]],[1]!Table1[instant],[1]!Table1[[atemp]:[cnt]])</f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 x14ac:dyDescent="0.3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  <c r="K8" cm="1">
        <f t="array" ref="K8:P8">_xlfn.XLOOKUP(Table2[[#This Row],[instant]],[1]!Table1[instant],[1]!Table1[[atemp]:[cnt]])</f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 x14ac:dyDescent="0.3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  <c r="K9" cm="1">
        <f t="array" ref="K9:P9">_xlfn.XLOOKUP(Table2[[#This Row],[instant]],[1]!Table1[instant],[1]!Table1[[atemp]:[cnt]])</f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 x14ac:dyDescent="0.3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  <c r="K10" cm="1">
        <f t="array" ref="K10:P10">_xlfn.XLOOKUP(Table2[[#This Row],[instant]],[1]!Table1[instant],[1]!Table1[[atemp]:[cnt]])</f>
        <v>0.19989999999999999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 x14ac:dyDescent="0.3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  <c r="K11" cm="1">
        <f t="array" ref="K11:P11">_xlfn.XLOOKUP(Table2[[#This Row],[instant]],[1]!Table1[instant],[1]!Table1[[atemp]:[cnt]])</f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 x14ac:dyDescent="0.3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  <c r="K12" cm="1">
        <f t="array" ref="K12:P12">_xlfn.XLOOKUP(Table2[[#This Row],[instant]],[1]!Table1[instant],[1]!Table1[[atemp]:[cnt]])</f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 x14ac:dyDescent="0.3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  <c r="K13" cm="1">
        <f t="array" ref="K13:P13">_xlfn.XLOOKUP(Table2[[#This Row],[instant]],[1]!Table1[instant],[1]!Table1[[atemp]:[cnt]])</f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 x14ac:dyDescent="0.3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  <c r="K14" cm="1">
        <f t="array" ref="K14:P14">_xlfn.XLOOKUP(Table2[[#This Row],[instant]],[1]!Table1[instant],[1]!Table1[[atemp]:[cnt]])</f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 x14ac:dyDescent="0.3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  <c r="K15" cm="1">
        <f t="array" ref="K15:P15">_xlfn.XLOOKUP(Table2[[#This Row],[instant]],[1]!Table1[instant],[1]!Table1[[atemp]:[cnt]])</f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 x14ac:dyDescent="0.3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  <c r="K16" cm="1">
        <f t="array" ref="K16:P16">_xlfn.XLOOKUP(Table2[[#This Row],[instant]],[1]!Table1[instant],[1]!Table1[[atemp]:[cnt]])</f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3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  <c r="K17" cm="1">
        <f t="array" ref="K17:P17">_xlfn.XLOOKUP(Table2[[#This Row],[instant]],[1]!Table1[instant],[1]!Table1[[atemp]:[cnt]])</f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3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  <c r="K18" cm="1">
        <f t="array" ref="K18:P18">_xlfn.XLOOKUP(Table2[[#This Row],[instant]],[1]!Table1[instant],[1]!Table1[[atemp]:[cnt]])</f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3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  <c r="K19" cm="1">
        <f t="array" ref="K19:P19">_xlfn.XLOOKUP(Table2[[#This Row],[instant]],[1]!Table1[instant],[1]!Table1[[atemp]:[cnt]])</f>
        <v>0.19989999999999999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3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  <c r="K20" cm="1">
        <f t="array" ref="K20:P20">_xlfn.XLOOKUP(Table2[[#This Row],[instant]],[1]!Table1[instant],[1]!Table1[[atemp]:[cnt]])</f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3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  <c r="K21" cm="1">
        <f t="array" ref="K21:P21">_xlfn.XLOOKUP(Table2[[#This Row],[instant]],[1]!Table1[instant],[1]!Table1[[atemp]:[cnt]])</f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3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  <c r="K22" cm="1">
        <f t="array" ref="K22:P22">_xlfn.XLOOKUP(Table2[[#This Row],[instant]],[1]!Table1[instant],[1]!Table1[[atemp]:[cnt]])</f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3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  <c r="K23" cm="1">
        <f t="array" ref="K23:P23">_xlfn.XLOOKUP(Table2[[#This Row],[instant]],[1]!Table1[instant],[1]!Table1[[atemp]:[cnt]])</f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3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  <c r="K24" cm="1">
        <f t="array" ref="K24:P24">_xlfn.XLOOKUP(Table2[[#This Row],[instant]],[1]!Table1[instant],[1]!Table1[[atemp]:[cnt]])</f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3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  <c r="K25" cm="1">
        <f t="array" ref="K25:P25">_xlfn.XLOOKUP(Table2[[#This Row],[instant]],[1]!Table1[instant],[1]!Table1[[atemp]:[cnt]])</f>
        <v>0.19989999999999999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3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  <c r="K26" cm="1">
        <f t="array" ref="K26:P26">_xlfn.XLOOKUP(Table2[[#This Row],[instant]],[1]!Table1[instant],[1]!Table1[[atemp]:[cnt]])</f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3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  <c r="K27" cm="1">
        <f t="array" ref="K27:P27">_xlfn.XLOOKUP(Table2[[#This Row],[instant]],[1]!Table1[instant],[1]!Table1[[atemp]:[cnt]])</f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3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  <c r="K28" cm="1">
        <f t="array" ref="K28:P28">_xlfn.XLOOKUP(Table2[[#This Row],[instant]],[1]!Table1[instant],[1]!Table1[[atemp]:[cnt]])</f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3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  <c r="K29" cm="1">
        <f t="array" ref="K29:P29">_xlfn.XLOOKUP(Table2[[#This Row],[instant]],[1]!Table1[instant],[1]!Table1[[atemp]:[cnt]])</f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3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  <c r="K30" cm="1">
        <f t="array" ref="K30:P30">_xlfn.XLOOKUP(Table2[[#This Row],[instant]],[1]!Table1[instant],[1]!Table1[[atemp]:[cnt]])</f>
        <v>0.19989999999999999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3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  <c r="K31" cm="1">
        <f t="array" ref="K31:P31">_xlfn.XLOOKUP(Table2[[#This Row],[instant]],[1]!Table1[instant],[1]!Table1[[atemp]:[cnt]])</f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3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  <c r="K32" cm="1">
        <f t="array" ref="K32:P32">_xlfn.XLOOKUP(Table2[[#This Row],[instant]],[1]!Table1[instant],[1]!Table1[[atemp]:[cnt]])</f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3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  <c r="K33" cm="1">
        <f t="array" ref="K33:P33">_xlfn.XLOOKUP(Table2[[#This Row],[instant]],[1]!Table1[instant],[1]!Table1[[atemp]:[cnt]])</f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3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  <c r="K34" cm="1">
        <f t="array" ref="K34:P34">_xlfn.XLOOKUP(Table2[[#This Row],[instant]],[1]!Table1[instant],[1]!Table1[[atemp]:[cnt]])</f>
        <v>0.19989999999999999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3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  <c r="K35" cm="1">
        <f t="array" ref="K35:P35">_xlfn.XLOOKUP(Table2[[#This Row],[instant]],[1]!Table1[instant],[1]!Table1[[atemp]:[cnt]])</f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3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  <c r="K36" cm="1">
        <f t="array" ref="K36:P36">_xlfn.XLOOKUP(Table2[[#This Row],[instant]],[1]!Table1[instant],[1]!Table1[[atemp]:[cnt]])</f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3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  <c r="K37" cm="1">
        <f t="array" ref="K37:P37">_xlfn.XLOOKUP(Table2[[#This Row],[instant]],[1]!Table1[instant],[1]!Table1[[atemp]:[cnt]])</f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3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  <c r="K38" cm="1">
        <f t="array" ref="K38:P38">_xlfn.XLOOKUP(Table2[[#This Row],[instant]],[1]!Table1[instant],[1]!Table1[[atemp]:[cnt]])</f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3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  <c r="K39" cm="1">
        <f t="array" ref="K39:P39">_xlfn.XLOOKUP(Table2[[#This Row],[instant]],[1]!Table1[instant],[1]!Table1[[atemp]:[cnt]])</f>
        <v>0.19989999999999999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3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  <c r="K40" cm="1">
        <f t="array" ref="K40:P40">_xlfn.XLOOKUP(Table2[[#This Row],[instant]],[1]!Table1[instant],[1]!Table1[[atemp]:[cnt]])</f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3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  <c r="K41" cm="1">
        <f t="array" ref="K41:P41">_xlfn.XLOOKUP(Table2[[#This Row],[instant]],[1]!Table1[instant],[1]!Table1[[atemp]:[cnt]])</f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3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  <c r="K42" cm="1">
        <f t="array" ref="K42:P42">_xlfn.XLOOKUP(Table2[[#This Row],[instant]],[1]!Table1[instant],[1]!Table1[[atemp]:[cnt]])</f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3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  <c r="K43" cm="1">
        <f t="array" ref="K43:P43">_xlfn.XLOOKUP(Table2[[#This Row],[instant]],[1]!Table1[instant],[1]!Table1[[atemp]:[cnt]])</f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3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  <c r="K44" cm="1">
        <f t="array" ref="K44:P44">_xlfn.XLOOKUP(Table2[[#This Row],[instant]],[1]!Table1[instant],[1]!Table1[[atemp]:[cnt]])</f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3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  <c r="K45" cm="1">
        <f t="array" ref="K45:P45">_xlfn.XLOOKUP(Table2[[#This Row],[instant]],[1]!Table1[instant],[1]!Table1[[atemp]:[cnt]])</f>
        <v>0.19989999999999999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3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  <c r="K46" cm="1">
        <f t="array" ref="K46:P46">_xlfn.XLOOKUP(Table2[[#This Row],[instant]],[1]!Table1[instant],[1]!Table1[[atemp]:[cnt]])</f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3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  <c r="K47" cm="1">
        <f t="array" ref="K47:P47">_xlfn.XLOOKUP(Table2[[#This Row],[instant]],[1]!Table1[instant],[1]!Table1[[atemp]:[cnt]])</f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3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  <c r="K48" cm="1">
        <f t="array" ref="K48:P48">_xlfn.XLOOKUP(Table2[[#This Row],[instant]],[1]!Table1[instant],[1]!Table1[[atemp]:[cnt]])</f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3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  <c r="K49" cm="1">
        <f t="array" ref="K49:P49">_xlfn.XLOOKUP(Table2[[#This Row],[instant]],[1]!Table1[instant],[1]!Table1[[atemp]:[cnt]])</f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3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  <c r="K50" cm="1">
        <f t="array" ref="K50:P50">_xlfn.XLOOKUP(Table2[[#This Row],[instant]],[1]!Table1[instant],[1]!Table1[[atemp]:[cnt]])</f>
        <v>0.19989999999999999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3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  <c r="K51" cm="1">
        <f t="array" ref="K51:P51">_xlfn.XLOOKUP(Table2[[#This Row],[instant]],[1]!Table1[instant],[1]!Table1[[atemp]:[cnt]])</f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3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  <c r="K52" cm="1">
        <f t="array" ref="K52:P52">_xlfn.XLOOKUP(Table2[[#This Row],[instant]],[1]!Table1[instant],[1]!Table1[[atemp]:[cnt]])</f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3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  <c r="K53" cm="1">
        <f t="array" ref="K53:P53">_xlfn.XLOOKUP(Table2[[#This Row],[instant]],[1]!Table1[instant],[1]!Table1[[atemp]:[cnt]])</f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3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  <c r="K54" cm="1">
        <f t="array" ref="K54:P54">_xlfn.XLOOKUP(Table2[[#This Row],[instant]],[1]!Table1[instant],[1]!Table1[[atemp]:[cnt]])</f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3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  <c r="K55" cm="1">
        <f t="array" ref="K55:P55">_xlfn.XLOOKUP(Table2[[#This Row],[instant]],[1]!Table1[instant],[1]!Table1[[atemp]:[cnt]])</f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3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  <c r="K56" cm="1">
        <f t="array" ref="K56:P56">_xlfn.XLOOKUP(Table2[[#This Row],[instant]],[1]!Table1[instant],[1]!Table1[[atemp]:[cnt]])</f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3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  <c r="K57" cm="1">
        <f t="array" ref="K57:P57">_xlfn.XLOOKUP(Table2[[#This Row],[instant]],[1]!Table1[instant],[1]!Table1[[atemp]:[cnt]])</f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3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  <c r="K58" cm="1">
        <f t="array" ref="K58:P58">_xlfn.XLOOKUP(Table2[[#This Row],[instant]],[1]!Table1[instant],[1]!Table1[[atemp]:[cnt]])</f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3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  <c r="K59" cm="1">
        <f t="array" ref="K59:P59">_xlfn.XLOOKUP(Table2[[#This Row],[instant]],[1]!Table1[instant],[1]!Table1[[atemp]:[cnt]])</f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3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  <c r="K60" cm="1">
        <f t="array" ref="K60:P60">_xlfn.XLOOKUP(Table2[[#This Row],[instant]],[1]!Table1[instant],[1]!Table1[[atemp]:[cnt]])</f>
        <v>0.19989999999999999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3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  <c r="K61" cm="1">
        <f t="array" ref="K61:P61">_xlfn.XLOOKUP(Table2[[#This Row],[instant]],[1]!Table1[instant],[1]!Table1[[atemp]:[cnt]])</f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3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  <c r="K62" cm="1">
        <f t="array" ref="K62:P62">_xlfn.XLOOKUP(Table2[[#This Row],[instant]],[1]!Table1[instant],[1]!Table1[[atemp]:[cnt]])</f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3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  <c r="K63" cm="1">
        <f t="array" ref="K63:P63">_xlfn.XLOOKUP(Table2[[#This Row],[instant]],[1]!Table1[instant],[1]!Table1[[atemp]:[cnt]])</f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3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  <c r="K64" cm="1">
        <f t="array" ref="K64:P64">_xlfn.XLOOKUP(Table2[[#This Row],[instant]],[1]!Table1[instant],[1]!Table1[[atemp]:[cnt]])</f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3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  <c r="K65" cm="1">
        <f t="array" ref="K65:P65">_xlfn.XLOOKUP(Table2[[#This Row],[instant]],[1]!Table1[instant],[1]!Table1[[atemp]:[cnt]])</f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3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  <c r="K66" cm="1">
        <f t="array" ref="K66:P66">_xlfn.XLOOKUP(Table2[[#This Row],[instant]],[1]!Table1[instant],[1]!Table1[[atemp]:[cnt]])</f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3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  <c r="K67" cm="1">
        <f t="array" ref="K67:P67">_xlfn.XLOOKUP(Table2[[#This Row],[instant]],[1]!Table1[instant],[1]!Table1[[atemp]:[cnt]])</f>
        <v>0.19989999999999999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3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  <c r="K68" cm="1">
        <f t="array" ref="K68:P68">_xlfn.XLOOKUP(Table2[[#This Row],[instant]],[1]!Table1[instant],[1]!Table1[[atemp]:[cnt]])</f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3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  <c r="K69" cm="1">
        <f t="array" ref="K69:P69">_xlfn.XLOOKUP(Table2[[#This Row],[instant]],[1]!Table1[instant],[1]!Table1[[atemp]:[cnt]])</f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3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  <c r="K70" cm="1">
        <f t="array" ref="K70:P70">_xlfn.XLOOKUP(Table2[[#This Row],[instant]],[1]!Table1[instant],[1]!Table1[[atemp]:[cnt]])</f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3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  <c r="K71" cm="1">
        <f t="array" ref="K71:P71">_xlfn.XLOOKUP(Table2[[#This Row],[instant]],[1]!Table1[instant],[1]!Table1[[atemp]:[cnt]])</f>
        <v>0.19989999999999999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3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  <c r="K72" cm="1">
        <f t="array" ref="K72:P72">_xlfn.XLOOKUP(Table2[[#This Row],[instant]],[1]!Table1[instant],[1]!Table1[[atemp]:[cnt]])</f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3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  <c r="K73" cm="1">
        <f t="array" ref="K73:P73">_xlfn.XLOOKUP(Table2[[#This Row],[instant]],[1]!Table1[instant],[1]!Table1[[atemp]:[cnt]])</f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3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  <c r="K74" cm="1">
        <f t="array" ref="K74:P74">_xlfn.XLOOKUP(Table2[[#This Row],[instant]],[1]!Table1[instant],[1]!Table1[[atemp]:[cnt]])</f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3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  <c r="K75" cm="1">
        <f t="array" ref="K75:P75">_xlfn.XLOOKUP(Table2[[#This Row],[instant]],[1]!Table1[instant],[1]!Table1[[atemp]:[cnt]])</f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3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  <c r="K76" cm="1">
        <f t="array" ref="K76:P76">_xlfn.XLOOKUP(Table2[[#This Row],[instant]],[1]!Table1[instant],[1]!Table1[[atemp]:[cnt]])</f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3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  <c r="K77" cm="1">
        <f t="array" ref="K77:P77">_xlfn.XLOOKUP(Table2[[#This Row],[instant]],[1]!Table1[instant],[1]!Table1[[atemp]:[cnt]])</f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3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  <c r="K78" cm="1">
        <f t="array" ref="K78:P78">_xlfn.XLOOKUP(Table2[[#This Row],[instant]],[1]!Table1[instant],[1]!Table1[[atemp]:[cnt]])</f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3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  <c r="K79" cm="1">
        <f t="array" ref="K79:P79">_xlfn.XLOOKUP(Table2[[#This Row],[instant]],[1]!Table1[instant],[1]!Table1[[atemp]:[cnt]])</f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3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cm="1">
        <f t="array" ref="K80:P80">_xlfn.XLOOKUP(Table2[[#This Row],[instant]],[1]!Table1[instant],[1]!Table1[[atemp]:[cnt]])</f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3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  <c r="K81" cm="1">
        <f t="array" ref="K81:P81">_xlfn.XLOOKUP(Table2[[#This Row],[instant]],[1]!Table1[instant],[1]!Table1[[atemp]:[cnt]])</f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3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  <c r="K82" cm="1">
        <f t="array" ref="K82:P82">_xlfn.XLOOKUP(Table2[[#This Row],[instant]],[1]!Table1[instant],[1]!Table1[[atemp]:[cnt]])</f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3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  <c r="K83" cm="1">
        <f t="array" ref="K83:P83">_xlfn.XLOOKUP(Table2[[#This Row],[instant]],[1]!Table1[instant],[1]!Table1[[atemp]:[cnt]])</f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3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  <c r="K84" cm="1">
        <f t="array" ref="K84:P84">_xlfn.XLOOKUP(Table2[[#This Row],[instant]],[1]!Table1[instant],[1]!Table1[[atemp]:[cnt]])</f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3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  <c r="K85" cm="1">
        <f t="array" ref="K85:P85">_xlfn.XLOOKUP(Table2[[#This Row],[instant]],[1]!Table1[instant],[1]!Table1[[atemp]:[cnt]])</f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3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  <c r="K86" cm="1">
        <f t="array" ref="K86:P86">_xlfn.XLOOKUP(Table2[[#This Row],[instant]],[1]!Table1[instant],[1]!Table1[[atemp]:[cnt]])</f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3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  <c r="K87" cm="1">
        <f t="array" ref="K87:P87">_xlfn.XLOOKUP(Table2[[#This Row],[instant]],[1]!Table1[instant],[1]!Table1[[atemp]:[cnt]])</f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3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  <c r="K88" cm="1">
        <f t="array" ref="K88:P88">_xlfn.XLOOKUP(Table2[[#This Row],[instant]],[1]!Table1[instant],[1]!Table1[[atemp]:[cnt]])</f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3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  <c r="K89" cm="1">
        <f t="array" ref="K89:P89">_xlfn.XLOOKUP(Table2[[#This Row],[instant]],[1]!Table1[instant],[1]!Table1[[atemp]:[cnt]])</f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3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  <c r="K90" cm="1">
        <f t="array" ref="K90:P90">_xlfn.XLOOKUP(Table2[[#This Row],[instant]],[1]!Table1[instant],[1]!Table1[[atemp]:[cnt]])</f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3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  <c r="K91" cm="1">
        <f t="array" ref="K91:P91">_xlfn.XLOOKUP(Table2[[#This Row],[instant]],[1]!Table1[instant],[1]!Table1[[atemp]:[cnt]])</f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3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  <c r="K92" cm="1">
        <f t="array" ref="K92:P92">_xlfn.XLOOKUP(Table2[[#This Row],[instant]],[1]!Table1[instant],[1]!Table1[[atemp]:[cnt]])</f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3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  <c r="K93" cm="1">
        <f t="array" ref="K93:P93">_xlfn.XLOOKUP(Table2[[#This Row],[instant]],[1]!Table1[instant],[1]!Table1[[atemp]:[cnt]])</f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3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  <c r="K94" cm="1">
        <f t="array" ref="K94:P94">_xlfn.XLOOKUP(Table2[[#This Row],[instant]],[1]!Table1[instant],[1]!Table1[[atemp]:[cnt]])</f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3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  <c r="K95" cm="1">
        <f t="array" ref="K95:P95">_xlfn.XLOOKUP(Table2[[#This Row],[instant]],[1]!Table1[instant],[1]!Table1[[atemp]:[cnt]])</f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3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  <c r="K96" cm="1">
        <f t="array" ref="K96:P96">_xlfn.XLOOKUP(Table2[[#This Row],[instant]],[1]!Table1[instant],[1]!Table1[[atemp]:[cnt]])</f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3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  <c r="K97" cm="1">
        <f t="array" ref="K97:P97">_xlfn.XLOOKUP(Table2[[#This Row],[instant]],[1]!Table1[instant],[1]!Table1[[atemp]:[cnt]])</f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3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  <c r="K98" cm="1">
        <f t="array" ref="K98:P98">_xlfn.XLOOKUP(Table2[[#This Row],[instant]],[1]!Table1[instant],[1]!Table1[[atemp]:[cnt]])</f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3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  <c r="K99" cm="1">
        <f t="array" ref="K99:P99">_xlfn.XLOOKUP(Table2[[#This Row],[instant]],[1]!Table1[instant],[1]!Table1[[atemp]:[cnt]])</f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3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  <c r="K100" cm="1">
        <f t="array" ref="K100:P100">_xlfn.XLOOKUP(Table2[[#This Row],[instant]],[1]!Table1[instant],[1]!Table1[[atemp]:[cnt]])</f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3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  <c r="K101" cm="1">
        <f t="array" ref="K101:P101">_xlfn.XLOOKUP(Table2[[#This Row],[instant]],[1]!Table1[instant],[1]!Table1[[atemp]:[cnt]])</f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3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  <c r="K102" cm="1">
        <f t="array" ref="K102:P102">_xlfn.XLOOKUP(Table2[[#This Row],[instant]],[1]!Table1[instant],[1]!Table1[[atemp]:[cnt]])</f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3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  <c r="K103" cm="1">
        <f t="array" ref="K103:P103">_xlfn.XLOOKUP(Table2[[#This Row],[instant]],[1]!Table1[instant],[1]!Table1[[atemp]:[cnt]])</f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3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  <c r="K104" cm="1">
        <f t="array" ref="K104:P104">_xlfn.XLOOKUP(Table2[[#This Row],[instant]],[1]!Table1[instant],[1]!Table1[[atemp]:[cnt]])</f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3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  <c r="K105" cm="1">
        <f t="array" ref="K105:P105">_xlfn.XLOOKUP(Table2[[#This Row],[instant]],[1]!Table1[instant],[1]!Table1[[atemp]:[cnt]])</f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3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  <c r="K106" cm="1">
        <f t="array" ref="K106:P106">_xlfn.XLOOKUP(Table2[[#This Row],[instant]],[1]!Table1[instant],[1]!Table1[[atemp]:[cnt]])</f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3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  <c r="K107" cm="1">
        <f t="array" ref="K107:P107">_xlfn.XLOOKUP(Table2[[#This Row],[instant]],[1]!Table1[instant],[1]!Table1[[atemp]:[cnt]])</f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3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  <c r="K108" cm="1">
        <f t="array" ref="K108:P108">_xlfn.XLOOKUP(Table2[[#This Row],[instant]],[1]!Table1[instant],[1]!Table1[[atemp]:[cnt]])</f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3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  <c r="K109" cm="1">
        <f t="array" ref="K109:P109">_xlfn.XLOOKUP(Table2[[#This Row],[instant]],[1]!Table1[instant],[1]!Table1[[atemp]:[cnt]])</f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3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  <c r="K110" cm="1">
        <f t="array" ref="K110:P110">_xlfn.XLOOKUP(Table2[[#This Row],[instant]],[1]!Table1[instant],[1]!Table1[[atemp]:[cnt]])</f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3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  <c r="K111" cm="1">
        <f t="array" ref="K111:P111">_xlfn.XLOOKUP(Table2[[#This Row],[instant]],[1]!Table1[instant],[1]!Table1[[atemp]:[cnt]])</f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3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  <c r="K112" cm="1">
        <f t="array" ref="K112:P112">_xlfn.XLOOKUP(Table2[[#This Row],[instant]],[1]!Table1[instant],[1]!Table1[[atemp]:[cnt]])</f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3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  <c r="K113" cm="1">
        <f t="array" ref="K113:P113">_xlfn.XLOOKUP(Table2[[#This Row],[instant]],[1]!Table1[instant],[1]!Table1[[atemp]:[cnt]])</f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3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  <c r="K114" cm="1">
        <f t="array" ref="K114:P114">_xlfn.XLOOKUP(Table2[[#This Row],[instant]],[1]!Table1[instant],[1]!Table1[[atemp]:[cnt]])</f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3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  <c r="K115" cm="1">
        <f t="array" ref="K115:P115">_xlfn.XLOOKUP(Table2[[#This Row],[instant]],[1]!Table1[instant],[1]!Table1[[atemp]:[cnt]])</f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3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  <c r="K116" cm="1">
        <f t="array" ref="K116:P116">_xlfn.XLOOKUP(Table2[[#This Row],[instant]],[1]!Table1[instant],[1]!Table1[[atemp]:[cnt]])</f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3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  <c r="K117" cm="1">
        <f t="array" ref="K117:P117">_xlfn.XLOOKUP(Table2[[#This Row],[instant]],[1]!Table1[instant],[1]!Table1[[atemp]:[cnt]])</f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3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  <c r="K118" cm="1">
        <f t="array" ref="K118:P118">_xlfn.XLOOKUP(Table2[[#This Row],[instant]],[1]!Table1[instant],[1]!Table1[[atemp]:[cnt]])</f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3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  <c r="K119" cm="1">
        <f t="array" ref="K119:P119">_xlfn.XLOOKUP(Table2[[#This Row],[instant]],[1]!Table1[instant],[1]!Table1[[atemp]:[cnt]])</f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3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  <c r="K120" cm="1">
        <f t="array" ref="K120:P120">_xlfn.XLOOKUP(Table2[[#This Row],[instant]],[1]!Table1[instant],[1]!Table1[[atemp]:[cnt]])</f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3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  <c r="K121" cm="1">
        <f t="array" ref="K121:P121">_xlfn.XLOOKUP(Table2[[#This Row],[instant]],[1]!Table1[instant],[1]!Table1[[atemp]:[cnt]])</f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3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  <c r="K122" cm="1">
        <f t="array" ref="K122:P122">_xlfn.XLOOKUP(Table2[[#This Row],[instant]],[1]!Table1[instant],[1]!Table1[[atemp]:[cnt]])</f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3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  <c r="K123" cm="1">
        <f t="array" ref="K123:P123">_xlfn.XLOOKUP(Table2[[#This Row],[instant]],[1]!Table1[instant],[1]!Table1[[atemp]:[cnt]])</f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3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  <c r="K124" cm="1">
        <f t="array" ref="K124:P124">_xlfn.XLOOKUP(Table2[[#This Row],[instant]],[1]!Table1[instant],[1]!Table1[[atemp]:[cnt]])</f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3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  <c r="K125" cm="1">
        <f t="array" ref="K125:P125">_xlfn.XLOOKUP(Table2[[#This Row],[instant]],[1]!Table1[instant],[1]!Table1[[atemp]:[cnt]])</f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3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  <c r="K126" cm="1">
        <f t="array" ref="K126:P126">_xlfn.XLOOKUP(Table2[[#This Row],[instant]],[1]!Table1[instant],[1]!Table1[[atemp]:[cnt]])</f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3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  <c r="K127" cm="1">
        <f t="array" ref="K127:P127">_xlfn.XLOOKUP(Table2[[#This Row],[instant]],[1]!Table1[instant],[1]!Table1[[atemp]:[cnt]])</f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3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  <c r="K128" cm="1">
        <f t="array" ref="K128:P128">_xlfn.XLOOKUP(Table2[[#This Row],[instant]],[1]!Table1[instant],[1]!Table1[[atemp]:[cnt]])</f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3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  <c r="K129" cm="1">
        <f t="array" ref="K129:P129">_xlfn.XLOOKUP(Table2[[#This Row],[instant]],[1]!Table1[instant],[1]!Table1[[atemp]:[cnt]])</f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3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  <c r="K130" cm="1">
        <f t="array" ref="K130:P130">_xlfn.XLOOKUP(Table2[[#This Row],[instant]],[1]!Table1[instant],[1]!Table1[[atemp]:[cnt]])</f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3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  <c r="K131" cm="1">
        <f t="array" ref="K131:P131">_xlfn.XLOOKUP(Table2[[#This Row],[instant]],[1]!Table1[instant],[1]!Table1[[atemp]:[cnt]])</f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3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  <c r="K132" cm="1">
        <f t="array" ref="K132:P132">_xlfn.XLOOKUP(Table2[[#This Row],[instant]],[1]!Table1[instant],[1]!Table1[[atemp]:[cnt]])</f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3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  <c r="K133" cm="1">
        <f t="array" ref="K133:P133">_xlfn.XLOOKUP(Table2[[#This Row],[instant]],[1]!Table1[instant],[1]!Table1[[atemp]:[cnt]])</f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3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  <c r="K134" cm="1">
        <f t="array" ref="K134:P134">_xlfn.XLOOKUP(Table2[[#This Row],[instant]],[1]!Table1[instant],[1]!Table1[[atemp]:[cnt]])</f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3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  <c r="K135" cm="1">
        <f t="array" ref="K135:P135">_xlfn.XLOOKUP(Table2[[#This Row],[instant]],[1]!Table1[instant],[1]!Table1[[atemp]:[cnt]])</f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3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  <c r="K136" cm="1">
        <f t="array" ref="K136:P136">_xlfn.XLOOKUP(Table2[[#This Row],[instant]],[1]!Table1[instant],[1]!Table1[[atemp]:[cnt]])</f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3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  <c r="K137" cm="1">
        <f t="array" ref="K137:P137">_xlfn.XLOOKUP(Table2[[#This Row],[instant]],[1]!Table1[instant],[1]!Table1[[atemp]:[cnt]])</f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3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  <c r="K138" cm="1">
        <f t="array" ref="K138:P138">_xlfn.XLOOKUP(Table2[[#This Row],[instant]],[1]!Table1[instant],[1]!Table1[[atemp]:[cnt]])</f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3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  <c r="K139" cm="1">
        <f t="array" ref="K139:P139">_xlfn.XLOOKUP(Table2[[#This Row],[instant]],[1]!Table1[instant],[1]!Table1[[atemp]:[cnt]])</f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3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  <c r="K140" cm="1">
        <f t="array" ref="K140:P140">_xlfn.XLOOKUP(Table2[[#This Row],[instant]],[1]!Table1[instant],[1]!Table1[[atemp]:[cnt]])</f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3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  <c r="K141" cm="1">
        <f t="array" ref="K141:P141">_xlfn.XLOOKUP(Table2[[#This Row],[instant]],[1]!Table1[instant],[1]!Table1[[atemp]:[cnt]])</f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3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  <c r="K142" cm="1">
        <f t="array" ref="K142:P142">_xlfn.XLOOKUP(Table2[[#This Row],[instant]],[1]!Table1[instant],[1]!Table1[[atemp]:[cnt]])</f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3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  <c r="K143" cm="1">
        <f t="array" ref="K143:P143">_xlfn.XLOOKUP(Table2[[#This Row],[instant]],[1]!Table1[instant],[1]!Table1[[atemp]:[cnt]])</f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3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  <c r="K144" cm="1">
        <f t="array" ref="K144:P144">_xlfn.XLOOKUP(Table2[[#This Row],[instant]],[1]!Table1[instant],[1]!Table1[[atemp]:[cnt]])</f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3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  <c r="K145" cm="1">
        <f t="array" ref="K145:P145">_xlfn.XLOOKUP(Table2[[#This Row],[instant]],[1]!Table1[instant],[1]!Table1[[atemp]:[cnt]])</f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3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  <c r="K146" cm="1">
        <f t="array" ref="K146:P146">_xlfn.XLOOKUP(Table2[[#This Row],[instant]],[1]!Table1[instant],[1]!Table1[[atemp]:[cnt]])</f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3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  <c r="K147" cm="1">
        <f t="array" ref="K147:P147">_xlfn.XLOOKUP(Table2[[#This Row],[instant]],[1]!Table1[instant],[1]!Table1[[atemp]:[cnt]])</f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3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  <c r="K148" cm="1">
        <f t="array" ref="K148:P148">_xlfn.XLOOKUP(Table2[[#This Row],[instant]],[1]!Table1[instant],[1]!Table1[[atemp]:[cnt]])</f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3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  <c r="K149" cm="1">
        <f t="array" ref="K149:P149">_xlfn.XLOOKUP(Table2[[#This Row],[instant]],[1]!Table1[instant],[1]!Table1[[atemp]:[cnt]])</f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3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  <c r="K150" cm="1">
        <f t="array" ref="K150:P150">_xlfn.XLOOKUP(Table2[[#This Row],[instant]],[1]!Table1[instant],[1]!Table1[[atemp]:[cnt]])</f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3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  <c r="K151" cm="1">
        <f t="array" ref="K151:P151">_xlfn.XLOOKUP(Table2[[#This Row],[instant]],[1]!Table1[instant],[1]!Table1[[atemp]:[cnt]])</f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3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  <c r="K152" cm="1">
        <f t="array" ref="K152:P152">_xlfn.XLOOKUP(Table2[[#This Row],[instant]],[1]!Table1[instant],[1]!Table1[[atemp]:[cnt]])</f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3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  <c r="K153" cm="1">
        <f t="array" ref="K153:P153">_xlfn.XLOOKUP(Table2[[#This Row],[instant]],[1]!Table1[instant],[1]!Table1[[atemp]:[cnt]])</f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3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  <c r="K154" cm="1">
        <f t="array" ref="K154:P154">_xlfn.XLOOKUP(Table2[[#This Row],[instant]],[1]!Table1[instant],[1]!Table1[[atemp]:[cnt]])</f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3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  <c r="K155" cm="1">
        <f t="array" ref="K155:P155">_xlfn.XLOOKUP(Table2[[#This Row],[instant]],[1]!Table1[instant],[1]!Table1[[atemp]:[cnt]])</f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3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  <c r="K156" cm="1">
        <f t="array" ref="K156:P156">_xlfn.XLOOKUP(Table2[[#This Row],[instant]],[1]!Table1[instant],[1]!Table1[[atemp]:[cnt]])</f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3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  <c r="K157" cm="1">
        <f t="array" ref="K157:P157">_xlfn.XLOOKUP(Table2[[#This Row],[instant]],[1]!Table1[instant],[1]!Table1[[atemp]:[cnt]])</f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3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  <c r="K158" cm="1">
        <f t="array" ref="K158:P158">_xlfn.XLOOKUP(Table2[[#This Row],[instant]],[1]!Table1[instant],[1]!Table1[[atemp]:[cnt]])</f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3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  <c r="K159" cm="1">
        <f t="array" ref="K159:P159">_xlfn.XLOOKUP(Table2[[#This Row],[instant]],[1]!Table1[instant],[1]!Table1[[atemp]:[cnt]])</f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3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  <c r="K160" cm="1">
        <f t="array" ref="K160:P160">_xlfn.XLOOKUP(Table2[[#This Row],[instant]],[1]!Table1[instant],[1]!Table1[[atemp]:[cnt]])</f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3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  <c r="K161" cm="1">
        <f t="array" ref="K161:P161">_xlfn.XLOOKUP(Table2[[#This Row],[instant]],[1]!Table1[instant],[1]!Table1[[atemp]:[cnt]])</f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3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  <c r="K162" cm="1">
        <f t="array" ref="K162:P162">_xlfn.XLOOKUP(Table2[[#This Row],[instant]],[1]!Table1[instant],[1]!Table1[[atemp]:[cnt]])</f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3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  <c r="K163" cm="1">
        <f t="array" ref="K163:P163">_xlfn.XLOOKUP(Table2[[#This Row],[instant]],[1]!Table1[instant],[1]!Table1[[atemp]:[cnt]])</f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3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  <c r="K164" cm="1">
        <f t="array" ref="K164:P164">_xlfn.XLOOKUP(Table2[[#This Row],[instant]],[1]!Table1[instant],[1]!Table1[[atemp]:[cnt]])</f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3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  <c r="K165" cm="1">
        <f t="array" ref="K165:P165">_xlfn.XLOOKUP(Table2[[#This Row],[instant]],[1]!Table1[instant],[1]!Table1[[atemp]:[cnt]])</f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3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  <c r="K166" cm="1">
        <f t="array" ref="K166:P166">_xlfn.XLOOKUP(Table2[[#This Row],[instant]],[1]!Table1[instant],[1]!Table1[[atemp]:[cnt]])</f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3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  <c r="K167" cm="1">
        <f t="array" ref="K167:P167">_xlfn.XLOOKUP(Table2[[#This Row],[instant]],[1]!Table1[instant],[1]!Table1[[atemp]:[cnt]])</f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3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  <c r="K168" cm="1">
        <f t="array" ref="K168:P168">_xlfn.XLOOKUP(Table2[[#This Row],[instant]],[1]!Table1[instant],[1]!Table1[[atemp]:[cnt]])</f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3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  <c r="K169" cm="1">
        <f t="array" ref="K169:P169">_xlfn.XLOOKUP(Table2[[#This Row],[instant]],[1]!Table1[instant],[1]!Table1[[atemp]:[cnt]])</f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3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  <c r="K170" cm="1">
        <f t="array" ref="K170:P170">_xlfn.XLOOKUP(Table2[[#This Row],[instant]],[1]!Table1[instant],[1]!Table1[[atemp]:[cnt]])</f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3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  <c r="K171" cm="1">
        <f t="array" ref="K171:P171">_xlfn.XLOOKUP(Table2[[#This Row],[instant]],[1]!Table1[instant],[1]!Table1[[atemp]:[cnt]])</f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3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  <c r="K172" cm="1">
        <f t="array" ref="K172:P172">_xlfn.XLOOKUP(Table2[[#This Row],[instant]],[1]!Table1[instant],[1]!Table1[[atemp]:[cnt]])</f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3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  <c r="K173" cm="1">
        <f t="array" ref="K173:P173">_xlfn.XLOOKUP(Table2[[#This Row],[instant]],[1]!Table1[instant],[1]!Table1[[atemp]:[cnt]])</f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3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  <c r="K174" cm="1">
        <f t="array" ref="K174:P174">_xlfn.XLOOKUP(Table2[[#This Row],[instant]],[1]!Table1[instant],[1]!Table1[[atemp]:[cnt]])</f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3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  <c r="K175" cm="1">
        <f t="array" ref="K175:P175">_xlfn.XLOOKUP(Table2[[#This Row],[instant]],[1]!Table1[instant],[1]!Table1[[atemp]:[cnt]])</f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3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  <c r="K176" cm="1">
        <f t="array" ref="K176:P176">_xlfn.XLOOKUP(Table2[[#This Row],[instant]],[1]!Table1[instant],[1]!Table1[[atemp]:[cnt]])</f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3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  <c r="K177" cm="1">
        <f t="array" ref="K177:P177">_xlfn.XLOOKUP(Table2[[#This Row],[instant]],[1]!Table1[instant],[1]!Table1[[atemp]:[cnt]])</f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3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  <c r="K178" cm="1">
        <f t="array" ref="K178:P178">_xlfn.XLOOKUP(Table2[[#This Row],[instant]],[1]!Table1[instant],[1]!Table1[[atemp]:[cnt]])</f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3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  <c r="K179" cm="1">
        <f t="array" ref="K179:P179">_xlfn.XLOOKUP(Table2[[#This Row],[instant]],[1]!Table1[instant],[1]!Table1[[atemp]:[cnt]])</f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3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  <c r="K180" cm="1">
        <f t="array" ref="K180:P180">_xlfn.XLOOKUP(Table2[[#This Row],[instant]],[1]!Table1[instant],[1]!Table1[[atemp]:[cnt]])</f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3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  <c r="K181" cm="1">
        <f t="array" ref="K181:P181">_xlfn.XLOOKUP(Table2[[#This Row],[instant]],[1]!Table1[instant],[1]!Table1[[atemp]:[cnt]])</f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3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  <c r="K182" cm="1">
        <f t="array" ref="K182:P182">_xlfn.XLOOKUP(Table2[[#This Row],[instant]],[1]!Table1[instant],[1]!Table1[[atemp]:[cnt]])</f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3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  <c r="K183" cm="1">
        <f t="array" ref="K183:P183">_xlfn.XLOOKUP(Table2[[#This Row],[instant]],[1]!Table1[instant],[1]!Table1[[atemp]:[cnt]])</f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3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  <c r="K184" cm="1">
        <f t="array" ref="K184:P184">_xlfn.XLOOKUP(Table2[[#This Row],[instant]],[1]!Table1[instant],[1]!Table1[[atemp]:[cnt]])</f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3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  <c r="K185" cm="1">
        <f t="array" ref="K185:P185">_xlfn.XLOOKUP(Table2[[#This Row],[instant]],[1]!Table1[instant],[1]!Table1[[atemp]:[cnt]])</f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3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  <c r="K186" cm="1">
        <f t="array" ref="K186:P186">_xlfn.XLOOKUP(Table2[[#This Row],[instant]],[1]!Table1[instant],[1]!Table1[[atemp]:[cnt]])</f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3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  <c r="K187" cm="1">
        <f t="array" ref="K187:P187">_xlfn.XLOOKUP(Table2[[#This Row],[instant]],[1]!Table1[instant],[1]!Table1[[atemp]:[cnt]])</f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3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  <c r="K188" cm="1">
        <f t="array" ref="K188:P188">_xlfn.XLOOKUP(Table2[[#This Row],[instant]],[1]!Table1[instant],[1]!Table1[[atemp]:[cnt]])</f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3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  <c r="K189" cm="1">
        <f t="array" ref="K189:P189">_xlfn.XLOOKUP(Table2[[#This Row],[instant]],[1]!Table1[instant],[1]!Table1[[atemp]:[cnt]])</f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3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  <c r="K190" cm="1">
        <f t="array" ref="K190:P190">_xlfn.XLOOKUP(Table2[[#This Row],[instant]],[1]!Table1[instant],[1]!Table1[[atemp]:[cnt]])</f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3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  <c r="K191" cm="1">
        <f t="array" ref="K191:P191">_xlfn.XLOOKUP(Table2[[#This Row],[instant]],[1]!Table1[instant],[1]!Table1[[atemp]:[cnt]])</f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3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  <c r="K192" cm="1">
        <f t="array" ref="K192:P192">_xlfn.XLOOKUP(Table2[[#This Row],[instant]],[1]!Table1[instant],[1]!Table1[[atemp]:[cnt]])</f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3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  <c r="K193" cm="1">
        <f t="array" ref="K193:P193">_xlfn.XLOOKUP(Table2[[#This Row],[instant]],[1]!Table1[instant],[1]!Table1[[atemp]:[cnt]])</f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3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  <c r="K194" cm="1">
        <f t="array" ref="K194:P194">_xlfn.XLOOKUP(Table2[[#This Row],[instant]],[1]!Table1[instant],[1]!Table1[[atemp]:[cnt]])</f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3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  <c r="K195" cm="1">
        <f t="array" ref="K195:P195">_xlfn.XLOOKUP(Table2[[#This Row],[instant]],[1]!Table1[instant],[1]!Table1[[atemp]:[cnt]])</f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3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  <c r="K196" cm="1">
        <f t="array" ref="K196:P196">_xlfn.XLOOKUP(Table2[[#This Row],[instant]],[1]!Table1[instant],[1]!Table1[[atemp]:[cnt]])</f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3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  <c r="K197" cm="1">
        <f t="array" ref="K197:P197">_xlfn.XLOOKUP(Table2[[#This Row],[instant]],[1]!Table1[instant],[1]!Table1[[atemp]:[cnt]])</f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3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  <c r="K198" cm="1">
        <f t="array" ref="K198:P198">_xlfn.XLOOKUP(Table2[[#This Row],[instant]],[1]!Table1[instant],[1]!Table1[[atemp]:[cnt]])</f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3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  <c r="K199" cm="1">
        <f t="array" ref="K199:P199">_xlfn.XLOOKUP(Table2[[#This Row],[instant]],[1]!Table1[instant],[1]!Table1[[atemp]:[cnt]])</f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3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  <c r="K200" cm="1">
        <f t="array" ref="K200:P200">_xlfn.XLOOKUP(Table2[[#This Row],[instant]],[1]!Table1[instant],[1]!Table1[[atemp]:[cnt]])</f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3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  <c r="K201" cm="1">
        <f t="array" ref="K201:P201">_xlfn.XLOOKUP(Table2[[#This Row],[instant]],[1]!Table1[instant],[1]!Table1[[atemp]:[cnt]])</f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3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  <c r="K202" cm="1">
        <f t="array" ref="K202:P202">_xlfn.XLOOKUP(Table2[[#This Row],[instant]],[1]!Table1[instant],[1]!Table1[[atemp]:[cnt]])</f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3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  <c r="K203" cm="1">
        <f t="array" ref="K203:P203">_xlfn.XLOOKUP(Table2[[#This Row],[instant]],[1]!Table1[instant],[1]!Table1[[atemp]:[cnt]])</f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3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  <c r="K204" cm="1">
        <f t="array" ref="K204:P204">_xlfn.XLOOKUP(Table2[[#This Row],[instant]],[1]!Table1[instant],[1]!Table1[[atemp]:[cnt]])</f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3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  <c r="K205" cm="1">
        <f t="array" ref="K205:P205">_xlfn.XLOOKUP(Table2[[#This Row],[instant]],[1]!Table1[instant],[1]!Table1[[atemp]:[cnt]])</f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3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  <c r="K206" cm="1">
        <f t="array" ref="K206:P206">_xlfn.XLOOKUP(Table2[[#This Row],[instant]],[1]!Table1[instant],[1]!Table1[[atemp]:[cnt]])</f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3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  <c r="K207" cm="1">
        <f t="array" ref="K207:P207">_xlfn.XLOOKUP(Table2[[#This Row],[instant]],[1]!Table1[instant],[1]!Table1[[atemp]:[cnt]])</f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3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  <c r="K208" cm="1">
        <f t="array" ref="K208:P208">_xlfn.XLOOKUP(Table2[[#This Row],[instant]],[1]!Table1[instant],[1]!Table1[[atemp]:[cnt]])</f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3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  <c r="K209" cm="1">
        <f t="array" ref="K209:P209">_xlfn.XLOOKUP(Table2[[#This Row],[instant]],[1]!Table1[instant],[1]!Table1[[atemp]:[cnt]])</f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3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  <c r="K210" cm="1">
        <f t="array" ref="K210:P210">_xlfn.XLOOKUP(Table2[[#This Row],[instant]],[1]!Table1[instant],[1]!Table1[[atemp]:[cnt]])</f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3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  <c r="K211" cm="1">
        <f t="array" ref="K211:P211">_xlfn.XLOOKUP(Table2[[#This Row],[instant]],[1]!Table1[instant],[1]!Table1[[atemp]:[cnt]])</f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3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  <c r="K212" cm="1">
        <f t="array" ref="K212:P212">_xlfn.XLOOKUP(Table2[[#This Row],[instant]],[1]!Table1[instant],[1]!Table1[[atemp]:[cnt]])</f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3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  <c r="K213" cm="1">
        <f t="array" ref="K213:P213">_xlfn.XLOOKUP(Table2[[#This Row],[instant]],[1]!Table1[instant],[1]!Table1[[atemp]:[cnt]])</f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3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  <c r="K214" cm="1">
        <f t="array" ref="K214:P214">_xlfn.XLOOKUP(Table2[[#This Row],[instant]],[1]!Table1[instant],[1]!Table1[[atemp]:[cnt]])</f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3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  <c r="K215" cm="1">
        <f t="array" ref="K215:P215">_xlfn.XLOOKUP(Table2[[#This Row],[instant]],[1]!Table1[instant],[1]!Table1[[atemp]:[cnt]])</f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3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  <c r="K216" cm="1">
        <f t="array" ref="K216:P216">_xlfn.XLOOKUP(Table2[[#This Row],[instant]],[1]!Table1[instant],[1]!Table1[[atemp]:[cnt]])</f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3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  <c r="K217" cm="1">
        <f t="array" ref="K217:P217">_xlfn.XLOOKUP(Table2[[#This Row],[instant]],[1]!Table1[instant],[1]!Table1[[atemp]:[cnt]])</f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3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  <c r="K218" cm="1">
        <f t="array" ref="K218:P218">_xlfn.XLOOKUP(Table2[[#This Row],[instant]],[1]!Table1[instant],[1]!Table1[[atemp]:[cnt]])</f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3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  <c r="K219" cm="1">
        <f t="array" ref="K219:P219">_xlfn.XLOOKUP(Table2[[#This Row],[instant]],[1]!Table1[instant],[1]!Table1[[atemp]:[cnt]])</f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3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  <c r="K220" cm="1">
        <f t="array" ref="K220:P220">_xlfn.XLOOKUP(Table2[[#This Row],[instant]],[1]!Table1[instant],[1]!Table1[[atemp]:[cnt]])</f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3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  <c r="K221" cm="1">
        <f t="array" ref="K221:P221">_xlfn.XLOOKUP(Table2[[#This Row],[instant]],[1]!Table1[instant],[1]!Table1[[atemp]:[cnt]])</f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3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  <c r="K222" cm="1">
        <f t="array" ref="K222:P222">_xlfn.XLOOKUP(Table2[[#This Row],[instant]],[1]!Table1[instant],[1]!Table1[[atemp]:[cnt]])</f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3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  <c r="K223" cm="1">
        <f t="array" ref="K223:P223">_xlfn.XLOOKUP(Table2[[#This Row],[instant]],[1]!Table1[instant],[1]!Table1[[atemp]:[cnt]])</f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3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  <c r="K224" cm="1">
        <f t="array" ref="K224:P224">_xlfn.XLOOKUP(Table2[[#This Row],[instant]],[1]!Table1[instant],[1]!Table1[[atemp]:[cnt]])</f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3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  <c r="K225" cm="1">
        <f t="array" ref="K225:P225">_xlfn.XLOOKUP(Table2[[#This Row],[instant]],[1]!Table1[instant],[1]!Table1[[atemp]:[cnt]])</f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3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  <c r="K226" cm="1">
        <f t="array" ref="K226:P226">_xlfn.XLOOKUP(Table2[[#This Row],[instant]],[1]!Table1[instant],[1]!Table1[[atemp]:[cnt]])</f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3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  <c r="K227" cm="1">
        <f t="array" ref="K227:P227">_xlfn.XLOOKUP(Table2[[#This Row],[instant]],[1]!Table1[instant],[1]!Table1[[atemp]:[cnt]])</f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3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  <c r="K228" cm="1">
        <f t="array" ref="K228:P228">_xlfn.XLOOKUP(Table2[[#This Row],[instant]],[1]!Table1[instant],[1]!Table1[[atemp]:[cnt]])</f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3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  <c r="K229" cm="1">
        <f t="array" ref="K229:P229">_xlfn.XLOOKUP(Table2[[#This Row],[instant]],[1]!Table1[instant],[1]!Table1[[atemp]:[cnt]])</f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3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  <c r="K230" cm="1">
        <f t="array" ref="K230:P230">_xlfn.XLOOKUP(Table2[[#This Row],[instant]],[1]!Table1[instant],[1]!Table1[[atemp]:[cnt]])</f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3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  <c r="K231" cm="1">
        <f t="array" ref="K231:P231">_xlfn.XLOOKUP(Table2[[#This Row],[instant]],[1]!Table1[instant],[1]!Table1[[atemp]:[cnt]])</f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3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  <c r="K232" cm="1">
        <f t="array" ref="K232:P232">_xlfn.XLOOKUP(Table2[[#This Row],[instant]],[1]!Table1[instant],[1]!Table1[[atemp]:[cnt]])</f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3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  <c r="K233" cm="1">
        <f t="array" ref="K233:P233">_xlfn.XLOOKUP(Table2[[#This Row],[instant]],[1]!Table1[instant],[1]!Table1[[atemp]:[cnt]])</f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3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  <c r="K234" cm="1">
        <f t="array" ref="K234:P234">_xlfn.XLOOKUP(Table2[[#This Row],[instant]],[1]!Table1[instant],[1]!Table1[[atemp]:[cnt]])</f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3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  <c r="K235" cm="1">
        <f t="array" ref="K235:P235">_xlfn.XLOOKUP(Table2[[#This Row],[instant]],[1]!Table1[instant],[1]!Table1[[atemp]:[cnt]])</f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3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  <c r="K236" cm="1">
        <f t="array" ref="K236:P236">_xlfn.XLOOKUP(Table2[[#This Row],[instant]],[1]!Table1[instant],[1]!Table1[[atemp]:[cnt]])</f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3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  <c r="K237" cm="1">
        <f t="array" ref="K237:P237">_xlfn.XLOOKUP(Table2[[#This Row],[instant]],[1]!Table1[instant],[1]!Table1[[atemp]:[cnt]])</f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3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  <c r="K238" cm="1">
        <f t="array" ref="K238:P238">_xlfn.XLOOKUP(Table2[[#This Row],[instant]],[1]!Table1[instant],[1]!Table1[[atemp]:[cnt]])</f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3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  <c r="K239" cm="1">
        <f t="array" ref="K239:P239">_xlfn.XLOOKUP(Table2[[#This Row],[instant]],[1]!Table1[instant],[1]!Table1[[atemp]:[cnt]])</f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3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  <c r="K240" cm="1">
        <f t="array" ref="K240:P240">_xlfn.XLOOKUP(Table2[[#This Row],[instant]],[1]!Table1[instant],[1]!Table1[[atemp]:[cnt]])</f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3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  <c r="K241" cm="1">
        <f t="array" ref="K241:P241">_xlfn.XLOOKUP(Table2[[#This Row],[instant]],[1]!Table1[instant],[1]!Table1[[atemp]:[cnt]])</f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3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  <c r="K242" cm="1">
        <f t="array" ref="K242:P242">_xlfn.XLOOKUP(Table2[[#This Row],[instant]],[1]!Table1[instant],[1]!Table1[[atemp]:[cnt]])</f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3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  <c r="K243" cm="1">
        <f t="array" ref="K243:P243">_xlfn.XLOOKUP(Table2[[#This Row],[instant]],[1]!Table1[instant],[1]!Table1[[atemp]:[cnt]])</f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3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  <c r="K244" cm="1">
        <f t="array" ref="K244:P244">_xlfn.XLOOKUP(Table2[[#This Row],[instant]],[1]!Table1[instant],[1]!Table1[[atemp]:[cnt]])</f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3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  <c r="K245" cm="1">
        <f t="array" ref="K245:P245">_xlfn.XLOOKUP(Table2[[#This Row],[instant]],[1]!Table1[instant],[1]!Table1[[atemp]:[cnt]])</f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3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  <c r="K246" cm="1">
        <f t="array" ref="K246:P246">_xlfn.XLOOKUP(Table2[[#This Row],[instant]],[1]!Table1[instant],[1]!Table1[[atemp]:[cnt]])</f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3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  <c r="K247" cm="1">
        <f t="array" ref="K247:P247">_xlfn.XLOOKUP(Table2[[#This Row],[instant]],[1]!Table1[instant],[1]!Table1[[atemp]:[cnt]])</f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3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  <c r="K248" cm="1">
        <f t="array" ref="K248:P248">_xlfn.XLOOKUP(Table2[[#This Row],[instant]],[1]!Table1[instant],[1]!Table1[[atemp]:[cnt]])</f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3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  <c r="K249" cm="1">
        <f t="array" ref="K249:P249">_xlfn.XLOOKUP(Table2[[#This Row],[instant]],[1]!Table1[instant],[1]!Table1[[atemp]:[cnt]])</f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3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  <c r="K250" cm="1">
        <f t="array" ref="K250:P250">_xlfn.XLOOKUP(Table2[[#This Row],[instant]],[1]!Table1[instant],[1]!Table1[[atemp]:[cnt]])</f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3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  <c r="K251" cm="1">
        <f t="array" ref="K251:P251">_xlfn.XLOOKUP(Table2[[#This Row],[instant]],[1]!Table1[instant],[1]!Table1[[atemp]:[cnt]])</f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3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  <c r="K252" cm="1">
        <f t="array" ref="K252:P252">_xlfn.XLOOKUP(Table2[[#This Row],[instant]],[1]!Table1[instant],[1]!Table1[[atemp]:[cnt]])</f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3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  <c r="K253" cm="1">
        <f t="array" ref="K253:P253">_xlfn.XLOOKUP(Table2[[#This Row],[instant]],[1]!Table1[instant],[1]!Table1[[atemp]:[cnt]])</f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3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  <c r="K254" cm="1">
        <f t="array" ref="K254:P254">_xlfn.XLOOKUP(Table2[[#This Row],[instant]],[1]!Table1[instant],[1]!Table1[[atemp]:[cnt]])</f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3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  <c r="K255" cm="1">
        <f t="array" ref="K255:P255">_xlfn.XLOOKUP(Table2[[#This Row],[instant]],[1]!Table1[instant],[1]!Table1[[atemp]:[cnt]])</f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3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  <c r="K256" cm="1">
        <f t="array" ref="K256:P256">_xlfn.XLOOKUP(Table2[[#This Row],[instant]],[1]!Table1[instant],[1]!Table1[[atemp]:[cnt]])</f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3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  <c r="K257" cm="1">
        <f t="array" ref="K257:P257">_xlfn.XLOOKUP(Table2[[#This Row],[instant]],[1]!Table1[instant],[1]!Table1[[atemp]:[cnt]])</f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3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  <c r="K258" cm="1">
        <f t="array" ref="K258:P258">_xlfn.XLOOKUP(Table2[[#This Row],[instant]],[1]!Table1[instant],[1]!Table1[[atemp]:[cnt]])</f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3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  <c r="K259" cm="1">
        <f t="array" ref="K259:P259">_xlfn.XLOOKUP(Table2[[#This Row],[instant]],[1]!Table1[instant],[1]!Table1[[atemp]:[cnt]])</f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3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  <c r="K260" cm="1">
        <f t="array" ref="K260:P260">_xlfn.XLOOKUP(Table2[[#This Row],[instant]],[1]!Table1[instant],[1]!Table1[[atemp]:[cnt]])</f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3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  <c r="K261" cm="1">
        <f t="array" ref="K261:P261">_xlfn.XLOOKUP(Table2[[#This Row],[instant]],[1]!Table1[instant],[1]!Table1[[atemp]:[cnt]])</f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3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  <c r="K262" cm="1">
        <f t="array" ref="K262:P262">_xlfn.XLOOKUP(Table2[[#This Row],[instant]],[1]!Table1[instant],[1]!Table1[[atemp]:[cnt]])</f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3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  <c r="K263" cm="1">
        <f t="array" ref="K263:P263">_xlfn.XLOOKUP(Table2[[#This Row],[instant]],[1]!Table1[instant],[1]!Table1[[atemp]:[cnt]])</f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3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  <c r="K264" cm="1">
        <f t="array" ref="K264:P264">_xlfn.XLOOKUP(Table2[[#This Row],[instant]],[1]!Table1[instant],[1]!Table1[[atemp]:[cnt]])</f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3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  <c r="K265" cm="1">
        <f t="array" ref="K265:P265">_xlfn.XLOOKUP(Table2[[#This Row],[instant]],[1]!Table1[instant],[1]!Table1[[atemp]:[cnt]])</f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3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  <c r="K266" cm="1">
        <f t="array" ref="K266:P266">_xlfn.XLOOKUP(Table2[[#This Row],[instant]],[1]!Table1[instant],[1]!Table1[[atemp]:[cnt]])</f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3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  <c r="K267" cm="1">
        <f t="array" ref="K267:P267">_xlfn.XLOOKUP(Table2[[#This Row],[instant]],[1]!Table1[instant],[1]!Table1[[atemp]:[cnt]])</f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3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  <c r="K268" cm="1">
        <f t="array" ref="K268:P268">_xlfn.XLOOKUP(Table2[[#This Row],[instant]],[1]!Table1[instant],[1]!Table1[[atemp]:[cnt]])</f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3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  <c r="K269" cm="1">
        <f t="array" ref="K269:P269">_xlfn.XLOOKUP(Table2[[#This Row],[instant]],[1]!Table1[instant],[1]!Table1[[atemp]:[cnt]])</f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3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  <c r="K270" cm="1">
        <f t="array" ref="K270:P270">_xlfn.XLOOKUP(Table2[[#This Row],[instant]],[1]!Table1[instant],[1]!Table1[[atemp]:[cnt]])</f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3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  <c r="K271" cm="1">
        <f t="array" ref="K271:P271">_xlfn.XLOOKUP(Table2[[#This Row],[instant]],[1]!Table1[instant],[1]!Table1[[atemp]:[cnt]])</f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3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  <c r="K272" cm="1">
        <f t="array" ref="K272:P272">_xlfn.XLOOKUP(Table2[[#This Row],[instant]],[1]!Table1[instant],[1]!Table1[[atemp]:[cnt]])</f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3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  <c r="K273" cm="1">
        <f t="array" ref="K273:P273">_xlfn.XLOOKUP(Table2[[#This Row],[instant]],[1]!Table1[instant],[1]!Table1[[atemp]:[cnt]])</f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3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  <c r="K274" cm="1">
        <f t="array" ref="K274:P274">_xlfn.XLOOKUP(Table2[[#This Row],[instant]],[1]!Table1[instant],[1]!Table1[[atemp]:[cnt]])</f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3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  <c r="K275" cm="1">
        <f t="array" ref="K275:P275">_xlfn.XLOOKUP(Table2[[#This Row],[instant]],[1]!Table1[instant],[1]!Table1[[atemp]:[cnt]])</f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3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  <c r="K276" cm="1">
        <f t="array" ref="K276:P276">_xlfn.XLOOKUP(Table2[[#This Row],[instant]],[1]!Table1[instant],[1]!Table1[[atemp]:[cnt]])</f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3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  <c r="K277" cm="1">
        <f t="array" ref="K277:P277">_xlfn.XLOOKUP(Table2[[#This Row],[instant]],[1]!Table1[instant],[1]!Table1[[atemp]:[cnt]])</f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3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  <c r="K278" cm="1">
        <f t="array" ref="K278:P278">_xlfn.XLOOKUP(Table2[[#This Row],[instant]],[1]!Table1[instant],[1]!Table1[[atemp]:[cnt]])</f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3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  <c r="K279" cm="1">
        <f t="array" ref="K279:P279">_xlfn.XLOOKUP(Table2[[#This Row],[instant]],[1]!Table1[instant],[1]!Table1[[atemp]:[cnt]])</f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3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  <c r="K280" cm="1">
        <f t="array" ref="K280:P280">_xlfn.XLOOKUP(Table2[[#This Row],[instant]],[1]!Table1[instant],[1]!Table1[[atemp]:[cnt]])</f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3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  <c r="K281" cm="1">
        <f t="array" ref="K281:P281">_xlfn.XLOOKUP(Table2[[#This Row],[instant]],[1]!Table1[instant],[1]!Table1[[atemp]:[cnt]])</f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3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  <c r="K282" cm="1">
        <f t="array" ref="K282:P282">_xlfn.XLOOKUP(Table2[[#This Row],[instant]],[1]!Table1[instant],[1]!Table1[[atemp]:[cnt]])</f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3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  <c r="K283" cm="1">
        <f t="array" ref="K283:P283">_xlfn.XLOOKUP(Table2[[#This Row],[instant]],[1]!Table1[instant],[1]!Table1[[atemp]:[cnt]])</f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3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  <c r="K284" cm="1">
        <f t="array" ref="K284:P284">_xlfn.XLOOKUP(Table2[[#This Row],[instant]],[1]!Table1[instant],[1]!Table1[[atemp]:[cnt]])</f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3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  <c r="K285" cm="1">
        <f t="array" ref="K285:P285">_xlfn.XLOOKUP(Table2[[#This Row],[instant]],[1]!Table1[instant],[1]!Table1[[atemp]:[cnt]])</f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3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  <c r="K286" cm="1">
        <f t="array" ref="K286:P286">_xlfn.XLOOKUP(Table2[[#This Row],[instant]],[1]!Table1[instant],[1]!Table1[[atemp]:[cnt]])</f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3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  <c r="K287" cm="1">
        <f t="array" ref="K287:P287">_xlfn.XLOOKUP(Table2[[#This Row],[instant]],[1]!Table1[instant],[1]!Table1[[atemp]:[cnt]])</f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3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  <c r="K288" cm="1">
        <f t="array" ref="K288:P288">_xlfn.XLOOKUP(Table2[[#This Row],[instant]],[1]!Table1[instant],[1]!Table1[[atemp]:[cnt]])</f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3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  <c r="K289" cm="1">
        <f t="array" ref="K289:P289">_xlfn.XLOOKUP(Table2[[#This Row],[instant]],[1]!Table1[instant],[1]!Table1[[atemp]:[cnt]])</f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3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  <c r="K290" cm="1">
        <f t="array" ref="K290:P290">_xlfn.XLOOKUP(Table2[[#This Row],[instant]],[1]!Table1[instant],[1]!Table1[[atemp]:[cnt]])</f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3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  <c r="K291" cm="1">
        <f t="array" ref="K291:P291">_xlfn.XLOOKUP(Table2[[#This Row],[instant]],[1]!Table1[instant],[1]!Table1[[atemp]:[cnt]])</f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3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  <c r="K292" cm="1">
        <f t="array" ref="K292:P292">_xlfn.XLOOKUP(Table2[[#This Row],[instant]],[1]!Table1[instant],[1]!Table1[[atemp]:[cnt]])</f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3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  <c r="K293" cm="1">
        <f t="array" ref="K293:P293">_xlfn.XLOOKUP(Table2[[#This Row],[instant]],[1]!Table1[instant],[1]!Table1[[atemp]:[cnt]])</f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3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  <c r="K294" cm="1">
        <f t="array" ref="K294:P294">_xlfn.XLOOKUP(Table2[[#This Row],[instant]],[1]!Table1[instant],[1]!Table1[[atemp]:[cnt]])</f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3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  <c r="K295" cm="1">
        <f t="array" ref="K295:P295">_xlfn.XLOOKUP(Table2[[#This Row],[instant]],[1]!Table1[instant],[1]!Table1[[atemp]:[cnt]])</f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3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  <c r="K296" cm="1">
        <f t="array" ref="K296:P296">_xlfn.XLOOKUP(Table2[[#This Row],[instant]],[1]!Table1[instant],[1]!Table1[[atemp]:[cnt]])</f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3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  <c r="K297" cm="1">
        <f t="array" ref="K297:P297">_xlfn.XLOOKUP(Table2[[#This Row],[instant]],[1]!Table1[instant],[1]!Table1[[atemp]:[cnt]])</f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3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  <c r="K298" cm="1">
        <f t="array" ref="K298:P298">_xlfn.XLOOKUP(Table2[[#This Row],[instant]],[1]!Table1[instant],[1]!Table1[[atemp]:[cnt]])</f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3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  <c r="K299" cm="1">
        <f t="array" ref="K299:P299">_xlfn.XLOOKUP(Table2[[#This Row],[instant]],[1]!Table1[instant],[1]!Table1[[atemp]:[cnt]])</f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3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  <c r="K300" cm="1">
        <f t="array" ref="K300:P300">_xlfn.XLOOKUP(Table2[[#This Row],[instant]],[1]!Table1[instant],[1]!Table1[[atemp]:[cnt]])</f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3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  <c r="K301" cm="1">
        <f t="array" ref="K301:P301">_xlfn.XLOOKUP(Table2[[#This Row],[instant]],[1]!Table1[instant],[1]!Table1[[atemp]:[cnt]])</f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3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  <c r="K302" cm="1">
        <f t="array" ref="K302:P302">_xlfn.XLOOKUP(Table2[[#This Row],[instant]],[1]!Table1[instant],[1]!Table1[[atemp]:[cnt]])</f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3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  <c r="K303" cm="1">
        <f t="array" ref="K303:P303">_xlfn.XLOOKUP(Table2[[#This Row],[instant]],[1]!Table1[instant],[1]!Table1[[atemp]:[cnt]])</f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3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  <c r="K304" cm="1">
        <f t="array" ref="K304:P304">_xlfn.XLOOKUP(Table2[[#This Row],[instant]],[1]!Table1[instant],[1]!Table1[[atemp]:[cnt]])</f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3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  <c r="K305" cm="1">
        <f t="array" ref="K305:P305">_xlfn.XLOOKUP(Table2[[#This Row],[instant]],[1]!Table1[instant],[1]!Table1[[atemp]:[cnt]])</f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3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  <c r="K306" cm="1">
        <f t="array" ref="K306:P306">_xlfn.XLOOKUP(Table2[[#This Row],[instant]],[1]!Table1[instant],[1]!Table1[[atemp]:[cnt]])</f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3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  <c r="K307" cm="1">
        <f t="array" ref="K307:P307">_xlfn.XLOOKUP(Table2[[#This Row],[instant]],[1]!Table1[instant],[1]!Table1[[atemp]:[cnt]])</f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3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  <c r="K308" cm="1">
        <f t="array" ref="K308:P308">_xlfn.XLOOKUP(Table2[[#This Row],[instant]],[1]!Table1[instant],[1]!Table1[[atemp]:[cnt]])</f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3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  <c r="K309" cm="1">
        <f t="array" ref="K309:P309">_xlfn.XLOOKUP(Table2[[#This Row],[instant]],[1]!Table1[instant],[1]!Table1[[atemp]:[cnt]])</f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3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  <c r="K310" cm="1">
        <f t="array" ref="K310:P310">_xlfn.XLOOKUP(Table2[[#This Row],[instant]],[1]!Table1[instant],[1]!Table1[[atemp]:[cnt]])</f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3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  <c r="K311" cm="1">
        <f t="array" ref="K311:P311">_xlfn.XLOOKUP(Table2[[#This Row],[instant]],[1]!Table1[instant],[1]!Table1[[atemp]:[cnt]])</f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3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  <c r="K312" cm="1">
        <f t="array" ref="K312:P312">_xlfn.XLOOKUP(Table2[[#This Row],[instant]],[1]!Table1[instant],[1]!Table1[[atemp]:[cnt]])</f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3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  <c r="K313" cm="1">
        <f t="array" ref="K313:P313">_xlfn.XLOOKUP(Table2[[#This Row],[instant]],[1]!Table1[instant],[1]!Table1[[atemp]:[cnt]])</f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3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  <c r="K314" cm="1">
        <f t="array" ref="K314:P314">_xlfn.XLOOKUP(Table2[[#This Row],[instant]],[1]!Table1[instant],[1]!Table1[[atemp]:[cnt]])</f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3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  <c r="K315" cm="1">
        <f t="array" ref="K315:P315">_xlfn.XLOOKUP(Table2[[#This Row],[instant]],[1]!Table1[instant],[1]!Table1[[atemp]:[cnt]])</f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3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  <c r="K316" cm="1">
        <f t="array" ref="K316:P316">_xlfn.XLOOKUP(Table2[[#This Row],[instant]],[1]!Table1[instant],[1]!Table1[[atemp]:[cnt]])</f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3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  <c r="K317" cm="1">
        <f t="array" ref="K317:P317">_xlfn.XLOOKUP(Table2[[#This Row],[instant]],[1]!Table1[instant],[1]!Table1[[atemp]:[cnt]])</f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3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  <c r="K318" cm="1">
        <f t="array" ref="K318:P318">_xlfn.XLOOKUP(Table2[[#This Row],[instant]],[1]!Table1[instant],[1]!Table1[[atemp]:[cnt]])</f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3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  <c r="K319" cm="1">
        <f t="array" ref="K319:P319">_xlfn.XLOOKUP(Table2[[#This Row],[instant]],[1]!Table1[instant],[1]!Table1[[atemp]:[cnt]])</f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3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  <c r="K320" cm="1">
        <f t="array" ref="K320:P320">_xlfn.XLOOKUP(Table2[[#This Row],[instant]],[1]!Table1[instant],[1]!Table1[[atemp]:[cnt]])</f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3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  <c r="K321" cm="1">
        <f t="array" ref="K321:P321">_xlfn.XLOOKUP(Table2[[#This Row],[instant]],[1]!Table1[instant],[1]!Table1[[atemp]:[cnt]])</f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3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  <c r="K322" cm="1">
        <f t="array" ref="K322:P322">_xlfn.XLOOKUP(Table2[[#This Row],[instant]],[1]!Table1[instant],[1]!Table1[[atemp]:[cnt]])</f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3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  <c r="K323" cm="1">
        <f t="array" ref="K323:P323">_xlfn.XLOOKUP(Table2[[#This Row],[instant]],[1]!Table1[instant],[1]!Table1[[atemp]:[cnt]])</f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3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  <c r="K324" cm="1">
        <f t="array" ref="K324:P324">_xlfn.XLOOKUP(Table2[[#This Row],[instant]],[1]!Table1[instant],[1]!Table1[[atemp]:[cnt]])</f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3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  <c r="K325" cm="1">
        <f t="array" ref="K325:P325">_xlfn.XLOOKUP(Table2[[#This Row],[instant]],[1]!Table1[instant],[1]!Table1[[atemp]:[cnt]])</f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3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  <c r="K326" cm="1">
        <f t="array" ref="K326:P326">_xlfn.XLOOKUP(Table2[[#This Row],[instant]],[1]!Table1[instant],[1]!Table1[[atemp]:[cnt]])</f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3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  <c r="K327" cm="1">
        <f t="array" ref="K327:P327">_xlfn.XLOOKUP(Table2[[#This Row],[instant]],[1]!Table1[instant],[1]!Table1[[atemp]:[cnt]])</f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3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  <c r="K328" cm="1">
        <f t="array" ref="K328:P328">_xlfn.XLOOKUP(Table2[[#This Row],[instant]],[1]!Table1[instant],[1]!Table1[[atemp]:[cnt]])</f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3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  <c r="K329" cm="1">
        <f t="array" ref="K329:P329">_xlfn.XLOOKUP(Table2[[#This Row],[instant]],[1]!Table1[instant],[1]!Table1[[atemp]:[cnt]])</f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3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  <c r="K330" cm="1">
        <f t="array" ref="K330:P330">_xlfn.XLOOKUP(Table2[[#This Row],[instant]],[1]!Table1[instant],[1]!Table1[[atemp]:[cnt]])</f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3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  <c r="K331" cm="1">
        <f t="array" ref="K331:P331">_xlfn.XLOOKUP(Table2[[#This Row],[instant]],[1]!Table1[instant],[1]!Table1[[atemp]:[cnt]])</f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3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  <c r="K332" cm="1">
        <f t="array" ref="K332:P332">_xlfn.XLOOKUP(Table2[[#This Row],[instant]],[1]!Table1[instant],[1]!Table1[[atemp]:[cnt]])</f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3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  <c r="K333" cm="1">
        <f t="array" ref="K333:P333">_xlfn.XLOOKUP(Table2[[#This Row],[instant]],[1]!Table1[instant],[1]!Table1[[atemp]:[cnt]])</f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3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  <c r="K334" cm="1">
        <f t="array" ref="K334:P334">_xlfn.XLOOKUP(Table2[[#This Row],[instant]],[1]!Table1[instant],[1]!Table1[[atemp]:[cnt]])</f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3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  <c r="K335" cm="1">
        <f t="array" ref="K335:P335">_xlfn.XLOOKUP(Table2[[#This Row],[instant]],[1]!Table1[instant],[1]!Table1[[atemp]:[cnt]])</f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3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  <c r="K336" cm="1">
        <f t="array" ref="K336:P336">_xlfn.XLOOKUP(Table2[[#This Row],[instant]],[1]!Table1[instant],[1]!Table1[[atemp]:[cnt]])</f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3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  <c r="K337" cm="1">
        <f t="array" ref="K337:P337">_xlfn.XLOOKUP(Table2[[#This Row],[instant]],[1]!Table1[instant],[1]!Table1[[atemp]:[cnt]])</f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3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  <c r="K338" cm="1">
        <f t="array" ref="K338:P338">_xlfn.XLOOKUP(Table2[[#This Row],[instant]],[1]!Table1[instant],[1]!Table1[[atemp]:[cnt]])</f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3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  <c r="K339" cm="1">
        <f t="array" ref="K339:P339">_xlfn.XLOOKUP(Table2[[#This Row],[instant]],[1]!Table1[instant],[1]!Table1[[atemp]:[cnt]])</f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3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  <c r="K340" cm="1">
        <f t="array" ref="K340:P340">_xlfn.XLOOKUP(Table2[[#This Row],[instant]],[1]!Table1[instant],[1]!Table1[[atemp]:[cnt]])</f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3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  <c r="K341" cm="1">
        <f t="array" ref="K341:P341">_xlfn.XLOOKUP(Table2[[#This Row],[instant]],[1]!Table1[instant],[1]!Table1[[atemp]:[cnt]])</f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3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  <c r="K342" cm="1">
        <f t="array" ref="K342:P342">_xlfn.XLOOKUP(Table2[[#This Row],[instant]],[1]!Table1[instant],[1]!Table1[[atemp]:[cnt]])</f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3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  <c r="K343" cm="1">
        <f t="array" ref="K343:P343">_xlfn.XLOOKUP(Table2[[#This Row],[instant]],[1]!Table1[instant],[1]!Table1[[atemp]:[cnt]])</f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3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  <c r="K344" cm="1">
        <f t="array" ref="K344:P344">_xlfn.XLOOKUP(Table2[[#This Row],[instant]],[1]!Table1[instant],[1]!Table1[[atemp]:[cnt]])</f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3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  <c r="K345" cm="1">
        <f t="array" ref="K345:P345">_xlfn.XLOOKUP(Table2[[#This Row],[instant]],[1]!Table1[instant],[1]!Table1[[atemp]:[cnt]])</f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3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  <c r="K346" cm="1">
        <f t="array" ref="K346:P346">_xlfn.XLOOKUP(Table2[[#This Row],[instant]],[1]!Table1[instant],[1]!Table1[[atemp]:[cnt]])</f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3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  <c r="K347" cm="1">
        <f t="array" ref="K347:P347">_xlfn.XLOOKUP(Table2[[#This Row],[instant]],[1]!Table1[instant],[1]!Table1[[atemp]:[cnt]])</f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3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  <c r="K348" cm="1">
        <f t="array" ref="K348:P348">_xlfn.XLOOKUP(Table2[[#This Row],[instant]],[1]!Table1[instant],[1]!Table1[[atemp]:[cnt]])</f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3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  <c r="K349" cm="1">
        <f t="array" ref="K349:P349">_xlfn.XLOOKUP(Table2[[#This Row],[instant]],[1]!Table1[instant],[1]!Table1[[atemp]:[cnt]])</f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3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  <c r="K350" cm="1">
        <f t="array" ref="K350:P350">_xlfn.XLOOKUP(Table2[[#This Row],[instant]],[1]!Table1[instant],[1]!Table1[[atemp]:[cnt]])</f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3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  <c r="K351" cm="1">
        <f t="array" ref="K351:P351">_xlfn.XLOOKUP(Table2[[#This Row],[instant]],[1]!Table1[instant],[1]!Table1[[atemp]:[cnt]])</f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3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  <c r="K352" cm="1">
        <f t="array" ref="K352:P352">_xlfn.XLOOKUP(Table2[[#This Row],[instant]],[1]!Table1[instant],[1]!Table1[[atemp]:[cnt]])</f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3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  <c r="K353" cm="1">
        <f t="array" ref="K353:P353">_xlfn.XLOOKUP(Table2[[#This Row],[instant]],[1]!Table1[instant],[1]!Table1[[atemp]:[cnt]])</f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3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  <c r="K354" cm="1">
        <f t="array" ref="K354:P354">_xlfn.XLOOKUP(Table2[[#This Row],[instant]],[1]!Table1[instant],[1]!Table1[[atemp]:[cnt]])</f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3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  <c r="K355" cm="1">
        <f t="array" ref="K355:P355">_xlfn.XLOOKUP(Table2[[#This Row],[instant]],[1]!Table1[instant],[1]!Table1[[atemp]:[cnt]])</f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3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  <c r="K356" cm="1">
        <f t="array" ref="K356:P356">_xlfn.XLOOKUP(Table2[[#This Row],[instant]],[1]!Table1[instant],[1]!Table1[[atemp]:[cnt]])</f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3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  <c r="K357" cm="1">
        <f t="array" ref="K357:P357">_xlfn.XLOOKUP(Table2[[#This Row],[instant]],[1]!Table1[instant],[1]!Table1[[atemp]:[cnt]])</f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3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  <c r="K358" cm="1">
        <f t="array" ref="K358:P358">_xlfn.XLOOKUP(Table2[[#This Row],[instant]],[1]!Table1[instant],[1]!Table1[[atemp]:[cnt]])</f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3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  <c r="K359" cm="1">
        <f t="array" ref="K359:P359">_xlfn.XLOOKUP(Table2[[#This Row],[instant]],[1]!Table1[instant],[1]!Table1[[atemp]:[cnt]])</f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3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  <c r="K360" cm="1">
        <f t="array" ref="K360:P360">_xlfn.XLOOKUP(Table2[[#This Row],[instant]],[1]!Table1[instant],[1]!Table1[[atemp]:[cnt]])</f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3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  <c r="K361" cm="1">
        <f t="array" ref="K361:P361">_xlfn.XLOOKUP(Table2[[#This Row],[instant]],[1]!Table1[instant],[1]!Table1[[atemp]:[cnt]])</f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3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  <c r="K362" cm="1">
        <f t="array" ref="K362:P362">_xlfn.XLOOKUP(Table2[[#This Row],[instant]],[1]!Table1[instant],[1]!Table1[[atemp]:[cnt]])</f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3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  <c r="K363" cm="1">
        <f t="array" ref="K363:P363">_xlfn.XLOOKUP(Table2[[#This Row],[instant]],[1]!Table1[instant],[1]!Table1[[atemp]:[cnt]])</f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3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  <c r="K364" cm="1">
        <f t="array" ref="K364:P364">_xlfn.XLOOKUP(Table2[[#This Row],[instant]],[1]!Table1[instant],[1]!Table1[[atemp]:[cnt]])</f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3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  <c r="K365" cm="1">
        <f t="array" ref="K365:P365">_xlfn.XLOOKUP(Table2[[#This Row],[instant]],[1]!Table1[instant],[1]!Table1[[atemp]:[cnt]])</f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3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  <c r="K366" cm="1">
        <f t="array" ref="K366:P366">_xlfn.XLOOKUP(Table2[[#This Row],[instant]],[1]!Table1[instant],[1]!Table1[[atemp]:[cnt]])</f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3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  <c r="K367" cm="1">
        <f t="array" ref="K367:P367">_xlfn.XLOOKUP(Table2[[#This Row],[instant]],[1]!Table1[instant],[1]!Table1[[atemp]:[cnt]])</f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3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  <c r="K368" cm="1">
        <f t="array" ref="K368:P368">_xlfn.XLOOKUP(Table2[[#This Row],[instant]],[1]!Table1[instant],[1]!Table1[[atemp]:[cnt]])</f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3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  <c r="K369" cm="1">
        <f t="array" ref="K369:P369">_xlfn.XLOOKUP(Table2[[#This Row],[instant]],[1]!Table1[instant],[1]!Table1[[atemp]:[cnt]])</f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3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  <c r="K370" cm="1">
        <f t="array" ref="K370:P370">_xlfn.XLOOKUP(Table2[[#This Row],[instant]],[1]!Table1[instant],[1]!Table1[[atemp]:[cnt]])</f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3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  <c r="K371" cm="1">
        <f t="array" ref="K371:P371">_xlfn.XLOOKUP(Table2[[#This Row],[instant]],[1]!Table1[instant],[1]!Table1[[atemp]:[cnt]])</f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3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  <c r="K372" cm="1">
        <f t="array" ref="K372:P372">_xlfn.XLOOKUP(Table2[[#This Row],[instant]],[1]!Table1[instant],[1]!Table1[[atemp]:[cnt]])</f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3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  <c r="K373" cm="1">
        <f t="array" ref="K373:P373">_xlfn.XLOOKUP(Table2[[#This Row],[instant]],[1]!Table1[instant],[1]!Table1[[atemp]:[cnt]])</f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3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  <c r="K374" cm="1">
        <f t="array" ref="K374:P374">_xlfn.XLOOKUP(Table2[[#This Row],[instant]],[1]!Table1[instant],[1]!Table1[[atemp]:[cnt]])</f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3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  <c r="K375" cm="1">
        <f t="array" ref="K375:P375">_xlfn.XLOOKUP(Table2[[#This Row],[instant]],[1]!Table1[instant],[1]!Table1[[atemp]:[cnt]])</f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3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  <c r="K376" cm="1">
        <f t="array" ref="K376:P376">_xlfn.XLOOKUP(Table2[[#This Row],[instant]],[1]!Table1[instant],[1]!Table1[[atemp]:[cnt]])</f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3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  <c r="K377" cm="1">
        <f t="array" ref="K377:P377">_xlfn.XLOOKUP(Table2[[#This Row],[instant]],[1]!Table1[instant],[1]!Table1[[atemp]:[cnt]])</f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3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  <c r="K378" cm="1">
        <f t="array" ref="K378:P378">_xlfn.XLOOKUP(Table2[[#This Row],[instant]],[1]!Table1[instant],[1]!Table1[[atemp]:[cnt]])</f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3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  <c r="K379" cm="1">
        <f t="array" ref="K379:P379">_xlfn.XLOOKUP(Table2[[#This Row],[instant]],[1]!Table1[instant],[1]!Table1[[atemp]:[cnt]])</f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3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  <c r="K380" cm="1">
        <f t="array" ref="K380:P380">_xlfn.XLOOKUP(Table2[[#This Row],[instant]],[1]!Table1[instant],[1]!Table1[[atemp]:[cnt]])</f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3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  <c r="K381" cm="1">
        <f t="array" ref="K381:P381">_xlfn.XLOOKUP(Table2[[#This Row],[instant]],[1]!Table1[instant],[1]!Table1[[atemp]:[cnt]])</f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3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  <c r="K382" cm="1">
        <f t="array" ref="K382:P382">_xlfn.XLOOKUP(Table2[[#This Row],[instant]],[1]!Table1[instant],[1]!Table1[[atemp]:[cnt]])</f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3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  <c r="K383" cm="1">
        <f t="array" ref="K383:P383">_xlfn.XLOOKUP(Table2[[#This Row],[instant]],[1]!Table1[instant],[1]!Table1[[atemp]:[cnt]])</f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3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  <c r="K384" cm="1">
        <f t="array" ref="K384:P384">_xlfn.XLOOKUP(Table2[[#This Row],[instant]],[1]!Table1[instant],[1]!Table1[[atemp]:[cnt]])</f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3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  <c r="K385" cm="1">
        <f t="array" ref="K385:P385">_xlfn.XLOOKUP(Table2[[#This Row],[instant]],[1]!Table1[instant],[1]!Table1[[atemp]:[cnt]])</f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3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  <c r="K386" cm="1">
        <f t="array" ref="K386:P386">_xlfn.XLOOKUP(Table2[[#This Row],[instant]],[1]!Table1[instant],[1]!Table1[[atemp]:[cnt]])</f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3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  <c r="K387" cm="1">
        <f t="array" ref="K387:P387">_xlfn.XLOOKUP(Table2[[#This Row],[instant]],[1]!Table1[instant],[1]!Table1[[atemp]:[cnt]])</f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3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  <c r="K388" cm="1">
        <f t="array" ref="K388:P388">_xlfn.XLOOKUP(Table2[[#This Row],[instant]],[1]!Table1[instant],[1]!Table1[[atemp]:[cnt]])</f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3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  <c r="K389" cm="1">
        <f t="array" ref="K389:P389">_xlfn.XLOOKUP(Table2[[#This Row],[instant]],[1]!Table1[instant],[1]!Table1[[atemp]:[cnt]])</f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3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  <c r="K390" cm="1">
        <f t="array" ref="K390:P390">_xlfn.XLOOKUP(Table2[[#This Row],[instant]],[1]!Table1[instant],[1]!Table1[[atemp]:[cnt]])</f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3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  <c r="K391" cm="1">
        <f t="array" ref="K391:P391">_xlfn.XLOOKUP(Table2[[#This Row],[instant]],[1]!Table1[instant],[1]!Table1[[atemp]:[cnt]])</f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3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  <c r="K392" cm="1">
        <f t="array" ref="K392:P392">_xlfn.XLOOKUP(Table2[[#This Row],[instant]],[1]!Table1[instant],[1]!Table1[[atemp]:[cnt]])</f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3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  <c r="K393" cm="1">
        <f t="array" ref="K393:P393">_xlfn.XLOOKUP(Table2[[#This Row],[instant]],[1]!Table1[instant],[1]!Table1[[atemp]:[cnt]])</f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3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  <c r="K394" cm="1">
        <f t="array" ref="K394:P394">_xlfn.XLOOKUP(Table2[[#This Row],[instant]],[1]!Table1[instant],[1]!Table1[[atemp]:[cnt]])</f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3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  <c r="K395" cm="1">
        <f t="array" ref="K395:P395">_xlfn.XLOOKUP(Table2[[#This Row],[instant]],[1]!Table1[instant],[1]!Table1[[atemp]:[cnt]])</f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3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  <c r="K396" cm="1">
        <f t="array" ref="K396:P396">_xlfn.XLOOKUP(Table2[[#This Row],[instant]],[1]!Table1[instant],[1]!Table1[[atemp]:[cnt]])</f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3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  <c r="K397" cm="1">
        <f t="array" ref="K397:P397">_xlfn.XLOOKUP(Table2[[#This Row],[instant]],[1]!Table1[instant],[1]!Table1[[atemp]:[cnt]])</f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3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  <c r="K398" cm="1">
        <f t="array" ref="K398:P398">_xlfn.XLOOKUP(Table2[[#This Row],[instant]],[1]!Table1[instant],[1]!Table1[[atemp]:[cnt]])</f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3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  <c r="K399" cm="1">
        <f t="array" ref="K399:P399">_xlfn.XLOOKUP(Table2[[#This Row],[instant]],[1]!Table1[instant],[1]!Table1[[atemp]:[cnt]])</f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3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  <c r="K400" cm="1">
        <f t="array" ref="K400:P400">_xlfn.XLOOKUP(Table2[[#This Row],[instant]],[1]!Table1[instant],[1]!Table1[[atemp]:[cnt]])</f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3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  <c r="K401" cm="1">
        <f t="array" ref="K401:P401">_xlfn.XLOOKUP(Table2[[#This Row],[instant]],[1]!Table1[instant],[1]!Table1[[atemp]:[cnt]])</f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3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  <c r="K402" cm="1">
        <f t="array" ref="K402:P402">_xlfn.XLOOKUP(Table2[[#This Row],[instant]],[1]!Table1[instant],[1]!Table1[[atemp]:[cnt]])</f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3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  <c r="K403" cm="1">
        <f t="array" ref="K403:P403">_xlfn.XLOOKUP(Table2[[#This Row],[instant]],[1]!Table1[instant],[1]!Table1[[atemp]:[cnt]])</f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3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  <c r="K404" cm="1">
        <f t="array" ref="K404:P404">_xlfn.XLOOKUP(Table2[[#This Row],[instant]],[1]!Table1[instant],[1]!Table1[[atemp]:[cnt]])</f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3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  <c r="K405" cm="1">
        <f t="array" ref="K405:P405">_xlfn.XLOOKUP(Table2[[#This Row],[instant]],[1]!Table1[instant],[1]!Table1[[atemp]:[cnt]])</f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3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  <c r="K406" cm="1">
        <f t="array" ref="K406:P406">_xlfn.XLOOKUP(Table2[[#This Row],[instant]],[1]!Table1[instant],[1]!Table1[[atemp]:[cnt]])</f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3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  <c r="K407" cm="1">
        <f t="array" ref="K407:P407">_xlfn.XLOOKUP(Table2[[#This Row],[instant]],[1]!Table1[instant],[1]!Table1[[atemp]:[cnt]])</f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3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  <c r="K408" cm="1">
        <f t="array" ref="K408:P408">_xlfn.XLOOKUP(Table2[[#This Row],[instant]],[1]!Table1[instant],[1]!Table1[[atemp]:[cnt]])</f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3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  <c r="K409" cm="1">
        <f t="array" ref="K409:P409">_xlfn.XLOOKUP(Table2[[#This Row],[instant]],[1]!Table1[instant],[1]!Table1[[atemp]:[cnt]])</f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3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  <c r="K410" cm="1">
        <f t="array" ref="K410:P410">_xlfn.XLOOKUP(Table2[[#This Row],[instant]],[1]!Table1[instant],[1]!Table1[[atemp]:[cnt]])</f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3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  <c r="K411" cm="1">
        <f t="array" ref="K411:P411">_xlfn.XLOOKUP(Table2[[#This Row],[instant]],[1]!Table1[instant],[1]!Table1[[atemp]:[cnt]])</f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3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  <c r="K412" cm="1">
        <f t="array" ref="K412:P412">_xlfn.XLOOKUP(Table2[[#This Row],[instant]],[1]!Table1[instant],[1]!Table1[[atemp]:[cnt]])</f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3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  <c r="K413" cm="1">
        <f t="array" ref="K413:P413">_xlfn.XLOOKUP(Table2[[#This Row],[instant]],[1]!Table1[instant],[1]!Table1[[atemp]:[cnt]])</f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3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  <c r="K414" cm="1">
        <f t="array" ref="K414:P414">_xlfn.XLOOKUP(Table2[[#This Row],[instant]],[1]!Table1[instant],[1]!Table1[[atemp]:[cnt]])</f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3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  <c r="K415" cm="1">
        <f t="array" ref="K415:P415">_xlfn.XLOOKUP(Table2[[#This Row],[instant]],[1]!Table1[instant],[1]!Table1[[atemp]:[cnt]])</f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3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  <c r="K416" cm="1">
        <f t="array" ref="K416:P416">_xlfn.XLOOKUP(Table2[[#This Row],[instant]],[1]!Table1[instant],[1]!Table1[[atemp]:[cnt]])</f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3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  <c r="K417" cm="1">
        <f t="array" ref="K417:P417">_xlfn.XLOOKUP(Table2[[#This Row],[instant]],[1]!Table1[instant],[1]!Table1[[atemp]:[cnt]])</f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3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  <c r="K418" cm="1">
        <f t="array" ref="K418:P418">_xlfn.XLOOKUP(Table2[[#This Row],[instant]],[1]!Table1[instant],[1]!Table1[[atemp]:[cnt]])</f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3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  <c r="K419" cm="1">
        <f t="array" ref="K419:P419">_xlfn.XLOOKUP(Table2[[#This Row],[instant]],[1]!Table1[instant],[1]!Table1[[atemp]:[cnt]])</f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3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  <c r="K420" cm="1">
        <f t="array" ref="K420:P420">_xlfn.XLOOKUP(Table2[[#This Row],[instant]],[1]!Table1[instant],[1]!Table1[[atemp]:[cnt]])</f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3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  <c r="K421" cm="1">
        <f t="array" ref="K421:P421">_xlfn.XLOOKUP(Table2[[#This Row],[instant]],[1]!Table1[instant],[1]!Table1[[atemp]:[cnt]])</f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3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  <c r="K422" cm="1">
        <f t="array" ref="K422:P422">_xlfn.XLOOKUP(Table2[[#This Row],[instant]],[1]!Table1[instant],[1]!Table1[[atemp]:[cnt]])</f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3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  <c r="K423" cm="1">
        <f t="array" ref="K423:P423">_xlfn.XLOOKUP(Table2[[#This Row],[instant]],[1]!Table1[instant],[1]!Table1[[atemp]:[cnt]])</f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3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  <c r="K424" cm="1">
        <f t="array" ref="K424:P424">_xlfn.XLOOKUP(Table2[[#This Row],[instant]],[1]!Table1[instant],[1]!Table1[[atemp]:[cnt]])</f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3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  <c r="K425" cm="1">
        <f t="array" ref="K425:P425">_xlfn.XLOOKUP(Table2[[#This Row],[instant]],[1]!Table1[instant],[1]!Table1[[atemp]:[cnt]])</f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3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  <c r="K426" cm="1">
        <f t="array" ref="K426:P426">_xlfn.XLOOKUP(Table2[[#This Row],[instant]],[1]!Table1[instant],[1]!Table1[[atemp]:[cnt]])</f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3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  <c r="K427" cm="1">
        <f t="array" ref="K427:P427">_xlfn.XLOOKUP(Table2[[#This Row],[instant]],[1]!Table1[instant],[1]!Table1[[atemp]:[cnt]])</f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3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  <c r="K428" cm="1">
        <f t="array" ref="K428:P428">_xlfn.XLOOKUP(Table2[[#This Row],[instant]],[1]!Table1[instant],[1]!Table1[[atemp]:[cnt]])</f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3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  <c r="K429" cm="1">
        <f t="array" ref="K429:P429">_xlfn.XLOOKUP(Table2[[#This Row],[instant]],[1]!Table1[instant],[1]!Table1[[atemp]:[cnt]])</f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3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  <c r="K430" cm="1">
        <f t="array" ref="K430:P430">_xlfn.XLOOKUP(Table2[[#This Row],[instant]],[1]!Table1[instant],[1]!Table1[[atemp]:[cnt]])</f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3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  <c r="K431" cm="1">
        <f t="array" ref="K431:P431">_xlfn.XLOOKUP(Table2[[#This Row],[instant]],[1]!Table1[instant],[1]!Table1[[atemp]:[cnt]])</f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3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  <c r="K432" cm="1">
        <f t="array" ref="K432:P432">_xlfn.XLOOKUP(Table2[[#This Row],[instant]],[1]!Table1[instant],[1]!Table1[[atemp]:[cnt]])</f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3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  <c r="K433" cm="1">
        <f t="array" ref="K433:P433">_xlfn.XLOOKUP(Table2[[#This Row],[instant]],[1]!Table1[instant],[1]!Table1[[atemp]:[cnt]])</f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3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  <c r="K434" cm="1">
        <f t="array" ref="K434:P434">_xlfn.XLOOKUP(Table2[[#This Row],[instant]],[1]!Table1[instant],[1]!Table1[[atemp]:[cnt]])</f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3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  <c r="K435" cm="1">
        <f t="array" ref="K435:P435">_xlfn.XLOOKUP(Table2[[#This Row],[instant]],[1]!Table1[instant],[1]!Table1[[atemp]:[cnt]])</f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3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  <c r="K436" cm="1">
        <f t="array" ref="K436:P436">_xlfn.XLOOKUP(Table2[[#This Row],[instant]],[1]!Table1[instant],[1]!Table1[[atemp]:[cnt]])</f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3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  <c r="K437" cm="1">
        <f t="array" ref="K437:P437">_xlfn.XLOOKUP(Table2[[#This Row],[instant]],[1]!Table1[instant],[1]!Table1[[atemp]:[cnt]])</f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3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  <c r="K438" cm="1">
        <f t="array" ref="K438:P438">_xlfn.XLOOKUP(Table2[[#This Row],[instant]],[1]!Table1[instant],[1]!Table1[[atemp]:[cnt]])</f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3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  <c r="K439" cm="1">
        <f t="array" ref="K439:P439">_xlfn.XLOOKUP(Table2[[#This Row],[instant]],[1]!Table1[instant],[1]!Table1[[atemp]:[cnt]])</f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3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  <c r="K440" cm="1">
        <f t="array" ref="K440:P440">_xlfn.XLOOKUP(Table2[[#This Row],[instant]],[1]!Table1[instant],[1]!Table1[[atemp]:[cnt]])</f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3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  <c r="K441" cm="1">
        <f t="array" ref="K441:P441">_xlfn.XLOOKUP(Table2[[#This Row],[instant]],[1]!Table1[instant],[1]!Table1[[atemp]:[cnt]])</f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3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  <c r="K442" cm="1">
        <f t="array" ref="K442:P442">_xlfn.XLOOKUP(Table2[[#This Row],[instant]],[1]!Table1[instant],[1]!Table1[[atemp]:[cnt]])</f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3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  <c r="K443" cm="1">
        <f t="array" ref="K443:P443">_xlfn.XLOOKUP(Table2[[#This Row],[instant]],[1]!Table1[instant],[1]!Table1[[atemp]:[cnt]])</f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3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  <c r="K444" cm="1">
        <f t="array" ref="K444:P444">_xlfn.XLOOKUP(Table2[[#This Row],[instant]],[1]!Table1[instant],[1]!Table1[[atemp]:[cnt]])</f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3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  <c r="K445" cm="1">
        <f t="array" ref="K445:P445">_xlfn.XLOOKUP(Table2[[#This Row],[instant]],[1]!Table1[instant],[1]!Table1[[atemp]:[cnt]])</f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3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  <c r="K446" cm="1">
        <f t="array" ref="K446:P446">_xlfn.XLOOKUP(Table2[[#This Row],[instant]],[1]!Table1[instant],[1]!Table1[[atemp]:[cnt]])</f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3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  <c r="K447" cm="1">
        <f t="array" ref="K447:P447">_xlfn.XLOOKUP(Table2[[#This Row],[instant]],[1]!Table1[instant],[1]!Table1[[atemp]:[cnt]])</f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3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  <c r="K448" cm="1">
        <f t="array" ref="K448:P448">_xlfn.XLOOKUP(Table2[[#This Row],[instant]],[1]!Table1[instant],[1]!Table1[[atemp]:[cnt]])</f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3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  <c r="K449" cm="1">
        <f t="array" ref="K449:P449">_xlfn.XLOOKUP(Table2[[#This Row],[instant]],[1]!Table1[instant],[1]!Table1[[atemp]:[cnt]])</f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3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  <c r="K450" cm="1">
        <f t="array" ref="K450:P450">_xlfn.XLOOKUP(Table2[[#This Row],[instant]],[1]!Table1[instant],[1]!Table1[[atemp]:[cnt]])</f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3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  <c r="K451" cm="1">
        <f t="array" ref="K451:P451">_xlfn.XLOOKUP(Table2[[#This Row],[instant]],[1]!Table1[instant],[1]!Table1[[atemp]:[cnt]])</f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3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  <c r="K452" cm="1">
        <f t="array" ref="K452:P452">_xlfn.XLOOKUP(Table2[[#This Row],[instant]],[1]!Table1[instant],[1]!Table1[[atemp]:[cnt]])</f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3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  <c r="K453" cm="1">
        <f t="array" ref="K453:P453">_xlfn.XLOOKUP(Table2[[#This Row],[instant]],[1]!Table1[instant],[1]!Table1[[atemp]:[cnt]])</f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3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  <c r="K454" cm="1">
        <f t="array" ref="K454:P454">_xlfn.XLOOKUP(Table2[[#This Row],[instant]],[1]!Table1[instant],[1]!Table1[[atemp]:[cnt]])</f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3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  <c r="K455" cm="1">
        <f t="array" ref="K455:P455">_xlfn.XLOOKUP(Table2[[#This Row],[instant]],[1]!Table1[instant],[1]!Table1[[atemp]:[cnt]])</f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3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  <c r="K456" cm="1">
        <f t="array" ref="K456:P456">_xlfn.XLOOKUP(Table2[[#This Row],[instant]],[1]!Table1[instant],[1]!Table1[[atemp]:[cnt]])</f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3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  <c r="K457" cm="1">
        <f t="array" ref="K457:P457">_xlfn.XLOOKUP(Table2[[#This Row],[instant]],[1]!Table1[instant],[1]!Table1[[atemp]:[cnt]])</f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3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  <c r="K458" cm="1">
        <f t="array" ref="K458:P458">_xlfn.XLOOKUP(Table2[[#This Row],[instant]],[1]!Table1[instant],[1]!Table1[[atemp]:[cnt]])</f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3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  <c r="K459" cm="1">
        <f t="array" ref="K459:P459">_xlfn.XLOOKUP(Table2[[#This Row],[instant]],[1]!Table1[instant],[1]!Table1[[atemp]:[cnt]])</f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3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  <c r="K460" cm="1">
        <f t="array" ref="K460:P460">_xlfn.XLOOKUP(Table2[[#This Row],[instant]],[1]!Table1[instant],[1]!Table1[[atemp]:[cnt]])</f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3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  <c r="K461" cm="1">
        <f t="array" ref="K461:P461">_xlfn.XLOOKUP(Table2[[#This Row],[instant]],[1]!Table1[instant],[1]!Table1[[atemp]:[cnt]])</f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3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  <c r="K462" cm="1">
        <f t="array" ref="K462:P462">_xlfn.XLOOKUP(Table2[[#This Row],[instant]],[1]!Table1[instant],[1]!Table1[[atemp]:[cnt]])</f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3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  <c r="K463" cm="1">
        <f t="array" ref="K463:P463">_xlfn.XLOOKUP(Table2[[#This Row],[instant]],[1]!Table1[instant],[1]!Table1[[atemp]:[cnt]])</f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3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  <c r="K464" cm="1">
        <f t="array" ref="K464:P464">_xlfn.XLOOKUP(Table2[[#This Row],[instant]],[1]!Table1[instant],[1]!Table1[[atemp]:[cnt]])</f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3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  <c r="K465" cm="1">
        <f t="array" ref="K465:P465">_xlfn.XLOOKUP(Table2[[#This Row],[instant]],[1]!Table1[instant],[1]!Table1[[atemp]:[cnt]])</f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3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  <c r="K466" cm="1">
        <f t="array" ref="K466:P466">_xlfn.XLOOKUP(Table2[[#This Row],[instant]],[1]!Table1[instant],[1]!Table1[[atemp]:[cnt]])</f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3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  <c r="K467" cm="1">
        <f t="array" ref="K467:P467">_xlfn.XLOOKUP(Table2[[#This Row],[instant]],[1]!Table1[instant],[1]!Table1[[atemp]:[cnt]])</f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3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  <c r="K468" cm="1">
        <f t="array" ref="K468:P468">_xlfn.XLOOKUP(Table2[[#This Row],[instant]],[1]!Table1[instant],[1]!Table1[[atemp]:[cnt]])</f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3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  <c r="K469" cm="1">
        <f t="array" ref="K469:P469">_xlfn.XLOOKUP(Table2[[#This Row],[instant]],[1]!Table1[instant],[1]!Table1[[atemp]:[cnt]])</f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3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  <c r="K470" cm="1">
        <f t="array" ref="K470:P470">_xlfn.XLOOKUP(Table2[[#This Row],[instant]],[1]!Table1[instant],[1]!Table1[[atemp]:[cnt]])</f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3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  <c r="K471" cm="1">
        <f t="array" ref="K471:P471">_xlfn.XLOOKUP(Table2[[#This Row],[instant]],[1]!Table1[instant],[1]!Table1[[atemp]:[cnt]])</f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3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  <c r="K472" cm="1">
        <f t="array" ref="K472:P472">_xlfn.XLOOKUP(Table2[[#This Row],[instant]],[1]!Table1[instant],[1]!Table1[[atemp]:[cnt]])</f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3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  <c r="K473" cm="1">
        <f t="array" ref="K473:P473">_xlfn.XLOOKUP(Table2[[#This Row],[instant]],[1]!Table1[instant],[1]!Table1[[atemp]:[cnt]])</f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3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  <c r="K474" cm="1">
        <f t="array" ref="K474:P474">_xlfn.XLOOKUP(Table2[[#This Row],[instant]],[1]!Table1[instant],[1]!Table1[[atemp]:[cnt]])</f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3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  <c r="K475" cm="1">
        <f t="array" ref="K475:P475">_xlfn.XLOOKUP(Table2[[#This Row],[instant]],[1]!Table1[instant],[1]!Table1[[atemp]:[cnt]])</f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3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  <c r="K476" cm="1">
        <f t="array" ref="K476:P476">_xlfn.XLOOKUP(Table2[[#This Row],[instant]],[1]!Table1[instant],[1]!Table1[[atemp]:[cnt]])</f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3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  <c r="K477" cm="1">
        <f t="array" ref="K477:P477">_xlfn.XLOOKUP(Table2[[#This Row],[instant]],[1]!Table1[instant],[1]!Table1[[atemp]:[cnt]])</f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3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  <c r="K478" cm="1">
        <f t="array" ref="K478:P478">_xlfn.XLOOKUP(Table2[[#This Row],[instant]],[1]!Table1[instant],[1]!Table1[[atemp]:[cnt]])</f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3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  <c r="K479" cm="1">
        <f t="array" ref="K479:P479">_xlfn.XLOOKUP(Table2[[#This Row],[instant]],[1]!Table1[instant],[1]!Table1[[atemp]:[cnt]])</f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3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  <c r="K480" cm="1">
        <f t="array" ref="K480:P480">_xlfn.XLOOKUP(Table2[[#This Row],[instant]],[1]!Table1[instant],[1]!Table1[[atemp]:[cnt]])</f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3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  <c r="K481" cm="1">
        <f t="array" ref="K481:P481">_xlfn.XLOOKUP(Table2[[#This Row],[instant]],[1]!Table1[instant],[1]!Table1[[atemp]:[cnt]])</f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3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  <c r="K482" cm="1">
        <f t="array" ref="K482:P482">_xlfn.XLOOKUP(Table2[[#This Row],[instant]],[1]!Table1[instant],[1]!Table1[[atemp]:[cnt]])</f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3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  <c r="K483" cm="1">
        <f t="array" ref="K483:P483">_xlfn.XLOOKUP(Table2[[#This Row],[instant]],[1]!Table1[instant],[1]!Table1[[atemp]:[cnt]])</f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3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  <c r="K484" cm="1">
        <f t="array" ref="K484:P484">_xlfn.XLOOKUP(Table2[[#This Row],[instant]],[1]!Table1[instant],[1]!Table1[[atemp]:[cnt]])</f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3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  <c r="K485" cm="1">
        <f t="array" ref="K485:P485">_xlfn.XLOOKUP(Table2[[#This Row],[instant]],[1]!Table1[instant],[1]!Table1[[atemp]:[cnt]])</f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3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  <c r="K486" cm="1">
        <f t="array" ref="K486:P486">_xlfn.XLOOKUP(Table2[[#This Row],[instant]],[1]!Table1[instant],[1]!Table1[[atemp]:[cnt]])</f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3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  <c r="K487" cm="1">
        <f t="array" ref="K487:P487">_xlfn.XLOOKUP(Table2[[#This Row],[instant]],[1]!Table1[instant],[1]!Table1[[atemp]:[cnt]])</f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3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  <c r="K488" cm="1">
        <f t="array" ref="K488:P488">_xlfn.XLOOKUP(Table2[[#This Row],[instant]],[1]!Table1[instant],[1]!Table1[[atemp]:[cnt]])</f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3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  <c r="K489" cm="1">
        <f t="array" ref="K489:P489">_xlfn.XLOOKUP(Table2[[#This Row],[instant]],[1]!Table1[instant],[1]!Table1[[atemp]:[cnt]])</f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3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  <c r="K490" cm="1">
        <f t="array" ref="K490:P490">_xlfn.XLOOKUP(Table2[[#This Row],[instant]],[1]!Table1[instant],[1]!Table1[[atemp]:[cnt]])</f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3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  <c r="K491" cm="1">
        <f t="array" ref="K491:P491">_xlfn.XLOOKUP(Table2[[#This Row],[instant]],[1]!Table1[instant],[1]!Table1[[atemp]:[cnt]])</f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3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  <c r="K492" cm="1">
        <f t="array" ref="K492:P492">_xlfn.XLOOKUP(Table2[[#This Row],[instant]],[1]!Table1[instant],[1]!Table1[[atemp]:[cnt]])</f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3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  <c r="K493" cm="1">
        <f t="array" ref="K493:P493">_xlfn.XLOOKUP(Table2[[#This Row],[instant]],[1]!Table1[instant],[1]!Table1[[atemp]:[cnt]])</f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3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  <c r="K494" cm="1">
        <f t="array" ref="K494:P494">_xlfn.XLOOKUP(Table2[[#This Row],[instant]],[1]!Table1[instant],[1]!Table1[[atemp]:[cnt]])</f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3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  <c r="K495" cm="1">
        <f t="array" ref="K495:P495">_xlfn.XLOOKUP(Table2[[#This Row],[instant]],[1]!Table1[instant],[1]!Table1[[atemp]:[cnt]])</f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3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  <c r="K496" cm="1">
        <f t="array" ref="K496:P496">_xlfn.XLOOKUP(Table2[[#This Row],[instant]],[1]!Table1[instant],[1]!Table1[[atemp]:[cnt]])</f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3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  <c r="K497" cm="1">
        <f t="array" ref="K497:P497">_xlfn.XLOOKUP(Table2[[#This Row],[instant]],[1]!Table1[instant],[1]!Table1[[atemp]:[cnt]])</f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3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  <c r="K498" cm="1">
        <f t="array" ref="K498:P498">_xlfn.XLOOKUP(Table2[[#This Row],[instant]],[1]!Table1[instant],[1]!Table1[[atemp]:[cnt]])</f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3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  <c r="K499" cm="1">
        <f t="array" ref="K499:P499">_xlfn.XLOOKUP(Table2[[#This Row],[instant]],[1]!Table1[instant],[1]!Table1[[atemp]:[cnt]])</f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3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  <c r="K500" cm="1">
        <f t="array" ref="K500:P500">_xlfn.XLOOKUP(Table2[[#This Row],[instant]],[1]!Table1[instant],[1]!Table1[[atemp]:[cnt]])</f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3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  <c r="K501" cm="1">
        <f t="array" ref="K501:P501">_xlfn.XLOOKUP(Table2[[#This Row],[instant]],[1]!Table1[instant],[1]!Table1[[atemp]:[cnt]])</f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3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  <c r="K502" cm="1">
        <f t="array" ref="K502:P502">_xlfn.XLOOKUP(Table2[[#This Row],[instant]],[1]!Table1[instant],[1]!Table1[[atemp]:[cnt]])</f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3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  <c r="K503" cm="1">
        <f t="array" ref="K503:P503">_xlfn.XLOOKUP(Table2[[#This Row],[instant]],[1]!Table1[instant],[1]!Table1[[atemp]:[cnt]])</f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3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  <c r="K504" cm="1">
        <f t="array" ref="K504:P504">_xlfn.XLOOKUP(Table2[[#This Row],[instant]],[1]!Table1[instant],[1]!Table1[[atemp]:[cnt]])</f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3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  <c r="K505" cm="1">
        <f t="array" ref="K505:P505">_xlfn.XLOOKUP(Table2[[#This Row],[instant]],[1]!Table1[instant],[1]!Table1[[atemp]:[cnt]])</f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3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  <c r="K506" cm="1">
        <f t="array" ref="K506:P506">_xlfn.XLOOKUP(Table2[[#This Row],[instant]],[1]!Table1[instant],[1]!Table1[[atemp]:[cnt]])</f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3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  <c r="K507" cm="1">
        <f t="array" ref="K507:P507">_xlfn.XLOOKUP(Table2[[#This Row],[instant]],[1]!Table1[instant],[1]!Table1[[atemp]:[cnt]])</f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3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  <c r="K508" cm="1">
        <f t="array" ref="K508:P508">_xlfn.XLOOKUP(Table2[[#This Row],[instant]],[1]!Table1[instant],[1]!Table1[[atemp]:[cnt]])</f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3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  <c r="K509" cm="1">
        <f t="array" ref="K509:P509">_xlfn.XLOOKUP(Table2[[#This Row],[instant]],[1]!Table1[instant],[1]!Table1[[atemp]:[cnt]])</f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3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  <c r="K510" cm="1">
        <f t="array" ref="K510:P510">_xlfn.XLOOKUP(Table2[[#This Row],[instant]],[1]!Table1[instant],[1]!Table1[[atemp]:[cnt]])</f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3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  <c r="K511" cm="1">
        <f t="array" ref="K511:P511">_xlfn.XLOOKUP(Table2[[#This Row],[instant]],[1]!Table1[instant],[1]!Table1[[atemp]:[cnt]])</f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3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  <c r="K512" cm="1">
        <f t="array" ref="K512:P512">_xlfn.XLOOKUP(Table2[[#This Row],[instant]],[1]!Table1[instant],[1]!Table1[[atemp]:[cnt]])</f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3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  <c r="K513" cm="1">
        <f t="array" ref="K513:P513">_xlfn.XLOOKUP(Table2[[#This Row],[instant]],[1]!Table1[instant],[1]!Table1[[atemp]:[cnt]])</f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3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  <c r="K514" cm="1">
        <f t="array" ref="K514:P514">_xlfn.XLOOKUP(Table2[[#This Row],[instant]],[1]!Table1[instant],[1]!Table1[[atemp]:[cnt]])</f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3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  <c r="K515" cm="1">
        <f t="array" ref="K515:P515">_xlfn.XLOOKUP(Table2[[#This Row],[instant]],[1]!Table1[instant],[1]!Table1[[atemp]:[cnt]])</f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3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  <c r="K516" cm="1">
        <f t="array" ref="K516:P516">_xlfn.XLOOKUP(Table2[[#This Row],[instant]],[1]!Table1[instant],[1]!Table1[[atemp]:[cnt]])</f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3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  <c r="K517" cm="1">
        <f t="array" ref="K517:P517">_xlfn.XLOOKUP(Table2[[#This Row],[instant]],[1]!Table1[instant],[1]!Table1[[atemp]:[cnt]])</f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3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  <c r="K518" cm="1">
        <f t="array" ref="K518:P518">_xlfn.XLOOKUP(Table2[[#This Row],[instant]],[1]!Table1[instant],[1]!Table1[[atemp]:[cnt]])</f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3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  <c r="K519" cm="1">
        <f t="array" ref="K519:P519">_xlfn.XLOOKUP(Table2[[#This Row],[instant]],[1]!Table1[instant],[1]!Table1[[atemp]:[cnt]])</f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3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  <c r="K520" cm="1">
        <f t="array" ref="K520:P520">_xlfn.XLOOKUP(Table2[[#This Row],[instant]],[1]!Table1[instant],[1]!Table1[[atemp]:[cnt]])</f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3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  <c r="K521" cm="1">
        <f t="array" ref="K521:P521">_xlfn.XLOOKUP(Table2[[#This Row],[instant]],[1]!Table1[instant],[1]!Table1[[atemp]:[cnt]])</f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3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  <c r="K522" cm="1">
        <f t="array" ref="K522:P522">_xlfn.XLOOKUP(Table2[[#This Row],[instant]],[1]!Table1[instant],[1]!Table1[[atemp]:[cnt]])</f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3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  <c r="K523" cm="1">
        <f t="array" ref="K523:P523">_xlfn.XLOOKUP(Table2[[#This Row],[instant]],[1]!Table1[instant],[1]!Table1[[atemp]:[cnt]])</f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3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  <c r="K524" cm="1">
        <f t="array" ref="K524:P524">_xlfn.XLOOKUP(Table2[[#This Row],[instant]],[1]!Table1[instant],[1]!Table1[[atemp]:[cnt]])</f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3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  <c r="K525" cm="1">
        <f t="array" ref="K525:P525">_xlfn.XLOOKUP(Table2[[#This Row],[instant]],[1]!Table1[instant],[1]!Table1[[atemp]:[cnt]])</f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3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  <c r="K526" cm="1">
        <f t="array" ref="K526:P526">_xlfn.XLOOKUP(Table2[[#This Row],[instant]],[1]!Table1[instant],[1]!Table1[[atemp]:[cnt]])</f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3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  <c r="K527" cm="1">
        <f t="array" ref="K527:P527">_xlfn.XLOOKUP(Table2[[#This Row],[instant]],[1]!Table1[instant],[1]!Table1[[atemp]:[cnt]])</f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3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  <c r="K528" cm="1">
        <f t="array" ref="K528:P528">_xlfn.XLOOKUP(Table2[[#This Row],[instant]],[1]!Table1[instant],[1]!Table1[[atemp]:[cnt]])</f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3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  <c r="K529" cm="1">
        <f t="array" ref="K529:P529">_xlfn.XLOOKUP(Table2[[#This Row],[instant]],[1]!Table1[instant],[1]!Table1[[atemp]:[cnt]])</f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3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  <c r="K530" cm="1">
        <f t="array" ref="K530:P530">_xlfn.XLOOKUP(Table2[[#This Row],[instant]],[1]!Table1[instant],[1]!Table1[[atemp]:[cnt]])</f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3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  <c r="K531" cm="1">
        <f t="array" ref="K531:P531">_xlfn.XLOOKUP(Table2[[#This Row],[instant]],[1]!Table1[instant],[1]!Table1[[atemp]:[cnt]])</f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3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  <c r="K532" cm="1">
        <f t="array" ref="K532:P532">_xlfn.XLOOKUP(Table2[[#This Row],[instant]],[1]!Table1[instant],[1]!Table1[[atemp]:[cnt]])</f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3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  <c r="K533" cm="1">
        <f t="array" ref="K533:P533">_xlfn.XLOOKUP(Table2[[#This Row],[instant]],[1]!Table1[instant],[1]!Table1[[atemp]:[cnt]])</f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3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  <c r="K534" cm="1">
        <f t="array" ref="K534:P534">_xlfn.XLOOKUP(Table2[[#This Row],[instant]],[1]!Table1[instant],[1]!Table1[[atemp]:[cnt]])</f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3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  <c r="K535" cm="1">
        <f t="array" ref="K535:P535">_xlfn.XLOOKUP(Table2[[#This Row],[instant]],[1]!Table1[instant],[1]!Table1[[atemp]:[cnt]])</f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3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  <c r="K536" cm="1">
        <f t="array" ref="K536:P536">_xlfn.XLOOKUP(Table2[[#This Row],[instant]],[1]!Table1[instant],[1]!Table1[[atemp]:[cnt]])</f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3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  <c r="K537" cm="1">
        <f t="array" ref="K537:P537">_xlfn.XLOOKUP(Table2[[#This Row],[instant]],[1]!Table1[instant],[1]!Table1[[atemp]:[cnt]])</f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3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  <c r="K538" cm="1">
        <f t="array" ref="K538:P538">_xlfn.XLOOKUP(Table2[[#This Row],[instant]],[1]!Table1[instant],[1]!Table1[[atemp]:[cnt]])</f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3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  <c r="K539" cm="1">
        <f t="array" ref="K539:P539">_xlfn.XLOOKUP(Table2[[#This Row],[instant]],[1]!Table1[instant],[1]!Table1[[atemp]:[cnt]])</f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3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  <c r="K540" cm="1">
        <f t="array" ref="K540:P540">_xlfn.XLOOKUP(Table2[[#This Row],[instant]],[1]!Table1[instant],[1]!Table1[[atemp]:[cnt]])</f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3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  <c r="K541" cm="1">
        <f t="array" ref="K541:P541">_xlfn.XLOOKUP(Table2[[#This Row],[instant]],[1]!Table1[instant],[1]!Table1[[atemp]:[cnt]])</f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3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  <c r="K542" cm="1">
        <f t="array" ref="K542:P542">_xlfn.XLOOKUP(Table2[[#This Row],[instant]],[1]!Table1[instant],[1]!Table1[[atemp]:[cnt]])</f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3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  <c r="K543" cm="1">
        <f t="array" ref="K543:P543">_xlfn.XLOOKUP(Table2[[#This Row],[instant]],[1]!Table1[instant],[1]!Table1[[atemp]:[cnt]])</f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3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  <c r="K544" cm="1">
        <f t="array" ref="K544:P544">_xlfn.XLOOKUP(Table2[[#This Row],[instant]],[1]!Table1[instant],[1]!Table1[[atemp]:[cnt]])</f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3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  <c r="K545" cm="1">
        <f t="array" ref="K545:P545">_xlfn.XLOOKUP(Table2[[#This Row],[instant]],[1]!Table1[instant],[1]!Table1[[atemp]:[cnt]])</f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3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  <c r="K546" cm="1">
        <f t="array" ref="K546:P546">_xlfn.XLOOKUP(Table2[[#This Row],[instant]],[1]!Table1[instant],[1]!Table1[[atemp]:[cnt]])</f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3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  <c r="K547" cm="1">
        <f t="array" ref="K547:P547">_xlfn.XLOOKUP(Table2[[#This Row],[instant]],[1]!Table1[instant],[1]!Table1[[atemp]:[cnt]])</f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3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  <c r="K548" cm="1">
        <f t="array" ref="K548:P548">_xlfn.XLOOKUP(Table2[[#This Row],[instant]],[1]!Table1[instant],[1]!Table1[[atemp]:[cnt]])</f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3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  <c r="K549" cm="1">
        <f t="array" ref="K549:P549">_xlfn.XLOOKUP(Table2[[#This Row],[instant]],[1]!Table1[instant],[1]!Table1[[atemp]:[cnt]])</f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3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  <c r="K550" cm="1">
        <f t="array" ref="K550:P550">_xlfn.XLOOKUP(Table2[[#This Row],[instant]],[1]!Table1[instant],[1]!Table1[[atemp]:[cnt]])</f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3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  <c r="K551" cm="1">
        <f t="array" ref="K551:P551">_xlfn.XLOOKUP(Table2[[#This Row],[instant]],[1]!Table1[instant],[1]!Table1[[atemp]:[cnt]])</f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3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  <c r="K552" cm="1">
        <f t="array" ref="K552:P552">_xlfn.XLOOKUP(Table2[[#This Row],[instant]],[1]!Table1[instant],[1]!Table1[[atemp]:[cnt]])</f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3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  <c r="K553" cm="1">
        <f t="array" ref="K553:P553">_xlfn.XLOOKUP(Table2[[#This Row],[instant]],[1]!Table1[instant],[1]!Table1[[atemp]:[cnt]])</f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3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  <c r="K554" cm="1">
        <f t="array" ref="K554:P554">_xlfn.XLOOKUP(Table2[[#This Row],[instant]],[1]!Table1[instant],[1]!Table1[[atemp]:[cnt]])</f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3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  <c r="K555" cm="1">
        <f t="array" ref="K555:P555">_xlfn.XLOOKUP(Table2[[#This Row],[instant]],[1]!Table1[instant],[1]!Table1[[atemp]:[cnt]])</f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3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  <c r="K556" cm="1">
        <f t="array" ref="K556:P556">_xlfn.XLOOKUP(Table2[[#This Row],[instant]],[1]!Table1[instant],[1]!Table1[[atemp]:[cnt]])</f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3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  <c r="K557" cm="1">
        <f t="array" ref="K557:P557">_xlfn.XLOOKUP(Table2[[#This Row],[instant]],[1]!Table1[instant],[1]!Table1[[atemp]:[cnt]])</f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3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  <c r="K558" cm="1">
        <f t="array" ref="K558:P558">_xlfn.XLOOKUP(Table2[[#This Row],[instant]],[1]!Table1[instant],[1]!Table1[[atemp]:[cnt]])</f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3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  <c r="K559" cm="1">
        <f t="array" ref="K559:P559">_xlfn.XLOOKUP(Table2[[#This Row],[instant]],[1]!Table1[instant],[1]!Table1[[atemp]:[cnt]])</f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3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  <c r="K560" cm="1">
        <f t="array" ref="K560:P560">_xlfn.XLOOKUP(Table2[[#This Row],[instant]],[1]!Table1[instant],[1]!Table1[[atemp]:[cnt]])</f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3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  <c r="K561" cm="1">
        <f t="array" ref="K561:P561">_xlfn.XLOOKUP(Table2[[#This Row],[instant]],[1]!Table1[instant],[1]!Table1[[atemp]:[cnt]])</f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3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  <c r="K562" cm="1">
        <f t="array" ref="K562:P562">_xlfn.XLOOKUP(Table2[[#This Row],[instant]],[1]!Table1[instant],[1]!Table1[[atemp]:[cnt]])</f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3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  <c r="K563" cm="1">
        <f t="array" ref="K563:P563">_xlfn.XLOOKUP(Table2[[#This Row],[instant]],[1]!Table1[instant],[1]!Table1[[atemp]:[cnt]])</f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3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  <c r="K564" cm="1">
        <f t="array" ref="K564:P564">_xlfn.XLOOKUP(Table2[[#This Row],[instant]],[1]!Table1[instant],[1]!Table1[[atemp]:[cnt]])</f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3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  <c r="K565" cm="1">
        <f t="array" ref="K565:P565">_xlfn.XLOOKUP(Table2[[#This Row],[instant]],[1]!Table1[instant],[1]!Table1[[atemp]:[cnt]])</f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3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  <c r="K566" cm="1">
        <f t="array" ref="K566:P566">_xlfn.XLOOKUP(Table2[[#This Row],[instant]],[1]!Table1[instant],[1]!Table1[[atemp]:[cnt]])</f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3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  <c r="K567" cm="1">
        <f t="array" ref="K567:P567">_xlfn.XLOOKUP(Table2[[#This Row],[instant]],[1]!Table1[instant],[1]!Table1[[atemp]:[cnt]])</f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3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  <c r="K568" cm="1">
        <f t="array" ref="K568:P568">_xlfn.XLOOKUP(Table2[[#This Row],[instant]],[1]!Table1[instant],[1]!Table1[[atemp]:[cnt]])</f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3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  <c r="K569" cm="1">
        <f t="array" ref="K569:P569">_xlfn.XLOOKUP(Table2[[#This Row],[instant]],[1]!Table1[instant],[1]!Table1[[atemp]:[cnt]])</f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3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  <c r="K570" cm="1">
        <f t="array" ref="K570:P570">_xlfn.XLOOKUP(Table2[[#This Row],[instant]],[1]!Table1[instant],[1]!Table1[[atemp]:[cnt]])</f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3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  <c r="K571" cm="1">
        <f t="array" ref="K571:P571">_xlfn.XLOOKUP(Table2[[#This Row],[instant]],[1]!Table1[instant],[1]!Table1[[atemp]:[cnt]])</f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3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  <c r="K572" cm="1">
        <f t="array" ref="K572:P572">_xlfn.XLOOKUP(Table2[[#This Row],[instant]],[1]!Table1[instant],[1]!Table1[[atemp]:[cnt]])</f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3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  <c r="K573" cm="1">
        <f t="array" ref="K573:P573">_xlfn.XLOOKUP(Table2[[#This Row],[instant]],[1]!Table1[instant],[1]!Table1[[atemp]:[cnt]])</f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3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  <c r="K574" cm="1">
        <f t="array" ref="K574:P574">_xlfn.XLOOKUP(Table2[[#This Row],[instant]],[1]!Table1[instant],[1]!Table1[[atemp]:[cnt]])</f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3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  <c r="K575" cm="1">
        <f t="array" ref="K575:P575">_xlfn.XLOOKUP(Table2[[#This Row],[instant]],[1]!Table1[instant],[1]!Table1[[atemp]:[cnt]])</f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3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  <c r="K576" cm="1">
        <f t="array" ref="K576:P576">_xlfn.XLOOKUP(Table2[[#This Row],[instant]],[1]!Table1[instant],[1]!Table1[[atemp]:[cnt]])</f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3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  <c r="K577" cm="1">
        <f t="array" ref="K577:P577">_xlfn.XLOOKUP(Table2[[#This Row],[instant]],[1]!Table1[instant],[1]!Table1[[atemp]:[cnt]])</f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3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  <c r="K578" cm="1">
        <f t="array" ref="K578:P578">_xlfn.XLOOKUP(Table2[[#This Row],[instant]],[1]!Table1[instant],[1]!Table1[[atemp]:[cnt]])</f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3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  <c r="K579" cm="1">
        <f t="array" ref="K579:P579">_xlfn.XLOOKUP(Table2[[#This Row],[instant]],[1]!Table1[instant],[1]!Table1[[atemp]:[cnt]])</f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3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  <c r="K580" cm="1">
        <f t="array" ref="K580:P580">_xlfn.XLOOKUP(Table2[[#This Row],[instant]],[1]!Table1[instant],[1]!Table1[[atemp]:[cnt]])</f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3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  <c r="K581" cm="1">
        <f t="array" ref="K581:P581">_xlfn.XLOOKUP(Table2[[#This Row],[instant]],[1]!Table1[instant],[1]!Table1[[atemp]:[cnt]])</f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3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  <c r="K582" cm="1">
        <f t="array" ref="K582:P582">_xlfn.XLOOKUP(Table2[[#This Row],[instant]],[1]!Table1[instant],[1]!Table1[[atemp]:[cnt]])</f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3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  <c r="K583" cm="1">
        <f t="array" ref="K583:P583">_xlfn.XLOOKUP(Table2[[#This Row],[instant]],[1]!Table1[instant],[1]!Table1[[atemp]:[cnt]])</f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3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  <c r="K584" cm="1">
        <f t="array" ref="K584:P584">_xlfn.XLOOKUP(Table2[[#This Row],[instant]],[1]!Table1[instant],[1]!Table1[[atemp]:[cnt]])</f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3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  <c r="K585" cm="1">
        <f t="array" ref="K585:P585">_xlfn.XLOOKUP(Table2[[#This Row],[instant]],[1]!Table1[instant],[1]!Table1[[atemp]:[cnt]])</f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3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  <c r="K586" cm="1">
        <f t="array" ref="K586:P586">_xlfn.XLOOKUP(Table2[[#This Row],[instant]],[1]!Table1[instant],[1]!Table1[[atemp]:[cnt]])</f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3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  <c r="K587" cm="1">
        <f t="array" ref="K587:P587">_xlfn.XLOOKUP(Table2[[#This Row],[instant]],[1]!Table1[instant],[1]!Table1[[atemp]:[cnt]])</f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3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  <c r="K588" cm="1">
        <f t="array" ref="K588:P588">_xlfn.XLOOKUP(Table2[[#This Row],[instant]],[1]!Table1[instant],[1]!Table1[[atemp]:[cnt]])</f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3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  <c r="K589" cm="1">
        <f t="array" ref="K589:P589">_xlfn.XLOOKUP(Table2[[#This Row],[instant]],[1]!Table1[instant],[1]!Table1[[atemp]:[cnt]])</f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x14ac:dyDescent="0.3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  <c r="K590" cm="1">
        <f t="array" ref="K590:P590">_xlfn.XLOOKUP(Table2[[#This Row],[instant]],[1]!Table1[instant],[1]!Table1[[atemp]:[cnt]])</f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x14ac:dyDescent="0.3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  <c r="K591" cm="1">
        <f t="array" ref="K591:P591">_xlfn.XLOOKUP(Table2[[#This Row],[instant]],[1]!Table1[instant],[1]!Table1[[atemp]:[cnt]])</f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x14ac:dyDescent="0.3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  <c r="K592" cm="1">
        <f t="array" ref="K592:P592">_xlfn.XLOOKUP(Table2[[#This Row],[instant]],[1]!Table1[instant],[1]!Table1[[atemp]:[cnt]])</f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x14ac:dyDescent="0.3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  <c r="K593" cm="1">
        <f t="array" ref="K593:P593">_xlfn.XLOOKUP(Table2[[#This Row],[instant]],[1]!Table1[instant],[1]!Table1[[atemp]:[cnt]])</f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x14ac:dyDescent="0.3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  <c r="K594" cm="1">
        <f t="array" ref="K594:P594">_xlfn.XLOOKUP(Table2[[#This Row],[instant]],[1]!Table1[instant],[1]!Table1[[atemp]:[cnt]])</f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x14ac:dyDescent="0.3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  <c r="K595" cm="1">
        <f t="array" ref="K595:P595">_xlfn.XLOOKUP(Table2[[#This Row],[instant]],[1]!Table1[instant],[1]!Table1[[atemp]:[cnt]])</f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x14ac:dyDescent="0.3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  <c r="K596" cm="1">
        <f t="array" ref="K596:P596">_xlfn.XLOOKUP(Table2[[#This Row],[instant]],[1]!Table1[instant],[1]!Table1[[atemp]:[cnt]])</f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x14ac:dyDescent="0.3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  <c r="K597" cm="1">
        <f t="array" ref="K597:P597">_xlfn.XLOOKUP(Table2[[#This Row],[instant]],[1]!Table1[instant],[1]!Table1[[atemp]:[cnt]])</f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x14ac:dyDescent="0.3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  <c r="K598" cm="1">
        <f t="array" ref="K598:P598">_xlfn.XLOOKUP(Table2[[#This Row],[instant]],[1]!Table1[instant],[1]!Table1[[atemp]:[cnt]])</f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x14ac:dyDescent="0.3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  <c r="K599" cm="1">
        <f t="array" ref="K599:P599">_xlfn.XLOOKUP(Table2[[#This Row],[instant]],[1]!Table1[instant],[1]!Table1[[atemp]:[cnt]])</f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x14ac:dyDescent="0.3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  <c r="K600" cm="1">
        <f t="array" ref="K600:P600">_xlfn.XLOOKUP(Table2[[#This Row],[instant]],[1]!Table1[instant],[1]!Table1[[atemp]:[cnt]])</f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x14ac:dyDescent="0.3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  <c r="K601" cm="1">
        <f t="array" ref="K601:P601">_xlfn.XLOOKUP(Table2[[#This Row],[instant]],[1]!Table1[instant],[1]!Table1[[atemp]:[cnt]])</f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x14ac:dyDescent="0.3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  <c r="K602" cm="1">
        <f t="array" ref="K602:P602">_xlfn.XLOOKUP(Table2[[#This Row],[instant]],[1]!Table1[instant],[1]!Table1[[atemp]:[cnt]])</f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x14ac:dyDescent="0.3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  <c r="K603" cm="1">
        <f t="array" ref="K603:P603">_xlfn.XLOOKUP(Table2[[#This Row],[instant]],[1]!Table1[instant],[1]!Table1[[atemp]:[cnt]])</f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x14ac:dyDescent="0.3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  <c r="K604" cm="1">
        <f t="array" ref="K604:P604">_xlfn.XLOOKUP(Table2[[#This Row],[instant]],[1]!Table1[instant],[1]!Table1[[atemp]:[cnt]])</f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x14ac:dyDescent="0.3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  <c r="K605" cm="1">
        <f t="array" ref="K605:P605">_xlfn.XLOOKUP(Table2[[#This Row],[instant]],[1]!Table1[instant],[1]!Table1[[atemp]:[cnt]])</f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x14ac:dyDescent="0.3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  <c r="K606" cm="1">
        <f t="array" ref="K606:P606">_xlfn.XLOOKUP(Table2[[#This Row],[instant]],[1]!Table1[instant],[1]!Table1[[atemp]:[cnt]])</f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x14ac:dyDescent="0.3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  <c r="K607" cm="1">
        <f t="array" ref="K607:P607">_xlfn.XLOOKUP(Table2[[#This Row],[instant]],[1]!Table1[instant],[1]!Table1[[atemp]:[cnt]])</f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x14ac:dyDescent="0.3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  <c r="K608" cm="1">
        <f t="array" ref="K608:P608">_xlfn.XLOOKUP(Table2[[#This Row],[instant]],[1]!Table1[instant],[1]!Table1[[atemp]:[cnt]])</f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x14ac:dyDescent="0.3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  <c r="K609" cm="1">
        <f t="array" ref="K609:P609">_xlfn.XLOOKUP(Table2[[#This Row],[instant]],[1]!Table1[instant],[1]!Table1[[atemp]:[cnt]])</f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x14ac:dyDescent="0.3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  <c r="K610" cm="1">
        <f t="array" ref="K610:P610">_xlfn.XLOOKUP(Table2[[#This Row],[instant]],[1]!Table1[instant],[1]!Table1[[atemp]:[cnt]])</f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x14ac:dyDescent="0.3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  <c r="K611" cm="1">
        <f t="array" ref="K611:P611">_xlfn.XLOOKUP(Table2[[#This Row],[instant]],[1]!Table1[instant],[1]!Table1[[atemp]:[cnt]])</f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</sheetData>
  <conditionalFormatting sqref="I2:I611">
    <cfRule type="colorScale" priority="3">
      <colorScale>
        <cfvo type="num" val="1"/>
        <cfvo type="num" val="2"/>
        <cfvo type="num" val="4"/>
        <color theme="7" tint="0.79998168889431442"/>
        <color theme="4" tint="0.59999389629810485"/>
        <color theme="2" tint="-0.499984740745262"/>
      </colorScale>
    </cfRule>
  </conditionalFormatting>
  <conditionalFormatting sqref="L2:L611">
    <cfRule type="colorScale" priority="2">
      <colorScale>
        <cfvo type="num" val="0.2"/>
        <cfvo type="num" val="0.7"/>
        <cfvo type="num" val="1"/>
        <color theme="7" tint="0.79998168889431442"/>
        <color theme="7" tint="0.39997558519241921"/>
        <color rgb="FFC00000"/>
      </colorScale>
    </cfRule>
  </conditionalFormatting>
  <conditionalFormatting sqref="M2:M611">
    <cfRule type="colorScale" priority="1">
      <colorScale>
        <cfvo type="num" val="0"/>
        <cfvo type="num" val="0.3"/>
        <cfvo type="num" val="0.6"/>
        <color theme="0" tint="-4.9989318521683403E-2"/>
        <color theme="4" tint="0.79998168889431442"/>
        <color theme="4" tint="-0.249977111117893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341D-689C-463F-A73E-6333C5AD059C}">
  <dimension ref="A1:P611"/>
  <sheetViews>
    <sheetView workbookViewId="0">
      <selection activeCell="F10" sqref="F10"/>
    </sheetView>
  </sheetViews>
  <sheetFormatPr defaultRowHeight="14.4" x14ac:dyDescent="0.3"/>
  <cols>
    <col min="2" max="2" width="10.10937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3" t="s">
        <v>15</v>
      </c>
    </row>
    <row r="2" spans="1:16" x14ac:dyDescent="0.3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  <c r="K2" s="31">
        <v>0.28789999999999999</v>
      </c>
      <c r="L2" s="31">
        <v>0.81</v>
      </c>
      <c r="M2" s="31">
        <v>0</v>
      </c>
      <c r="N2" s="31">
        <v>3</v>
      </c>
      <c r="O2" s="31">
        <v>13</v>
      </c>
      <c r="P2" s="31">
        <v>16</v>
      </c>
    </row>
    <row r="3" spans="1:16" x14ac:dyDescent="0.3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  <c r="K3" s="31">
        <v>0.2727</v>
      </c>
      <c r="L3" s="31">
        <v>0.8</v>
      </c>
      <c r="M3" s="31">
        <v>0</v>
      </c>
      <c r="N3" s="31">
        <v>8</v>
      </c>
      <c r="O3" s="31">
        <v>32</v>
      </c>
      <c r="P3" s="31">
        <v>40</v>
      </c>
    </row>
    <row r="4" spans="1:16" x14ac:dyDescent="0.3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  <c r="K4" s="31">
        <v>0.2727</v>
      </c>
      <c r="L4" s="31">
        <v>0.8</v>
      </c>
      <c r="M4" s="31">
        <v>0</v>
      </c>
      <c r="N4" s="31">
        <v>5</v>
      </c>
      <c r="O4" s="31">
        <v>27</v>
      </c>
      <c r="P4" s="31">
        <v>32</v>
      </c>
    </row>
    <row r="5" spans="1:16" x14ac:dyDescent="0.3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  <c r="K5" s="31">
        <v>0.28789999999999999</v>
      </c>
      <c r="L5" s="31">
        <v>0.75</v>
      </c>
      <c r="M5" s="31">
        <v>0</v>
      </c>
      <c r="N5" s="31">
        <v>3</v>
      </c>
      <c r="O5" s="31">
        <v>10</v>
      </c>
      <c r="P5" s="31">
        <v>13</v>
      </c>
    </row>
    <row r="6" spans="1:16" x14ac:dyDescent="0.3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  <c r="K6" s="31">
        <v>0.28789999999999999</v>
      </c>
      <c r="L6" s="31">
        <v>0.75</v>
      </c>
      <c r="M6" s="31">
        <v>0</v>
      </c>
      <c r="N6" s="31">
        <v>0</v>
      </c>
      <c r="O6" s="31">
        <v>1</v>
      </c>
      <c r="P6" s="31">
        <v>1</v>
      </c>
    </row>
    <row r="7" spans="1:16" x14ac:dyDescent="0.3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  <c r="K7" s="31">
        <v>0.2576</v>
      </c>
      <c r="L7" s="31">
        <v>0.75</v>
      </c>
      <c r="M7" s="31">
        <v>8.9599999999999999E-2</v>
      </c>
      <c r="N7" s="31">
        <v>0</v>
      </c>
      <c r="O7" s="31">
        <v>1</v>
      </c>
      <c r="P7" s="31">
        <v>1</v>
      </c>
    </row>
    <row r="8" spans="1:16" x14ac:dyDescent="0.3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  <c r="K8" s="31">
        <v>0.2727</v>
      </c>
      <c r="L8" s="31">
        <v>0.8</v>
      </c>
      <c r="M8" s="31">
        <v>0</v>
      </c>
      <c r="N8" s="31">
        <v>2</v>
      </c>
      <c r="O8" s="31">
        <v>0</v>
      </c>
      <c r="P8" s="31">
        <v>2</v>
      </c>
    </row>
    <row r="9" spans="1:16" x14ac:dyDescent="0.3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  <c r="K9" s="31">
        <v>0.2576</v>
      </c>
      <c r="L9" s="31">
        <v>0.86</v>
      </c>
      <c r="M9" s="31">
        <v>0</v>
      </c>
      <c r="N9" s="31">
        <v>1</v>
      </c>
      <c r="O9" s="31">
        <v>2</v>
      </c>
      <c r="P9" s="31">
        <v>3</v>
      </c>
    </row>
    <row r="10" spans="1:16" x14ac:dyDescent="0.3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  <c r="K10" s="31">
        <v>0.19989999999999999</v>
      </c>
      <c r="L10" s="31">
        <v>0.75</v>
      </c>
      <c r="M10" s="31">
        <v>0</v>
      </c>
      <c r="N10" s="31">
        <v>1</v>
      </c>
      <c r="O10" s="31">
        <v>7</v>
      </c>
      <c r="P10" s="31">
        <v>8</v>
      </c>
    </row>
    <row r="11" spans="1:16" x14ac:dyDescent="0.3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  <c r="K11" s="31">
        <v>0.34849999999999998</v>
      </c>
      <c r="L11" s="31">
        <v>0.76</v>
      </c>
      <c r="M11" s="31">
        <v>0</v>
      </c>
      <c r="N11" s="31">
        <v>8</v>
      </c>
      <c r="O11" s="31">
        <v>6</v>
      </c>
      <c r="P11" s="31">
        <v>14</v>
      </c>
    </row>
    <row r="12" spans="1:16" x14ac:dyDescent="0.3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  <c r="K12" s="31">
        <v>0.39389999999999997</v>
      </c>
      <c r="L12" s="31">
        <v>0.76</v>
      </c>
      <c r="M12" s="31">
        <v>0.25369999999999998</v>
      </c>
      <c r="N12" s="31">
        <v>12</v>
      </c>
      <c r="O12" s="31">
        <v>24</v>
      </c>
      <c r="P12" s="31">
        <v>36</v>
      </c>
    </row>
    <row r="13" spans="1:16" x14ac:dyDescent="0.3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  <c r="K13" s="31">
        <v>0.33329999999999999</v>
      </c>
      <c r="L13" s="31">
        <v>0.81</v>
      </c>
      <c r="M13" s="31">
        <v>0.28360000000000002</v>
      </c>
      <c r="N13" s="31">
        <v>26</v>
      </c>
      <c r="O13" s="31">
        <v>30</v>
      </c>
      <c r="P13" s="31">
        <v>56</v>
      </c>
    </row>
    <row r="14" spans="1:16" x14ac:dyDescent="0.3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  <c r="K14" s="31">
        <v>0.42420000000000002</v>
      </c>
      <c r="L14" s="31">
        <v>0.77</v>
      </c>
      <c r="M14" s="31">
        <v>0.28360000000000002</v>
      </c>
      <c r="N14" s="31">
        <v>29</v>
      </c>
      <c r="O14" s="31">
        <v>55</v>
      </c>
      <c r="P14" s="31">
        <v>84</v>
      </c>
    </row>
    <row r="15" spans="1:16" x14ac:dyDescent="0.3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  <c r="K15" s="31">
        <v>0.45450000000000002</v>
      </c>
      <c r="L15" s="31">
        <v>0.72</v>
      </c>
      <c r="M15" s="31">
        <v>0.29849999999999999</v>
      </c>
      <c r="N15" s="31">
        <v>47</v>
      </c>
      <c r="O15" s="31">
        <v>47</v>
      </c>
      <c r="P15" s="31">
        <v>94</v>
      </c>
    </row>
    <row r="16" spans="1:16" x14ac:dyDescent="0.3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  <c r="K16" s="31">
        <v>0.45450000000000002</v>
      </c>
      <c r="L16" s="31">
        <v>0.72</v>
      </c>
      <c r="M16" s="31">
        <v>0.28360000000000002</v>
      </c>
      <c r="N16" s="31">
        <v>35</v>
      </c>
      <c r="O16" s="31">
        <v>71</v>
      </c>
      <c r="P16" s="31">
        <v>106</v>
      </c>
    </row>
    <row r="17" spans="1:16" x14ac:dyDescent="0.3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  <c r="K17" s="31">
        <v>0.43940000000000001</v>
      </c>
      <c r="L17" s="31">
        <v>0.77</v>
      </c>
      <c r="M17" s="31">
        <v>0.29849999999999999</v>
      </c>
      <c r="N17" s="31">
        <v>40</v>
      </c>
      <c r="O17" s="31">
        <v>70</v>
      </c>
      <c r="P17" s="31">
        <v>110</v>
      </c>
    </row>
    <row r="18" spans="1:16" x14ac:dyDescent="0.3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  <c r="K18" s="31">
        <v>0.42420000000000002</v>
      </c>
      <c r="L18" s="31">
        <v>0.82</v>
      </c>
      <c r="M18" s="31">
        <v>0.29849999999999999</v>
      </c>
      <c r="N18" s="31">
        <v>41</v>
      </c>
      <c r="O18" s="31">
        <v>52</v>
      </c>
      <c r="P18" s="31">
        <v>93</v>
      </c>
    </row>
    <row r="19" spans="1:16" x14ac:dyDescent="0.3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  <c r="K19" s="31">
        <v>0.19989999999999999</v>
      </c>
      <c r="L19" s="31">
        <v>0.82</v>
      </c>
      <c r="M19" s="31">
        <v>0.28360000000000002</v>
      </c>
      <c r="N19" s="31">
        <v>15</v>
      </c>
      <c r="O19" s="31">
        <v>52</v>
      </c>
      <c r="P19" s="31">
        <v>67</v>
      </c>
    </row>
    <row r="20" spans="1:16" x14ac:dyDescent="0.3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  <c r="K20" s="31">
        <v>0.42420000000000002</v>
      </c>
      <c r="L20" s="31">
        <v>0.88</v>
      </c>
      <c r="M20" s="31">
        <v>0.25369999999999998</v>
      </c>
      <c r="N20" s="31">
        <v>9</v>
      </c>
      <c r="O20" s="31">
        <v>26</v>
      </c>
      <c r="P20" s="31">
        <v>35</v>
      </c>
    </row>
    <row r="21" spans="1:16" x14ac:dyDescent="0.3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  <c r="K21" s="31">
        <v>0.42420000000000002</v>
      </c>
      <c r="L21" s="31">
        <v>0.88</v>
      </c>
      <c r="M21" s="31">
        <v>0.25369999999999998</v>
      </c>
      <c r="N21" s="31">
        <v>6</v>
      </c>
      <c r="O21" s="31">
        <v>31</v>
      </c>
      <c r="P21" s="31">
        <v>37</v>
      </c>
    </row>
    <row r="22" spans="1:16" x14ac:dyDescent="0.3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  <c r="K22" s="31">
        <v>0.40910000000000002</v>
      </c>
      <c r="L22" s="31">
        <v>0.87</v>
      </c>
      <c r="M22" s="31">
        <v>0.25369999999999998</v>
      </c>
      <c r="N22" s="31">
        <v>11</v>
      </c>
      <c r="O22" s="31">
        <v>25</v>
      </c>
      <c r="P22" s="31">
        <v>36</v>
      </c>
    </row>
    <row r="23" spans="1:16" x14ac:dyDescent="0.3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  <c r="K23" s="31">
        <v>0.40910000000000002</v>
      </c>
      <c r="L23" s="31">
        <v>0.87</v>
      </c>
      <c r="M23" s="31">
        <v>0.19400000000000001</v>
      </c>
      <c r="N23" s="31">
        <v>3</v>
      </c>
      <c r="O23" s="31">
        <v>31</v>
      </c>
      <c r="P23" s="31">
        <v>34</v>
      </c>
    </row>
    <row r="24" spans="1:16" x14ac:dyDescent="0.3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  <c r="K24" s="31">
        <v>0.40910000000000002</v>
      </c>
      <c r="L24" s="31">
        <v>0.94</v>
      </c>
      <c r="M24" s="31">
        <v>0.22389999999999999</v>
      </c>
      <c r="N24" s="31">
        <v>11</v>
      </c>
      <c r="O24" s="31">
        <v>17</v>
      </c>
      <c r="P24" s="31">
        <v>28</v>
      </c>
    </row>
    <row r="25" spans="1:16" x14ac:dyDescent="0.3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  <c r="K25" s="31">
        <v>0.19989999999999999</v>
      </c>
      <c r="L25" s="31">
        <v>0.88</v>
      </c>
      <c r="M25" s="31">
        <v>0.29849999999999999</v>
      </c>
      <c r="N25" s="31">
        <v>15</v>
      </c>
      <c r="O25" s="31">
        <v>24</v>
      </c>
      <c r="P25" s="31">
        <v>39</v>
      </c>
    </row>
    <row r="26" spans="1:16" x14ac:dyDescent="0.3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  <c r="K26" s="31">
        <v>0.45450000000000002</v>
      </c>
      <c r="L26" s="31">
        <v>0.88</v>
      </c>
      <c r="M26" s="31">
        <v>0.29849999999999999</v>
      </c>
      <c r="N26" s="31">
        <v>4</v>
      </c>
      <c r="O26" s="31">
        <v>13</v>
      </c>
      <c r="P26" s="31">
        <v>17</v>
      </c>
    </row>
    <row r="27" spans="1:16" x14ac:dyDescent="0.3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  <c r="K27" s="31">
        <v>0.43940000000000001</v>
      </c>
      <c r="L27" s="31">
        <v>0.94</v>
      </c>
      <c r="M27" s="31">
        <v>0.25369999999999998</v>
      </c>
      <c r="N27" s="31">
        <v>1</v>
      </c>
      <c r="O27" s="31">
        <v>16</v>
      </c>
      <c r="P27" s="31">
        <v>17</v>
      </c>
    </row>
    <row r="28" spans="1:16" x14ac:dyDescent="0.3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  <c r="K28" s="31">
        <v>0.42420000000000002</v>
      </c>
      <c r="L28" s="31">
        <v>1</v>
      </c>
      <c r="M28" s="31">
        <v>0.28360000000000002</v>
      </c>
      <c r="N28" s="31">
        <v>1</v>
      </c>
      <c r="O28" s="31">
        <v>8</v>
      </c>
      <c r="P28" s="31">
        <v>9</v>
      </c>
    </row>
    <row r="29" spans="1:16" x14ac:dyDescent="0.3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  <c r="K29" s="31">
        <v>0.45450000000000002</v>
      </c>
      <c r="L29" s="31">
        <v>0.94</v>
      </c>
      <c r="M29" s="31">
        <v>0.19400000000000001</v>
      </c>
      <c r="N29" s="31">
        <v>2</v>
      </c>
      <c r="O29" s="31">
        <v>4</v>
      </c>
      <c r="P29" s="31">
        <v>6</v>
      </c>
    </row>
    <row r="30" spans="1:16" x14ac:dyDescent="0.3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  <c r="K30" s="31">
        <v>0.19989999999999999</v>
      </c>
      <c r="L30" s="31">
        <v>0.94</v>
      </c>
      <c r="M30" s="31">
        <v>0.19400000000000001</v>
      </c>
      <c r="N30" s="31">
        <v>2</v>
      </c>
      <c r="O30" s="31">
        <v>1</v>
      </c>
      <c r="P30" s="31">
        <v>3</v>
      </c>
    </row>
    <row r="31" spans="1:16" x14ac:dyDescent="0.3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  <c r="K31" s="31">
        <v>0.42420000000000002</v>
      </c>
      <c r="L31" s="31">
        <v>0.77</v>
      </c>
      <c r="M31" s="31">
        <v>0.29849999999999999</v>
      </c>
      <c r="N31" s="31">
        <v>0</v>
      </c>
      <c r="O31" s="31">
        <v>2</v>
      </c>
      <c r="P31" s="31">
        <v>2</v>
      </c>
    </row>
    <row r="32" spans="1:16" x14ac:dyDescent="0.3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  <c r="K32" s="31">
        <v>0.40910000000000002</v>
      </c>
      <c r="L32" s="31">
        <v>0.76</v>
      </c>
      <c r="M32" s="31">
        <v>0.19400000000000001</v>
      </c>
      <c r="N32" s="31">
        <v>0</v>
      </c>
      <c r="O32" s="31">
        <v>1</v>
      </c>
      <c r="P32" s="31">
        <v>1</v>
      </c>
    </row>
    <row r="33" spans="1:16" x14ac:dyDescent="0.3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  <c r="K33" s="31">
        <v>0.40910000000000002</v>
      </c>
      <c r="L33" s="31">
        <v>0.71</v>
      </c>
      <c r="M33" s="31">
        <v>0.22389999999999999</v>
      </c>
      <c r="N33" s="31">
        <v>0</v>
      </c>
      <c r="O33" s="31">
        <v>8</v>
      </c>
      <c r="P33" s="31">
        <v>8</v>
      </c>
    </row>
    <row r="34" spans="1:16" x14ac:dyDescent="0.3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  <c r="K34" s="31">
        <v>0.19989999999999999</v>
      </c>
      <c r="L34" s="31">
        <v>0.76</v>
      </c>
      <c r="M34" s="31">
        <v>0.22389999999999999</v>
      </c>
      <c r="N34" s="31">
        <v>1</v>
      </c>
      <c r="O34" s="31">
        <v>19</v>
      </c>
      <c r="P34" s="31">
        <v>20</v>
      </c>
    </row>
    <row r="35" spans="1:16" x14ac:dyDescent="0.3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  <c r="K35" s="31">
        <v>0.34849999999999998</v>
      </c>
      <c r="L35" s="31">
        <v>0.81</v>
      </c>
      <c r="M35" s="31">
        <v>0.22389999999999999</v>
      </c>
      <c r="N35" s="31">
        <v>7</v>
      </c>
      <c r="O35" s="31">
        <v>46</v>
      </c>
      <c r="P35" s="31">
        <v>53</v>
      </c>
    </row>
    <row r="36" spans="1:16" x14ac:dyDescent="0.3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  <c r="K36" s="31">
        <v>0.33329999999999999</v>
      </c>
      <c r="L36" s="31">
        <v>0.71</v>
      </c>
      <c r="M36" s="31">
        <v>0.25369999999999998</v>
      </c>
      <c r="N36" s="31">
        <v>16</v>
      </c>
      <c r="O36" s="31">
        <v>54</v>
      </c>
      <c r="P36" s="31">
        <v>70</v>
      </c>
    </row>
    <row r="37" spans="1:16" x14ac:dyDescent="0.3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  <c r="K37" s="31">
        <v>0.33329999999999999</v>
      </c>
      <c r="L37" s="31">
        <v>0.66</v>
      </c>
      <c r="M37" s="31">
        <v>0.29849999999999999</v>
      </c>
      <c r="N37" s="31">
        <v>20</v>
      </c>
      <c r="O37" s="31">
        <v>73</v>
      </c>
      <c r="P37" s="31">
        <v>93</v>
      </c>
    </row>
    <row r="38" spans="1:16" x14ac:dyDescent="0.3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  <c r="K38" s="31">
        <v>0.34849999999999998</v>
      </c>
      <c r="L38" s="31">
        <v>0.66</v>
      </c>
      <c r="M38" s="31">
        <v>0.1343</v>
      </c>
      <c r="N38" s="31">
        <v>11</v>
      </c>
      <c r="O38" s="31">
        <v>64</v>
      </c>
      <c r="P38" s="31">
        <v>75</v>
      </c>
    </row>
    <row r="39" spans="1:16" x14ac:dyDescent="0.3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  <c r="K39" s="31">
        <v>0.19989999999999999</v>
      </c>
      <c r="L39" s="31">
        <v>0.76</v>
      </c>
      <c r="M39" s="31">
        <v>0.19400000000000001</v>
      </c>
      <c r="N39" s="31">
        <v>4</v>
      </c>
      <c r="O39" s="31">
        <v>55</v>
      </c>
      <c r="P39" s="31">
        <v>59</v>
      </c>
    </row>
    <row r="40" spans="1:16" x14ac:dyDescent="0.3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  <c r="K40" s="31">
        <v>0.33329999999999999</v>
      </c>
      <c r="L40" s="31">
        <v>0.81</v>
      </c>
      <c r="M40" s="31">
        <v>0.16420000000000001</v>
      </c>
      <c r="N40" s="31">
        <v>19</v>
      </c>
      <c r="O40" s="31">
        <v>55</v>
      </c>
      <c r="P40" s="31">
        <v>74</v>
      </c>
    </row>
    <row r="41" spans="1:16" x14ac:dyDescent="0.3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  <c r="K41" s="31">
        <v>0.33329999999999999</v>
      </c>
      <c r="L41" s="31">
        <v>0.71</v>
      </c>
      <c r="M41" s="31">
        <v>0.16420000000000001</v>
      </c>
      <c r="N41" s="31">
        <v>9</v>
      </c>
      <c r="O41" s="31">
        <v>67</v>
      </c>
      <c r="P41" s="31">
        <v>76</v>
      </c>
    </row>
    <row r="42" spans="1:16" x14ac:dyDescent="0.3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  <c r="K42" s="31">
        <v>0.33329999999999999</v>
      </c>
      <c r="L42" s="31">
        <v>0.56999999999999995</v>
      </c>
      <c r="M42" s="31">
        <v>0.19400000000000001</v>
      </c>
      <c r="N42" s="31">
        <v>7</v>
      </c>
      <c r="O42" s="31">
        <v>58</v>
      </c>
      <c r="P42" s="31">
        <v>65</v>
      </c>
    </row>
    <row r="43" spans="1:16" x14ac:dyDescent="0.3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  <c r="K43" s="31">
        <v>0.33329999999999999</v>
      </c>
      <c r="L43" s="31">
        <v>0.46</v>
      </c>
      <c r="M43" s="31">
        <v>0.32840000000000003</v>
      </c>
      <c r="N43" s="31">
        <v>10</v>
      </c>
      <c r="O43" s="31">
        <v>43</v>
      </c>
      <c r="P43" s="31">
        <v>53</v>
      </c>
    </row>
    <row r="44" spans="1:16" x14ac:dyDescent="0.3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  <c r="K44" s="31">
        <v>0.28789999999999999</v>
      </c>
      <c r="L44" s="31">
        <v>0.42</v>
      </c>
      <c r="M44" s="31">
        <v>0.44779999999999998</v>
      </c>
      <c r="N44" s="31">
        <v>1</v>
      </c>
      <c r="O44" s="31">
        <v>29</v>
      </c>
      <c r="P44" s="31">
        <v>30</v>
      </c>
    </row>
    <row r="45" spans="1:16" x14ac:dyDescent="0.3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  <c r="K45" s="31">
        <v>0.19989999999999999</v>
      </c>
      <c r="L45" s="31">
        <v>0.39</v>
      </c>
      <c r="M45" s="31">
        <v>0.35820000000000002</v>
      </c>
      <c r="N45" s="31">
        <v>5</v>
      </c>
      <c r="O45" s="31">
        <v>17</v>
      </c>
      <c r="P45" s="31">
        <v>22</v>
      </c>
    </row>
    <row r="46" spans="1:16" x14ac:dyDescent="0.3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  <c r="K46" s="31">
        <v>0.2273</v>
      </c>
      <c r="L46" s="31">
        <v>0.44</v>
      </c>
      <c r="M46" s="31">
        <v>0.32840000000000003</v>
      </c>
      <c r="N46" s="31">
        <v>11</v>
      </c>
      <c r="O46" s="31">
        <v>20</v>
      </c>
      <c r="P46" s="31">
        <v>31</v>
      </c>
    </row>
    <row r="47" spans="1:16" x14ac:dyDescent="0.3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  <c r="K47" s="31">
        <v>0.21210000000000001</v>
      </c>
      <c r="L47" s="31">
        <v>0.44</v>
      </c>
      <c r="M47" s="31">
        <v>0.29849999999999999</v>
      </c>
      <c r="N47" s="31">
        <v>0</v>
      </c>
      <c r="O47" s="31">
        <v>9</v>
      </c>
      <c r="P47" s="31">
        <v>9</v>
      </c>
    </row>
    <row r="48" spans="1:16" x14ac:dyDescent="0.3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  <c r="K48" s="31">
        <v>0.2273</v>
      </c>
      <c r="L48" s="31">
        <v>0.47</v>
      </c>
      <c r="M48" s="31">
        <v>0.16420000000000001</v>
      </c>
      <c r="N48" s="31">
        <v>0</v>
      </c>
      <c r="O48" s="31">
        <v>8</v>
      </c>
      <c r="P48" s="31">
        <v>8</v>
      </c>
    </row>
    <row r="49" spans="1:16" x14ac:dyDescent="0.3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  <c r="K49" s="31">
        <v>0.19700000000000001</v>
      </c>
      <c r="L49" s="31">
        <v>0.44</v>
      </c>
      <c r="M49" s="31">
        <v>0.35820000000000002</v>
      </c>
      <c r="N49" s="31">
        <v>0</v>
      </c>
      <c r="O49" s="31">
        <v>5</v>
      </c>
      <c r="P49" s="31">
        <v>5</v>
      </c>
    </row>
    <row r="50" spans="1:16" x14ac:dyDescent="0.3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  <c r="K50" s="31">
        <v>0.19989999999999999</v>
      </c>
      <c r="L50" s="31">
        <v>0.44</v>
      </c>
      <c r="M50" s="31">
        <v>0.41789999999999999</v>
      </c>
      <c r="N50" s="31">
        <v>0</v>
      </c>
      <c r="O50" s="31">
        <v>2</v>
      </c>
      <c r="P50" s="31">
        <v>2</v>
      </c>
    </row>
    <row r="51" spans="1:16" x14ac:dyDescent="0.3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  <c r="K51" s="31">
        <v>0.13639999999999999</v>
      </c>
      <c r="L51" s="31">
        <v>0.47</v>
      </c>
      <c r="M51" s="31">
        <v>0.3881</v>
      </c>
      <c r="N51" s="31">
        <v>0</v>
      </c>
      <c r="O51" s="31">
        <v>1</v>
      </c>
      <c r="P51" s="31">
        <v>1</v>
      </c>
    </row>
    <row r="52" spans="1:16" x14ac:dyDescent="0.3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  <c r="K52" s="31">
        <v>0.13639999999999999</v>
      </c>
      <c r="L52" s="31">
        <v>0.47</v>
      </c>
      <c r="M52" s="31">
        <v>0.28360000000000002</v>
      </c>
      <c r="N52" s="31">
        <v>0</v>
      </c>
      <c r="O52" s="31">
        <v>3</v>
      </c>
      <c r="P52" s="31">
        <v>3</v>
      </c>
    </row>
    <row r="53" spans="1:16" x14ac:dyDescent="0.3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  <c r="K53" s="31">
        <v>0.1061</v>
      </c>
      <c r="L53" s="31">
        <v>0.5</v>
      </c>
      <c r="M53" s="31">
        <v>0.3881</v>
      </c>
      <c r="N53" s="31">
        <v>0</v>
      </c>
      <c r="O53" s="31">
        <v>30</v>
      </c>
      <c r="P53" s="31">
        <v>30</v>
      </c>
    </row>
    <row r="54" spans="1:16" x14ac:dyDescent="0.3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  <c r="K54" s="31">
        <v>0.13639999999999999</v>
      </c>
      <c r="L54" s="31">
        <v>0.5</v>
      </c>
      <c r="M54" s="31">
        <v>0.19400000000000001</v>
      </c>
      <c r="N54" s="31">
        <v>1</v>
      </c>
      <c r="O54" s="31">
        <v>63</v>
      </c>
      <c r="P54" s="31">
        <v>64</v>
      </c>
    </row>
    <row r="55" spans="1:16" x14ac:dyDescent="0.3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  <c r="K55" s="31">
        <v>0.1212</v>
      </c>
      <c r="L55" s="31">
        <v>0.5</v>
      </c>
      <c r="M55" s="31">
        <v>0.28360000000000002</v>
      </c>
      <c r="N55" s="31">
        <v>1</v>
      </c>
      <c r="O55" s="31">
        <v>153</v>
      </c>
      <c r="P55" s="31">
        <v>154</v>
      </c>
    </row>
    <row r="56" spans="1:16" x14ac:dyDescent="0.3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  <c r="K56" s="31">
        <v>0.13639999999999999</v>
      </c>
      <c r="L56" s="31">
        <v>0.43</v>
      </c>
      <c r="M56" s="31">
        <v>0.3881</v>
      </c>
      <c r="N56" s="31">
        <v>7</v>
      </c>
      <c r="O56" s="31">
        <v>81</v>
      </c>
      <c r="P56" s="31">
        <v>88</v>
      </c>
    </row>
    <row r="57" spans="1:16" x14ac:dyDescent="0.3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  <c r="K57" s="31">
        <v>0.16669999999999999</v>
      </c>
      <c r="L57" s="31">
        <v>0.43</v>
      </c>
      <c r="M57" s="31">
        <v>0.25369999999999998</v>
      </c>
      <c r="N57" s="31">
        <v>11</v>
      </c>
      <c r="O57" s="31">
        <v>33</v>
      </c>
      <c r="P57" s="31">
        <v>44</v>
      </c>
    </row>
    <row r="58" spans="1:16" x14ac:dyDescent="0.3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  <c r="K58" s="31">
        <v>0.18179999999999999</v>
      </c>
      <c r="L58" s="31">
        <v>0.4</v>
      </c>
      <c r="M58" s="31">
        <v>0.32840000000000003</v>
      </c>
      <c r="N58" s="31">
        <v>10</v>
      </c>
      <c r="O58" s="31">
        <v>41</v>
      </c>
      <c r="P58" s="31">
        <v>51</v>
      </c>
    </row>
    <row r="59" spans="1:16" x14ac:dyDescent="0.3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  <c r="K59" s="31">
        <v>0.21210000000000001</v>
      </c>
      <c r="L59" s="31">
        <v>0.35</v>
      </c>
      <c r="M59" s="31">
        <v>0.29849999999999999</v>
      </c>
      <c r="N59" s="31">
        <v>13</v>
      </c>
      <c r="O59" s="31">
        <v>48</v>
      </c>
      <c r="P59" s="31">
        <v>61</v>
      </c>
    </row>
    <row r="60" spans="1:16" x14ac:dyDescent="0.3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  <c r="K60" s="31">
        <v>0.19989999999999999</v>
      </c>
      <c r="L60" s="31">
        <v>0.35</v>
      </c>
      <c r="M60" s="31">
        <v>0.28360000000000002</v>
      </c>
      <c r="N60" s="31">
        <v>8</v>
      </c>
      <c r="O60" s="31">
        <v>53</v>
      </c>
      <c r="P60" s="31">
        <v>61</v>
      </c>
    </row>
    <row r="61" spans="1:16" x14ac:dyDescent="0.3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  <c r="K61" s="31">
        <v>0.2424</v>
      </c>
      <c r="L61" s="31">
        <v>0.3</v>
      </c>
      <c r="M61" s="31">
        <v>0.28360000000000002</v>
      </c>
      <c r="N61" s="31">
        <v>11</v>
      </c>
      <c r="O61" s="31">
        <v>66</v>
      </c>
      <c r="P61" s="31">
        <v>77</v>
      </c>
    </row>
    <row r="62" spans="1:16" x14ac:dyDescent="0.3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  <c r="K62" s="31">
        <v>0.2424</v>
      </c>
      <c r="L62" s="31">
        <v>0.3</v>
      </c>
      <c r="M62" s="31">
        <v>0.25369999999999998</v>
      </c>
      <c r="N62" s="31">
        <v>14</v>
      </c>
      <c r="O62" s="31">
        <v>58</v>
      </c>
      <c r="P62" s="31">
        <v>72</v>
      </c>
    </row>
    <row r="63" spans="1:16" x14ac:dyDescent="0.3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  <c r="K63" s="31">
        <v>0.2424</v>
      </c>
      <c r="L63" s="31">
        <v>0.3</v>
      </c>
      <c r="M63" s="31">
        <v>0.25369999999999998</v>
      </c>
      <c r="N63" s="31">
        <v>9</v>
      </c>
      <c r="O63" s="31">
        <v>67</v>
      </c>
      <c r="P63" s="31">
        <v>76</v>
      </c>
    </row>
    <row r="64" spans="1:16" x14ac:dyDescent="0.3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  <c r="K64" s="31">
        <v>0.2273</v>
      </c>
      <c r="L64" s="31">
        <v>0.3</v>
      </c>
      <c r="M64" s="31">
        <v>0.22389999999999999</v>
      </c>
      <c r="N64" s="31">
        <v>11</v>
      </c>
      <c r="O64" s="31">
        <v>146</v>
      </c>
      <c r="P64" s="31">
        <v>157</v>
      </c>
    </row>
    <row r="65" spans="1:16" x14ac:dyDescent="0.3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  <c r="K65" s="31">
        <v>0.2576</v>
      </c>
      <c r="L65" s="31">
        <v>0.32</v>
      </c>
      <c r="M65" s="31">
        <v>0.1045</v>
      </c>
      <c r="N65" s="31">
        <v>9</v>
      </c>
      <c r="O65" s="31">
        <v>148</v>
      </c>
      <c r="P65" s="31">
        <v>157</v>
      </c>
    </row>
    <row r="66" spans="1:16" x14ac:dyDescent="0.3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  <c r="K66" s="31">
        <v>0.2576</v>
      </c>
      <c r="L66" s="31">
        <v>0.47</v>
      </c>
      <c r="M66" s="31">
        <v>0</v>
      </c>
      <c r="N66" s="31">
        <v>8</v>
      </c>
      <c r="O66" s="31">
        <v>102</v>
      </c>
      <c r="P66" s="31">
        <v>110</v>
      </c>
    </row>
    <row r="67" spans="1:16" x14ac:dyDescent="0.3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  <c r="K67" s="31">
        <v>0.19989999999999999</v>
      </c>
      <c r="L67" s="31">
        <v>0.47</v>
      </c>
      <c r="M67" s="31">
        <v>0.1045</v>
      </c>
      <c r="N67" s="31">
        <v>3</v>
      </c>
      <c r="O67" s="31">
        <v>49</v>
      </c>
      <c r="P67" s="31">
        <v>52</v>
      </c>
    </row>
    <row r="68" spans="1:16" x14ac:dyDescent="0.3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  <c r="K68" s="31">
        <v>0.19700000000000001</v>
      </c>
      <c r="L68" s="31">
        <v>0.64</v>
      </c>
      <c r="M68" s="31">
        <v>0.1343</v>
      </c>
      <c r="N68" s="31">
        <v>3</v>
      </c>
      <c r="O68" s="31">
        <v>49</v>
      </c>
      <c r="P68" s="31">
        <v>52</v>
      </c>
    </row>
    <row r="69" spans="1:16" x14ac:dyDescent="0.3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  <c r="K69" s="31">
        <v>0.1515</v>
      </c>
      <c r="L69" s="31">
        <v>0.69</v>
      </c>
      <c r="M69" s="31">
        <v>0.1343</v>
      </c>
      <c r="N69" s="31">
        <v>0</v>
      </c>
      <c r="O69" s="31">
        <v>20</v>
      </c>
      <c r="P69" s="31">
        <v>20</v>
      </c>
    </row>
    <row r="70" spans="1:16" x14ac:dyDescent="0.3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  <c r="K70" s="31">
        <v>0.21210000000000001</v>
      </c>
      <c r="L70" s="31">
        <v>0.55000000000000004</v>
      </c>
      <c r="M70" s="31">
        <v>0.1045</v>
      </c>
      <c r="N70" s="31">
        <v>1</v>
      </c>
      <c r="O70" s="31">
        <v>11</v>
      </c>
      <c r="P70" s="31">
        <v>12</v>
      </c>
    </row>
    <row r="71" spans="1:16" x14ac:dyDescent="0.3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  <c r="K71" s="31">
        <v>0.19989999999999999</v>
      </c>
      <c r="L71" s="31">
        <v>0.55000000000000004</v>
      </c>
      <c r="M71" s="31">
        <v>0.1045</v>
      </c>
      <c r="N71" s="31">
        <v>0</v>
      </c>
      <c r="O71" s="31">
        <v>5</v>
      </c>
      <c r="P71" s="31">
        <v>5</v>
      </c>
    </row>
    <row r="72" spans="1:16" x14ac:dyDescent="0.3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  <c r="K72" s="31">
        <v>0.18179999999999999</v>
      </c>
      <c r="L72" s="31">
        <v>0.59</v>
      </c>
      <c r="M72" s="31">
        <v>0.1045</v>
      </c>
      <c r="N72" s="31">
        <v>0</v>
      </c>
      <c r="O72" s="31">
        <v>2</v>
      </c>
      <c r="P72" s="31">
        <v>2</v>
      </c>
    </row>
    <row r="73" spans="1:16" x14ac:dyDescent="0.3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  <c r="K73" s="31">
        <v>0.1515</v>
      </c>
      <c r="L73" s="31">
        <v>0.63</v>
      </c>
      <c r="M73" s="31">
        <v>0.1343</v>
      </c>
      <c r="N73" s="31">
        <v>0</v>
      </c>
      <c r="O73" s="31">
        <v>1</v>
      </c>
      <c r="P73" s="31">
        <v>1</v>
      </c>
    </row>
    <row r="74" spans="1:16" x14ac:dyDescent="0.3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  <c r="K74" s="31">
        <v>0.18179999999999999</v>
      </c>
      <c r="L74" s="31">
        <v>0.63</v>
      </c>
      <c r="M74" s="31">
        <v>8.9599999999999999E-2</v>
      </c>
      <c r="N74" s="31">
        <v>0</v>
      </c>
      <c r="O74" s="31">
        <v>2</v>
      </c>
      <c r="P74" s="31">
        <v>2</v>
      </c>
    </row>
    <row r="75" spans="1:16" x14ac:dyDescent="0.3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  <c r="K75" s="31">
        <v>0.1515</v>
      </c>
      <c r="L75" s="31">
        <v>0.68</v>
      </c>
      <c r="M75" s="31">
        <v>0.1045</v>
      </c>
      <c r="N75" s="31">
        <v>0</v>
      </c>
      <c r="O75" s="31">
        <v>4</v>
      </c>
      <c r="P75" s="31">
        <v>4</v>
      </c>
    </row>
    <row r="76" spans="1:16" x14ac:dyDescent="0.3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  <c r="K76" s="31">
        <v>0.1515</v>
      </c>
      <c r="L76" s="31">
        <v>0.74</v>
      </c>
      <c r="M76" s="31">
        <v>0.1045</v>
      </c>
      <c r="N76" s="31">
        <v>0</v>
      </c>
      <c r="O76" s="31">
        <v>36</v>
      </c>
      <c r="P76" s="31">
        <v>36</v>
      </c>
    </row>
    <row r="77" spans="1:16" x14ac:dyDescent="0.3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  <c r="K77" s="31">
        <v>0.1515</v>
      </c>
      <c r="L77" s="31">
        <v>0.74</v>
      </c>
      <c r="M77" s="31">
        <v>0.1343</v>
      </c>
      <c r="N77" s="31">
        <v>2</v>
      </c>
      <c r="O77" s="31">
        <v>92</v>
      </c>
      <c r="P77" s="31">
        <v>94</v>
      </c>
    </row>
    <row r="78" spans="1:16" x14ac:dyDescent="0.3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  <c r="K78" s="31">
        <v>0.1515</v>
      </c>
      <c r="L78" s="31">
        <v>0.69</v>
      </c>
      <c r="M78" s="31">
        <v>0.16420000000000001</v>
      </c>
      <c r="N78" s="31">
        <v>2</v>
      </c>
      <c r="O78" s="31">
        <v>177</v>
      </c>
      <c r="P78" s="31">
        <v>179</v>
      </c>
    </row>
    <row r="79" spans="1:16" x14ac:dyDescent="0.3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  <c r="K79" s="31">
        <v>0.1515</v>
      </c>
      <c r="L79" s="31">
        <v>0.64</v>
      </c>
      <c r="M79" s="31">
        <v>0.22389999999999999</v>
      </c>
      <c r="N79" s="31">
        <v>2</v>
      </c>
      <c r="O79" s="31">
        <v>98</v>
      </c>
      <c r="P79" s="31">
        <v>100</v>
      </c>
    </row>
    <row r="80" spans="1:16" x14ac:dyDescent="0.3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31">
        <v>0.13639999999999999</v>
      </c>
      <c r="L80" s="31">
        <v>0.69</v>
      </c>
      <c r="M80" s="31">
        <v>0.32840000000000003</v>
      </c>
      <c r="N80" s="31">
        <v>5</v>
      </c>
      <c r="O80" s="31">
        <v>37</v>
      </c>
      <c r="P80" s="31">
        <v>42</v>
      </c>
    </row>
    <row r="81" spans="1:16" x14ac:dyDescent="0.3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  <c r="K81" s="31">
        <v>0.21210000000000001</v>
      </c>
      <c r="L81" s="31">
        <v>0.51</v>
      </c>
      <c r="M81" s="31">
        <v>0.29849999999999999</v>
      </c>
      <c r="N81" s="31">
        <v>7</v>
      </c>
      <c r="O81" s="31">
        <v>50</v>
      </c>
      <c r="P81" s="31">
        <v>57</v>
      </c>
    </row>
    <row r="82" spans="1:16" x14ac:dyDescent="0.3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  <c r="K82" s="31">
        <v>0.2273</v>
      </c>
      <c r="L82" s="31">
        <v>0.51</v>
      </c>
      <c r="M82" s="31">
        <v>0.16420000000000001</v>
      </c>
      <c r="N82" s="31">
        <v>12</v>
      </c>
      <c r="O82" s="31">
        <v>66</v>
      </c>
      <c r="P82" s="31">
        <v>78</v>
      </c>
    </row>
    <row r="83" spans="1:16" x14ac:dyDescent="0.3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  <c r="K83" s="31">
        <v>0.2273</v>
      </c>
      <c r="L83" s="31">
        <v>0.56000000000000005</v>
      </c>
      <c r="M83" s="31">
        <v>0.19400000000000001</v>
      </c>
      <c r="N83" s="31">
        <v>18</v>
      </c>
      <c r="O83" s="31">
        <v>79</v>
      </c>
      <c r="P83" s="31">
        <v>97</v>
      </c>
    </row>
    <row r="84" spans="1:16" x14ac:dyDescent="0.3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  <c r="K84" s="31">
        <v>0.2576</v>
      </c>
      <c r="L84" s="31">
        <v>0.52</v>
      </c>
      <c r="M84" s="31">
        <v>0.22389999999999999</v>
      </c>
      <c r="N84" s="31">
        <v>9</v>
      </c>
      <c r="O84" s="31">
        <v>54</v>
      </c>
      <c r="P84" s="31">
        <v>63</v>
      </c>
    </row>
    <row r="85" spans="1:16" x14ac:dyDescent="0.3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  <c r="K85" s="31">
        <v>0.2727</v>
      </c>
      <c r="L85" s="31">
        <v>0.52</v>
      </c>
      <c r="M85" s="31">
        <v>0.25369999999999998</v>
      </c>
      <c r="N85" s="31">
        <v>17</v>
      </c>
      <c r="O85" s="31">
        <v>48</v>
      </c>
      <c r="P85" s="31">
        <v>65</v>
      </c>
    </row>
    <row r="86" spans="1:16" x14ac:dyDescent="0.3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  <c r="K86" s="31">
        <v>0.28789999999999999</v>
      </c>
      <c r="L86" s="31">
        <v>0.49</v>
      </c>
      <c r="M86" s="31">
        <v>0.25369999999999998</v>
      </c>
      <c r="N86" s="31">
        <v>15</v>
      </c>
      <c r="O86" s="31">
        <v>68</v>
      </c>
      <c r="P86" s="31">
        <v>83</v>
      </c>
    </row>
    <row r="87" spans="1:16" x14ac:dyDescent="0.3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  <c r="K87" s="31">
        <v>0.2727</v>
      </c>
      <c r="L87" s="31">
        <v>0.48</v>
      </c>
      <c r="M87" s="31">
        <v>0.22389999999999999</v>
      </c>
      <c r="N87" s="31">
        <v>10</v>
      </c>
      <c r="O87" s="31">
        <v>202</v>
      </c>
      <c r="P87" s="31">
        <v>212</v>
      </c>
    </row>
    <row r="88" spans="1:16" x14ac:dyDescent="0.3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  <c r="K88" s="31">
        <v>0.2576</v>
      </c>
      <c r="L88" s="31">
        <v>0.48</v>
      </c>
      <c r="M88" s="31">
        <v>0.19400000000000001</v>
      </c>
      <c r="N88" s="31">
        <v>3</v>
      </c>
      <c r="O88" s="31">
        <v>179</v>
      </c>
      <c r="P88" s="31">
        <v>182</v>
      </c>
    </row>
    <row r="89" spans="1:16" x14ac:dyDescent="0.3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  <c r="K89" s="31">
        <v>0.2576</v>
      </c>
      <c r="L89" s="31">
        <v>0.48</v>
      </c>
      <c r="M89" s="31">
        <v>0.1045</v>
      </c>
      <c r="N89" s="31">
        <v>2</v>
      </c>
      <c r="O89" s="31">
        <v>110</v>
      </c>
      <c r="P89" s="31">
        <v>112</v>
      </c>
    </row>
    <row r="90" spans="1:16" x14ac:dyDescent="0.3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  <c r="K90" s="31">
        <v>0.2576</v>
      </c>
      <c r="L90" s="31">
        <v>0.48</v>
      </c>
      <c r="M90" s="31">
        <v>0.1045</v>
      </c>
      <c r="N90" s="31">
        <v>1</v>
      </c>
      <c r="O90" s="31">
        <v>53</v>
      </c>
      <c r="P90" s="31">
        <v>54</v>
      </c>
    </row>
    <row r="91" spans="1:16" x14ac:dyDescent="0.3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  <c r="K91" s="31">
        <v>0.2727</v>
      </c>
      <c r="L91" s="31">
        <v>0.64</v>
      </c>
      <c r="M91" s="31">
        <v>0</v>
      </c>
      <c r="N91" s="31">
        <v>0</v>
      </c>
      <c r="O91" s="31">
        <v>48</v>
      </c>
      <c r="P91" s="31">
        <v>48</v>
      </c>
    </row>
    <row r="92" spans="1:16" x14ac:dyDescent="0.3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  <c r="K92" s="31">
        <v>0.2576</v>
      </c>
      <c r="L92" s="31">
        <v>0.64</v>
      </c>
      <c r="M92" s="31">
        <v>8.9599999999999999E-2</v>
      </c>
      <c r="N92" s="31">
        <v>1</v>
      </c>
      <c r="O92" s="31">
        <v>34</v>
      </c>
      <c r="P92" s="31">
        <v>35</v>
      </c>
    </row>
    <row r="93" spans="1:16" x14ac:dyDescent="0.3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  <c r="K93" s="31">
        <v>0.2273</v>
      </c>
      <c r="L93" s="31">
        <v>0.69</v>
      </c>
      <c r="M93" s="31">
        <v>8.9599999999999999E-2</v>
      </c>
      <c r="N93" s="31">
        <v>2</v>
      </c>
      <c r="O93" s="31">
        <v>9</v>
      </c>
      <c r="P93" s="31">
        <v>11</v>
      </c>
    </row>
    <row r="94" spans="1:16" x14ac:dyDescent="0.3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  <c r="K94" s="31">
        <v>0.2576</v>
      </c>
      <c r="L94" s="31">
        <v>0.64</v>
      </c>
      <c r="M94" s="31">
        <v>0</v>
      </c>
      <c r="N94" s="31">
        <v>0</v>
      </c>
      <c r="O94" s="31">
        <v>6</v>
      </c>
      <c r="P94" s="31">
        <v>6</v>
      </c>
    </row>
    <row r="95" spans="1:16" x14ac:dyDescent="0.3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  <c r="K95" s="31">
        <v>0.19700000000000001</v>
      </c>
      <c r="L95" s="31">
        <v>0.74</v>
      </c>
      <c r="M95" s="31">
        <v>8.9599999999999999E-2</v>
      </c>
      <c r="N95" s="31">
        <v>0</v>
      </c>
      <c r="O95" s="31">
        <v>6</v>
      </c>
      <c r="P95" s="31">
        <v>6</v>
      </c>
    </row>
    <row r="96" spans="1:16" x14ac:dyDescent="0.3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  <c r="K96" s="31">
        <v>0.19700000000000001</v>
      </c>
      <c r="L96" s="31">
        <v>0.74</v>
      </c>
      <c r="M96" s="31">
        <v>8.9599999999999999E-2</v>
      </c>
      <c r="N96" s="31">
        <v>0</v>
      </c>
      <c r="O96" s="31">
        <v>2</v>
      </c>
      <c r="P96" s="31">
        <v>2</v>
      </c>
    </row>
    <row r="97" spans="1:16" x14ac:dyDescent="0.3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  <c r="K97" s="31">
        <v>0.2273</v>
      </c>
      <c r="L97" s="31">
        <v>0.48</v>
      </c>
      <c r="M97" s="31">
        <v>0.22389999999999999</v>
      </c>
      <c r="N97" s="31">
        <v>0</v>
      </c>
      <c r="O97" s="31">
        <v>2</v>
      </c>
      <c r="P97" s="31">
        <v>2</v>
      </c>
    </row>
    <row r="98" spans="1:16" x14ac:dyDescent="0.3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  <c r="K98" s="31">
        <v>0.2273</v>
      </c>
      <c r="L98" s="31">
        <v>0.47</v>
      </c>
      <c r="M98" s="31">
        <v>0.16420000000000001</v>
      </c>
      <c r="N98" s="31">
        <v>0</v>
      </c>
      <c r="O98" s="31">
        <v>3</v>
      </c>
      <c r="P98" s="31">
        <v>3</v>
      </c>
    </row>
    <row r="99" spans="1:16" x14ac:dyDescent="0.3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  <c r="K99" s="31">
        <v>0.19700000000000001</v>
      </c>
      <c r="L99" s="31">
        <v>0.47</v>
      </c>
      <c r="M99" s="31">
        <v>0.22389999999999999</v>
      </c>
      <c r="N99" s="31">
        <v>0</v>
      </c>
      <c r="O99" s="31">
        <v>33</v>
      </c>
      <c r="P99" s="31">
        <v>33</v>
      </c>
    </row>
    <row r="100" spans="1:16" x14ac:dyDescent="0.3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  <c r="K100" s="31">
        <v>0.18179999999999999</v>
      </c>
      <c r="L100" s="31">
        <v>0.43</v>
      </c>
      <c r="M100" s="31">
        <v>0.19400000000000001</v>
      </c>
      <c r="N100" s="31">
        <v>1</v>
      </c>
      <c r="O100" s="31">
        <v>87</v>
      </c>
      <c r="P100" s="31">
        <v>88</v>
      </c>
    </row>
    <row r="101" spans="1:16" x14ac:dyDescent="0.3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  <c r="K101" s="31">
        <v>0.18179999999999999</v>
      </c>
      <c r="L101" s="31">
        <v>0.4</v>
      </c>
      <c r="M101" s="31">
        <v>0.29849999999999999</v>
      </c>
      <c r="N101" s="31">
        <v>3</v>
      </c>
      <c r="O101" s="31">
        <v>192</v>
      </c>
      <c r="P101" s="31">
        <v>195</v>
      </c>
    </row>
    <row r="102" spans="1:16" x14ac:dyDescent="0.3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  <c r="K102" s="31">
        <v>0.19700000000000001</v>
      </c>
      <c r="L102" s="31">
        <v>0.37</v>
      </c>
      <c r="M102" s="31">
        <v>0.32840000000000003</v>
      </c>
      <c r="N102" s="31">
        <v>6</v>
      </c>
      <c r="O102" s="31">
        <v>109</v>
      </c>
      <c r="P102" s="31">
        <v>115</v>
      </c>
    </row>
    <row r="103" spans="1:16" x14ac:dyDescent="0.3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  <c r="K103" s="31">
        <v>0.19700000000000001</v>
      </c>
      <c r="L103" s="31">
        <v>0.37</v>
      </c>
      <c r="M103" s="31">
        <v>0.32840000000000003</v>
      </c>
      <c r="N103" s="31">
        <v>4</v>
      </c>
      <c r="O103" s="31">
        <v>53</v>
      </c>
      <c r="P103" s="31">
        <v>57</v>
      </c>
    </row>
    <row r="104" spans="1:16" x14ac:dyDescent="0.3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  <c r="K104" s="31">
        <v>0.2273</v>
      </c>
      <c r="L104" s="31">
        <v>0.33</v>
      </c>
      <c r="M104" s="31">
        <v>0.32840000000000003</v>
      </c>
      <c r="N104" s="31">
        <v>12</v>
      </c>
      <c r="O104" s="31">
        <v>34</v>
      </c>
      <c r="P104" s="31">
        <v>46</v>
      </c>
    </row>
    <row r="105" spans="1:16" x14ac:dyDescent="0.3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  <c r="K105" s="31">
        <v>0.2273</v>
      </c>
      <c r="L105" s="31">
        <v>0.33</v>
      </c>
      <c r="M105" s="31">
        <v>0.32840000000000003</v>
      </c>
      <c r="N105" s="31">
        <v>5</v>
      </c>
      <c r="O105" s="31">
        <v>74</v>
      </c>
      <c r="P105" s="31">
        <v>79</v>
      </c>
    </row>
    <row r="106" spans="1:16" x14ac:dyDescent="0.3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  <c r="K106" s="31">
        <v>0.2576</v>
      </c>
      <c r="L106" s="31">
        <v>0.3</v>
      </c>
      <c r="M106" s="31">
        <v>0.29849999999999999</v>
      </c>
      <c r="N106" s="31">
        <v>6</v>
      </c>
      <c r="O106" s="31">
        <v>65</v>
      </c>
      <c r="P106" s="31">
        <v>71</v>
      </c>
    </row>
    <row r="107" spans="1:16" x14ac:dyDescent="0.3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  <c r="K107" s="31">
        <v>0.28789999999999999</v>
      </c>
      <c r="L107" s="31">
        <v>0.28000000000000003</v>
      </c>
      <c r="M107" s="31">
        <v>0.19400000000000001</v>
      </c>
      <c r="N107" s="31">
        <v>10</v>
      </c>
      <c r="O107" s="31">
        <v>52</v>
      </c>
      <c r="P107" s="31">
        <v>62</v>
      </c>
    </row>
    <row r="108" spans="1:16" x14ac:dyDescent="0.3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  <c r="K108" s="31">
        <v>0.28789999999999999</v>
      </c>
      <c r="L108" s="31">
        <v>0.28000000000000003</v>
      </c>
      <c r="M108" s="31">
        <v>0.19400000000000001</v>
      </c>
      <c r="N108" s="31">
        <v>7</v>
      </c>
      <c r="O108" s="31">
        <v>55</v>
      </c>
      <c r="P108" s="31">
        <v>62</v>
      </c>
    </row>
    <row r="109" spans="1:16" x14ac:dyDescent="0.3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  <c r="K109" s="31">
        <v>0.31819999999999998</v>
      </c>
      <c r="L109" s="31">
        <v>0.28000000000000003</v>
      </c>
      <c r="M109" s="31">
        <v>8.9599999999999999E-2</v>
      </c>
      <c r="N109" s="31">
        <v>4</v>
      </c>
      <c r="O109" s="31">
        <v>85</v>
      </c>
      <c r="P109" s="31">
        <v>89</v>
      </c>
    </row>
    <row r="110" spans="1:16" x14ac:dyDescent="0.3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  <c r="K110" s="31">
        <v>0.2273</v>
      </c>
      <c r="L110" s="31">
        <v>0.38</v>
      </c>
      <c r="M110" s="31">
        <v>0.19400000000000001</v>
      </c>
      <c r="N110" s="31">
        <v>4</v>
      </c>
      <c r="O110" s="31">
        <v>186</v>
      </c>
      <c r="P110" s="31">
        <v>190</v>
      </c>
    </row>
    <row r="111" spans="1:16" x14ac:dyDescent="0.3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  <c r="K111" s="31">
        <v>0.2424</v>
      </c>
      <c r="L111" s="31">
        <v>0.38</v>
      </c>
      <c r="M111" s="31">
        <v>0.1343</v>
      </c>
      <c r="N111" s="31">
        <v>3</v>
      </c>
      <c r="O111" s="31">
        <v>166</v>
      </c>
      <c r="P111" s="31">
        <v>169</v>
      </c>
    </row>
    <row r="112" spans="1:16" x14ac:dyDescent="0.3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  <c r="K112" s="31">
        <v>0.2576</v>
      </c>
      <c r="L112" s="31">
        <v>0.38</v>
      </c>
      <c r="M112" s="31">
        <v>0.1045</v>
      </c>
      <c r="N112" s="31">
        <v>5</v>
      </c>
      <c r="O112" s="31">
        <v>127</v>
      </c>
      <c r="P112" s="31">
        <v>132</v>
      </c>
    </row>
    <row r="113" spans="1:16" x14ac:dyDescent="0.3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  <c r="K113" s="31">
        <v>0.2273</v>
      </c>
      <c r="L113" s="31">
        <v>0.47</v>
      </c>
      <c r="M113" s="31">
        <v>0.16420000000000001</v>
      </c>
      <c r="N113" s="31">
        <v>7</v>
      </c>
      <c r="O113" s="31">
        <v>82</v>
      </c>
      <c r="P113" s="31">
        <v>89</v>
      </c>
    </row>
    <row r="114" spans="1:16" x14ac:dyDescent="0.3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  <c r="K114" s="31">
        <v>0.19700000000000001</v>
      </c>
      <c r="L114" s="31">
        <v>0.51</v>
      </c>
      <c r="M114" s="31">
        <v>0.19400000000000001</v>
      </c>
      <c r="N114" s="31">
        <v>3</v>
      </c>
      <c r="O114" s="31">
        <v>40</v>
      </c>
      <c r="P114" s="31">
        <v>43</v>
      </c>
    </row>
    <row r="115" spans="1:16" x14ac:dyDescent="0.3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  <c r="K115" s="31">
        <v>0.19700000000000001</v>
      </c>
      <c r="L115" s="31">
        <v>0.55000000000000004</v>
      </c>
      <c r="M115" s="31">
        <v>0.1343</v>
      </c>
      <c r="N115" s="31">
        <v>1</v>
      </c>
      <c r="O115" s="31">
        <v>41</v>
      </c>
      <c r="P115" s="31">
        <v>42</v>
      </c>
    </row>
    <row r="116" spans="1:16" x14ac:dyDescent="0.3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  <c r="K116" s="31">
        <v>0.2576</v>
      </c>
      <c r="L116" s="31">
        <v>0.47</v>
      </c>
      <c r="M116" s="31">
        <v>0</v>
      </c>
      <c r="N116" s="31">
        <v>1</v>
      </c>
      <c r="O116" s="31">
        <v>18</v>
      </c>
      <c r="P116" s="31">
        <v>19</v>
      </c>
    </row>
    <row r="117" spans="1:16" x14ac:dyDescent="0.3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  <c r="K117" s="31">
        <v>0.2424</v>
      </c>
      <c r="L117" s="31">
        <v>0.55000000000000004</v>
      </c>
      <c r="M117" s="31">
        <v>0</v>
      </c>
      <c r="N117" s="31">
        <v>0</v>
      </c>
      <c r="O117" s="31">
        <v>11</v>
      </c>
      <c r="P117" s="31">
        <v>11</v>
      </c>
    </row>
    <row r="118" spans="1:16" x14ac:dyDescent="0.3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  <c r="K118" s="31">
        <v>0.2273</v>
      </c>
      <c r="L118" s="31">
        <v>0.64</v>
      </c>
      <c r="M118" s="31">
        <v>0</v>
      </c>
      <c r="N118" s="31">
        <v>0</v>
      </c>
      <c r="O118" s="31">
        <v>4</v>
      </c>
      <c r="P118" s="31">
        <v>4</v>
      </c>
    </row>
    <row r="119" spans="1:16" x14ac:dyDescent="0.3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  <c r="K119" s="31">
        <v>0.2273</v>
      </c>
      <c r="L119" s="31">
        <v>0.64</v>
      </c>
      <c r="M119" s="31">
        <v>0</v>
      </c>
      <c r="N119" s="31">
        <v>0</v>
      </c>
      <c r="O119" s="31">
        <v>2</v>
      </c>
      <c r="P119" s="31">
        <v>2</v>
      </c>
    </row>
    <row r="120" spans="1:16" x14ac:dyDescent="0.3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  <c r="K120" s="31">
        <v>0.19700000000000001</v>
      </c>
      <c r="L120" s="31">
        <v>0.64</v>
      </c>
      <c r="M120" s="31">
        <v>8.9599999999999999E-2</v>
      </c>
      <c r="N120" s="31">
        <v>0</v>
      </c>
      <c r="O120" s="31">
        <v>1</v>
      </c>
      <c r="P120" s="31">
        <v>1</v>
      </c>
    </row>
    <row r="121" spans="1:16" x14ac:dyDescent="0.3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  <c r="K121" s="31">
        <v>0.18179999999999999</v>
      </c>
      <c r="L121" s="31">
        <v>0.69</v>
      </c>
      <c r="M121" s="31">
        <v>8.9599999999999999E-2</v>
      </c>
      <c r="N121" s="31">
        <v>0</v>
      </c>
      <c r="O121" s="31">
        <v>4</v>
      </c>
      <c r="P121" s="31">
        <v>4</v>
      </c>
    </row>
    <row r="122" spans="1:16" x14ac:dyDescent="0.3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  <c r="K122" s="31">
        <v>0.16669999999999999</v>
      </c>
      <c r="L122" s="31">
        <v>0.63</v>
      </c>
      <c r="M122" s="31">
        <v>0.1045</v>
      </c>
      <c r="N122" s="31">
        <v>0</v>
      </c>
      <c r="O122" s="31">
        <v>36</v>
      </c>
      <c r="P122" s="31">
        <v>36</v>
      </c>
    </row>
    <row r="123" spans="1:16" x14ac:dyDescent="0.3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  <c r="K123" s="31">
        <v>0.2273</v>
      </c>
      <c r="L123" s="31">
        <v>0.59</v>
      </c>
      <c r="M123" s="31">
        <v>0</v>
      </c>
      <c r="N123" s="31">
        <v>0</v>
      </c>
      <c r="O123" s="31">
        <v>95</v>
      </c>
      <c r="P123" s="31">
        <v>95</v>
      </c>
    </row>
    <row r="124" spans="1:16" x14ac:dyDescent="0.3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  <c r="K124" s="31">
        <v>0.2273</v>
      </c>
      <c r="L124" s="31">
        <v>0.59</v>
      </c>
      <c r="M124" s="31">
        <v>0</v>
      </c>
      <c r="N124" s="31">
        <v>3</v>
      </c>
      <c r="O124" s="31">
        <v>216</v>
      </c>
      <c r="P124" s="31">
        <v>219</v>
      </c>
    </row>
    <row r="125" spans="1:16" x14ac:dyDescent="0.3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  <c r="K125" s="31">
        <v>0.2424</v>
      </c>
      <c r="L125" s="31">
        <v>0.51</v>
      </c>
      <c r="M125" s="31">
        <v>0</v>
      </c>
      <c r="N125" s="31">
        <v>6</v>
      </c>
      <c r="O125" s="31">
        <v>116</v>
      </c>
      <c r="P125" s="31">
        <v>122</v>
      </c>
    </row>
    <row r="126" spans="1:16" x14ac:dyDescent="0.3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  <c r="K126" s="31">
        <v>0.2576</v>
      </c>
      <c r="L126" s="31">
        <v>0.47</v>
      </c>
      <c r="M126" s="31">
        <v>0</v>
      </c>
      <c r="N126" s="31">
        <v>3</v>
      </c>
      <c r="O126" s="31">
        <v>42</v>
      </c>
      <c r="P126" s="31">
        <v>45</v>
      </c>
    </row>
    <row r="127" spans="1:16" x14ac:dyDescent="0.3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  <c r="K127" s="31">
        <v>0.2576</v>
      </c>
      <c r="L127" s="31">
        <v>0.44</v>
      </c>
      <c r="M127" s="31">
        <v>8.9599999999999999E-2</v>
      </c>
      <c r="N127" s="31">
        <v>2</v>
      </c>
      <c r="O127" s="31">
        <v>57</v>
      </c>
      <c r="P127" s="31">
        <v>59</v>
      </c>
    </row>
    <row r="128" spans="1:16" x14ac:dyDescent="0.3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  <c r="K128" s="31">
        <v>0.28789999999999999</v>
      </c>
      <c r="L128" s="31">
        <v>0.35</v>
      </c>
      <c r="M128" s="31">
        <v>0</v>
      </c>
      <c r="N128" s="31">
        <v>6</v>
      </c>
      <c r="O128" s="31">
        <v>78</v>
      </c>
      <c r="P128" s="31">
        <v>84</v>
      </c>
    </row>
    <row r="129" spans="1:16" x14ac:dyDescent="0.3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  <c r="K129" s="31">
        <v>0.2727</v>
      </c>
      <c r="L129" s="31">
        <v>0.35</v>
      </c>
      <c r="M129" s="31">
        <v>0.1045</v>
      </c>
      <c r="N129" s="31">
        <v>12</v>
      </c>
      <c r="O129" s="31">
        <v>55</v>
      </c>
      <c r="P129" s="31">
        <v>67</v>
      </c>
    </row>
    <row r="130" spans="1:16" x14ac:dyDescent="0.3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  <c r="K130" s="31">
        <v>0.2727</v>
      </c>
      <c r="L130" s="31">
        <v>0.36</v>
      </c>
      <c r="M130" s="31">
        <v>0.16420000000000001</v>
      </c>
      <c r="N130" s="31">
        <v>11</v>
      </c>
      <c r="O130" s="31">
        <v>59</v>
      </c>
      <c r="P130" s="31">
        <v>70</v>
      </c>
    </row>
    <row r="131" spans="1:16" x14ac:dyDescent="0.3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  <c r="K131" s="31">
        <v>0.2727</v>
      </c>
      <c r="L131" s="31">
        <v>0.36</v>
      </c>
      <c r="M131" s="31">
        <v>0</v>
      </c>
      <c r="N131" s="31">
        <v>8</v>
      </c>
      <c r="O131" s="31">
        <v>54</v>
      </c>
      <c r="P131" s="31">
        <v>62</v>
      </c>
    </row>
    <row r="132" spans="1:16" x14ac:dyDescent="0.3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  <c r="K132" s="31">
        <v>0.2576</v>
      </c>
      <c r="L132" s="31">
        <v>0.38</v>
      </c>
      <c r="M132" s="31">
        <v>0.16420000000000001</v>
      </c>
      <c r="N132" s="31">
        <v>12</v>
      </c>
      <c r="O132" s="31">
        <v>74</v>
      </c>
      <c r="P132" s="31">
        <v>86</v>
      </c>
    </row>
    <row r="133" spans="1:16" x14ac:dyDescent="0.3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  <c r="K133" s="31">
        <v>0.2273</v>
      </c>
      <c r="L133" s="31">
        <v>0.51</v>
      </c>
      <c r="M133" s="31">
        <v>0.16420000000000001</v>
      </c>
      <c r="N133" s="31">
        <v>9</v>
      </c>
      <c r="O133" s="31">
        <v>163</v>
      </c>
      <c r="P133" s="31">
        <v>172</v>
      </c>
    </row>
    <row r="134" spans="1:16" x14ac:dyDescent="0.3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  <c r="K134" s="31">
        <v>0.2273</v>
      </c>
      <c r="L134" s="31">
        <v>0.51</v>
      </c>
      <c r="M134" s="31">
        <v>0.1343</v>
      </c>
      <c r="N134" s="31">
        <v>5</v>
      </c>
      <c r="O134" s="31">
        <v>158</v>
      </c>
      <c r="P134" s="31">
        <v>163</v>
      </c>
    </row>
    <row r="135" spans="1:16" x14ac:dyDescent="0.3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  <c r="K135" s="31">
        <v>0.2576</v>
      </c>
      <c r="L135" s="31">
        <v>0.55000000000000004</v>
      </c>
      <c r="M135" s="31">
        <v>8.9599999999999999E-2</v>
      </c>
      <c r="N135" s="31">
        <v>3</v>
      </c>
      <c r="O135" s="31">
        <v>109</v>
      </c>
      <c r="P135" s="31">
        <v>112</v>
      </c>
    </row>
    <row r="136" spans="1:16" x14ac:dyDescent="0.3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  <c r="K136" s="31">
        <v>0.21210000000000001</v>
      </c>
      <c r="L136" s="31">
        <v>0.51</v>
      </c>
      <c r="M136" s="31">
        <v>0.16420000000000001</v>
      </c>
      <c r="N136" s="31">
        <v>3</v>
      </c>
      <c r="O136" s="31">
        <v>66</v>
      </c>
      <c r="P136" s="31">
        <v>69</v>
      </c>
    </row>
    <row r="137" spans="1:16" x14ac:dyDescent="0.3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  <c r="K137" s="31">
        <v>0.21210000000000001</v>
      </c>
      <c r="L137" s="31">
        <v>0.55000000000000004</v>
      </c>
      <c r="M137" s="31">
        <v>0.22389999999999999</v>
      </c>
      <c r="N137" s="31">
        <v>0</v>
      </c>
      <c r="O137" s="31">
        <v>48</v>
      </c>
      <c r="P137" s="31">
        <v>48</v>
      </c>
    </row>
    <row r="138" spans="1:16" x14ac:dyDescent="0.3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  <c r="K138" s="31">
        <v>0.21210000000000001</v>
      </c>
      <c r="L138" s="31">
        <v>0.51</v>
      </c>
      <c r="M138" s="31">
        <v>0.28360000000000002</v>
      </c>
      <c r="N138" s="31">
        <v>1</v>
      </c>
      <c r="O138" s="31">
        <v>51</v>
      </c>
      <c r="P138" s="31">
        <v>52</v>
      </c>
    </row>
    <row r="139" spans="1:16" x14ac:dyDescent="0.3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  <c r="K139" s="31">
        <v>0.19700000000000001</v>
      </c>
      <c r="L139" s="31">
        <v>0.59</v>
      </c>
      <c r="M139" s="31">
        <v>0.19400000000000001</v>
      </c>
      <c r="N139" s="31">
        <v>4</v>
      </c>
      <c r="O139" s="31">
        <v>19</v>
      </c>
      <c r="P139" s="31">
        <v>23</v>
      </c>
    </row>
    <row r="140" spans="1:16" x14ac:dyDescent="0.3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  <c r="K140" s="31">
        <v>0.19700000000000001</v>
      </c>
      <c r="L140" s="31">
        <v>0.64</v>
      </c>
      <c r="M140" s="31">
        <v>0.19400000000000001</v>
      </c>
      <c r="N140" s="31">
        <v>4</v>
      </c>
      <c r="O140" s="31">
        <v>13</v>
      </c>
      <c r="P140" s="31">
        <v>17</v>
      </c>
    </row>
    <row r="141" spans="1:16" x14ac:dyDescent="0.3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  <c r="K141" s="31">
        <v>0.19700000000000001</v>
      </c>
      <c r="L141" s="31">
        <v>0.69</v>
      </c>
      <c r="M141" s="31">
        <v>0.22389999999999999</v>
      </c>
      <c r="N141" s="31">
        <v>2</v>
      </c>
      <c r="O141" s="31">
        <v>5</v>
      </c>
      <c r="P141" s="31">
        <v>7</v>
      </c>
    </row>
    <row r="142" spans="1:16" x14ac:dyDescent="0.3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  <c r="K142" s="31">
        <v>0.19700000000000001</v>
      </c>
      <c r="L142" s="31">
        <v>0.69</v>
      </c>
      <c r="M142" s="31">
        <v>0.22389999999999999</v>
      </c>
      <c r="N142" s="31">
        <v>0</v>
      </c>
      <c r="O142" s="31">
        <v>1</v>
      </c>
      <c r="P142" s="31">
        <v>1</v>
      </c>
    </row>
    <row r="143" spans="1:16" x14ac:dyDescent="0.3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  <c r="K143" s="31">
        <v>0.21210000000000001</v>
      </c>
      <c r="L143" s="31">
        <v>0.69</v>
      </c>
      <c r="M143" s="31">
        <v>0.1343</v>
      </c>
      <c r="N143" s="31">
        <v>0</v>
      </c>
      <c r="O143" s="31">
        <v>1</v>
      </c>
      <c r="P143" s="31">
        <v>1</v>
      </c>
    </row>
    <row r="144" spans="1:16" x14ac:dyDescent="0.3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  <c r="K144" s="31">
        <v>0.2727</v>
      </c>
      <c r="L144" s="31">
        <v>0.55000000000000004</v>
      </c>
      <c r="M144" s="31">
        <v>0</v>
      </c>
      <c r="N144" s="31">
        <v>0</v>
      </c>
      <c r="O144" s="31">
        <v>5</v>
      </c>
      <c r="P144" s="31">
        <v>5</v>
      </c>
    </row>
    <row r="145" spans="1:16" x14ac:dyDescent="0.3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  <c r="K145" s="31">
        <v>0.2576</v>
      </c>
      <c r="L145" s="31">
        <v>0.69</v>
      </c>
      <c r="M145" s="31">
        <v>0</v>
      </c>
      <c r="N145" s="31">
        <v>8</v>
      </c>
      <c r="O145" s="31">
        <v>26</v>
      </c>
      <c r="P145" s="31">
        <v>34</v>
      </c>
    </row>
    <row r="146" spans="1:16" x14ac:dyDescent="0.3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  <c r="K146" s="31">
        <v>0.21210000000000001</v>
      </c>
      <c r="L146" s="31">
        <v>0.69</v>
      </c>
      <c r="M146" s="31">
        <v>0.1343</v>
      </c>
      <c r="N146" s="31">
        <v>8</v>
      </c>
      <c r="O146" s="31">
        <v>76</v>
      </c>
      <c r="P146" s="31">
        <v>84</v>
      </c>
    </row>
    <row r="147" spans="1:16" x14ac:dyDescent="0.3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  <c r="K147" s="31">
        <v>0.19700000000000001</v>
      </c>
      <c r="L147" s="31">
        <v>0.51</v>
      </c>
      <c r="M147" s="31">
        <v>0.25369999999999998</v>
      </c>
      <c r="N147" s="31">
        <v>20</v>
      </c>
      <c r="O147" s="31">
        <v>190</v>
      </c>
      <c r="P147" s="31">
        <v>210</v>
      </c>
    </row>
    <row r="148" spans="1:16" x14ac:dyDescent="0.3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  <c r="K148" s="31">
        <v>0.18179999999999999</v>
      </c>
      <c r="L148" s="31">
        <v>0.47</v>
      </c>
      <c r="M148" s="31">
        <v>0.29849999999999999</v>
      </c>
      <c r="N148" s="31">
        <v>9</v>
      </c>
      <c r="O148" s="31">
        <v>125</v>
      </c>
      <c r="P148" s="31">
        <v>134</v>
      </c>
    </row>
    <row r="149" spans="1:16" x14ac:dyDescent="0.3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  <c r="K149" s="31">
        <v>0.19700000000000001</v>
      </c>
      <c r="L149" s="31">
        <v>0.37</v>
      </c>
      <c r="M149" s="31">
        <v>0.32840000000000003</v>
      </c>
      <c r="N149" s="31">
        <v>16</v>
      </c>
      <c r="O149" s="31">
        <v>47</v>
      </c>
      <c r="P149" s="31">
        <v>63</v>
      </c>
    </row>
    <row r="150" spans="1:16" x14ac:dyDescent="0.3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  <c r="K150" s="31">
        <v>0.19700000000000001</v>
      </c>
      <c r="L150" s="31">
        <v>0.4</v>
      </c>
      <c r="M150" s="31">
        <v>0.22389999999999999</v>
      </c>
      <c r="N150" s="31">
        <v>19</v>
      </c>
      <c r="O150" s="31">
        <v>48</v>
      </c>
      <c r="P150" s="31">
        <v>67</v>
      </c>
    </row>
    <row r="151" spans="1:16" x14ac:dyDescent="0.3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  <c r="K151" s="31">
        <v>0.19700000000000001</v>
      </c>
      <c r="L151" s="31">
        <v>0.37</v>
      </c>
      <c r="M151" s="31">
        <v>0.25369999999999998</v>
      </c>
      <c r="N151" s="31">
        <v>9</v>
      </c>
      <c r="O151" s="31">
        <v>50</v>
      </c>
      <c r="P151" s="31">
        <v>59</v>
      </c>
    </row>
    <row r="152" spans="1:16" x14ac:dyDescent="0.3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  <c r="K152" s="31">
        <v>0.18179999999999999</v>
      </c>
      <c r="L152" s="31">
        <v>0.37</v>
      </c>
      <c r="M152" s="31">
        <v>0.28360000000000002</v>
      </c>
      <c r="N152" s="31">
        <v>9</v>
      </c>
      <c r="O152" s="31">
        <v>64</v>
      </c>
      <c r="P152" s="31">
        <v>73</v>
      </c>
    </row>
    <row r="153" spans="1:16" x14ac:dyDescent="0.3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  <c r="K153" s="31">
        <v>0.19700000000000001</v>
      </c>
      <c r="L153" s="31">
        <v>0.4</v>
      </c>
      <c r="M153" s="31">
        <v>0.25369999999999998</v>
      </c>
      <c r="N153" s="31">
        <v>7</v>
      </c>
      <c r="O153" s="31">
        <v>43</v>
      </c>
      <c r="P153" s="31">
        <v>50</v>
      </c>
    </row>
    <row r="154" spans="1:16" x14ac:dyDescent="0.3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  <c r="K154" s="31">
        <v>0.21210000000000001</v>
      </c>
      <c r="L154" s="31">
        <v>0.37</v>
      </c>
      <c r="M154" s="31">
        <v>0.16420000000000001</v>
      </c>
      <c r="N154" s="31">
        <v>9</v>
      </c>
      <c r="O154" s="31">
        <v>63</v>
      </c>
      <c r="P154" s="31">
        <v>72</v>
      </c>
    </row>
    <row r="155" spans="1:16" x14ac:dyDescent="0.3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  <c r="K155" s="31">
        <v>0.21210000000000001</v>
      </c>
      <c r="L155" s="31">
        <v>0.37</v>
      </c>
      <c r="M155" s="31">
        <v>0.16420000000000001</v>
      </c>
      <c r="N155" s="31">
        <v>5</v>
      </c>
      <c r="O155" s="31">
        <v>82</v>
      </c>
      <c r="P155" s="31">
        <v>87</v>
      </c>
    </row>
    <row r="156" spans="1:16" x14ac:dyDescent="0.3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  <c r="K156" s="31">
        <v>0.2576</v>
      </c>
      <c r="L156" s="31">
        <v>0.37</v>
      </c>
      <c r="M156" s="31">
        <v>0</v>
      </c>
      <c r="N156" s="31">
        <v>9</v>
      </c>
      <c r="O156" s="31">
        <v>178</v>
      </c>
      <c r="P156" s="31">
        <v>187</v>
      </c>
    </row>
    <row r="157" spans="1:16" x14ac:dyDescent="0.3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  <c r="K157" s="31">
        <v>0.2273</v>
      </c>
      <c r="L157" s="31">
        <v>0.4</v>
      </c>
      <c r="M157" s="31">
        <v>8.9599999999999999E-2</v>
      </c>
      <c r="N157" s="31">
        <v>7</v>
      </c>
      <c r="O157" s="31">
        <v>116</v>
      </c>
      <c r="P157" s="31">
        <v>123</v>
      </c>
    </row>
    <row r="158" spans="1:16" x14ac:dyDescent="0.3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  <c r="K158" s="31">
        <v>0.19700000000000001</v>
      </c>
      <c r="L158" s="31">
        <v>0.55000000000000004</v>
      </c>
      <c r="M158" s="31">
        <v>8.9599999999999999E-2</v>
      </c>
      <c r="N158" s="31">
        <v>3</v>
      </c>
      <c r="O158" s="31">
        <v>92</v>
      </c>
      <c r="P158" s="31">
        <v>95</v>
      </c>
    </row>
    <row r="159" spans="1:16" x14ac:dyDescent="0.3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  <c r="K159" s="31">
        <v>0.21210000000000001</v>
      </c>
      <c r="L159" s="31">
        <v>0.47</v>
      </c>
      <c r="M159" s="31">
        <v>0.1045</v>
      </c>
      <c r="N159" s="31">
        <v>1</v>
      </c>
      <c r="O159" s="31">
        <v>50</v>
      </c>
      <c r="P159" s="31">
        <v>51</v>
      </c>
    </row>
    <row r="160" spans="1:16" x14ac:dyDescent="0.3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  <c r="K160" s="31">
        <v>0.19700000000000001</v>
      </c>
      <c r="L160" s="31">
        <v>0.47</v>
      </c>
      <c r="M160" s="31">
        <v>0.1343</v>
      </c>
      <c r="N160" s="31">
        <v>0</v>
      </c>
      <c r="O160" s="31">
        <v>39</v>
      </c>
      <c r="P160" s="31">
        <v>39</v>
      </c>
    </row>
    <row r="161" spans="1:16" x14ac:dyDescent="0.3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  <c r="K161" s="31">
        <v>0.19700000000000001</v>
      </c>
      <c r="L161" s="31">
        <v>0.43</v>
      </c>
      <c r="M161" s="31">
        <v>0.16420000000000001</v>
      </c>
      <c r="N161" s="31">
        <v>2</v>
      </c>
      <c r="O161" s="31">
        <v>34</v>
      </c>
      <c r="P161" s="31">
        <v>36</v>
      </c>
    </row>
    <row r="162" spans="1:16" x14ac:dyDescent="0.3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  <c r="K162" s="31">
        <v>0.19700000000000001</v>
      </c>
      <c r="L162" s="31">
        <v>0.51</v>
      </c>
      <c r="M162" s="31">
        <v>0.16420000000000001</v>
      </c>
      <c r="N162" s="31">
        <v>1</v>
      </c>
      <c r="O162" s="31">
        <v>14</v>
      </c>
      <c r="P162" s="31">
        <v>15</v>
      </c>
    </row>
    <row r="163" spans="1:16" x14ac:dyDescent="0.3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  <c r="K163" s="31">
        <v>0.19700000000000001</v>
      </c>
      <c r="L163" s="31">
        <v>0.51</v>
      </c>
      <c r="M163" s="31">
        <v>0.16420000000000001</v>
      </c>
      <c r="N163" s="31">
        <v>1</v>
      </c>
      <c r="O163" s="31">
        <v>24</v>
      </c>
      <c r="P163" s="31">
        <v>25</v>
      </c>
    </row>
    <row r="164" spans="1:16" x14ac:dyDescent="0.3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  <c r="K164" s="31">
        <v>0.21210000000000001</v>
      </c>
      <c r="L164" s="31">
        <v>0.55000000000000004</v>
      </c>
      <c r="M164" s="31">
        <v>8.9599999999999999E-2</v>
      </c>
      <c r="N164" s="31">
        <v>1</v>
      </c>
      <c r="O164" s="31">
        <v>15</v>
      </c>
      <c r="P164" s="31">
        <v>16</v>
      </c>
    </row>
    <row r="165" spans="1:16" x14ac:dyDescent="0.3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  <c r="K165" s="31">
        <v>0.2424</v>
      </c>
      <c r="L165" s="31">
        <v>0.55000000000000004</v>
      </c>
      <c r="M165" s="31">
        <v>0</v>
      </c>
      <c r="N165" s="31">
        <v>3</v>
      </c>
      <c r="O165" s="31">
        <v>13</v>
      </c>
      <c r="P165" s="31">
        <v>16</v>
      </c>
    </row>
    <row r="166" spans="1:16" x14ac:dyDescent="0.3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  <c r="K166" s="31">
        <v>0.19700000000000001</v>
      </c>
      <c r="L166" s="31">
        <v>0.55000000000000004</v>
      </c>
      <c r="M166" s="31">
        <v>0.16420000000000001</v>
      </c>
      <c r="N166" s="31">
        <v>0</v>
      </c>
      <c r="O166" s="31">
        <v>7</v>
      </c>
      <c r="P166" s="31">
        <v>7</v>
      </c>
    </row>
    <row r="167" spans="1:16" x14ac:dyDescent="0.3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  <c r="K167" s="31">
        <v>0.19700000000000001</v>
      </c>
      <c r="L167" s="31">
        <v>0.55000000000000004</v>
      </c>
      <c r="M167" s="31">
        <v>0.16420000000000001</v>
      </c>
      <c r="N167" s="31">
        <v>0</v>
      </c>
      <c r="O167" s="31">
        <v>1</v>
      </c>
      <c r="P167" s="31">
        <v>1</v>
      </c>
    </row>
    <row r="168" spans="1:16" x14ac:dyDescent="0.3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  <c r="K168" s="31">
        <v>0.16669999999999999</v>
      </c>
      <c r="L168" s="31">
        <v>0.74</v>
      </c>
      <c r="M168" s="31">
        <v>0.16420000000000001</v>
      </c>
      <c r="N168" s="31">
        <v>0</v>
      </c>
      <c r="O168" s="31">
        <v>5</v>
      </c>
      <c r="P168" s="31">
        <v>5</v>
      </c>
    </row>
    <row r="169" spans="1:16" x14ac:dyDescent="0.3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  <c r="K169" s="31">
        <v>0.16669999999999999</v>
      </c>
      <c r="L169" s="31">
        <v>0.74</v>
      </c>
      <c r="M169" s="31">
        <v>0.16420000000000001</v>
      </c>
      <c r="N169" s="31">
        <v>0</v>
      </c>
      <c r="O169" s="31">
        <v>2</v>
      </c>
      <c r="P169" s="31">
        <v>2</v>
      </c>
    </row>
    <row r="170" spans="1:16" x14ac:dyDescent="0.3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  <c r="K170" s="31">
        <v>0.18179999999999999</v>
      </c>
      <c r="L170" s="31">
        <v>0.74</v>
      </c>
      <c r="M170" s="31">
        <v>0.1045</v>
      </c>
      <c r="N170" s="31">
        <v>1</v>
      </c>
      <c r="O170" s="31">
        <v>8</v>
      </c>
      <c r="P170" s="31">
        <v>9</v>
      </c>
    </row>
    <row r="171" spans="1:16" x14ac:dyDescent="0.3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  <c r="K171" s="31">
        <v>0.18179999999999999</v>
      </c>
      <c r="L171" s="31">
        <v>0.93</v>
      </c>
      <c r="M171" s="31">
        <v>0.1045</v>
      </c>
      <c r="N171" s="31">
        <v>0</v>
      </c>
      <c r="O171" s="31">
        <v>15</v>
      </c>
      <c r="P171" s="31">
        <v>15</v>
      </c>
    </row>
    <row r="172" spans="1:16" x14ac:dyDescent="0.3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  <c r="K172" s="31">
        <v>0.18179999999999999</v>
      </c>
      <c r="L172" s="31">
        <v>0.93</v>
      </c>
      <c r="M172" s="31">
        <v>0.1045</v>
      </c>
      <c r="N172" s="31">
        <v>0</v>
      </c>
      <c r="O172" s="31">
        <v>20</v>
      </c>
      <c r="P172" s="31">
        <v>20</v>
      </c>
    </row>
    <row r="173" spans="1:16" x14ac:dyDescent="0.3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  <c r="K173" s="31">
        <v>0.19700000000000001</v>
      </c>
      <c r="L173" s="31">
        <v>0.8</v>
      </c>
      <c r="M173" s="31">
        <v>0.16420000000000001</v>
      </c>
      <c r="N173" s="31">
        <v>5</v>
      </c>
      <c r="O173" s="31">
        <v>56</v>
      </c>
      <c r="P173" s="31">
        <v>61</v>
      </c>
    </row>
    <row r="174" spans="1:16" x14ac:dyDescent="0.3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  <c r="K174" s="31">
        <v>0.18179999999999999</v>
      </c>
      <c r="L174" s="31">
        <v>0.69</v>
      </c>
      <c r="M174" s="31">
        <v>0.3881</v>
      </c>
      <c r="N174" s="31">
        <v>2</v>
      </c>
      <c r="O174" s="31">
        <v>60</v>
      </c>
      <c r="P174" s="31">
        <v>62</v>
      </c>
    </row>
    <row r="175" spans="1:16" x14ac:dyDescent="0.3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  <c r="K175" s="31">
        <v>0.18179999999999999</v>
      </c>
      <c r="L175" s="31">
        <v>0.59</v>
      </c>
      <c r="M175" s="31">
        <v>0.35820000000000002</v>
      </c>
      <c r="N175" s="31">
        <v>8</v>
      </c>
      <c r="O175" s="31">
        <v>90</v>
      </c>
      <c r="P175" s="31">
        <v>98</v>
      </c>
    </row>
    <row r="176" spans="1:16" x14ac:dyDescent="0.3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  <c r="K176" s="31">
        <v>0.18179999999999999</v>
      </c>
      <c r="L176" s="31">
        <v>0.44</v>
      </c>
      <c r="M176" s="31">
        <v>0.32840000000000003</v>
      </c>
      <c r="N176" s="31">
        <v>7</v>
      </c>
      <c r="O176" s="31">
        <v>95</v>
      </c>
      <c r="P176" s="31">
        <v>102</v>
      </c>
    </row>
    <row r="177" spans="1:16" x14ac:dyDescent="0.3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  <c r="K177" s="31">
        <v>0.16669999999999999</v>
      </c>
      <c r="L177" s="31">
        <v>0.32</v>
      </c>
      <c r="M177" s="31">
        <v>0.49249999999999999</v>
      </c>
      <c r="N177" s="31">
        <v>12</v>
      </c>
      <c r="O177" s="31">
        <v>83</v>
      </c>
      <c r="P177" s="31">
        <v>95</v>
      </c>
    </row>
    <row r="178" spans="1:16" x14ac:dyDescent="0.3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  <c r="K178" s="31">
        <v>0.16669999999999999</v>
      </c>
      <c r="L178" s="31">
        <v>0.32</v>
      </c>
      <c r="M178" s="31">
        <v>0.44779999999999998</v>
      </c>
      <c r="N178" s="31">
        <v>5</v>
      </c>
      <c r="O178" s="31">
        <v>69</v>
      </c>
      <c r="P178" s="31">
        <v>74</v>
      </c>
    </row>
    <row r="179" spans="1:16" x14ac:dyDescent="0.3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  <c r="K179" s="31">
        <v>0.13639999999999999</v>
      </c>
      <c r="L179" s="31">
        <v>0.28999999999999998</v>
      </c>
      <c r="M179" s="31">
        <v>0.44779999999999998</v>
      </c>
      <c r="N179" s="31">
        <v>8</v>
      </c>
      <c r="O179" s="31">
        <v>68</v>
      </c>
      <c r="P179" s="31">
        <v>76</v>
      </c>
    </row>
    <row r="180" spans="1:16" x14ac:dyDescent="0.3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  <c r="K180" s="31">
        <v>0.1212</v>
      </c>
      <c r="L180" s="31">
        <v>0.37</v>
      </c>
      <c r="M180" s="31">
        <v>0.55220000000000002</v>
      </c>
      <c r="N180" s="31">
        <v>5</v>
      </c>
      <c r="O180" s="31">
        <v>64</v>
      </c>
      <c r="P180" s="31">
        <v>69</v>
      </c>
    </row>
    <row r="181" spans="1:16" x14ac:dyDescent="0.3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  <c r="K181" s="31">
        <v>0.1212</v>
      </c>
      <c r="L181" s="31">
        <v>0.39</v>
      </c>
      <c r="M181" s="31">
        <v>0.29849999999999999</v>
      </c>
      <c r="N181" s="31">
        <v>3</v>
      </c>
      <c r="O181" s="31">
        <v>52</v>
      </c>
      <c r="P181" s="31">
        <v>55</v>
      </c>
    </row>
    <row r="182" spans="1:16" x14ac:dyDescent="0.3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  <c r="K182" s="31">
        <v>0.1212</v>
      </c>
      <c r="L182" s="31">
        <v>0.36</v>
      </c>
      <c r="M182" s="31">
        <v>0.25369999999999998</v>
      </c>
      <c r="N182" s="31">
        <v>4</v>
      </c>
      <c r="O182" s="31">
        <v>26</v>
      </c>
      <c r="P182" s="31">
        <v>30</v>
      </c>
    </row>
    <row r="183" spans="1:16" x14ac:dyDescent="0.3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  <c r="K183" s="31">
        <v>0.1212</v>
      </c>
      <c r="L183" s="31">
        <v>0.36</v>
      </c>
      <c r="M183" s="31">
        <v>0.25369999999999998</v>
      </c>
      <c r="N183" s="31">
        <v>0</v>
      </c>
      <c r="O183" s="31">
        <v>28</v>
      </c>
      <c r="P183" s="31">
        <v>28</v>
      </c>
    </row>
    <row r="184" spans="1:16" x14ac:dyDescent="0.3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  <c r="K184" s="31">
        <v>0.1061</v>
      </c>
      <c r="L184" s="31">
        <v>0.39</v>
      </c>
      <c r="M184" s="31">
        <v>0.35820000000000002</v>
      </c>
      <c r="N184" s="31">
        <v>2</v>
      </c>
      <c r="O184" s="31">
        <v>35</v>
      </c>
      <c r="P184" s="31">
        <v>37</v>
      </c>
    </row>
    <row r="185" spans="1:16" x14ac:dyDescent="0.3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  <c r="K185" s="31">
        <v>0.1061</v>
      </c>
      <c r="L185" s="31">
        <v>0.36</v>
      </c>
      <c r="M185" s="31">
        <v>0.3881</v>
      </c>
      <c r="N185" s="31">
        <v>1</v>
      </c>
      <c r="O185" s="31">
        <v>33</v>
      </c>
      <c r="P185" s="31">
        <v>34</v>
      </c>
    </row>
    <row r="186" spans="1:16" x14ac:dyDescent="0.3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  <c r="K186" s="31">
        <v>6.0600000000000001E-2</v>
      </c>
      <c r="L186" s="31">
        <v>0.39</v>
      </c>
      <c r="M186" s="31">
        <v>0.44779999999999998</v>
      </c>
      <c r="N186" s="31">
        <v>0</v>
      </c>
      <c r="O186" s="31">
        <v>22</v>
      </c>
      <c r="P186" s="31">
        <v>22</v>
      </c>
    </row>
    <row r="187" spans="1:16" x14ac:dyDescent="0.3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  <c r="K187" s="31">
        <v>7.5800000000000006E-2</v>
      </c>
      <c r="L187" s="31">
        <v>0.42</v>
      </c>
      <c r="M187" s="31">
        <v>0.3881</v>
      </c>
      <c r="N187" s="31">
        <v>1</v>
      </c>
      <c r="O187" s="31">
        <v>24</v>
      </c>
      <c r="P187" s="31">
        <v>25</v>
      </c>
    </row>
    <row r="188" spans="1:16" x14ac:dyDescent="0.3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  <c r="K188" s="31">
        <v>6.0600000000000001E-2</v>
      </c>
      <c r="L188" s="31">
        <v>0.42</v>
      </c>
      <c r="M188" s="31">
        <v>0.4627</v>
      </c>
      <c r="N188" s="31">
        <v>0</v>
      </c>
      <c r="O188" s="31">
        <v>12</v>
      </c>
      <c r="P188" s="31">
        <v>12</v>
      </c>
    </row>
    <row r="189" spans="1:16" x14ac:dyDescent="0.3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  <c r="K189" s="31">
        <v>6.0600000000000001E-2</v>
      </c>
      <c r="L189" s="31">
        <v>0.46</v>
      </c>
      <c r="M189" s="31">
        <v>0.4627</v>
      </c>
      <c r="N189" s="31">
        <v>0</v>
      </c>
      <c r="O189" s="31">
        <v>11</v>
      </c>
      <c r="P189" s="31">
        <v>11</v>
      </c>
    </row>
    <row r="190" spans="1:16" x14ac:dyDescent="0.3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  <c r="K190" s="31">
        <v>7.5800000000000006E-2</v>
      </c>
      <c r="L190" s="31">
        <v>0.46</v>
      </c>
      <c r="M190" s="31">
        <v>0.41789999999999999</v>
      </c>
      <c r="N190" s="31">
        <v>0</v>
      </c>
      <c r="O190" s="31">
        <v>4</v>
      </c>
      <c r="P190" s="31">
        <v>4</v>
      </c>
    </row>
    <row r="191" spans="1:16" x14ac:dyDescent="0.3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  <c r="K191" s="31">
        <v>9.0899999999999995E-2</v>
      </c>
      <c r="L191" s="31">
        <v>0.53</v>
      </c>
      <c r="M191" s="31">
        <v>0.19400000000000001</v>
      </c>
      <c r="N191" s="31">
        <v>0</v>
      </c>
      <c r="O191" s="31">
        <v>1</v>
      </c>
      <c r="P191" s="31">
        <v>1</v>
      </c>
    </row>
    <row r="192" spans="1:16" x14ac:dyDescent="0.3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  <c r="K192" s="31">
        <v>9.0899999999999995E-2</v>
      </c>
      <c r="L192" s="31">
        <v>0.53</v>
      </c>
      <c r="M192" s="31">
        <v>0.19400000000000001</v>
      </c>
      <c r="N192" s="31">
        <v>0</v>
      </c>
      <c r="O192" s="31">
        <v>1</v>
      </c>
      <c r="P192" s="31">
        <v>1</v>
      </c>
    </row>
    <row r="193" spans="1:16" x14ac:dyDescent="0.3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  <c r="K193" s="31">
        <v>9.0899999999999995E-2</v>
      </c>
      <c r="L193" s="31">
        <v>0.49</v>
      </c>
      <c r="M193" s="31">
        <v>0.28360000000000002</v>
      </c>
      <c r="N193" s="31">
        <v>0</v>
      </c>
      <c r="O193" s="31">
        <v>1</v>
      </c>
      <c r="P193" s="31">
        <v>1</v>
      </c>
    </row>
    <row r="194" spans="1:16" x14ac:dyDescent="0.3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  <c r="K194" s="31">
        <v>9.0899999999999995E-2</v>
      </c>
      <c r="L194" s="31">
        <v>0.53</v>
      </c>
      <c r="M194" s="31">
        <v>0.19400000000000001</v>
      </c>
      <c r="N194" s="31">
        <v>1</v>
      </c>
      <c r="O194" s="31">
        <v>5</v>
      </c>
      <c r="P194" s="31">
        <v>6</v>
      </c>
    </row>
    <row r="195" spans="1:16" x14ac:dyDescent="0.3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  <c r="K195" s="31">
        <v>9.0899999999999995E-2</v>
      </c>
      <c r="L195" s="31">
        <v>0.49</v>
      </c>
      <c r="M195" s="31">
        <v>0.28360000000000002</v>
      </c>
      <c r="N195" s="31">
        <v>0</v>
      </c>
      <c r="O195" s="31">
        <v>10</v>
      </c>
      <c r="P195" s="31">
        <v>10</v>
      </c>
    </row>
    <row r="196" spans="1:16" x14ac:dyDescent="0.3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  <c r="K196" s="31">
        <v>7.5800000000000006E-2</v>
      </c>
      <c r="L196" s="31">
        <v>0.46</v>
      </c>
      <c r="M196" s="31">
        <v>0.52239999999999998</v>
      </c>
      <c r="N196" s="31">
        <v>0</v>
      </c>
      <c r="O196" s="31">
        <v>19</v>
      </c>
      <c r="P196" s="31">
        <v>19</v>
      </c>
    </row>
    <row r="197" spans="1:16" x14ac:dyDescent="0.3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  <c r="K197" s="31">
        <v>0.1061</v>
      </c>
      <c r="L197" s="31">
        <v>0.43</v>
      </c>
      <c r="M197" s="31">
        <v>0.3881</v>
      </c>
      <c r="N197" s="31">
        <v>0</v>
      </c>
      <c r="O197" s="31">
        <v>49</v>
      </c>
      <c r="P197" s="31">
        <v>49</v>
      </c>
    </row>
    <row r="198" spans="1:16" x14ac:dyDescent="0.3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  <c r="K198" s="31">
        <v>0.1212</v>
      </c>
      <c r="L198" s="31">
        <v>0.4</v>
      </c>
      <c r="M198" s="31">
        <v>0.52239999999999998</v>
      </c>
      <c r="N198" s="31">
        <v>2</v>
      </c>
      <c r="O198" s="31">
        <v>47</v>
      </c>
      <c r="P198" s="31">
        <v>49</v>
      </c>
    </row>
    <row r="199" spans="1:16" x14ac:dyDescent="0.3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  <c r="K199" s="31">
        <v>0.13639999999999999</v>
      </c>
      <c r="L199" s="31">
        <v>0.37</v>
      </c>
      <c r="M199" s="31">
        <v>0.44779999999999998</v>
      </c>
      <c r="N199" s="31">
        <v>4</v>
      </c>
      <c r="O199" s="31">
        <v>79</v>
      </c>
      <c r="P199" s="31">
        <v>83</v>
      </c>
    </row>
    <row r="200" spans="1:16" x14ac:dyDescent="0.3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  <c r="K200" s="31">
        <v>0.16669999999999999</v>
      </c>
      <c r="L200" s="31">
        <v>0.34</v>
      </c>
      <c r="M200" s="31">
        <v>0.44779999999999998</v>
      </c>
      <c r="N200" s="31">
        <v>6</v>
      </c>
      <c r="O200" s="31">
        <v>69</v>
      </c>
      <c r="P200" s="31">
        <v>75</v>
      </c>
    </row>
    <row r="201" spans="1:16" x14ac:dyDescent="0.3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  <c r="K201" s="31">
        <v>0.18179999999999999</v>
      </c>
      <c r="L201" s="31">
        <v>0.32</v>
      </c>
      <c r="M201" s="31">
        <v>0.4627</v>
      </c>
      <c r="N201" s="31">
        <v>8</v>
      </c>
      <c r="O201" s="31">
        <v>64</v>
      </c>
      <c r="P201" s="31">
        <v>72</v>
      </c>
    </row>
    <row r="202" spans="1:16" x14ac:dyDescent="0.3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  <c r="K202" s="31">
        <v>0.19700000000000001</v>
      </c>
      <c r="L202" s="31">
        <v>0.35</v>
      </c>
      <c r="M202" s="31">
        <v>0.35820000000000002</v>
      </c>
      <c r="N202" s="31">
        <v>5</v>
      </c>
      <c r="O202" s="31">
        <v>77</v>
      </c>
      <c r="P202" s="31">
        <v>82</v>
      </c>
    </row>
    <row r="203" spans="1:16" x14ac:dyDescent="0.3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  <c r="K203" s="31">
        <v>0.16669999999999999</v>
      </c>
      <c r="L203" s="31">
        <v>0.34</v>
      </c>
      <c r="M203" s="31">
        <v>0.44779999999999998</v>
      </c>
      <c r="N203" s="31">
        <v>13</v>
      </c>
      <c r="O203" s="31">
        <v>79</v>
      </c>
      <c r="P203" s="31">
        <v>92</v>
      </c>
    </row>
    <row r="204" spans="1:16" x14ac:dyDescent="0.3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  <c r="K204" s="31">
        <v>0.1515</v>
      </c>
      <c r="L204" s="31">
        <v>0.37</v>
      </c>
      <c r="M204" s="31">
        <v>0.3881</v>
      </c>
      <c r="N204" s="31">
        <v>3</v>
      </c>
      <c r="O204" s="31">
        <v>59</v>
      </c>
      <c r="P204" s="31">
        <v>62</v>
      </c>
    </row>
    <row r="205" spans="1:16" x14ac:dyDescent="0.3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  <c r="K205" s="31">
        <v>0.13639999999999999</v>
      </c>
      <c r="L205" s="31">
        <v>0.4</v>
      </c>
      <c r="M205" s="31">
        <v>0.32840000000000003</v>
      </c>
      <c r="N205" s="31">
        <v>4</v>
      </c>
      <c r="O205" s="31">
        <v>44</v>
      </c>
      <c r="P205" s="31">
        <v>48</v>
      </c>
    </row>
    <row r="206" spans="1:16" x14ac:dyDescent="0.3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  <c r="K206" s="31">
        <v>0.13639999999999999</v>
      </c>
      <c r="L206" s="31">
        <v>0.43</v>
      </c>
      <c r="M206" s="31">
        <v>0.32840000000000003</v>
      </c>
      <c r="N206" s="31">
        <v>1</v>
      </c>
      <c r="O206" s="31">
        <v>40</v>
      </c>
      <c r="P206" s="31">
        <v>41</v>
      </c>
    </row>
    <row r="207" spans="1:16" x14ac:dyDescent="0.3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  <c r="K207" s="31">
        <v>0.1212</v>
      </c>
      <c r="L207" s="31">
        <v>0.46</v>
      </c>
      <c r="M207" s="31">
        <v>0.25369999999999998</v>
      </c>
      <c r="N207" s="31">
        <v>0</v>
      </c>
      <c r="O207" s="31">
        <v>38</v>
      </c>
      <c r="P207" s="31">
        <v>38</v>
      </c>
    </row>
    <row r="208" spans="1:16" x14ac:dyDescent="0.3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  <c r="K208" s="31">
        <v>0.1061</v>
      </c>
      <c r="L208" s="31">
        <v>0.46</v>
      </c>
      <c r="M208" s="31">
        <v>0.41789999999999999</v>
      </c>
      <c r="N208" s="31">
        <v>1</v>
      </c>
      <c r="O208" s="31">
        <v>19</v>
      </c>
      <c r="P208" s="31">
        <v>20</v>
      </c>
    </row>
    <row r="209" spans="1:16" x14ac:dyDescent="0.3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  <c r="K209" s="31">
        <v>0.1212</v>
      </c>
      <c r="L209" s="31">
        <v>0.46</v>
      </c>
      <c r="M209" s="31">
        <v>0.29849999999999999</v>
      </c>
      <c r="N209" s="31">
        <v>5</v>
      </c>
      <c r="O209" s="31">
        <v>10</v>
      </c>
      <c r="P209" s="31">
        <v>15</v>
      </c>
    </row>
    <row r="210" spans="1:16" x14ac:dyDescent="0.3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  <c r="K210" s="31">
        <v>0.13639999999999999</v>
      </c>
      <c r="L210" s="31">
        <v>0.5</v>
      </c>
      <c r="M210" s="31">
        <v>0.19400000000000001</v>
      </c>
      <c r="N210" s="31">
        <v>0</v>
      </c>
      <c r="O210" s="31">
        <v>6</v>
      </c>
      <c r="P210" s="31">
        <v>6</v>
      </c>
    </row>
    <row r="211" spans="1:16" x14ac:dyDescent="0.3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  <c r="K211" s="31">
        <v>0.1212</v>
      </c>
      <c r="L211" s="31">
        <v>0.5</v>
      </c>
      <c r="M211" s="31">
        <v>0.28360000000000002</v>
      </c>
      <c r="N211" s="31">
        <v>2</v>
      </c>
      <c r="O211" s="31">
        <v>3</v>
      </c>
      <c r="P211" s="31">
        <v>5</v>
      </c>
    </row>
    <row r="212" spans="1:16" x14ac:dyDescent="0.3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  <c r="K212" s="31">
        <v>0.1212</v>
      </c>
      <c r="L212" s="31">
        <v>0.5</v>
      </c>
      <c r="M212" s="31">
        <v>0.28360000000000002</v>
      </c>
      <c r="N212" s="31">
        <v>1</v>
      </c>
      <c r="O212" s="31">
        <v>0</v>
      </c>
      <c r="P212" s="31">
        <v>1</v>
      </c>
    </row>
    <row r="213" spans="1:16" x14ac:dyDescent="0.3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  <c r="K213" s="31">
        <v>0.1212</v>
      </c>
      <c r="L213" s="31">
        <v>0.5</v>
      </c>
      <c r="M213" s="31">
        <v>0.22389999999999999</v>
      </c>
      <c r="N213" s="31">
        <v>0</v>
      </c>
      <c r="O213" s="31">
        <v>3</v>
      </c>
      <c r="P213" s="31">
        <v>3</v>
      </c>
    </row>
    <row r="214" spans="1:16" x14ac:dyDescent="0.3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  <c r="K214" s="31">
        <v>0.1212</v>
      </c>
      <c r="L214" s="31">
        <v>0.5</v>
      </c>
      <c r="M214" s="31">
        <v>0.22389999999999999</v>
      </c>
      <c r="N214" s="31">
        <v>0</v>
      </c>
      <c r="O214" s="31">
        <v>1</v>
      </c>
      <c r="P214" s="31">
        <v>1</v>
      </c>
    </row>
    <row r="215" spans="1:16" x14ac:dyDescent="0.3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  <c r="K215" s="31">
        <v>0.1212</v>
      </c>
      <c r="L215" s="31">
        <v>0.54</v>
      </c>
      <c r="M215" s="31">
        <v>0.1343</v>
      </c>
      <c r="N215" s="31">
        <v>1</v>
      </c>
      <c r="O215" s="31">
        <v>2</v>
      </c>
      <c r="P215" s="31">
        <v>3</v>
      </c>
    </row>
    <row r="216" spans="1:16" x14ac:dyDescent="0.3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  <c r="K216" s="31">
        <v>0.1061</v>
      </c>
      <c r="L216" s="31">
        <v>0.54</v>
      </c>
      <c r="M216" s="31">
        <v>0.25369999999999998</v>
      </c>
      <c r="N216" s="31">
        <v>0</v>
      </c>
      <c r="O216" s="31">
        <v>3</v>
      </c>
      <c r="P216" s="31">
        <v>3</v>
      </c>
    </row>
    <row r="217" spans="1:16" x14ac:dyDescent="0.3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  <c r="K217" s="31">
        <v>0.1212</v>
      </c>
      <c r="L217" s="31">
        <v>0.5</v>
      </c>
      <c r="M217" s="31">
        <v>0.28360000000000002</v>
      </c>
      <c r="N217" s="31">
        <v>0</v>
      </c>
      <c r="O217" s="31">
        <v>31</v>
      </c>
      <c r="P217" s="31">
        <v>31</v>
      </c>
    </row>
    <row r="218" spans="1:16" x14ac:dyDescent="0.3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  <c r="K218" s="31">
        <v>0.1212</v>
      </c>
      <c r="L218" s="31">
        <v>0.5</v>
      </c>
      <c r="M218" s="31">
        <v>0.22389999999999999</v>
      </c>
      <c r="N218" s="31">
        <v>2</v>
      </c>
      <c r="O218" s="31">
        <v>75</v>
      </c>
      <c r="P218" s="31">
        <v>77</v>
      </c>
    </row>
    <row r="219" spans="1:16" x14ac:dyDescent="0.3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  <c r="K219" s="31">
        <v>0.1212</v>
      </c>
      <c r="L219" s="31">
        <v>0.5</v>
      </c>
      <c r="M219" s="31">
        <v>0.28360000000000002</v>
      </c>
      <c r="N219" s="31">
        <v>4</v>
      </c>
      <c r="O219" s="31">
        <v>184</v>
      </c>
      <c r="P219" s="31">
        <v>188</v>
      </c>
    </row>
    <row r="220" spans="1:16" x14ac:dyDescent="0.3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  <c r="K220" s="31">
        <v>0.1212</v>
      </c>
      <c r="L220" s="31">
        <v>0.5</v>
      </c>
      <c r="M220" s="31">
        <v>0.25369999999999998</v>
      </c>
      <c r="N220" s="31">
        <v>2</v>
      </c>
      <c r="O220" s="31">
        <v>92</v>
      </c>
      <c r="P220" s="31">
        <v>94</v>
      </c>
    </row>
    <row r="221" spans="1:16" x14ac:dyDescent="0.3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  <c r="K221" s="31">
        <v>0.1212</v>
      </c>
      <c r="L221" s="31">
        <v>0.5</v>
      </c>
      <c r="M221" s="31">
        <v>0.29849999999999999</v>
      </c>
      <c r="N221" s="31">
        <v>0</v>
      </c>
      <c r="O221" s="31">
        <v>31</v>
      </c>
      <c r="P221" s="31">
        <v>31</v>
      </c>
    </row>
    <row r="222" spans="1:16" x14ac:dyDescent="0.3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  <c r="K222" s="31">
        <v>0.13639999999999999</v>
      </c>
      <c r="L222" s="31">
        <v>0.47</v>
      </c>
      <c r="M222" s="31">
        <v>0.28360000000000002</v>
      </c>
      <c r="N222" s="31">
        <v>2</v>
      </c>
      <c r="O222" s="31">
        <v>28</v>
      </c>
      <c r="P222" s="31">
        <v>30</v>
      </c>
    </row>
    <row r="223" spans="1:16" x14ac:dyDescent="0.3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  <c r="K223" s="31">
        <v>0.18179999999999999</v>
      </c>
      <c r="L223" s="31">
        <v>0.4</v>
      </c>
      <c r="M223" s="31">
        <v>0.28360000000000002</v>
      </c>
      <c r="N223" s="31">
        <v>5</v>
      </c>
      <c r="O223" s="31">
        <v>47</v>
      </c>
      <c r="P223" s="31">
        <v>52</v>
      </c>
    </row>
    <row r="224" spans="1:16" x14ac:dyDescent="0.3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  <c r="K224" s="31">
        <v>0.18179999999999999</v>
      </c>
      <c r="L224" s="31">
        <v>0.4</v>
      </c>
      <c r="M224" s="31">
        <v>0.28360000000000002</v>
      </c>
      <c r="N224" s="31">
        <v>4</v>
      </c>
      <c r="O224" s="31">
        <v>50</v>
      </c>
      <c r="P224" s="31">
        <v>54</v>
      </c>
    </row>
    <row r="225" spans="1:16" x14ac:dyDescent="0.3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  <c r="K225" s="31">
        <v>0.19700000000000001</v>
      </c>
      <c r="L225" s="31">
        <v>0.4</v>
      </c>
      <c r="M225" s="31">
        <v>0.22389999999999999</v>
      </c>
      <c r="N225" s="31">
        <v>0</v>
      </c>
      <c r="O225" s="31">
        <v>47</v>
      </c>
      <c r="P225" s="31">
        <v>47</v>
      </c>
    </row>
    <row r="226" spans="1:16" x14ac:dyDescent="0.3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  <c r="K226" s="31">
        <v>0.19700000000000001</v>
      </c>
      <c r="L226" s="31">
        <v>0.4</v>
      </c>
      <c r="M226" s="31">
        <v>0.22389999999999999</v>
      </c>
      <c r="N226" s="31">
        <v>2</v>
      </c>
      <c r="O226" s="31">
        <v>43</v>
      </c>
      <c r="P226" s="31">
        <v>45</v>
      </c>
    </row>
    <row r="227" spans="1:16" x14ac:dyDescent="0.3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  <c r="K227" s="31">
        <v>0.21210000000000001</v>
      </c>
      <c r="L227" s="31">
        <v>0.4</v>
      </c>
      <c r="M227" s="31">
        <v>0.1343</v>
      </c>
      <c r="N227" s="31">
        <v>4</v>
      </c>
      <c r="O227" s="31">
        <v>70</v>
      </c>
      <c r="P227" s="31">
        <v>74</v>
      </c>
    </row>
    <row r="228" spans="1:16" x14ac:dyDescent="0.3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  <c r="K228" s="31">
        <v>0.2273</v>
      </c>
      <c r="L228" s="31">
        <v>0.4</v>
      </c>
      <c r="M228" s="31">
        <v>0.1045</v>
      </c>
      <c r="N228" s="31">
        <v>4</v>
      </c>
      <c r="O228" s="31">
        <v>174</v>
      </c>
      <c r="P228" s="31">
        <v>178</v>
      </c>
    </row>
    <row r="229" spans="1:16" x14ac:dyDescent="0.3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  <c r="K229" s="31">
        <v>0.19700000000000001</v>
      </c>
      <c r="L229" s="31">
        <v>0.4</v>
      </c>
      <c r="M229" s="31">
        <v>0.22389999999999999</v>
      </c>
      <c r="N229" s="31">
        <v>1</v>
      </c>
      <c r="O229" s="31">
        <v>154</v>
      </c>
      <c r="P229" s="31">
        <v>155</v>
      </c>
    </row>
    <row r="230" spans="1:16" x14ac:dyDescent="0.3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  <c r="K230" s="31">
        <v>0.16669999999999999</v>
      </c>
      <c r="L230" s="31">
        <v>0.47</v>
      </c>
      <c r="M230" s="31">
        <v>0.16420000000000001</v>
      </c>
      <c r="N230" s="31">
        <v>3</v>
      </c>
      <c r="O230" s="31">
        <v>92</v>
      </c>
      <c r="P230" s="31">
        <v>95</v>
      </c>
    </row>
    <row r="231" spans="1:16" x14ac:dyDescent="0.3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  <c r="K231" s="31">
        <v>0.16669999999999999</v>
      </c>
      <c r="L231" s="31">
        <v>0.5</v>
      </c>
      <c r="M231" s="31">
        <v>0.16420000000000001</v>
      </c>
      <c r="N231" s="31">
        <v>1</v>
      </c>
      <c r="O231" s="31">
        <v>73</v>
      </c>
      <c r="P231" s="31">
        <v>74</v>
      </c>
    </row>
    <row r="232" spans="1:16" x14ac:dyDescent="0.3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  <c r="K232" s="31">
        <v>0.13639999999999999</v>
      </c>
      <c r="L232" s="31">
        <v>0.59</v>
      </c>
      <c r="M232" s="31">
        <v>0.19400000000000001</v>
      </c>
      <c r="N232" s="31">
        <v>1</v>
      </c>
      <c r="O232" s="31">
        <v>37</v>
      </c>
      <c r="P232" s="31">
        <v>38</v>
      </c>
    </row>
    <row r="233" spans="1:16" x14ac:dyDescent="0.3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  <c r="K233" s="31">
        <v>0.1515</v>
      </c>
      <c r="L233" s="31">
        <v>0.59</v>
      </c>
      <c r="M233" s="31">
        <v>0.16420000000000001</v>
      </c>
      <c r="N233" s="31">
        <v>2</v>
      </c>
      <c r="O233" s="31">
        <v>22</v>
      </c>
      <c r="P233" s="31">
        <v>24</v>
      </c>
    </row>
    <row r="234" spans="1:16" x14ac:dyDescent="0.3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  <c r="K234" s="31">
        <v>0.1515</v>
      </c>
      <c r="L234" s="31">
        <v>0.59</v>
      </c>
      <c r="M234" s="31">
        <v>0.16420000000000001</v>
      </c>
      <c r="N234" s="31">
        <v>0</v>
      </c>
      <c r="O234" s="31">
        <v>18</v>
      </c>
      <c r="P234" s="31">
        <v>18</v>
      </c>
    </row>
    <row r="235" spans="1:16" x14ac:dyDescent="0.3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  <c r="K235" s="31">
        <v>0.16669999999999999</v>
      </c>
      <c r="L235" s="31">
        <v>0.59</v>
      </c>
      <c r="M235" s="31">
        <v>0.1045</v>
      </c>
      <c r="N235" s="31">
        <v>2</v>
      </c>
      <c r="O235" s="31">
        <v>10</v>
      </c>
      <c r="P235" s="31">
        <v>12</v>
      </c>
    </row>
    <row r="236" spans="1:16" x14ac:dyDescent="0.3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  <c r="K236" s="31">
        <v>0.1515</v>
      </c>
      <c r="L236" s="31">
        <v>0.59</v>
      </c>
      <c r="M236" s="31">
        <v>0.16420000000000001</v>
      </c>
      <c r="N236" s="31">
        <v>0</v>
      </c>
      <c r="O236" s="31">
        <v>3</v>
      </c>
      <c r="P236" s="31">
        <v>3</v>
      </c>
    </row>
    <row r="237" spans="1:16" x14ac:dyDescent="0.3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  <c r="K237" s="31">
        <v>0.1515</v>
      </c>
      <c r="L237" s="31">
        <v>0.55000000000000004</v>
      </c>
      <c r="M237" s="31">
        <v>0.19400000000000001</v>
      </c>
      <c r="N237" s="31">
        <v>0</v>
      </c>
      <c r="O237" s="31">
        <v>3</v>
      </c>
      <c r="P237" s="31">
        <v>3</v>
      </c>
    </row>
    <row r="238" spans="1:16" x14ac:dyDescent="0.3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  <c r="K238" s="31">
        <v>0.18179999999999999</v>
      </c>
      <c r="L238" s="31">
        <v>0.55000000000000004</v>
      </c>
      <c r="M238" s="31">
        <v>0.1343</v>
      </c>
      <c r="N238" s="31">
        <v>0</v>
      </c>
      <c r="O238" s="31">
        <v>6</v>
      </c>
      <c r="P238" s="31">
        <v>6</v>
      </c>
    </row>
    <row r="239" spans="1:16" x14ac:dyDescent="0.3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  <c r="K239" s="31">
        <v>0.18179999999999999</v>
      </c>
      <c r="L239" s="31">
        <v>0.55000000000000004</v>
      </c>
      <c r="M239" s="31">
        <v>0.1343</v>
      </c>
      <c r="N239" s="31">
        <v>0</v>
      </c>
      <c r="O239" s="31">
        <v>27</v>
      </c>
      <c r="P239" s="31">
        <v>27</v>
      </c>
    </row>
    <row r="240" spans="1:16" x14ac:dyDescent="0.3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  <c r="K240" s="31">
        <v>0.2273</v>
      </c>
      <c r="L240" s="31">
        <v>0.55000000000000004</v>
      </c>
      <c r="M240" s="31">
        <v>0</v>
      </c>
      <c r="N240" s="31">
        <v>2</v>
      </c>
      <c r="O240" s="31">
        <v>97</v>
      </c>
      <c r="P240" s="31">
        <v>99</v>
      </c>
    </row>
    <row r="241" spans="1:16" x14ac:dyDescent="0.3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  <c r="K241" s="31">
        <v>0.21210000000000001</v>
      </c>
      <c r="L241" s="31">
        <v>0.51</v>
      </c>
      <c r="M241" s="31">
        <v>8.9599999999999999E-2</v>
      </c>
      <c r="N241" s="31">
        <v>3</v>
      </c>
      <c r="O241" s="31">
        <v>214</v>
      </c>
      <c r="P241" s="31">
        <v>217</v>
      </c>
    </row>
    <row r="242" spans="1:16" x14ac:dyDescent="0.3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  <c r="K242" s="31">
        <v>0.19700000000000001</v>
      </c>
      <c r="L242" s="31">
        <v>0.51</v>
      </c>
      <c r="M242" s="31">
        <v>0.16420000000000001</v>
      </c>
      <c r="N242" s="31">
        <v>3</v>
      </c>
      <c r="O242" s="31">
        <v>127</v>
      </c>
      <c r="P242" s="31">
        <v>130</v>
      </c>
    </row>
    <row r="243" spans="1:16" x14ac:dyDescent="0.3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  <c r="K243" s="31">
        <v>0.21210000000000001</v>
      </c>
      <c r="L243" s="31">
        <v>0.51</v>
      </c>
      <c r="M243" s="31">
        <v>0.16420000000000001</v>
      </c>
      <c r="N243" s="31">
        <v>3</v>
      </c>
      <c r="O243" s="31">
        <v>51</v>
      </c>
      <c r="P243" s="31">
        <v>54</v>
      </c>
    </row>
    <row r="244" spans="1:16" x14ac:dyDescent="0.3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  <c r="K244" s="31">
        <v>0.21210000000000001</v>
      </c>
      <c r="L244" s="31">
        <v>0.47</v>
      </c>
      <c r="M244" s="31">
        <v>0.1343</v>
      </c>
      <c r="N244" s="31">
        <v>4</v>
      </c>
      <c r="O244" s="31">
        <v>31</v>
      </c>
      <c r="P244" s="31">
        <v>35</v>
      </c>
    </row>
    <row r="245" spans="1:16" x14ac:dyDescent="0.3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  <c r="K245" s="31">
        <v>0.2273</v>
      </c>
      <c r="L245" s="31">
        <v>0.51</v>
      </c>
      <c r="M245" s="31">
        <v>0.1045</v>
      </c>
      <c r="N245" s="31">
        <v>2</v>
      </c>
      <c r="O245" s="31">
        <v>55</v>
      </c>
      <c r="P245" s="31">
        <v>57</v>
      </c>
    </row>
    <row r="246" spans="1:16" x14ac:dyDescent="0.3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  <c r="K246" s="31">
        <v>0.2273</v>
      </c>
      <c r="L246" s="31">
        <v>0.59</v>
      </c>
      <c r="M246" s="31">
        <v>8.9599999999999999E-2</v>
      </c>
      <c r="N246" s="31">
        <v>6</v>
      </c>
      <c r="O246" s="31">
        <v>46</v>
      </c>
      <c r="P246" s="31">
        <v>52</v>
      </c>
    </row>
    <row r="247" spans="1:16" x14ac:dyDescent="0.3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  <c r="K247" s="31">
        <v>0.2273</v>
      </c>
      <c r="L247" s="31">
        <v>0.59</v>
      </c>
      <c r="M247" s="31">
        <v>8.9599999999999999E-2</v>
      </c>
      <c r="N247" s="31">
        <v>3</v>
      </c>
      <c r="O247" s="31">
        <v>60</v>
      </c>
      <c r="P247" s="31">
        <v>63</v>
      </c>
    </row>
    <row r="248" spans="1:16" x14ac:dyDescent="0.3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  <c r="K248" s="31">
        <v>0.19700000000000001</v>
      </c>
      <c r="L248" s="31">
        <v>0.8</v>
      </c>
      <c r="M248" s="31">
        <v>8.9599999999999999E-2</v>
      </c>
      <c r="N248" s="31">
        <v>2</v>
      </c>
      <c r="O248" s="31">
        <v>45</v>
      </c>
      <c r="P248" s="31">
        <v>47</v>
      </c>
    </row>
    <row r="249" spans="1:16" x14ac:dyDescent="0.3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  <c r="K249" s="31">
        <v>0.1515</v>
      </c>
      <c r="L249" s="31">
        <v>0.86</v>
      </c>
      <c r="M249" s="31">
        <v>0.22389999999999999</v>
      </c>
      <c r="N249" s="31">
        <v>4</v>
      </c>
      <c r="O249" s="31">
        <v>72</v>
      </c>
      <c r="P249" s="31">
        <v>76</v>
      </c>
    </row>
    <row r="250" spans="1:16" x14ac:dyDescent="0.3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  <c r="K250" s="31">
        <v>0.1515</v>
      </c>
      <c r="L250" s="31">
        <v>0.86</v>
      </c>
      <c r="M250" s="31">
        <v>0.22389999999999999</v>
      </c>
      <c r="N250" s="31">
        <v>6</v>
      </c>
      <c r="O250" s="31">
        <v>130</v>
      </c>
      <c r="P250" s="31">
        <v>136</v>
      </c>
    </row>
    <row r="251" spans="1:16" x14ac:dyDescent="0.3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  <c r="K251" s="31">
        <v>0.18179999999999999</v>
      </c>
      <c r="L251" s="31">
        <v>0.93</v>
      </c>
      <c r="M251" s="31">
        <v>0.1045</v>
      </c>
      <c r="N251" s="31">
        <v>1</v>
      </c>
      <c r="O251" s="31">
        <v>94</v>
      </c>
      <c r="P251" s="31">
        <v>95</v>
      </c>
    </row>
    <row r="252" spans="1:16" x14ac:dyDescent="0.3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  <c r="K252" s="31">
        <v>0.2273</v>
      </c>
      <c r="L252" s="31">
        <v>0.93</v>
      </c>
      <c r="M252" s="31">
        <v>0</v>
      </c>
      <c r="N252" s="31">
        <v>0</v>
      </c>
      <c r="O252" s="31">
        <v>51</v>
      </c>
      <c r="P252" s="31">
        <v>51</v>
      </c>
    </row>
    <row r="253" spans="1:16" x14ac:dyDescent="0.3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  <c r="K253" s="31">
        <v>0.1515</v>
      </c>
      <c r="L253" s="31">
        <v>0.93</v>
      </c>
      <c r="M253" s="31">
        <v>0.19400000000000001</v>
      </c>
      <c r="N253" s="31">
        <v>0</v>
      </c>
      <c r="O253" s="31">
        <v>32</v>
      </c>
      <c r="P253" s="31">
        <v>32</v>
      </c>
    </row>
    <row r="254" spans="1:16" x14ac:dyDescent="0.3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  <c r="K254" s="31">
        <v>0.19700000000000001</v>
      </c>
      <c r="L254" s="31">
        <v>0.86</v>
      </c>
      <c r="M254" s="31">
        <v>8.9599999999999999E-2</v>
      </c>
      <c r="N254" s="31">
        <v>0</v>
      </c>
      <c r="O254" s="31">
        <v>20</v>
      </c>
      <c r="P254" s="31">
        <v>20</v>
      </c>
    </row>
    <row r="255" spans="1:16" x14ac:dyDescent="0.3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  <c r="K255" s="31">
        <v>0.18179999999999999</v>
      </c>
      <c r="L255" s="31">
        <v>0.93</v>
      </c>
      <c r="M255" s="31">
        <v>0.1045</v>
      </c>
      <c r="N255" s="31">
        <v>1</v>
      </c>
      <c r="O255" s="31">
        <v>28</v>
      </c>
      <c r="P255" s="31">
        <v>29</v>
      </c>
    </row>
    <row r="256" spans="1:16" x14ac:dyDescent="0.3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  <c r="K256" s="31">
        <v>0.19700000000000001</v>
      </c>
      <c r="L256" s="31">
        <v>0.93</v>
      </c>
      <c r="M256" s="31">
        <v>8.9599999999999999E-2</v>
      </c>
      <c r="N256" s="31">
        <v>1</v>
      </c>
      <c r="O256" s="31">
        <v>18</v>
      </c>
      <c r="P256" s="31">
        <v>19</v>
      </c>
    </row>
    <row r="257" spans="1:16" x14ac:dyDescent="0.3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  <c r="K257" s="31">
        <v>0.19700000000000001</v>
      </c>
      <c r="L257" s="31">
        <v>0.86</v>
      </c>
      <c r="M257" s="31">
        <v>8.9599999999999999E-2</v>
      </c>
      <c r="N257" s="31">
        <v>0</v>
      </c>
      <c r="O257" s="31">
        <v>7</v>
      </c>
      <c r="P257" s="31">
        <v>7</v>
      </c>
    </row>
    <row r="258" spans="1:16" x14ac:dyDescent="0.3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  <c r="K258" s="31">
        <v>0.18179999999999999</v>
      </c>
      <c r="L258" s="31">
        <v>0.86</v>
      </c>
      <c r="M258" s="31">
        <v>0.1045</v>
      </c>
      <c r="N258" s="31">
        <v>0</v>
      </c>
      <c r="O258" s="31">
        <v>6</v>
      </c>
      <c r="P258" s="31">
        <v>6</v>
      </c>
    </row>
    <row r="259" spans="1:16" x14ac:dyDescent="0.3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  <c r="K259" s="31">
        <v>0.1515</v>
      </c>
      <c r="L259" s="31">
        <v>0.86</v>
      </c>
      <c r="M259" s="31">
        <v>0.1343</v>
      </c>
      <c r="N259" s="31">
        <v>0</v>
      </c>
      <c r="O259" s="31">
        <v>1</v>
      </c>
      <c r="P259" s="31">
        <v>1</v>
      </c>
    </row>
    <row r="260" spans="1:16" x14ac:dyDescent="0.3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  <c r="K260" s="31">
        <v>0.1515</v>
      </c>
      <c r="L260" s="31">
        <v>0.86</v>
      </c>
      <c r="M260" s="31">
        <v>0.16420000000000001</v>
      </c>
      <c r="N260" s="31">
        <v>0</v>
      </c>
      <c r="O260" s="31">
        <v>5</v>
      </c>
      <c r="P260" s="31">
        <v>5</v>
      </c>
    </row>
    <row r="261" spans="1:16" x14ac:dyDescent="0.3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  <c r="K261" s="31">
        <v>0.1515</v>
      </c>
      <c r="L261" s="31">
        <v>0.93</v>
      </c>
      <c r="M261" s="31">
        <v>0.1343</v>
      </c>
      <c r="N261" s="31">
        <v>0</v>
      </c>
      <c r="O261" s="31">
        <v>16</v>
      </c>
      <c r="P261" s="31">
        <v>16</v>
      </c>
    </row>
    <row r="262" spans="1:16" x14ac:dyDescent="0.3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  <c r="K262" s="31">
        <v>0.1515</v>
      </c>
      <c r="L262" s="31">
        <v>0.69</v>
      </c>
      <c r="M262" s="31">
        <v>0.1343</v>
      </c>
      <c r="N262" s="31">
        <v>0</v>
      </c>
      <c r="O262" s="31">
        <v>54</v>
      </c>
      <c r="P262" s="31">
        <v>54</v>
      </c>
    </row>
    <row r="263" spans="1:16" x14ac:dyDescent="0.3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  <c r="K263" s="31">
        <v>0.16669999999999999</v>
      </c>
      <c r="L263" s="31">
        <v>0.59</v>
      </c>
      <c r="M263" s="31">
        <v>0.16420000000000001</v>
      </c>
      <c r="N263" s="31">
        <v>3</v>
      </c>
      <c r="O263" s="31">
        <v>125</v>
      </c>
      <c r="P263" s="31">
        <v>128</v>
      </c>
    </row>
    <row r="264" spans="1:16" x14ac:dyDescent="0.3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  <c r="K264" s="31">
        <v>0.13639999999999999</v>
      </c>
      <c r="L264" s="31">
        <v>0.59</v>
      </c>
      <c r="M264" s="31">
        <v>0.32840000000000003</v>
      </c>
      <c r="N264" s="31">
        <v>3</v>
      </c>
      <c r="O264" s="31">
        <v>78</v>
      </c>
      <c r="P264" s="31">
        <v>81</v>
      </c>
    </row>
    <row r="265" spans="1:16" x14ac:dyDescent="0.3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  <c r="K265" s="31">
        <v>0.18179999999999999</v>
      </c>
      <c r="L265" s="31">
        <v>0.55000000000000004</v>
      </c>
      <c r="M265" s="31">
        <v>0.22389999999999999</v>
      </c>
      <c r="N265" s="31">
        <v>0</v>
      </c>
      <c r="O265" s="31">
        <v>39</v>
      </c>
      <c r="P265" s="31">
        <v>39</v>
      </c>
    </row>
    <row r="266" spans="1:16" x14ac:dyDescent="0.3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  <c r="K266" s="31">
        <v>0.18179999999999999</v>
      </c>
      <c r="L266" s="31">
        <v>0.51</v>
      </c>
      <c r="M266" s="31">
        <v>0.3881</v>
      </c>
      <c r="N266" s="31">
        <v>3</v>
      </c>
      <c r="O266" s="31">
        <v>32</v>
      </c>
      <c r="P266" s="31">
        <v>35</v>
      </c>
    </row>
    <row r="267" spans="1:16" x14ac:dyDescent="0.3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  <c r="K267" s="31">
        <v>0.1515</v>
      </c>
      <c r="L267" s="31">
        <v>0.47</v>
      </c>
      <c r="M267" s="31">
        <v>0.58209999999999995</v>
      </c>
      <c r="N267" s="31">
        <v>3</v>
      </c>
      <c r="O267" s="31">
        <v>52</v>
      </c>
      <c r="P267" s="31">
        <v>55</v>
      </c>
    </row>
    <row r="268" spans="1:16" x14ac:dyDescent="0.3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  <c r="K268" s="31">
        <v>0.19700000000000001</v>
      </c>
      <c r="L268" s="31">
        <v>0.44</v>
      </c>
      <c r="M268" s="31">
        <v>0.35820000000000002</v>
      </c>
      <c r="N268" s="31">
        <v>0</v>
      </c>
      <c r="O268" s="31">
        <v>49</v>
      </c>
      <c r="P268" s="31">
        <v>49</v>
      </c>
    </row>
    <row r="269" spans="1:16" x14ac:dyDescent="0.3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  <c r="K269" s="31">
        <v>0.18179999999999999</v>
      </c>
      <c r="L269" s="31">
        <v>0.47</v>
      </c>
      <c r="M269" s="31">
        <v>0.32840000000000003</v>
      </c>
      <c r="N269" s="31">
        <v>0</v>
      </c>
      <c r="O269" s="31">
        <v>44</v>
      </c>
      <c r="P269" s="31">
        <v>44</v>
      </c>
    </row>
    <row r="270" spans="1:16" x14ac:dyDescent="0.3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  <c r="K270" s="31">
        <v>0.16669999999999999</v>
      </c>
      <c r="L270" s="31">
        <v>0.47</v>
      </c>
      <c r="M270" s="31">
        <v>0.41789999999999999</v>
      </c>
      <c r="N270" s="31">
        <v>1</v>
      </c>
      <c r="O270" s="31">
        <v>48</v>
      </c>
      <c r="P270" s="31">
        <v>49</v>
      </c>
    </row>
    <row r="271" spans="1:16" x14ac:dyDescent="0.3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  <c r="K271" s="31">
        <v>0.19700000000000001</v>
      </c>
      <c r="L271" s="31">
        <v>0.44</v>
      </c>
      <c r="M271" s="31">
        <v>0.32840000000000003</v>
      </c>
      <c r="N271" s="31">
        <v>5</v>
      </c>
      <c r="O271" s="31">
        <v>63</v>
      </c>
      <c r="P271" s="31">
        <v>68</v>
      </c>
    </row>
    <row r="272" spans="1:16" x14ac:dyDescent="0.3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  <c r="K272" s="31">
        <v>0.18179999999999999</v>
      </c>
      <c r="L272" s="31">
        <v>0.47</v>
      </c>
      <c r="M272" s="31">
        <v>0.35820000000000002</v>
      </c>
      <c r="N272" s="31">
        <v>0</v>
      </c>
      <c r="O272" s="31">
        <v>139</v>
      </c>
      <c r="P272" s="31">
        <v>139</v>
      </c>
    </row>
    <row r="273" spans="1:16" x14ac:dyDescent="0.3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  <c r="K273" s="31">
        <v>0.1515</v>
      </c>
      <c r="L273" s="31">
        <v>0.47</v>
      </c>
      <c r="M273" s="31">
        <v>0.52239999999999998</v>
      </c>
      <c r="N273" s="31">
        <v>2</v>
      </c>
      <c r="O273" s="31">
        <v>135</v>
      </c>
      <c r="P273" s="31">
        <v>137</v>
      </c>
    </row>
    <row r="274" spans="1:16" x14ac:dyDescent="0.3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  <c r="K274" s="31">
        <v>0.1515</v>
      </c>
      <c r="L274" s="31">
        <v>0.47</v>
      </c>
      <c r="M274" s="31">
        <v>0.41789999999999999</v>
      </c>
      <c r="N274" s="31">
        <v>1</v>
      </c>
      <c r="O274" s="31">
        <v>82</v>
      </c>
      <c r="P274" s="31">
        <v>83</v>
      </c>
    </row>
    <row r="275" spans="1:16" x14ac:dyDescent="0.3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  <c r="K275" s="31">
        <v>0.13639999999999999</v>
      </c>
      <c r="L275" s="31">
        <v>0.5</v>
      </c>
      <c r="M275" s="31">
        <v>0.32840000000000003</v>
      </c>
      <c r="N275" s="31">
        <v>2</v>
      </c>
      <c r="O275" s="31">
        <v>54</v>
      </c>
      <c r="P275" s="31">
        <v>56</v>
      </c>
    </row>
    <row r="276" spans="1:16" x14ac:dyDescent="0.3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  <c r="K276" s="31">
        <v>0.13639999999999999</v>
      </c>
      <c r="L276" s="31">
        <v>0.55000000000000004</v>
      </c>
      <c r="M276" s="31">
        <v>0.32840000000000003</v>
      </c>
      <c r="N276" s="31">
        <v>0</v>
      </c>
      <c r="O276" s="31">
        <v>57</v>
      </c>
      <c r="P276" s="31">
        <v>57</v>
      </c>
    </row>
    <row r="277" spans="1:16" x14ac:dyDescent="0.3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  <c r="K277" s="31">
        <v>0.1212</v>
      </c>
      <c r="L277" s="31">
        <v>0.55000000000000004</v>
      </c>
      <c r="M277" s="31">
        <v>0.44779999999999998</v>
      </c>
      <c r="N277" s="31">
        <v>1</v>
      </c>
      <c r="O277" s="31">
        <v>32</v>
      </c>
      <c r="P277" s="31">
        <v>33</v>
      </c>
    </row>
    <row r="278" spans="1:16" x14ac:dyDescent="0.3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  <c r="K278" s="31">
        <v>0.1061</v>
      </c>
      <c r="L278" s="31">
        <v>0.59</v>
      </c>
      <c r="M278" s="31">
        <v>0.41789999999999999</v>
      </c>
      <c r="N278" s="31">
        <v>1</v>
      </c>
      <c r="O278" s="31">
        <v>19</v>
      </c>
      <c r="P278" s="31">
        <v>20</v>
      </c>
    </row>
    <row r="279" spans="1:16" x14ac:dyDescent="0.3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  <c r="K279" s="31">
        <v>0.1212</v>
      </c>
      <c r="L279" s="31">
        <v>0.59</v>
      </c>
      <c r="M279" s="31">
        <v>0.28360000000000002</v>
      </c>
      <c r="N279" s="31">
        <v>1</v>
      </c>
      <c r="O279" s="31">
        <v>6</v>
      </c>
      <c r="P279" s="31">
        <v>7</v>
      </c>
    </row>
    <row r="280" spans="1:16" x14ac:dyDescent="0.3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  <c r="K280" s="31">
        <v>0.1212</v>
      </c>
      <c r="L280" s="31">
        <v>0.5</v>
      </c>
      <c r="M280" s="31">
        <v>0.28360000000000002</v>
      </c>
      <c r="N280" s="31">
        <v>0</v>
      </c>
      <c r="O280" s="31">
        <v>2</v>
      </c>
      <c r="P280" s="31">
        <v>2</v>
      </c>
    </row>
    <row r="281" spans="1:16" x14ac:dyDescent="0.3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  <c r="K281" s="31">
        <v>0.1212</v>
      </c>
      <c r="L281" s="31">
        <v>0.5</v>
      </c>
      <c r="M281" s="31">
        <v>0.35820000000000002</v>
      </c>
      <c r="N281" s="31">
        <v>0</v>
      </c>
      <c r="O281" s="31">
        <v>2</v>
      </c>
      <c r="P281" s="31">
        <v>2</v>
      </c>
    </row>
    <row r="282" spans="1:16" x14ac:dyDescent="0.3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  <c r="K282" s="31">
        <v>0.1212</v>
      </c>
      <c r="L282" s="31">
        <v>0.5</v>
      </c>
      <c r="M282" s="31">
        <v>0.32840000000000003</v>
      </c>
      <c r="N282" s="31">
        <v>0</v>
      </c>
      <c r="O282" s="31">
        <v>3</v>
      </c>
      <c r="P282" s="31">
        <v>3</v>
      </c>
    </row>
    <row r="283" spans="1:16" x14ac:dyDescent="0.3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  <c r="K283" s="31">
        <v>0.1212</v>
      </c>
      <c r="L283" s="31">
        <v>0.5</v>
      </c>
      <c r="M283" s="31">
        <v>0.25369999999999998</v>
      </c>
      <c r="N283" s="31">
        <v>0</v>
      </c>
      <c r="O283" s="31">
        <v>4</v>
      </c>
      <c r="P283" s="31">
        <v>4</v>
      </c>
    </row>
    <row r="284" spans="1:16" x14ac:dyDescent="0.3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  <c r="K284" s="31">
        <v>0.1212</v>
      </c>
      <c r="L284" s="31">
        <v>0.5</v>
      </c>
      <c r="M284" s="31">
        <v>0.29849999999999999</v>
      </c>
      <c r="N284" s="31">
        <v>0</v>
      </c>
      <c r="O284" s="31">
        <v>3</v>
      </c>
      <c r="P284" s="31">
        <v>3</v>
      </c>
    </row>
    <row r="285" spans="1:16" x14ac:dyDescent="0.3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  <c r="K285" s="31">
        <v>0.1515</v>
      </c>
      <c r="L285" s="31">
        <v>0.54</v>
      </c>
      <c r="M285" s="31">
        <v>0.1343</v>
      </c>
      <c r="N285" s="31">
        <v>0</v>
      </c>
      <c r="O285" s="31">
        <v>28</v>
      </c>
      <c r="P285" s="31">
        <v>28</v>
      </c>
    </row>
    <row r="286" spans="1:16" x14ac:dyDescent="0.3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  <c r="K286" s="31">
        <v>0.1515</v>
      </c>
      <c r="L286" s="31">
        <v>0.54</v>
      </c>
      <c r="M286" s="31">
        <v>0.1343</v>
      </c>
      <c r="N286" s="31">
        <v>0</v>
      </c>
      <c r="O286" s="31">
        <v>72</v>
      </c>
      <c r="P286" s="31">
        <v>72</v>
      </c>
    </row>
    <row r="287" spans="1:16" x14ac:dyDescent="0.3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  <c r="K287" s="31">
        <v>0.13639999999999999</v>
      </c>
      <c r="L287" s="31">
        <v>0.5</v>
      </c>
      <c r="M287" s="31">
        <v>0.19400000000000001</v>
      </c>
      <c r="N287" s="31">
        <v>5</v>
      </c>
      <c r="O287" s="31">
        <v>197</v>
      </c>
      <c r="P287" s="31">
        <v>202</v>
      </c>
    </row>
    <row r="288" spans="1:16" x14ac:dyDescent="0.3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  <c r="K288" s="31">
        <v>0.1212</v>
      </c>
      <c r="L288" s="31">
        <v>0.5</v>
      </c>
      <c r="M288" s="31">
        <v>0.32840000000000003</v>
      </c>
      <c r="N288" s="31">
        <v>2</v>
      </c>
      <c r="O288" s="31">
        <v>137</v>
      </c>
      <c r="P288" s="31">
        <v>139</v>
      </c>
    </row>
    <row r="289" spans="1:16" x14ac:dyDescent="0.3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  <c r="K289" s="31">
        <v>0.13639999999999999</v>
      </c>
      <c r="L289" s="31">
        <v>0.5</v>
      </c>
      <c r="M289" s="31">
        <v>0.35820000000000002</v>
      </c>
      <c r="N289" s="31">
        <v>2</v>
      </c>
      <c r="O289" s="31">
        <v>36</v>
      </c>
      <c r="P289" s="31">
        <v>38</v>
      </c>
    </row>
    <row r="290" spans="1:16" x14ac:dyDescent="0.3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  <c r="K290" s="31">
        <v>0.16669999999999999</v>
      </c>
      <c r="L290" s="31">
        <v>0.44</v>
      </c>
      <c r="M290" s="31">
        <v>0.44779999999999998</v>
      </c>
      <c r="N290" s="31">
        <v>4</v>
      </c>
      <c r="O290" s="31">
        <v>33</v>
      </c>
      <c r="P290" s="31">
        <v>37</v>
      </c>
    </row>
    <row r="291" spans="1:16" x14ac:dyDescent="0.3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  <c r="K291" s="31">
        <v>0.16669999999999999</v>
      </c>
      <c r="L291" s="31">
        <v>0.44</v>
      </c>
      <c r="M291" s="31">
        <v>0.41789999999999999</v>
      </c>
      <c r="N291" s="31">
        <v>3</v>
      </c>
      <c r="O291" s="31">
        <v>49</v>
      </c>
      <c r="P291" s="31">
        <v>52</v>
      </c>
    </row>
    <row r="292" spans="1:16" x14ac:dyDescent="0.3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  <c r="K292" s="31">
        <v>0.19700000000000001</v>
      </c>
      <c r="L292" s="31">
        <v>0.41</v>
      </c>
      <c r="M292" s="31">
        <v>0.44779999999999998</v>
      </c>
      <c r="N292" s="31">
        <v>2</v>
      </c>
      <c r="O292" s="31">
        <v>81</v>
      </c>
      <c r="P292" s="31">
        <v>83</v>
      </c>
    </row>
    <row r="293" spans="1:16" x14ac:dyDescent="0.3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  <c r="K293" s="31">
        <v>0.19700000000000001</v>
      </c>
      <c r="L293" s="31">
        <v>0.41</v>
      </c>
      <c r="M293" s="31">
        <v>0.3881</v>
      </c>
      <c r="N293" s="31">
        <v>3</v>
      </c>
      <c r="O293" s="31">
        <v>39</v>
      </c>
      <c r="P293" s="31">
        <v>42</v>
      </c>
    </row>
    <row r="294" spans="1:16" x14ac:dyDescent="0.3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  <c r="K294" s="31">
        <v>0.21210000000000001</v>
      </c>
      <c r="L294" s="31">
        <v>0.38</v>
      </c>
      <c r="M294" s="31">
        <v>0.29849999999999999</v>
      </c>
      <c r="N294" s="31">
        <v>5</v>
      </c>
      <c r="O294" s="31">
        <v>55</v>
      </c>
      <c r="P294" s="31">
        <v>60</v>
      </c>
    </row>
    <row r="295" spans="1:16" x14ac:dyDescent="0.3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  <c r="K295" s="31">
        <v>0.21210000000000001</v>
      </c>
      <c r="L295" s="31">
        <v>0.38</v>
      </c>
      <c r="M295" s="31">
        <v>0.35820000000000002</v>
      </c>
      <c r="N295" s="31">
        <v>2</v>
      </c>
      <c r="O295" s="31">
        <v>76</v>
      </c>
      <c r="P295" s="31">
        <v>78</v>
      </c>
    </row>
    <row r="296" spans="1:16" x14ac:dyDescent="0.3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  <c r="K296" s="31">
        <v>0.18179999999999999</v>
      </c>
      <c r="L296" s="31">
        <v>0.4</v>
      </c>
      <c r="M296" s="31">
        <v>0.28360000000000002</v>
      </c>
      <c r="N296" s="31">
        <v>4</v>
      </c>
      <c r="O296" s="31">
        <v>158</v>
      </c>
      <c r="P296" s="31">
        <v>162</v>
      </c>
    </row>
    <row r="297" spans="1:16" x14ac:dyDescent="0.3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  <c r="K297" s="31">
        <v>0.18179999999999999</v>
      </c>
      <c r="L297" s="31">
        <v>0.4</v>
      </c>
      <c r="M297" s="31">
        <v>0.32840000000000003</v>
      </c>
      <c r="N297" s="31">
        <v>3</v>
      </c>
      <c r="O297" s="31">
        <v>141</v>
      </c>
      <c r="P297" s="31">
        <v>144</v>
      </c>
    </row>
    <row r="298" spans="1:16" x14ac:dyDescent="0.3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  <c r="K298" s="31">
        <v>0.1515</v>
      </c>
      <c r="L298" s="31">
        <v>0.47</v>
      </c>
      <c r="M298" s="31">
        <v>0.25369999999999998</v>
      </c>
      <c r="N298" s="31">
        <v>1</v>
      </c>
      <c r="O298" s="31">
        <v>98</v>
      </c>
      <c r="P298" s="31">
        <v>99</v>
      </c>
    </row>
    <row r="299" spans="1:16" x14ac:dyDescent="0.3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  <c r="K299" s="31">
        <v>0.1515</v>
      </c>
      <c r="L299" s="31">
        <v>0.47</v>
      </c>
      <c r="M299" s="31">
        <v>0.22389999999999999</v>
      </c>
      <c r="N299" s="31">
        <v>0</v>
      </c>
      <c r="O299" s="31">
        <v>64</v>
      </c>
      <c r="P299" s="31">
        <v>64</v>
      </c>
    </row>
    <row r="300" spans="1:16" x14ac:dyDescent="0.3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  <c r="K300" s="31">
        <v>0.1212</v>
      </c>
      <c r="L300" s="31">
        <v>0.46</v>
      </c>
      <c r="M300" s="31">
        <v>0.29849999999999999</v>
      </c>
      <c r="N300" s="31">
        <v>0</v>
      </c>
      <c r="O300" s="31">
        <v>40</v>
      </c>
      <c r="P300" s="31">
        <v>40</v>
      </c>
    </row>
    <row r="301" spans="1:16" x14ac:dyDescent="0.3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  <c r="K301" s="31">
        <v>0.1212</v>
      </c>
      <c r="L301" s="31">
        <v>0.46</v>
      </c>
      <c r="M301" s="31">
        <v>0.32840000000000003</v>
      </c>
      <c r="N301" s="31">
        <v>0</v>
      </c>
      <c r="O301" s="31">
        <v>30</v>
      </c>
      <c r="P301" s="31">
        <v>30</v>
      </c>
    </row>
    <row r="302" spans="1:16" x14ac:dyDescent="0.3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  <c r="K302" s="31">
        <v>0.13639999999999999</v>
      </c>
      <c r="L302" s="31">
        <v>0.5</v>
      </c>
      <c r="M302" s="31">
        <v>0.19400000000000001</v>
      </c>
      <c r="N302" s="31">
        <v>1</v>
      </c>
      <c r="O302" s="31">
        <v>14</v>
      </c>
      <c r="P302" s="31">
        <v>15</v>
      </c>
    </row>
    <row r="303" spans="1:16" x14ac:dyDescent="0.3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  <c r="K303" s="31">
        <v>0.13639999999999999</v>
      </c>
      <c r="L303" s="31">
        <v>0.5</v>
      </c>
      <c r="M303" s="31">
        <v>0.19400000000000001</v>
      </c>
      <c r="N303" s="31">
        <v>0</v>
      </c>
      <c r="O303" s="31">
        <v>14</v>
      </c>
      <c r="P303" s="31">
        <v>14</v>
      </c>
    </row>
    <row r="304" spans="1:16" x14ac:dyDescent="0.3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  <c r="K304" s="31">
        <v>0.1212</v>
      </c>
      <c r="L304" s="31">
        <v>0.54</v>
      </c>
      <c r="M304" s="31">
        <v>0.16420000000000001</v>
      </c>
      <c r="N304" s="31">
        <v>0</v>
      </c>
      <c r="O304" s="31">
        <v>5</v>
      </c>
      <c r="P304" s="31">
        <v>5</v>
      </c>
    </row>
    <row r="305" spans="1:16" x14ac:dyDescent="0.3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  <c r="K305" s="31">
        <v>0.1212</v>
      </c>
      <c r="L305" s="31">
        <v>0.54</v>
      </c>
      <c r="M305" s="31">
        <v>0.1343</v>
      </c>
      <c r="N305" s="31">
        <v>0</v>
      </c>
      <c r="O305" s="31">
        <v>1</v>
      </c>
      <c r="P305" s="31">
        <v>1</v>
      </c>
    </row>
    <row r="306" spans="1:16" x14ac:dyDescent="0.3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  <c r="K306" s="31">
        <v>0.13639999999999999</v>
      </c>
      <c r="L306" s="31">
        <v>0.54</v>
      </c>
      <c r="M306" s="31">
        <v>0.1045</v>
      </c>
      <c r="N306" s="31">
        <v>0</v>
      </c>
      <c r="O306" s="31">
        <v>1</v>
      </c>
      <c r="P306" s="31">
        <v>1</v>
      </c>
    </row>
    <row r="307" spans="1:16" x14ac:dyDescent="0.3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  <c r="K307" s="31">
        <v>0.13639999999999999</v>
      </c>
      <c r="L307" s="31">
        <v>0.54</v>
      </c>
      <c r="M307" s="31">
        <v>8.9599999999999999E-2</v>
      </c>
      <c r="N307" s="31">
        <v>0</v>
      </c>
      <c r="O307" s="31">
        <v>8</v>
      </c>
      <c r="P307" s="31">
        <v>8</v>
      </c>
    </row>
    <row r="308" spans="1:16" x14ac:dyDescent="0.3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  <c r="K308" s="31">
        <v>0.18179999999999999</v>
      </c>
      <c r="L308" s="31">
        <v>0.54</v>
      </c>
      <c r="M308" s="31">
        <v>0</v>
      </c>
      <c r="N308" s="31">
        <v>0</v>
      </c>
      <c r="O308" s="31">
        <v>17</v>
      </c>
      <c r="P308" s="31">
        <v>17</v>
      </c>
    </row>
    <row r="309" spans="1:16" x14ac:dyDescent="0.3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  <c r="K309" s="31">
        <v>0.1212</v>
      </c>
      <c r="L309" s="31">
        <v>0.74</v>
      </c>
      <c r="M309" s="31">
        <v>0.16420000000000001</v>
      </c>
      <c r="N309" s="31">
        <v>0</v>
      </c>
      <c r="O309" s="31">
        <v>70</v>
      </c>
      <c r="P309" s="31">
        <v>70</v>
      </c>
    </row>
    <row r="310" spans="1:16" x14ac:dyDescent="0.3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  <c r="K310" s="31">
        <v>0.16669999999999999</v>
      </c>
      <c r="L310" s="31">
        <v>0.68</v>
      </c>
      <c r="M310" s="31">
        <v>0</v>
      </c>
      <c r="N310" s="31">
        <v>2</v>
      </c>
      <c r="O310" s="31">
        <v>156</v>
      </c>
      <c r="P310" s="31">
        <v>158</v>
      </c>
    </row>
    <row r="311" spans="1:16" x14ac:dyDescent="0.3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  <c r="K311" s="31">
        <v>0.1515</v>
      </c>
      <c r="L311" s="31">
        <v>0.69</v>
      </c>
      <c r="M311" s="31">
        <v>0.1343</v>
      </c>
      <c r="N311" s="31">
        <v>0</v>
      </c>
      <c r="O311" s="31">
        <v>117</v>
      </c>
      <c r="P311" s="31">
        <v>117</v>
      </c>
    </row>
    <row r="312" spans="1:16" x14ac:dyDescent="0.3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  <c r="K312" s="31">
        <v>0.18179999999999999</v>
      </c>
      <c r="L312" s="31">
        <v>0.55000000000000004</v>
      </c>
      <c r="M312" s="31">
        <v>0.19400000000000001</v>
      </c>
      <c r="N312" s="31">
        <v>4</v>
      </c>
      <c r="O312" s="31">
        <v>40</v>
      </c>
      <c r="P312" s="31">
        <v>44</v>
      </c>
    </row>
    <row r="313" spans="1:16" x14ac:dyDescent="0.3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  <c r="K313" s="31">
        <v>0.16669999999999999</v>
      </c>
      <c r="L313" s="31">
        <v>0.51</v>
      </c>
      <c r="M313" s="31">
        <v>0.28360000000000002</v>
      </c>
      <c r="N313" s="31">
        <v>6</v>
      </c>
      <c r="O313" s="31">
        <v>47</v>
      </c>
      <c r="P313" s="31">
        <v>53</v>
      </c>
    </row>
    <row r="314" spans="1:16" x14ac:dyDescent="0.3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  <c r="K314" s="31">
        <v>0.19700000000000001</v>
      </c>
      <c r="L314" s="31">
        <v>0.44</v>
      </c>
      <c r="M314" s="31">
        <v>0.25369999999999998</v>
      </c>
      <c r="N314" s="31">
        <v>2</v>
      </c>
      <c r="O314" s="31">
        <v>59</v>
      </c>
      <c r="P314" s="31">
        <v>61</v>
      </c>
    </row>
    <row r="315" spans="1:16" x14ac:dyDescent="0.3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  <c r="K315" s="31">
        <v>0.19700000000000001</v>
      </c>
      <c r="L315" s="31">
        <v>0.37</v>
      </c>
      <c r="M315" s="31">
        <v>0.3881</v>
      </c>
      <c r="N315" s="31">
        <v>4</v>
      </c>
      <c r="O315" s="31">
        <v>73</v>
      </c>
      <c r="P315" s="31">
        <v>77</v>
      </c>
    </row>
    <row r="316" spans="1:16" x14ac:dyDescent="0.3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  <c r="K316" s="31">
        <v>0.21210000000000001</v>
      </c>
      <c r="L316" s="31">
        <v>0.41</v>
      </c>
      <c r="M316" s="31">
        <v>0.28360000000000002</v>
      </c>
      <c r="N316" s="31">
        <v>5</v>
      </c>
      <c r="O316" s="31">
        <v>59</v>
      </c>
      <c r="P316" s="31">
        <v>64</v>
      </c>
    </row>
    <row r="317" spans="1:16" x14ac:dyDescent="0.3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  <c r="K317" s="31">
        <v>0.2424</v>
      </c>
      <c r="L317" s="31">
        <v>0.38</v>
      </c>
      <c r="M317" s="31">
        <v>0.16420000000000001</v>
      </c>
      <c r="N317" s="31">
        <v>9</v>
      </c>
      <c r="O317" s="31">
        <v>59</v>
      </c>
      <c r="P317" s="31">
        <v>68</v>
      </c>
    </row>
    <row r="318" spans="1:16" x14ac:dyDescent="0.3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  <c r="K318" s="31">
        <v>0.2424</v>
      </c>
      <c r="L318" s="31">
        <v>0.41</v>
      </c>
      <c r="M318" s="31">
        <v>0.1045</v>
      </c>
      <c r="N318" s="31">
        <v>3</v>
      </c>
      <c r="O318" s="31">
        <v>87</v>
      </c>
      <c r="P318" s="31">
        <v>90</v>
      </c>
    </row>
    <row r="319" spans="1:16" x14ac:dyDescent="0.3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  <c r="K319" s="31">
        <v>0.2273</v>
      </c>
      <c r="L319" s="31">
        <v>0.41</v>
      </c>
      <c r="M319" s="31">
        <v>0.16420000000000001</v>
      </c>
      <c r="N319" s="31">
        <v>4</v>
      </c>
      <c r="O319" s="31">
        <v>155</v>
      </c>
      <c r="P319" s="31">
        <v>159</v>
      </c>
    </row>
    <row r="320" spans="1:16" x14ac:dyDescent="0.3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  <c r="K320" s="31">
        <v>0.2576</v>
      </c>
      <c r="L320" s="31">
        <v>0.47</v>
      </c>
      <c r="M320" s="31">
        <v>0</v>
      </c>
      <c r="N320" s="31">
        <v>5</v>
      </c>
      <c r="O320" s="31">
        <v>134</v>
      </c>
      <c r="P320" s="31">
        <v>139</v>
      </c>
    </row>
    <row r="321" spans="1:16" x14ac:dyDescent="0.3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  <c r="K321" s="31">
        <v>0.19700000000000001</v>
      </c>
      <c r="L321" s="31">
        <v>0.59</v>
      </c>
      <c r="M321" s="31">
        <v>8.9599999999999999E-2</v>
      </c>
      <c r="N321" s="31">
        <v>3</v>
      </c>
      <c r="O321" s="31">
        <v>89</v>
      </c>
      <c r="P321" s="31">
        <v>92</v>
      </c>
    </row>
    <row r="322" spans="1:16" x14ac:dyDescent="0.3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  <c r="K322" s="31">
        <v>0.2424</v>
      </c>
      <c r="L322" s="31">
        <v>0.59</v>
      </c>
      <c r="M322" s="31">
        <v>0</v>
      </c>
      <c r="N322" s="31">
        <v>0</v>
      </c>
      <c r="O322" s="31">
        <v>68</v>
      </c>
      <c r="P322" s="31">
        <v>68</v>
      </c>
    </row>
    <row r="323" spans="1:16" x14ac:dyDescent="0.3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  <c r="K323" s="31">
        <v>0.2273</v>
      </c>
      <c r="L323" s="31">
        <v>0.69</v>
      </c>
      <c r="M323" s="31">
        <v>0</v>
      </c>
      <c r="N323" s="31">
        <v>4</v>
      </c>
      <c r="O323" s="31">
        <v>48</v>
      </c>
      <c r="P323" s="31">
        <v>52</v>
      </c>
    </row>
    <row r="324" spans="1:16" x14ac:dyDescent="0.3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  <c r="K324" s="31">
        <v>0.2273</v>
      </c>
      <c r="L324" s="31">
        <v>0.69</v>
      </c>
      <c r="M324" s="31">
        <v>0</v>
      </c>
      <c r="N324" s="31">
        <v>2</v>
      </c>
      <c r="O324" s="31">
        <v>34</v>
      </c>
      <c r="P324" s="31">
        <v>36</v>
      </c>
    </row>
    <row r="325" spans="1:16" x14ac:dyDescent="0.3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  <c r="K325" s="31">
        <v>0.2424</v>
      </c>
      <c r="L325" s="31">
        <v>0.55000000000000004</v>
      </c>
      <c r="M325" s="31">
        <v>0</v>
      </c>
      <c r="N325" s="31">
        <v>1</v>
      </c>
      <c r="O325" s="31">
        <v>26</v>
      </c>
      <c r="P325" s="31">
        <v>27</v>
      </c>
    </row>
    <row r="326" spans="1:16" x14ac:dyDescent="0.3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  <c r="K326" s="31">
        <v>0.2424</v>
      </c>
      <c r="L326" s="31">
        <v>0.55000000000000004</v>
      </c>
      <c r="M326" s="31">
        <v>0</v>
      </c>
      <c r="N326" s="31">
        <v>3</v>
      </c>
      <c r="O326" s="31">
        <v>25</v>
      </c>
      <c r="P326" s="31">
        <v>28</v>
      </c>
    </row>
    <row r="327" spans="1:16" x14ac:dyDescent="0.3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  <c r="K327" s="31">
        <v>0.19700000000000001</v>
      </c>
      <c r="L327" s="31">
        <v>0.59</v>
      </c>
      <c r="M327" s="31">
        <v>8.9599999999999999E-2</v>
      </c>
      <c r="N327" s="31">
        <v>2</v>
      </c>
      <c r="O327" s="31">
        <v>18</v>
      </c>
      <c r="P327" s="31">
        <v>20</v>
      </c>
    </row>
    <row r="328" spans="1:16" x14ac:dyDescent="0.3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  <c r="K328" s="31">
        <v>0.19700000000000001</v>
      </c>
      <c r="L328" s="31">
        <v>0.59</v>
      </c>
      <c r="M328" s="31">
        <v>8.9599999999999999E-2</v>
      </c>
      <c r="N328" s="31">
        <v>0</v>
      </c>
      <c r="O328" s="31">
        <v>12</v>
      </c>
      <c r="P328" s="31">
        <v>12</v>
      </c>
    </row>
    <row r="329" spans="1:16" x14ac:dyDescent="0.3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  <c r="K329" s="31">
        <v>0.2273</v>
      </c>
      <c r="L329" s="31">
        <v>0.59</v>
      </c>
      <c r="M329" s="31">
        <v>0</v>
      </c>
      <c r="N329" s="31">
        <v>1</v>
      </c>
      <c r="O329" s="31">
        <v>7</v>
      </c>
      <c r="P329" s="31">
        <v>8</v>
      </c>
    </row>
    <row r="330" spans="1:16" x14ac:dyDescent="0.3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  <c r="K330" s="31">
        <v>0.2273</v>
      </c>
      <c r="L330" s="31">
        <v>0.59</v>
      </c>
      <c r="M330" s="31">
        <v>0</v>
      </c>
      <c r="N330" s="31">
        <v>0</v>
      </c>
      <c r="O330" s="31">
        <v>5</v>
      </c>
      <c r="P330" s="31">
        <v>5</v>
      </c>
    </row>
    <row r="331" spans="1:16" x14ac:dyDescent="0.3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  <c r="K331" s="31">
        <v>0.2273</v>
      </c>
      <c r="L331" s="31">
        <v>0.59</v>
      </c>
      <c r="M331" s="31">
        <v>0</v>
      </c>
      <c r="N331" s="31">
        <v>0</v>
      </c>
      <c r="O331" s="31">
        <v>1</v>
      </c>
      <c r="P331" s="31">
        <v>1</v>
      </c>
    </row>
    <row r="332" spans="1:16" x14ac:dyDescent="0.3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  <c r="K332" s="31">
        <v>0.16669999999999999</v>
      </c>
      <c r="L332" s="31">
        <v>0.63</v>
      </c>
      <c r="M332" s="31">
        <v>0.1045</v>
      </c>
      <c r="N332" s="31">
        <v>1</v>
      </c>
      <c r="O332" s="31">
        <v>2</v>
      </c>
      <c r="P332" s="31">
        <v>3</v>
      </c>
    </row>
    <row r="333" spans="1:16" x14ac:dyDescent="0.3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  <c r="K333" s="31">
        <v>0.21210000000000001</v>
      </c>
      <c r="L333" s="31">
        <v>0.63</v>
      </c>
      <c r="M333" s="31">
        <v>0</v>
      </c>
      <c r="N333" s="31">
        <v>1</v>
      </c>
      <c r="O333" s="31">
        <v>9</v>
      </c>
      <c r="P333" s="31">
        <v>10</v>
      </c>
    </row>
    <row r="334" spans="1:16" x14ac:dyDescent="0.3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  <c r="K334" s="31">
        <v>0.1515</v>
      </c>
      <c r="L334" s="31">
        <v>0.63</v>
      </c>
      <c r="M334" s="31">
        <v>0.1343</v>
      </c>
      <c r="N334" s="31">
        <v>1</v>
      </c>
      <c r="O334" s="31">
        <v>22</v>
      </c>
      <c r="P334" s="31">
        <v>23</v>
      </c>
    </row>
    <row r="335" spans="1:16" x14ac:dyDescent="0.3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  <c r="K335" s="31">
        <v>0.18179999999999999</v>
      </c>
      <c r="L335" s="31">
        <v>0.64</v>
      </c>
      <c r="M335" s="31">
        <v>0.1343</v>
      </c>
      <c r="N335" s="31">
        <v>2</v>
      </c>
      <c r="O335" s="31">
        <v>31</v>
      </c>
      <c r="P335" s="31">
        <v>33</v>
      </c>
    </row>
    <row r="336" spans="1:16" x14ac:dyDescent="0.3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  <c r="K336" s="31">
        <v>0.19700000000000001</v>
      </c>
      <c r="L336" s="31">
        <v>0.59</v>
      </c>
      <c r="M336" s="31">
        <v>0.16420000000000001</v>
      </c>
      <c r="N336" s="31">
        <v>2</v>
      </c>
      <c r="O336" s="31">
        <v>57</v>
      </c>
      <c r="P336" s="31">
        <v>59</v>
      </c>
    </row>
    <row r="337" spans="1:16" x14ac:dyDescent="0.3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  <c r="K337" s="31">
        <v>0.19700000000000001</v>
      </c>
      <c r="L337" s="31">
        <v>0.55000000000000004</v>
      </c>
      <c r="M337" s="31">
        <v>0.22389999999999999</v>
      </c>
      <c r="N337" s="31">
        <v>18</v>
      </c>
      <c r="O337" s="31">
        <v>54</v>
      </c>
      <c r="P337" s="31">
        <v>72</v>
      </c>
    </row>
    <row r="338" spans="1:16" x14ac:dyDescent="0.3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  <c r="K338" s="31">
        <v>0.2273</v>
      </c>
      <c r="L338" s="31">
        <v>0.48</v>
      </c>
      <c r="M338" s="31">
        <v>0.22389999999999999</v>
      </c>
      <c r="N338" s="31">
        <v>15</v>
      </c>
      <c r="O338" s="31">
        <v>74</v>
      </c>
      <c r="P338" s="31">
        <v>89</v>
      </c>
    </row>
    <row r="339" spans="1:16" x14ac:dyDescent="0.3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  <c r="K339" s="31">
        <v>0.2576</v>
      </c>
      <c r="L339" s="31">
        <v>0.38</v>
      </c>
      <c r="M339" s="31">
        <v>0.29849999999999999</v>
      </c>
      <c r="N339" s="31">
        <v>21</v>
      </c>
      <c r="O339" s="31">
        <v>80</v>
      </c>
      <c r="P339" s="31">
        <v>101</v>
      </c>
    </row>
    <row r="340" spans="1:16" x14ac:dyDescent="0.3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  <c r="K340" s="31">
        <v>0.28789999999999999</v>
      </c>
      <c r="L340" s="31">
        <v>0.39</v>
      </c>
      <c r="M340" s="31">
        <v>0.28360000000000002</v>
      </c>
      <c r="N340" s="31">
        <v>26</v>
      </c>
      <c r="O340" s="31">
        <v>92</v>
      </c>
      <c r="P340" s="31">
        <v>118</v>
      </c>
    </row>
    <row r="341" spans="1:16" x14ac:dyDescent="0.3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  <c r="K341" s="31">
        <v>0.31819999999999998</v>
      </c>
      <c r="L341" s="31">
        <v>0.36</v>
      </c>
      <c r="M341" s="31">
        <v>0.19400000000000001</v>
      </c>
      <c r="N341" s="31">
        <v>21</v>
      </c>
      <c r="O341" s="31">
        <v>108</v>
      </c>
      <c r="P341" s="31">
        <v>129</v>
      </c>
    </row>
    <row r="342" spans="1:16" x14ac:dyDescent="0.3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  <c r="K342" s="31">
        <v>0.33329999999999999</v>
      </c>
      <c r="L342" s="31">
        <v>0.34</v>
      </c>
      <c r="M342" s="31">
        <v>0.19400000000000001</v>
      </c>
      <c r="N342" s="31">
        <v>33</v>
      </c>
      <c r="O342" s="31">
        <v>95</v>
      </c>
      <c r="P342" s="31">
        <v>128</v>
      </c>
    </row>
    <row r="343" spans="1:16" x14ac:dyDescent="0.3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  <c r="K343" s="31">
        <v>0.30299999999999999</v>
      </c>
      <c r="L343" s="31">
        <v>0.36</v>
      </c>
      <c r="M343" s="31">
        <v>0.28360000000000002</v>
      </c>
      <c r="N343" s="31">
        <v>29</v>
      </c>
      <c r="O343" s="31">
        <v>54</v>
      </c>
      <c r="P343" s="31">
        <v>83</v>
      </c>
    </row>
    <row r="344" spans="1:16" x14ac:dyDescent="0.3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  <c r="K344" s="31">
        <v>0.28789999999999999</v>
      </c>
      <c r="L344" s="31">
        <v>0.45</v>
      </c>
      <c r="M344" s="31">
        <v>0.25369999999999998</v>
      </c>
      <c r="N344" s="31">
        <v>15</v>
      </c>
      <c r="O344" s="31">
        <v>69</v>
      </c>
      <c r="P344" s="31">
        <v>84</v>
      </c>
    </row>
    <row r="345" spans="1:16" x14ac:dyDescent="0.3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  <c r="K345" s="31">
        <v>0.30299999999999999</v>
      </c>
      <c r="L345" s="31">
        <v>0.39</v>
      </c>
      <c r="M345" s="31">
        <v>0.25369999999999998</v>
      </c>
      <c r="N345" s="31">
        <v>14</v>
      </c>
      <c r="O345" s="31">
        <v>60</v>
      </c>
      <c r="P345" s="31">
        <v>74</v>
      </c>
    </row>
    <row r="346" spans="1:16" x14ac:dyDescent="0.3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  <c r="K346" s="31">
        <v>0.30299999999999999</v>
      </c>
      <c r="L346" s="31">
        <v>0.39</v>
      </c>
      <c r="M346" s="31">
        <v>0.25369999999999998</v>
      </c>
      <c r="N346" s="31">
        <v>6</v>
      </c>
      <c r="O346" s="31">
        <v>35</v>
      </c>
      <c r="P346" s="31">
        <v>41</v>
      </c>
    </row>
    <row r="347" spans="1:16" x14ac:dyDescent="0.3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  <c r="K347" s="31">
        <v>0.30299999999999999</v>
      </c>
      <c r="L347" s="31">
        <v>0.39</v>
      </c>
      <c r="M347" s="31">
        <v>0.22389999999999999</v>
      </c>
      <c r="N347" s="31">
        <v>6</v>
      </c>
      <c r="O347" s="31">
        <v>51</v>
      </c>
      <c r="P347" s="31">
        <v>57</v>
      </c>
    </row>
    <row r="348" spans="1:16" x14ac:dyDescent="0.3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  <c r="K348" s="31">
        <v>0.31819999999999998</v>
      </c>
      <c r="L348" s="31">
        <v>0.42</v>
      </c>
      <c r="M348" s="31">
        <v>0.1045</v>
      </c>
      <c r="N348" s="31">
        <v>0</v>
      </c>
      <c r="O348" s="31">
        <v>26</v>
      </c>
      <c r="P348" s="31">
        <v>26</v>
      </c>
    </row>
    <row r="349" spans="1:16" x14ac:dyDescent="0.3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  <c r="K349" s="31">
        <v>0.28789999999999999</v>
      </c>
      <c r="L349" s="31">
        <v>0.45</v>
      </c>
      <c r="M349" s="31">
        <v>0.28360000000000002</v>
      </c>
      <c r="N349" s="31">
        <v>5</v>
      </c>
      <c r="O349" s="31">
        <v>39</v>
      </c>
      <c r="P349" s="31">
        <v>44</v>
      </c>
    </row>
    <row r="350" spans="1:16" x14ac:dyDescent="0.3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  <c r="K350" s="31">
        <v>0.30299999999999999</v>
      </c>
      <c r="L350" s="31">
        <v>0.56000000000000005</v>
      </c>
      <c r="M350" s="31">
        <v>0</v>
      </c>
      <c r="N350" s="31">
        <v>6</v>
      </c>
      <c r="O350" s="31">
        <v>33</v>
      </c>
      <c r="P350" s="31">
        <v>39</v>
      </c>
    </row>
    <row r="351" spans="1:16" x14ac:dyDescent="0.3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  <c r="K351" s="31">
        <v>0.2727</v>
      </c>
      <c r="L351" s="31">
        <v>0.56000000000000005</v>
      </c>
      <c r="M351" s="31">
        <v>0.1343</v>
      </c>
      <c r="N351" s="31">
        <v>4</v>
      </c>
      <c r="O351" s="31">
        <v>19</v>
      </c>
      <c r="P351" s="31">
        <v>23</v>
      </c>
    </row>
    <row r="352" spans="1:16" x14ac:dyDescent="0.3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  <c r="K352" s="31">
        <v>0.28789999999999999</v>
      </c>
      <c r="L352" s="31">
        <v>0.56000000000000005</v>
      </c>
      <c r="M352" s="31">
        <v>8.9599999999999999E-2</v>
      </c>
      <c r="N352" s="31">
        <v>3</v>
      </c>
      <c r="O352" s="31">
        <v>13</v>
      </c>
      <c r="P352" s="31">
        <v>16</v>
      </c>
    </row>
    <row r="353" spans="1:16" x14ac:dyDescent="0.3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  <c r="K353" s="31">
        <v>0.2727</v>
      </c>
      <c r="L353" s="31">
        <v>0.69</v>
      </c>
      <c r="M353" s="31">
        <v>0</v>
      </c>
      <c r="N353" s="31">
        <v>9</v>
      </c>
      <c r="O353" s="31">
        <v>6</v>
      </c>
      <c r="P353" s="31">
        <v>15</v>
      </c>
    </row>
    <row r="354" spans="1:16" x14ac:dyDescent="0.3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  <c r="K354" s="31">
        <v>0.2576</v>
      </c>
      <c r="L354" s="31">
        <v>0.56000000000000005</v>
      </c>
      <c r="M354" s="31">
        <v>0.16420000000000001</v>
      </c>
      <c r="N354" s="31">
        <v>0</v>
      </c>
      <c r="O354" s="31">
        <v>1</v>
      </c>
      <c r="P354" s="31">
        <v>1</v>
      </c>
    </row>
    <row r="355" spans="1:16" x14ac:dyDescent="0.3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  <c r="K355" s="31">
        <v>0.2576</v>
      </c>
      <c r="L355" s="31">
        <v>0.56000000000000005</v>
      </c>
      <c r="M355" s="31">
        <v>0.16420000000000001</v>
      </c>
      <c r="N355" s="31">
        <v>1</v>
      </c>
      <c r="O355" s="31">
        <v>1</v>
      </c>
      <c r="P355" s="31">
        <v>2</v>
      </c>
    </row>
    <row r="356" spans="1:16" x14ac:dyDescent="0.3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  <c r="K356" s="31">
        <v>0.2576</v>
      </c>
      <c r="L356" s="31">
        <v>0.56000000000000005</v>
      </c>
      <c r="M356" s="31">
        <v>0.16420000000000001</v>
      </c>
      <c r="N356" s="31">
        <v>0</v>
      </c>
      <c r="O356" s="31">
        <v>1</v>
      </c>
      <c r="P356" s="31">
        <v>1</v>
      </c>
    </row>
    <row r="357" spans="1:16" x14ac:dyDescent="0.3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  <c r="K357" s="31">
        <v>0.21210000000000001</v>
      </c>
      <c r="L357" s="31">
        <v>0.56000000000000005</v>
      </c>
      <c r="M357" s="31">
        <v>0.29849999999999999</v>
      </c>
      <c r="N357" s="31">
        <v>0</v>
      </c>
      <c r="O357" s="31">
        <v>3</v>
      </c>
      <c r="P357" s="31">
        <v>3</v>
      </c>
    </row>
    <row r="358" spans="1:16" x14ac:dyDescent="0.3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  <c r="K358" s="31">
        <v>0.21210000000000001</v>
      </c>
      <c r="L358" s="31">
        <v>0.55000000000000004</v>
      </c>
      <c r="M358" s="31">
        <v>0.28360000000000002</v>
      </c>
      <c r="N358" s="31">
        <v>0</v>
      </c>
      <c r="O358" s="31">
        <v>18</v>
      </c>
      <c r="P358" s="31">
        <v>18</v>
      </c>
    </row>
    <row r="359" spans="1:16" x14ac:dyDescent="0.3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  <c r="K359" s="31">
        <v>0.21210000000000001</v>
      </c>
      <c r="L359" s="31">
        <v>0.51</v>
      </c>
      <c r="M359" s="31">
        <v>0.25369999999999998</v>
      </c>
      <c r="N359" s="31">
        <v>3</v>
      </c>
      <c r="O359" s="31">
        <v>29</v>
      </c>
      <c r="P359" s="31">
        <v>32</v>
      </c>
    </row>
    <row r="360" spans="1:16" x14ac:dyDescent="0.3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  <c r="K360" s="31">
        <v>0.21210000000000001</v>
      </c>
      <c r="L360" s="31">
        <v>0.51</v>
      </c>
      <c r="M360" s="31">
        <v>0.28360000000000002</v>
      </c>
      <c r="N360" s="31">
        <v>8</v>
      </c>
      <c r="O360" s="31">
        <v>71</v>
      </c>
      <c r="P360" s="31">
        <v>79</v>
      </c>
    </row>
    <row r="361" spans="1:16" x14ac:dyDescent="0.3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  <c r="K361" s="31">
        <v>0.2273</v>
      </c>
      <c r="L361" s="31">
        <v>0.44</v>
      </c>
      <c r="M361" s="31">
        <v>0.25369999999999998</v>
      </c>
      <c r="N361" s="31">
        <v>23</v>
      </c>
      <c r="O361" s="31">
        <v>70</v>
      </c>
      <c r="P361" s="31">
        <v>93</v>
      </c>
    </row>
    <row r="362" spans="1:16" x14ac:dyDescent="0.3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  <c r="K362" s="31">
        <v>0.21210000000000001</v>
      </c>
      <c r="L362" s="31">
        <v>0.41</v>
      </c>
      <c r="M362" s="31">
        <v>0.28360000000000002</v>
      </c>
      <c r="N362" s="31">
        <v>29</v>
      </c>
      <c r="O362" s="31">
        <v>75</v>
      </c>
      <c r="P362" s="31">
        <v>104</v>
      </c>
    </row>
    <row r="363" spans="1:16" x14ac:dyDescent="0.3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  <c r="K363" s="31">
        <v>0.2273</v>
      </c>
      <c r="L363" s="31">
        <v>0.35</v>
      </c>
      <c r="M363" s="31">
        <v>0.29849999999999999</v>
      </c>
      <c r="N363" s="31">
        <v>23</v>
      </c>
      <c r="O363" s="31">
        <v>95</v>
      </c>
      <c r="P363" s="31">
        <v>118</v>
      </c>
    </row>
    <row r="364" spans="1:16" x14ac:dyDescent="0.3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  <c r="K364" s="31">
        <v>0.2727</v>
      </c>
      <c r="L364" s="31">
        <v>0.36</v>
      </c>
      <c r="M364" s="31">
        <v>0.25369999999999998</v>
      </c>
      <c r="N364" s="31">
        <v>22</v>
      </c>
      <c r="O364" s="31">
        <v>69</v>
      </c>
      <c r="P364" s="31">
        <v>91</v>
      </c>
    </row>
    <row r="365" spans="1:16" x14ac:dyDescent="0.3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  <c r="K365" s="31">
        <v>0.2424</v>
      </c>
      <c r="L365" s="31">
        <v>0.38</v>
      </c>
      <c r="M365" s="31">
        <v>0.25369999999999998</v>
      </c>
      <c r="N365" s="31">
        <v>35</v>
      </c>
      <c r="O365" s="31">
        <v>78</v>
      </c>
      <c r="P365" s="31">
        <v>113</v>
      </c>
    </row>
    <row r="366" spans="1:16" x14ac:dyDescent="0.3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  <c r="K366" s="31">
        <v>0.2273</v>
      </c>
      <c r="L366" s="31">
        <v>0.38</v>
      </c>
      <c r="M366" s="31">
        <v>0.22389999999999999</v>
      </c>
      <c r="N366" s="31">
        <v>22</v>
      </c>
      <c r="O366" s="31">
        <v>77</v>
      </c>
      <c r="P366" s="31">
        <v>99</v>
      </c>
    </row>
    <row r="367" spans="1:16" x14ac:dyDescent="0.3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  <c r="K367" s="31">
        <v>0.21210000000000001</v>
      </c>
      <c r="L367" s="31">
        <v>0.37</v>
      </c>
      <c r="M367" s="31">
        <v>0.25369999999999998</v>
      </c>
      <c r="N367" s="31">
        <v>23</v>
      </c>
      <c r="O367" s="31">
        <v>82</v>
      </c>
      <c r="P367" s="31">
        <v>105</v>
      </c>
    </row>
    <row r="368" spans="1:16" x14ac:dyDescent="0.3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  <c r="K368" s="31">
        <v>0.21210000000000001</v>
      </c>
      <c r="L368" s="31">
        <v>0.4</v>
      </c>
      <c r="M368" s="31">
        <v>0.16420000000000001</v>
      </c>
      <c r="N368" s="31">
        <v>11</v>
      </c>
      <c r="O368" s="31">
        <v>56</v>
      </c>
      <c r="P368" s="31">
        <v>67</v>
      </c>
    </row>
    <row r="369" spans="1:16" x14ac:dyDescent="0.3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  <c r="K369" s="31">
        <v>0.19700000000000001</v>
      </c>
      <c r="L369" s="31">
        <v>0.47</v>
      </c>
      <c r="M369" s="31">
        <v>0.1343</v>
      </c>
      <c r="N369" s="31">
        <v>14</v>
      </c>
      <c r="O369" s="31">
        <v>47</v>
      </c>
      <c r="P369" s="31">
        <v>61</v>
      </c>
    </row>
    <row r="370" spans="1:16" x14ac:dyDescent="0.3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  <c r="K370" s="31">
        <v>0.19700000000000001</v>
      </c>
      <c r="L370" s="31">
        <v>0.47</v>
      </c>
      <c r="M370" s="31">
        <v>0.16420000000000001</v>
      </c>
      <c r="N370" s="31">
        <v>7</v>
      </c>
      <c r="O370" s="31">
        <v>50</v>
      </c>
      <c r="P370" s="31">
        <v>57</v>
      </c>
    </row>
    <row r="371" spans="1:16" x14ac:dyDescent="0.3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  <c r="K371" s="31">
        <v>0.19700000000000001</v>
      </c>
      <c r="L371" s="31">
        <v>0.51</v>
      </c>
      <c r="M371" s="31">
        <v>0.16420000000000001</v>
      </c>
      <c r="N371" s="31">
        <v>6</v>
      </c>
      <c r="O371" s="31">
        <v>22</v>
      </c>
      <c r="P371" s="31">
        <v>28</v>
      </c>
    </row>
    <row r="372" spans="1:16" x14ac:dyDescent="0.3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  <c r="K372" s="31">
        <v>0.21210000000000001</v>
      </c>
      <c r="L372" s="31">
        <v>0.49</v>
      </c>
      <c r="M372" s="31">
        <v>0.1343</v>
      </c>
      <c r="N372" s="31">
        <v>2</v>
      </c>
      <c r="O372" s="31">
        <v>19</v>
      </c>
      <c r="P372" s="31">
        <v>21</v>
      </c>
    </row>
    <row r="373" spans="1:16" x14ac:dyDescent="0.3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  <c r="K373" s="31">
        <v>0.2273</v>
      </c>
      <c r="L373" s="31">
        <v>0.4</v>
      </c>
      <c r="M373" s="31">
        <v>0.1045</v>
      </c>
      <c r="N373" s="31">
        <v>0</v>
      </c>
      <c r="O373" s="31">
        <v>18</v>
      </c>
      <c r="P373" s="31">
        <v>18</v>
      </c>
    </row>
    <row r="374" spans="1:16" x14ac:dyDescent="0.3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  <c r="K374" s="31">
        <v>0.19700000000000001</v>
      </c>
      <c r="L374" s="31">
        <v>0.47</v>
      </c>
      <c r="M374" s="31">
        <v>0.22389999999999999</v>
      </c>
      <c r="N374" s="31">
        <v>1</v>
      </c>
      <c r="O374" s="31">
        <v>16</v>
      </c>
      <c r="P374" s="31">
        <v>17</v>
      </c>
    </row>
    <row r="375" spans="1:16" x14ac:dyDescent="0.3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  <c r="K375" s="31">
        <v>0.19700000000000001</v>
      </c>
      <c r="L375" s="31">
        <v>0.44</v>
      </c>
      <c r="M375" s="31">
        <v>0.19400000000000001</v>
      </c>
      <c r="N375" s="31">
        <v>1</v>
      </c>
      <c r="O375" s="31">
        <v>15</v>
      </c>
      <c r="P375" s="31">
        <v>16</v>
      </c>
    </row>
    <row r="376" spans="1:16" x14ac:dyDescent="0.3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  <c r="K376" s="31">
        <v>0.16669999999999999</v>
      </c>
      <c r="L376" s="31">
        <v>0.43</v>
      </c>
      <c r="M376" s="31">
        <v>0.25369999999999998</v>
      </c>
      <c r="N376" s="31">
        <v>0</v>
      </c>
      <c r="O376" s="31">
        <v>8</v>
      </c>
      <c r="P376" s="31">
        <v>8</v>
      </c>
    </row>
    <row r="377" spans="1:16" x14ac:dyDescent="0.3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  <c r="K377" s="31">
        <v>0.18179999999999999</v>
      </c>
      <c r="L377" s="31">
        <v>0.43</v>
      </c>
      <c r="M377" s="31">
        <v>0.19400000000000001</v>
      </c>
      <c r="N377" s="31">
        <v>0</v>
      </c>
      <c r="O377" s="31">
        <v>2</v>
      </c>
      <c r="P377" s="31">
        <v>2</v>
      </c>
    </row>
    <row r="378" spans="1:16" x14ac:dyDescent="0.3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  <c r="K378" s="31">
        <v>0.19700000000000001</v>
      </c>
      <c r="L378" s="31">
        <v>0.43</v>
      </c>
      <c r="M378" s="31">
        <v>0.1343</v>
      </c>
      <c r="N378" s="31">
        <v>1</v>
      </c>
      <c r="O378" s="31">
        <v>2</v>
      </c>
      <c r="P378" s="31">
        <v>3</v>
      </c>
    </row>
    <row r="379" spans="1:16" x14ac:dyDescent="0.3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  <c r="K379" s="31">
        <v>0.19700000000000001</v>
      </c>
      <c r="L379" s="31">
        <v>0.43</v>
      </c>
      <c r="M379" s="31">
        <v>0.16420000000000001</v>
      </c>
      <c r="N379" s="31">
        <v>0</v>
      </c>
      <c r="O379" s="31">
        <v>1</v>
      </c>
      <c r="P379" s="31">
        <v>1</v>
      </c>
    </row>
    <row r="380" spans="1:16" x14ac:dyDescent="0.3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  <c r="K380" s="31">
        <v>0.18179999999999999</v>
      </c>
      <c r="L380" s="31">
        <v>0.43</v>
      </c>
      <c r="M380" s="31">
        <v>0.19400000000000001</v>
      </c>
      <c r="N380" s="31">
        <v>0</v>
      </c>
      <c r="O380" s="31">
        <v>5</v>
      </c>
      <c r="P380" s="31">
        <v>5</v>
      </c>
    </row>
    <row r="381" spans="1:16" x14ac:dyDescent="0.3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  <c r="K381" s="31">
        <v>0.18179999999999999</v>
      </c>
      <c r="L381" s="31">
        <v>0.5</v>
      </c>
      <c r="M381" s="31">
        <v>0.1343</v>
      </c>
      <c r="N381" s="31">
        <v>4</v>
      </c>
      <c r="O381" s="31">
        <v>9</v>
      </c>
      <c r="P381" s="31">
        <v>13</v>
      </c>
    </row>
    <row r="382" spans="1:16" x14ac:dyDescent="0.3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  <c r="K382" s="31">
        <v>0.1515</v>
      </c>
      <c r="L382" s="31">
        <v>0.47</v>
      </c>
      <c r="M382" s="31">
        <v>0.22389999999999999</v>
      </c>
      <c r="N382" s="31">
        <v>3</v>
      </c>
      <c r="O382" s="31">
        <v>30</v>
      </c>
      <c r="P382" s="31">
        <v>33</v>
      </c>
    </row>
    <row r="383" spans="1:16" x14ac:dyDescent="0.3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  <c r="K383" s="31">
        <v>0.1515</v>
      </c>
      <c r="L383" s="31">
        <v>0.47</v>
      </c>
      <c r="M383" s="31">
        <v>0.22389999999999999</v>
      </c>
      <c r="N383" s="31">
        <v>8</v>
      </c>
      <c r="O383" s="31">
        <v>39</v>
      </c>
      <c r="P383" s="31">
        <v>47</v>
      </c>
    </row>
    <row r="384" spans="1:16" x14ac:dyDescent="0.3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  <c r="K384" s="31">
        <v>0.1515</v>
      </c>
      <c r="L384" s="31">
        <v>0.5</v>
      </c>
      <c r="M384" s="31">
        <v>0.25369999999999998</v>
      </c>
      <c r="N384" s="31">
        <v>7</v>
      </c>
      <c r="O384" s="31">
        <v>50</v>
      </c>
      <c r="P384" s="31">
        <v>57</v>
      </c>
    </row>
    <row r="385" spans="1:16" x14ac:dyDescent="0.3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  <c r="K385" s="31">
        <v>0.1515</v>
      </c>
      <c r="L385" s="31">
        <v>0.55000000000000004</v>
      </c>
      <c r="M385" s="31">
        <v>0.19400000000000001</v>
      </c>
      <c r="N385" s="31">
        <v>9</v>
      </c>
      <c r="O385" s="31">
        <v>55</v>
      </c>
      <c r="P385" s="31">
        <v>64</v>
      </c>
    </row>
    <row r="386" spans="1:16" x14ac:dyDescent="0.3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  <c r="K386" s="31">
        <v>0.19700000000000001</v>
      </c>
      <c r="L386" s="31">
        <v>0.47</v>
      </c>
      <c r="M386" s="31">
        <v>0.1343</v>
      </c>
      <c r="N386" s="31">
        <v>10</v>
      </c>
      <c r="O386" s="31">
        <v>70</v>
      </c>
      <c r="P386" s="31">
        <v>80</v>
      </c>
    </row>
    <row r="387" spans="1:16" x14ac:dyDescent="0.3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  <c r="K387" s="31">
        <v>0.19700000000000001</v>
      </c>
      <c r="L387" s="31">
        <v>0.47</v>
      </c>
      <c r="M387" s="31">
        <v>0.1343</v>
      </c>
      <c r="N387" s="31">
        <v>13</v>
      </c>
      <c r="O387" s="31">
        <v>80</v>
      </c>
      <c r="P387" s="31">
        <v>93</v>
      </c>
    </row>
    <row r="388" spans="1:16" x14ac:dyDescent="0.3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  <c r="K388" s="31">
        <v>0.21210000000000001</v>
      </c>
      <c r="L388" s="31">
        <v>0.43</v>
      </c>
      <c r="M388" s="31">
        <v>0.1045</v>
      </c>
      <c r="N388" s="31">
        <v>12</v>
      </c>
      <c r="O388" s="31">
        <v>74</v>
      </c>
      <c r="P388" s="31">
        <v>86</v>
      </c>
    </row>
    <row r="389" spans="1:16" x14ac:dyDescent="0.3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  <c r="K389" s="31">
        <v>0.21210000000000001</v>
      </c>
      <c r="L389" s="31">
        <v>0.47</v>
      </c>
      <c r="M389" s="31">
        <v>0.16420000000000001</v>
      </c>
      <c r="N389" s="31">
        <v>21</v>
      </c>
      <c r="O389" s="31">
        <v>72</v>
      </c>
      <c r="P389" s="31">
        <v>93</v>
      </c>
    </row>
    <row r="390" spans="1:16" x14ac:dyDescent="0.3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  <c r="K390" s="31">
        <v>0.21210000000000001</v>
      </c>
      <c r="L390" s="31">
        <v>0.47</v>
      </c>
      <c r="M390" s="31">
        <v>0.16420000000000001</v>
      </c>
      <c r="N390" s="31">
        <v>6</v>
      </c>
      <c r="O390" s="31">
        <v>76</v>
      </c>
      <c r="P390" s="31">
        <v>82</v>
      </c>
    </row>
    <row r="391" spans="1:16" x14ac:dyDescent="0.3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  <c r="K391" s="31">
        <v>0.19700000000000001</v>
      </c>
      <c r="L391" s="31">
        <v>0.51</v>
      </c>
      <c r="M391" s="31">
        <v>0.19400000000000001</v>
      </c>
      <c r="N391" s="31">
        <v>4</v>
      </c>
      <c r="O391" s="31">
        <v>67</v>
      </c>
      <c r="P391" s="31">
        <v>71</v>
      </c>
    </row>
    <row r="392" spans="1:16" x14ac:dyDescent="0.3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  <c r="K392" s="31">
        <v>0.16669999999999999</v>
      </c>
      <c r="L392" s="31">
        <v>0.55000000000000004</v>
      </c>
      <c r="M392" s="31">
        <v>0.25369999999999998</v>
      </c>
      <c r="N392" s="31">
        <v>7</v>
      </c>
      <c r="O392" s="31">
        <v>85</v>
      </c>
      <c r="P392" s="31">
        <v>92</v>
      </c>
    </row>
    <row r="393" spans="1:16" x14ac:dyDescent="0.3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  <c r="K393" s="31">
        <v>0.18179999999999999</v>
      </c>
      <c r="L393" s="31">
        <v>0.59</v>
      </c>
      <c r="M393" s="31">
        <v>0.19400000000000001</v>
      </c>
      <c r="N393" s="31">
        <v>2</v>
      </c>
      <c r="O393" s="31">
        <v>58</v>
      </c>
      <c r="P393" s="31">
        <v>60</v>
      </c>
    </row>
    <row r="394" spans="1:16" x14ac:dyDescent="0.3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  <c r="K394" s="31">
        <v>0.1515</v>
      </c>
      <c r="L394" s="31">
        <v>0.8</v>
      </c>
      <c r="M394" s="31">
        <v>0.19400000000000001</v>
      </c>
      <c r="N394" s="31">
        <v>4</v>
      </c>
      <c r="O394" s="31">
        <v>29</v>
      </c>
      <c r="P394" s="31">
        <v>33</v>
      </c>
    </row>
    <row r="395" spans="1:16" x14ac:dyDescent="0.3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  <c r="K395" s="31">
        <v>0.1515</v>
      </c>
      <c r="L395" s="31">
        <v>0.8</v>
      </c>
      <c r="M395" s="31">
        <v>0.19400000000000001</v>
      </c>
      <c r="N395" s="31">
        <v>3</v>
      </c>
      <c r="O395" s="31">
        <v>24</v>
      </c>
      <c r="P395" s="31">
        <v>27</v>
      </c>
    </row>
    <row r="396" spans="1:16" x14ac:dyDescent="0.3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  <c r="K396" s="31">
        <v>0.1212</v>
      </c>
      <c r="L396" s="31">
        <v>0.93</v>
      </c>
      <c r="M396" s="31">
        <v>0.25369999999999998</v>
      </c>
      <c r="N396" s="31">
        <v>0</v>
      </c>
      <c r="O396" s="31">
        <v>13</v>
      </c>
      <c r="P396" s="31">
        <v>13</v>
      </c>
    </row>
    <row r="397" spans="1:16" x14ac:dyDescent="0.3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  <c r="K397" s="31">
        <v>0.13639999999999999</v>
      </c>
      <c r="L397" s="31">
        <v>0.86</v>
      </c>
      <c r="M397" s="31">
        <v>0.28360000000000002</v>
      </c>
      <c r="N397" s="31">
        <v>1</v>
      </c>
      <c r="O397" s="31">
        <v>3</v>
      </c>
      <c r="P397" s="31">
        <v>4</v>
      </c>
    </row>
    <row r="398" spans="1:16" x14ac:dyDescent="0.3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  <c r="K398" s="31">
        <v>0.18179999999999999</v>
      </c>
      <c r="L398" s="31">
        <v>0.86</v>
      </c>
      <c r="M398" s="31">
        <v>0.32840000000000003</v>
      </c>
      <c r="N398" s="31">
        <v>0</v>
      </c>
      <c r="O398" s="31">
        <v>3</v>
      </c>
      <c r="P398" s="31">
        <v>3</v>
      </c>
    </row>
    <row r="399" spans="1:16" x14ac:dyDescent="0.3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  <c r="K399" s="31">
        <v>0.19700000000000001</v>
      </c>
      <c r="L399" s="31">
        <v>0.86</v>
      </c>
      <c r="M399" s="31">
        <v>0.22389999999999999</v>
      </c>
      <c r="N399" s="31">
        <v>0</v>
      </c>
      <c r="O399" s="31">
        <v>22</v>
      </c>
      <c r="P399" s="31">
        <v>22</v>
      </c>
    </row>
    <row r="400" spans="1:16" x14ac:dyDescent="0.3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  <c r="K400" s="31">
        <v>0.2273</v>
      </c>
      <c r="L400" s="31">
        <v>0.8</v>
      </c>
      <c r="M400" s="31">
        <v>0.16420000000000001</v>
      </c>
      <c r="N400" s="31">
        <v>2</v>
      </c>
      <c r="O400" s="31">
        <v>26</v>
      </c>
      <c r="P400" s="31">
        <v>28</v>
      </c>
    </row>
    <row r="401" spans="1:16" x14ac:dyDescent="0.3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  <c r="K401" s="31">
        <v>0.2273</v>
      </c>
      <c r="L401" s="31">
        <v>0.87</v>
      </c>
      <c r="M401" s="31">
        <v>0.16420000000000001</v>
      </c>
      <c r="N401" s="31">
        <v>3</v>
      </c>
      <c r="O401" s="31">
        <v>32</v>
      </c>
      <c r="P401" s="31">
        <v>35</v>
      </c>
    </row>
    <row r="402" spans="1:16" x14ac:dyDescent="0.3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  <c r="K402" s="31">
        <v>0.2273</v>
      </c>
      <c r="L402" s="31">
        <v>0.87</v>
      </c>
      <c r="M402" s="31">
        <v>0.19400000000000001</v>
      </c>
      <c r="N402" s="31">
        <v>0</v>
      </c>
      <c r="O402" s="31">
        <v>61</v>
      </c>
      <c r="P402" s="31">
        <v>61</v>
      </c>
    </row>
    <row r="403" spans="1:16" x14ac:dyDescent="0.3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  <c r="K403" s="31">
        <v>0.2273</v>
      </c>
      <c r="L403" s="31">
        <v>0.82</v>
      </c>
      <c r="M403" s="31">
        <v>0.19400000000000001</v>
      </c>
      <c r="N403" s="31">
        <v>1</v>
      </c>
      <c r="O403" s="31">
        <v>124</v>
      </c>
      <c r="P403" s="31">
        <v>125</v>
      </c>
    </row>
    <row r="404" spans="1:16" x14ac:dyDescent="0.3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  <c r="K404" s="31">
        <v>0.2273</v>
      </c>
      <c r="L404" s="31">
        <v>0.8</v>
      </c>
      <c r="M404" s="31">
        <v>0.16420000000000001</v>
      </c>
      <c r="N404" s="31">
        <v>1</v>
      </c>
      <c r="O404" s="31">
        <v>132</v>
      </c>
      <c r="P404" s="31">
        <v>133</v>
      </c>
    </row>
    <row r="405" spans="1:16" x14ac:dyDescent="0.3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  <c r="K405" s="31">
        <v>0.2273</v>
      </c>
      <c r="L405" s="31">
        <v>0.8</v>
      </c>
      <c r="M405" s="31">
        <v>0.1343</v>
      </c>
      <c r="N405" s="31">
        <v>1</v>
      </c>
      <c r="O405" s="31">
        <v>98</v>
      </c>
      <c r="P405" s="31">
        <v>99</v>
      </c>
    </row>
    <row r="406" spans="1:16" x14ac:dyDescent="0.3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  <c r="K406" s="31">
        <v>0.2727</v>
      </c>
      <c r="L406" s="31">
        <v>0.87</v>
      </c>
      <c r="M406" s="31">
        <v>0</v>
      </c>
      <c r="N406" s="31">
        <v>0</v>
      </c>
      <c r="O406" s="31">
        <v>83</v>
      </c>
      <c r="P406" s="31">
        <v>83</v>
      </c>
    </row>
    <row r="407" spans="1:16" x14ac:dyDescent="0.3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  <c r="K407" s="31">
        <v>0.2424</v>
      </c>
      <c r="L407" s="31">
        <v>0.93</v>
      </c>
      <c r="M407" s="31">
        <v>0.1045</v>
      </c>
      <c r="N407" s="31">
        <v>0</v>
      </c>
      <c r="O407" s="31">
        <v>41</v>
      </c>
      <c r="P407" s="31">
        <v>41</v>
      </c>
    </row>
    <row r="408" spans="1:16" x14ac:dyDescent="0.3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  <c r="K408" s="31">
        <v>0.2576</v>
      </c>
      <c r="L408" s="31">
        <v>0.93</v>
      </c>
      <c r="M408" s="31">
        <v>8.9599999999999999E-2</v>
      </c>
      <c r="N408" s="31">
        <v>0</v>
      </c>
      <c r="O408" s="31">
        <v>33</v>
      </c>
      <c r="P408" s="31">
        <v>33</v>
      </c>
    </row>
    <row r="409" spans="1:16" x14ac:dyDescent="0.3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  <c r="K409" s="31">
        <v>0.2727</v>
      </c>
      <c r="L409" s="31">
        <v>0.93</v>
      </c>
      <c r="M409" s="31">
        <v>0</v>
      </c>
      <c r="N409" s="31">
        <v>1</v>
      </c>
      <c r="O409" s="31">
        <v>19</v>
      </c>
      <c r="P409" s="31">
        <v>20</v>
      </c>
    </row>
    <row r="410" spans="1:16" x14ac:dyDescent="0.3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  <c r="K410" s="31">
        <v>0.2727</v>
      </c>
      <c r="L410" s="31">
        <v>0.93</v>
      </c>
      <c r="M410" s="31">
        <v>0</v>
      </c>
      <c r="N410" s="31">
        <v>0</v>
      </c>
      <c r="O410" s="31">
        <v>3</v>
      </c>
      <c r="P410" s="31">
        <v>3</v>
      </c>
    </row>
    <row r="411" spans="1:16" x14ac:dyDescent="0.3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  <c r="K411" s="31">
        <v>0.2273</v>
      </c>
      <c r="L411" s="31">
        <v>0.93</v>
      </c>
      <c r="M411" s="31">
        <v>0.1343</v>
      </c>
      <c r="N411" s="31">
        <v>1</v>
      </c>
      <c r="O411" s="31">
        <v>6</v>
      </c>
      <c r="P411" s="31">
        <v>7</v>
      </c>
    </row>
    <row r="412" spans="1:16" x14ac:dyDescent="0.3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  <c r="K412" s="31">
        <v>0.2273</v>
      </c>
      <c r="L412" s="31">
        <v>0.93</v>
      </c>
      <c r="M412" s="31">
        <v>0.1343</v>
      </c>
      <c r="N412" s="31">
        <v>0</v>
      </c>
      <c r="O412" s="31">
        <v>3</v>
      </c>
      <c r="P412" s="31">
        <v>3</v>
      </c>
    </row>
    <row r="413" spans="1:16" x14ac:dyDescent="0.3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  <c r="K413" s="31">
        <v>0.2273</v>
      </c>
      <c r="L413" s="31">
        <v>0.93</v>
      </c>
      <c r="M413" s="31">
        <v>0.1343</v>
      </c>
      <c r="N413" s="31">
        <v>1</v>
      </c>
      <c r="O413" s="31">
        <v>1</v>
      </c>
      <c r="P413" s="31">
        <v>2</v>
      </c>
    </row>
    <row r="414" spans="1:16" x14ac:dyDescent="0.3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  <c r="K414" s="31">
        <v>0.2576</v>
      </c>
      <c r="L414" s="31">
        <v>0.93</v>
      </c>
      <c r="M414" s="31">
        <v>8.9599999999999999E-2</v>
      </c>
      <c r="N414" s="31">
        <v>0</v>
      </c>
      <c r="O414" s="31">
        <v>7</v>
      </c>
      <c r="P414" s="31">
        <v>7</v>
      </c>
    </row>
    <row r="415" spans="1:16" x14ac:dyDescent="0.3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  <c r="K415" s="31">
        <v>0.2576</v>
      </c>
      <c r="L415" s="31">
        <v>0.93</v>
      </c>
      <c r="M415" s="31">
        <v>8.9599999999999999E-2</v>
      </c>
      <c r="N415" s="31">
        <v>0</v>
      </c>
      <c r="O415" s="31">
        <v>32</v>
      </c>
      <c r="P415" s="31">
        <v>32</v>
      </c>
    </row>
    <row r="416" spans="1:16" x14ac:dyDescent="0.3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  <c r="K416" s="31">
        <v>0.2576</v>
      </c>
      <c r="L416" s="31">
        <v>0.92</v>
      </c>
      <c r="M416" s="31">
        <v>0.1045</v>
      </c>
      <c r="N416" s="31">
        <v>1</v>
      </c>
      <c r="O416" s="31">
        <v>89</v>
      </c>
      <c r="P416" s="31">
        <v>90</v>
      </c>
    </row>
    <row r="417" spans="1:16" x14ac:dyDescent="0.3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  <c r="K417" s="31">
        <v>0.2576</v>
      </c>
      <c r="L417" s="31">
        <v>0.93</v>
      </c>
      <c r="M417" s="31">
        <v>0.1045</v>
      </c>
      <c r="N417" s="31">
        <v>1</v>
      </c>
      <c r="O417" s="31">
        <v>196</v>
      </c>
      <c r="P417" s="31">
        <v>197</v>
      </c>
    </row>
    <row r="418" spans="1:16" x14ac:dyDescent="0.3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  <c r="K418" s="31">
        <v>0.2576</v>
      </c>
      <c r="L418" s="31">
        <v>0.93</v>
      </c>
      <c r="M418" s="31">
        <v>0.1045</v>
      </c>
      <c r="N418" s="31">
        <v>2</v>
      </c>
      <c r="O418" s="31">
        <v>107</v>
      </c>
      <c r="P418" s="31">
        <v>109</v>
      </c>
    </row>
    <row r="419" spans="1:16" x14ac:dyDescent="0.3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  <c r="K419" s="31">
        <v>0.2727</v>
      </c>
      <c r="L419" s="31">
        <v>0.93</v>
      </c>
      <c r="M419" s="31">
        <v>0.1343</v>
      </c>
      <c r="N419" s="31">
        <v>1</v>
      </c>
      <c r="O419" s="31">
        <v>46</v>
      </c>
      <c r="P419" s="31">
        <v>47</v>
      </c>
    </row>
    <row r="420" spans="1:16" x14ac:dyDescent="0.3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  <c r="K420" s="31">
        <v>0.30299999999999999</v>
      </c>
      <c r="L420" s="31">
        <v>0.87</v>
      </c>
      <c r="M420" s="31">
        <v>8.9599999999999999E-2</v>
      </c>
      <c r="N420" s="31">
        <v>5</v>
      </c>
      <c r="O420" s="31">
        <v>47</v>
      </c>
      <c r="P420" s="31">
        <v>52</v>
      </c>
    </row>
    <row r="421" spans="1:16" x14ac:dyDescent="0.3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  <c r="K421" s="31">
        <v>0.31819999999999998</v>
      </c>
      <c r="L421" s="31">
        <v>0.81</v>
      </c>
      <c r="M421" s="31">
        <v>8.9599999999999999E-2</v>
      </c>
      <c r="N421" s="31">
        <v>5</v>
      </c>
      <c r="O421" s="31">
        <v>65</v>
      </c>
      <c r="P421" s="31">
        <v>70</v>
      </c>
    </row>
    <row r="422" spans="1:16" x14ac:dyDescent="0.3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  <c r="K422" s="31">
        <v>0.40910000000000002</v>
      </c>
      <c r="L422" s="31">
        <v>0.62</v>
      </c>
      <c r="M422" s="31">
        <v>0.28360000000000002</v>
      </c>
      <c r="N422" s="31">
        <v>11</v>
      </c>
      <c r="O422" s="31">
        <v>67</v>
      </c>
      <c r="P422" s="31">
        <v>78</v>
      </c>
    </row>
    <row r="423" spans="1:16" x14ac:dyDescent="0.3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  <c r="K423" s="31">
        <v>0.40910000000000002</v>
      </c>
      <c r="L423" s="31">
        <v>0.57999999999999996</v>
      </c>
      <c r="M423" s="31">
        <v>0.25369999999999998</v>
      </c>
      <c r="N423" s="31">
        <v>7</v>
      </c>
      <c r="O423" s="31">
        <v>68</v>
      </c>
      <c r="P423" s="31">
        <v>75</v>
      </c>
    </row>
    <row r="424" spans="1:16" x14ac:dyDescent="0.3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  <c r="K424" s="31">
        <v>0.40910000000000002</v>
      </c>
      <c r="L424" s="31">
        <v>0.54</v>
      </c>
      <c r="M424" s="31">
        <v>0.28360000000000002</v>
      </c>
      <c r="N424" s="31">
        <v>4</v>
      </c>
      <c r="O424" s="31">
        <v>78</v>
      </c>
      <c r="P424" s="31">
        <v>82</v>
      </c>
    </row>
    <row r="425" spans="1:16" x14ac:dyDescent="0.3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  <c r="K425" s="31">
        <v>0.39389999999999997</v>
      </c>
      <c r="L425" s="31">
        <v>0.57999999999999996</v>
      </c>
      <c r="M425" s="31">
        <v>0.3881</v>
      </c>
      <c r="N425" s="31">
        <v>10</v>
      </c>
      <c r="O425" s="31">
        <v>94</v>
      </c>
      <c r="P425" s="31">
        <v>104</v>
      </c>
    </row>
    <row r="426" spans="1:16" x14ac:dyDescent="0.3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  <c r="K426" s="31">
        <v>0.33329999999999999</v>
      </c>
      <c r="L426" s="31">
        <v>0.56999999999999995</v>
      </c>
      <c r="M426" s="31">
        <v>0.32840000000000003</v>
      </c>
      <c r="N426" s="31">
        <v>7</v>
      </c>
      <c r="O426" s="31">
        <v>190</v>
      </c>
      <c r="P426" s="31">
        <v>197</v>
      </c>
    </row>
    <row r="427" spans="1:16" x14ac:dyDescent="0.3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  <c r="K427" s="31">
        <v>0.31819999999999998</v>
      </c>
      <c r="L427" s="31">
        <v>0.61</v>
      </c>
      <c r="M427" s="31">
        <v>0.28360000000000002</v>
      </c>
      <c r="N427" s="31">
        <v>5</v>
      </c>
      <c r="O427" s="31">
        <v>156</v>
      </c>
      <c r="P427" s="31">
        <v>161</v>
      </c>
    </row>
    <row r="428" spans="1:16" x14ac:dyDescent="0.3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  <c r="K428" s="31">
        <v>0.28789999999999999</v>
      </c>
      <c r="L428" s="31">
        <v>0.56999999999999995</v>
      </c>
      <c r="M428" s="31">
        <v>0.41789999999999999</v>
      </c>
      <c r="N428" s="31">
        <v>4</v>
      </c>
      <c r="O428" s="31">
        <v>108</v>
      </c>
      <c r="P428" s="31">
        <v>112</v>
      </c>
    </row>
    <row r="429" spans="1:16" x14ac:dyDescent="0.3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  <c r="K429" s="31">
        <v>0.30299999999999999</v>
      </c>
      <c r="L429" s="31">
        <v>0.49</v>
      </c>
      <c r="M429" s="31">
        <v>0.29849999999999999</v>
      </c>
      <c r="N429" s="31">
        <v>2</v>
      </c>
      <c r="O429" s="31">
        <v>74</v>
      </c>
      <c r="P429" s="31">
        <v>76</v>
      </c>
    </row>
    <row r="430" spans="1:16" x14ac:dyDescent="0.3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  <c r="K430" s="31">
        <v>0.28789999999999999</v>
      </c>
      <c r="L430" s="31">
        <v>0.49</v>
      </c>
      <c r="M430" s="31">
        <v>0.41789999999999999</v>
      </c>
      <c r="N430" s="31">
        <v>4</v>
      </c>
      <c r="O430" s="31">
        <v>55</v>
      </c>
      <c r="P430" s="31">
        <v>59</v>
      </c>
    </row>
    <row r="431" spans="1:16" x14ac:dyDescent="0.3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  <c r="K431" s="31">
        <v>0.30299999999999999</v>
      </c>
      <c r="L431" s="31">
        <v>0.52</v>
      </c>
      <c r="M431" s="31">
        <v>0.16420000000000001</v>
      </c>
      <c r="N431" s="31">
        <v>6</v>
      </c>
      <c r="O431" s="31">
        <v>53</v>
      </c>
      <c r="P431" s="31">
        <v>59</v>
      </c>
    </row>
    <row r="432" spans="1:16" x14ac:dyDescent="0.3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  <c r="K432" s="31">
        <v>0.2727</v>
      </c>
      <c r="L432" s="31">
        <v>0.52</v>
      </c>
      <c r="M432" s="31">
        <v>0.4627</v>
      </c>
      <c r="N432" s="31">
        <v>1</v>
      </c>
      <c r="O432" s="31">
        <v>27</v>
      </c>
      <c r="P432" s="31">
        <v>28</v>
      </c>
    </row>
    <row r="433" spans="1:16" x14ac:dyDescent="0.3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  <c r="K433" s="31">
        <v>0.2273</v>
      </c>
      <c r="L433" s="31">
        <v>0.56000000000000005</v>
      </c>
      <c r="M433" s="31">
        <v>0.3881</v>
      </c>
      <c r="N433" s="31">
        <v>5</v>
      </c>
      <c r="O433" s="31">
        <v>8</v>
      </c>
      <c r="P433" s="31">
        <v>13</v>
      </c>
    </row>
    <row r="434" spans="1:16" x14ac:dyDescent="0.3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  <c r="K434" s="31">
        <v>0.2727</v>
      </c>
      <c r="L434" s="31">
        <v>0.56000000000000005</v>
      </c>
      <c r="M434" s="31">
        <v>0</v>
      </c>
      <c r="N434" s="31">
        <v>2</v>
      </c>
      <c r="O434" s="31">
        <v>3</v>
      </c>
      <c r="P434" s="31">
        <v>5</v>
      </c>
    </row>
    <row r="435" spans="1:16" x14ac:dyDescent="0.3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  <c r="K435" s="31">
        <v>0.2727</v>
      </c>
      <c r="L435" s="31">
        <v>0.56000000000000005</v>
      </c>
      <c r="M435" s="31">
        <v>0</v>
      </c>
      <c r="N435" s="31">
        <v>0</v>
      </c>
      <c r="O435" s="31">
        <v>2</v>
      </c>
      <c r="P435" s="31">
        <v>2</v>
      </c>
    </row>
    <row r="436" spans="1:16" x14ac:dyDescent="0.3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  <c r="K436" s="31">
        <v>0.2576</v>
      </c>
      <c r="L436" s="31">
        <v>0.56000000000000005</v>
      </c>
      <c r="M436" s="31">
        <v>0.16420000000000001</v>
      </c>
      <c r="N436" s="31">
        <v>0</v>
      </c>
      <c r="O436" s="31">
        <v>1</v>
      </c>
      <c r="P436" s="31">
        <v>1</v>
      </c>
    </row>
    <row r="437" spans="1:16" x14ac:dyDescent="0.3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  <c r="K437" s="31">
        <v>0.2576</v>
      </c>
      <c r="L437" s="31">
        <v>0.56000000000000005</v>
      </c>
      <c r="M437" s="31">
        <v>0.16420000000000001</v>
      </c>
      <c r="N437" s="31">
        <v>0</v>
      </c>
      <c r="O437" s="31">
        <v>1</v>
      </c>
      <c r="P437" s="31">
        <v>1</v>
      </c>
    </row>
    <row r="438" spans="1:16" x14ac:dyDescent="0.3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  <c r="K438" s="31">
        <v>0.2273</v>
      </c>
      <c r="L438" s="31">
        <v>0.6</v>
      </c>
      <c r="M438" s="31">
        <v>0.22389999999999999</v>
      </c>
      <c r="N438" s="31">
        <v>0</v>
      </c>
      <c r="O438" s="31">
        <v>6</v>
      </c>
      <c r="P438" s="31">
        <v>6</v>
      </c>
    </row>
    <row r="439" spans="1:16" x14ac:dyDescent="0.3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  <c r="K439" s="31">
        <v>0.21210000000000001</v>
      </c>
      <c r="L439" s="31">
        <v>0.6</v>
      </c>
      <c r="M439" s="31">
        <v>0.22389999999999999</v>
      </c>
      <c r="N439" s="31">
        <v>0</v>
      </c>
      <c r="O439" s="31">
        <v>35</v>
      </c>
      <c r="P439" s="31">
        <v>35</v>
      </c>
    </row>
    <row r="440" spans="1:16" x14ac:dyDescent="0.3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  <c r="K440" s="31">
        <v>0.21210000000000001</v>
      </c>
      <c r="L440" s="31">
        <v>0.55000000000000004</v>
      </c>
      <c r="M440" s="31">
        <v>0.22389999999999999</v>
      </c>
      <c r="N440" s="31">
        <v>1</v>
      </c>
      <c r="O440" s="31">
        <v>100</v>
      </c>
      <c r="P440" s="31">
        <v>101</v>
      </c>
    </row>
    <row r="441" spans="1:16" x14ac:dyDescent="0.3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  <c r="K441" s="31">
        <v>0.21210000000000001</v>
      </c>
      <c r="L441" s="31">
        <v>0.55000000000000004</v>
      </c>
      <c r="M441" s="31">
        <v>0.28360000000000002</v>
      </c>
      <c r="N441" s="31">
        <v>2</v>
      </c>
      <c r="O441" s="31">
        <v>247</v>
      </c>
      <c r="P441" s="31">
        <v>249</v>
      </c>
    </row>
    <row r="442" spans="1:16" x14ac:dyDescent="0.3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  <c r="K442" s="31">
        <v>0.2273</v>
      </c>
      <c r="L442" s="31">
        <v>0.52</v>
      </c>
      <c r="M442" s="31">
        <v>0.22389999999999999</v>
      </c>
      <c r="N442" s="31">
        <v>3</v>
      </c>
      <c r="O442" s="31">
        <v>140</v>
      </c>
      <c r="P442" s="31">
        <v>143</v>
      </c>
    </row>
    <row r="443" spans="1:16" x14ac:dyDescent="0.3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  <c r="K443" s="31">
        <v>0.2273</v>
      </c>
      <c r="L443" s="31">
        <v>0.48</v>
      </c>
      <c r="M443" s="31">
        <v>0.29849999999999999</v>
      </c>
      <c r="N443" s="31">
        <v>1</v>
      </c>
      <c r="O443" s="31">
        <v>56</v>
      </c>
      <c r="P443" s="31">
        <v>57</v>
      </c>
    </row>
    <row r="444" spans="1:16" x14ac:dyDescent="0.3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  <c r="K444" s="31">
        <v>0.2727</v>
      </c>
      <c r="L444" s="31">
        <v>0.45</v>
      </c>
      <c r="M444" s="31">
        <v>0.16420000000000001</v>
      </c>
      <c r="N444" s="31">
        <v>5</v>
      </c>
      <c r="O444" s="31">
        <v>63</v>
      </c>
      <c r="P444" s="31">
        <v>68</v>
      </c>
    </row>
    <row r="445" spans="1:16" x14ac:dyDescent="0.3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  <c r="K445" s="31">
        <v>0.33329999999999999</v>
      </c>
      <c r="L445" s="31">
        <v>0.42</v>
      </c>
      <c r="M445" s="31">
        <v>0</v>
      </c>
      <c r="N445" s="31">
        <v>7</v>
      </c>
      <c r="O445" s="31">
        <v>77</v>
      </c>
      <c r="P445" s="31">
        <v>84</v>
      </c>
    </row>
    <row r="446" spans="1:16" x14ac:dyDescent="0.3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  <c r="K446" s="31">
        <v>0.28789999999999999</v>
      </c>
      <c r="L446" s="31">
        <v>0.45</v>
      </c>
      <c r="M446" s="31">
        <v>0.1045</v>
      </c>
      <c r="N446" s="31">
        <v>12</v>
      </c>
      <c r="O446" s="31">
        <v>86</v>
      </c>
      <c r="P446" s="31">
        <v>98</v>
      </c>
    </row>
    <row r="447" spans="1:16" x14ac:dyDescent="0.3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  <c r="K447" s="31">
        <v>0.30299999999999999</v>
      </c>
      <c r="L447" s="31">
        <v>0.45</v>
      </c>
      <c r="M447" s="31">
        <v>0.1343</v>
      </c>
      <c r="N447" s="31">
        <v>6</v>
      </c>
      <c r="O447" s="31">
        <v>75</v>
      </c>
      <c r="P447" s="31">
        <v>81</v>
      </c>
    </row>
    <row r="448" spans="1:16" x14ac:dyDescent="0.3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  <c r="K448" s="31">
        <v>0.31819999999999998</v>
      </c>
      <c r="L448" s="31">
        <v>0.45</v>
      </c>
      <c r="M448" s="31">
        <v>0.19400000000000001</v>
      </c>
      <c r="N448" s="31">
        <v>8</v>
      </c>
      <c r="O448" s="31">
        <v>62</v>
      </c>
      <c r="P448" s="31">
        <v>70</v>
      </c>
    </row>
    <row r="449" spans="1:16" x14ac:dyDescent="0.3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  <c r="K449" s="31">
        <v>0.30299999999999999</v>
      </c>
      <c r="L449" s="31">
        <v>0.49</v>
      </c>
      <c r="M449" s="31">
        <v>0.1343</v>
      </c>
      <c r="N449" s="31">
        <v>8</v>
      </c>
      <c r="O449" s="31">
        <v>83</v>
      </c>
      <c r="P449" s="31">
        <v>91</v>
      </c>
    </row>
    <row r="450" spans="1:16" x14ac:dyDescent="0.3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  <c r="K450" s="31">
        <v>0.31819999999999998</v>
      </c>
      <c r="L450" s="31">
        <v>0.49</v>
      </c>
      <c r="M450" s="31">
        <v>0.1045</v>
      </c>
      <c r="N450" s="31">
        <v>8</v>
      </c>
      <c r="O450" s="31">
        <v>207</v>
      </c>
      <c r="P450" s="31">
        <v>215</v>
      </c>
    </row>
    <row r="451" spans="1:16" x14ac:dyDescent="0.3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  <c r="K451" s="31">
        <v>0.2576</v>
      </c>
      <c r="L451" s="31">
        <v>0.56000000000000005</v>
      </c>
      <c r="M451" s="31">
        <v>0.19400000000000001</v>
      </c>
      <c r="N451" s="31">
        <v>1</v>
      </c>
      <c r="O451" s="31">
        <v>184</v>
      </c>
      <c r="P451" s="31">
        <v>185</v>
      </c>
    </row>
    <row r="452" spans="1:16" x14ac:dyDescent="0.3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  <c r="K452" s="31">
        <v>0.2273</v>
      </c>
      <c r="L452" s="31">
        <v>0.56000000000000005</v>
      </c>
      <c r="M452" s="31">
        <v>0.32840000000000003</v>
      </c>
      <c r="N452" s="31">
        <v>6</v>
      </c>
      <c r="O452" s="31">
        <v>146</v>
      </c>
      <c r="P452" s="31">
        <v>152</v>
      </c>
    </row>
    <row r="453" spans="1:16" x14ac:dyDescent="0.3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  <c r="K453" s="31">
        <v>0.2424</v>
      </c>
      <c r="L453" s="31">
        <v>0.6</v>
      </c>
      <c r="M453" s="31">
        <v>0.28360000000000002</v>
      </c>
      <c r="N453" s="31">
        <v>2</v>
      </c>
      <c r="O453" s="31">
        <v>124</v>
      </c>
      <c r="P453" s="31">
        <v>126</v>
      </c>
    </row>
    <row r="454" spans="1:16" x14ac:dyDescent="0.3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  <c r="K454" s="31">
        <v>0.2273</v>
      </c>
      <c r="L454" s="31">
        <v>0.6</v>
      </c>
      <c r="M454" s="31">
        <v>0.25369999999999998</v>
      </c>
      <c r="N454" s="31">
        <v>3</v>
      </c>
      <c r="O454" s="31">
        <v>54</v>
      </c>
      <c r="P454" s="31">
        <v>57</v>
      </c>
    </row>
    <row r="455" spans="1:16" x14ac:dyDescent="0.3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  <c r="K455" s="31">
        <v>0.21210000000000001</v>
      </c>
      <c r="L455" s="31">
        <v>0.65</v>
      </c>
      <c r="M455" s="31">
        <v>0.28360000000000002</v>
      </c>
      <c r="N455" s="31">
        <v>0</v>
      </c>
      <c r="O455" s="31">
        <v>56</v>
      </c>
      <c r="P455" s="31">
        <v>56</v>
      </c>
    </row>
    <row r="456" spans="1:16" x14ac:dyDescent="0.3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  <c r="K456" s="31">
        <v>0.21210000000000001</v>
      </c>
      <c r="L456" s="31">
        <v>0.65</v>
      </c>
      <c r="M456" s="31">
        <v>0.32840000000000003</v>
      </c>
      <c r="N456" s="31">
        <v>3</v>
      </c>
      <c r="O456" s="31">
        <v>28</v>
      </c>
      <c r="P456" s="31">
        <v>31</v>
      </c>
    </row>
    <row r="457" spans="1:16" x14ac:dyDescent="0.3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  <c r="K457" s="31">
        <v>0.2273</v>
      </c>
      <c r="L457" s="31">
        <v>0.7</v>
      </c>
      <c r="M457" s="31">
        <v>0.25369999999999998</v>
      </c>
      <c r="N457" s="31">
        <v>1</v>
      </c>
      <c r="O457" s="31">
        <v>20</v>
      </c>
      <c r="P457" s="31">
        <v>21</v>
      </c>
    </row>
    <row r="458" spans="1:16" x14ac:dyDescent="0.3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  <c r="K458" s="31">
        <v>0.2273</v>
      </c>
      <c r="L458" s="31">
        <v>0.7</v>
      </c>
      <c r="M458" s="31">
        <v>0.25369999999999998</v>
      </c>
      <c r="N458" s="31">
        <v>0</v>
      </c>
      <c r="O458" s="31">
        <v>6</v>
      </c>
      <c r="P458" s="31">
        <v>6</v>
      </c>
    </row>
    <row r="459" spans="1:16" x14ac:dyDescent="0.3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  <c r="K459" s="31">
        <v>0.2424</v>
      </c>
      <c r="L459" s="31">
        <v>0.75</v>
      </c>
      <c r="M459" s="31">
        <v>0.16420000000000001</v>
      </c>
      <c r="N459" s="31">
        <v>0</v>
      </c>
      <c r="O459" s="31">
        <v>2</v>
      </c>
      <c r="P459" s="31">
        <v>2</v>
      </c>
    </row>
    <row r="460" spans="1:16" x14ac:dyDescent="0.3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  <c r="K460" s="31">
        <v>0.21210000000000001</v>
      </c>
      <c r="L460" s="31">
        <v>0.8</v>
      </c>
      <c r="M460" s="31">
        <v>0.29849999999999999</v>
      </c>
      <c r="N460" s="31">
        <v>0</v>
      </c>
      <c r="O460" s="31">
        <v>1</v>
      </c>
      <c r="P460" s="31">
        <v>1</v>
      </c>
    </row>
    <row r="461" spans="1:16" x14ac:dyDescent="0.3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  <c r="K461" s="31">
        <v>0.2576</v>
      </c>
      <c r="L461" s="31">
        <v>0.87</v>
      </c>
      <c r="M461" s="31">
        <v>8.9599999999999999E-2</v>
      </c>
      <c r="N461" s="31">
        <v>0</v>
      </c>
      <c r="O461" s="31">
        <v>1</v>
      </c>
      <c r="P461" s="31">
        <v>1</v>
      </c>
    </row>
    <row r="462" spans="1:16" x14ac:dyDescent="0.3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  <c r="K462" s="31">
        <v>0.19700000000000001</v>
      </c>
      <c r="L462" s="31">
        <v>0.6</v>
      </c>
      <c r="M462" s="31">
        <v>0.41789999999999999</v>
      </c>
      <c r="N462" s="31">
        <v>1</v>
      </c>
      <c r="O462" s="31">
        <v>4</v>
      </c>
      <c r="P462" s="31">
        <v>5</v>
      </c>
    </row>
    <row r="463" spans="1:16" x14ac:dyDescent="0.3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  <c r="K463" s="31">
        <v>0.21210000000000001</v>
      </c>
      <c r="L463" s="31">
        <v>0.55000000000000004</v>
      </c>
      <c r="M463" s="31">
        <v>0.25369999999999998</v>
      </c>
      <c r="N463" s="31">
        <v>0</v>
      </c>
      <c r="O463" s="31">
        <v>27</v>
      </c>
      <c r="P463" s="31">
        <v>27</v>
      </c>
    </row>
    <row r="464" spans="1:16" x14ac:dyDescent="0.3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  <c r="K464" s="31">
        <v>0.18179999999999999</v>
      </c>
      <c r="L464" s="31">
        <v>0.51</v>
      </c>
      <c r="M464" s="31">
        <v>0.28360000000000002</v>
      </c>
      <c r="N464" s="31">
        <v>2</v>
      </c>
      <c r="O464" s="31">
        <v>66</v>
      </c>
      <c r="P464" s="31">
        <v>68</v>
      </c>
    </row>
    <row r="465" spans="1:16" x14ac:dyDescent="0.3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  <c r="K465" s="31">
        <v>0.18179999999999999</v>
      </c>
      <c r="L465" s="31">
        <v>0.47</v>
      </c>
      <c r="M465" s="31">
        <v>0.32840000000000003</v>
      </c>
      <c r="N465" s="31">
        <v>7</v>
      </c>
      <c r="O465" s="31">
        <v>210</v>
      </c>
      <c r="P465" s="31">
        <v>217</v>
      </c>
    </row>
    <row r="466" spans="1:16" x14ac:dyDescent="0.3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  <c r="K466" s="31">
        <v>0.18179999999999999</v>
      </c>
      <c r="L466" s="31">
        <v>0.51</v>
      </c>
      <c r="M466" s="31">
        <v>0.35820000000000002</v>
      </c>
      <c r="N466" s="31">
        <v>7</v>
      </c>
      <c r="O466" s="31">
        <v>159</v>
      </c>
      <c r="P466" s="31">
        <v>166</v>
      </c>
    </row>
    <row r="467" spans="1:16" x14ac:dyDescent="0.3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  <c r="K467" s="31">
        <v>0.16669999999999999</v>
      </c>
      <c r="L467" s="31">
        <v>0.47</v>
      </c>
      <c r="M467" s="31">
        <v>0.4627</v>
      </c>
      <c r="N467" s="31">
        <v>6</v>
      </c>
      <c r="O467" s="31">
        <v>57</v>
      </c>
      <c r="P467" s="31">
        <v>63</v>
      </c>
    </row>
    <row r="468" spans="1:16" x14ac:dyDescent="0.3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  <c r="K468" s="31">
        <v>0.18179999999999999</v>
      </c>
      <c r="L468" s="31">
        <v>0.41</v>
      </c>
      <c r="M468" s="31">
        <v>0.4627</v>
      </c>
      <c r="N468" s="31">
        <v>6</v>
      </c>
      <c r="O468" s="31">
        <v>53</v>
      </c>
      <c r="P468" s="31">
        <v>59</v>
      </c>
    </row>
    <row r="469" spans="1:16" x14ac:dyDescent="0.3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  <c r="K469" s="31">
        <v>0.18179999999999999</v>
      </c>
      <c r="L469" s="31">
        <v>0.27</v>
      </c>
      <c r="M469" s="31">
        <v>0.58209999999999995</v>
      </c>
      <c r="N469" s="31">
        <v>11</v>
      </c>
      <c r="O469" s="31">
        <v>67</v>
      </c>
      <c r="P469" s="31">
        <v>78</v>
      </c>
    </row>
    <row r="470" spans="1:16" x14ac:dyDescent="0.3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  <c r="K470" s="31">
        <v>0.1515</v>
      </c>
      <c r="L470" s="31">
        <v>0.21</v>
      </c>
      <c r="M470" s="31">
        <v>0.58209999999999995</v>
      </c>
      <c r="N470" s="31">
        <v>8</v>
      </c>
      <c r="O470" s="31">
        <v>65</v>
      </c>
      <c r="P470" s="31">
        <v>73</v>
      </c>
    </row>
    <row r="471" spans="1:16" x14ac:dyDescent="0.3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  <c r="K471" s="31">
        <v>0.1515</v>
      </c>
      <c r="L471" s="31">
        <v>0.25</v>
      </c>
      <c r="M471" s="31">
        <v>0.52239999999999998</v>
      </c>
      <c r="N471" s="31">
        <v>6</v>
      </c>
      <c r="O471" s="31">
        <v>56</v>
      </c>
      <c r="P471" s="31">
        <v>62</v>
      </c>
    </row>
    <row r="472" spans="1:16" x14ac:dyDescent="0.3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  <c r="K472" s="31">
        <v>0.1212</v>
      </c>
      <c r="L472" s="31">
        <v>0.26</v>
      </c>
      <c r="M472" s="31">
        <v>0.44779999999999998</v>
      </c>
      <c r="N472" s="31">
        <v>4</v>
      </c>
      <c r="O472" s="31">
        <v>61</v>
      </c>
      <c r="P472" s="31">
        <v>65</v>
      </c>
    </row>
    <row r="473" spans="1:16" x14ac:dyDescent="0.3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  <c r="K473" s="31">
        <v>0.13639999999999999</v>
      </c>
      <c r="L473" s="31">
        <v>0.26</v>
      </c>
      <c r="M473" s="31">
        <v>0.35820000000000002</v>
      </c>
      <c r="N473" s="31">
        <v>0</v>
      </c>
      <c r="O473" s="31">
        <v>97</v>
      </c>
      <c r="P473" s="31">
        <v>97</v>
      </c>
    </row>
    <row r="474" spans="1:16" x14ac:dyDescent="0.3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  <c r="K474" s="31">
        <v>0.1212</v>
      </c>
      <c r="L474" s="31">
        <v>0.28000000000000003</v>
      </c>
      <c r="M474" s="31">
        <v>0.35820000000000002</v>
      </c>
      <c r="N474" s="31">
        <v>10</v>
      </c>
      <c r="O474" s="31">
        <v>151</v>
      </c>
      <c r="P474" s="31">
        <v>161</v>
      </c>
    </row>
    <row r="475" spans="1:16" x14ac:dyDescent="0.3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  <c r="K475" s="31">
        <v>0.1212</v>
      </c>
      <c r="L475" s="31">
        <v>0.3</v>
      </c>
      <c r="M475" s="31">
        <v>0.25369999999999998</v>
      </c>
      <c r="N475" s="31">
        <v>1</v>
      </c>
      <c r="O475" s="31">
        <v>119</v>
      </c>
      <c r="P475" s="31">
        <v>120</v>
      </c>
    </row>
    <row r="476" spans="1:16" x14ac:dyDescent="0.3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  <c r="K476" s="31">
        <v>0.1061</v>
      </c>
      <c r="L476" s="31">
        <v>0.3</v>
      </c>
      <c r="M476" s="31">
        <v>0.32840000000000003</v>
      </c>
      <c r="N476" s="31">
        <v>3</v>
      </c>
      <c r="O476" s="31">
        <v>93</v>
      </c>
      <c r="P476" s="31">
        <v>96</v>
      </c>
    </row>
    <row r="477" spans="1:16" x14ac:dyDescent="0.3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  <c r="K477" s="31">
        <v>7.5800000000000006E-2</v>
      </c>
      <c r="L477" s="31">
        <v>0.33</v>
      </c>
      <c r="M477" s="31">
        <v>0.41789999999999999</v>
      </c>
      <c r="N477" s="31">
        <v>1</v>
      </c>
      <c r="O477" s="31">
        <v>52</v>
      </c>
      <c r="P477" s="31">
        <v>53</v>
      </c>
    </row>
    <row r="478" spans="1:16" x14ac:dyDescent="0.3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  <c r="K478" s="31">
        <v>7.5800000000000006E-2</v>
      </c>
      <c r="L478" s="31">
        <v>0.38</v>
      </c>
      <c r="M478" s="31">
        <v>0.28360000000000002</v>
      </c>
      <c r="N478" s="31">
        <v>0</v>
      </c>
      <c r="O478" s="31">
        <v>41</v>
      </c>
      <c r="P478" s="31">
        <v>41</v>
      </c>
    </row>
    <row r="479" spans="1:16" x14ac:dyDescent="0.3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  <c r="K479" s="31">
        <v>3.0300000000000001E-2</v>
      </c>
      <c r="L479" s="31">
        <v>0.41</v>
      </c>
      <c r="M479" s="31">
        <v>0.3881</v>
      </c>
      <c r="N479" s="31">
        <v>1</v>
      </c>
      <c r="O479" s="31">
        <v>33</v>
      </c>
      <c r="P479" s="31">
        <v>34</v>
      </c>
    </row>
    <row r="480" spans="1:16" x14ac:dyDescent="0.3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  <c r="K480" s="31">
        <v>4.5499999999999999E-2</v>
      </c>
      <c r="L480" s="31">
        <v>0.38</v>
      </c>
      <c r="M480" s="31">
        <v>0.32840000000000003</v>
      </c>
      <c r="N480" s="31">
        <v>0</v>
      </c>
      <c r="O480" s="31">
        <v>27</v>
      </c>
      <c r="P480" s="31">
        <v>27</v>
      </c>
    </row>
    <row r="481" spans="1:16" x14ac:dyDescent="0.3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  <c r="K481" s="31">
        <v>3.0300000000000001E-2</v>
      </c>
      <c r="L481" s="31">
        <v>0.45</v>
      </c>
      <c r="M481" s="31">
        <v>0.25369999999999998</v>
      </c>
      <c r="N481" s="31">
        <v>0</v>
      </c>
      <c r="O481" s="31">
        <v>13</v>
      </c>
      <c r="P481" s="31">
        <v>13</v>
      </c>
    </row>
    <row r="482" spans="1:16" x14ac:dyDescent="0.3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  <c r="K482" s="31">
        <v>0</v>
      </c>
      <c r="L482" s="31">
        <v>0.41</v>
      </c>
      <c r="M482" s="31">
        <v>0.3881</v>
      </c>
      <c r="N482" s="31">
        <v>3</v>
      </c>
      <c r="O482" s="31">
        <v>9</v>
      </c>
      <c r="P482" s="31">
        <v>12</v>
      </c>
    </row>
    <row r="483" spans="1:16" x14ac:dyDescent="0.3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  <c r="K483" s="31">
        <v>3.0300000000000001E-2</v>
      </c>
      <c r="L483" s="31">
        <v>0.41</v>
      </c>
      <c r="M483" s="31">
        <v>0.25369999999999998</v>
      </c>
      <c r="N483" s="31">
        <v>0</v>
      </c>
      <c r="O483" s="31">
        <v>11</v>
      </c>
      <c r="P483" s="31">
        <v>11</v>
      </c>
    </row>
    <row r="484" spans="1:16" x14ac:dyDescent="0.3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  <c r="K484" s="31">
        <v>3.0300000000000001E-2</v>
      </c>
      <c r="L484" s="31">
        <v>0.41</v>
      </c>
      <c r="M484" s="31">
        <v>0.28360000000000002</v>
      </c>
      <c r="N484" s="31">
        <v>1</v>
      </c>
      <c r="O484" s="31">
        <v>6</v>
      </c>
      <c r="P484" s="31">
        <v>7</v>
      </c>
    </row>
    <row r="485" spans="1:16" x14ac:dyDescent="0.3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  <c r="K485" s="31">
        <v>1.52E-2</v>
      </c>
      <c r="L485" s="31">
        <v>0.48</v>
      </c>
      <c r="M485" s="31">
        <v>0.29849999999999999</v>
      </c>
      <c r="N485" s="31">
        <v>0</v>
      </c>
      <c r="O485" s="31">
        <v>3</v>
      </c>
      <c r="P485" s="31">
        <v>3</v>
      </c>
    </row>
    <row r="486" spans="1:16" x14ac:dyDescent="0.3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  <c r="K486" s="31">
        <v>3.0300000000000001E-2</v>
      </c>
      <c r="L486" s="31">
        <v>0.44</v>
      </c>
      <c r="M486" s="31">
        <v>0.22389999999999999</v>
      </c>
      <c r="N486" s="31">
        <v>0</v>
      </c>
      <c r="O486" s="31">
        <v>2</v>
      </c>
      <c r="P486" s="31">
        <v>2</v>
      </c>
    </row>
    <row r="487" spans="1:16" x14ac:dyDescent="0.3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  <c r="K487" s="31">
        <v>1.52E-2</v>
      </c>
      <c r="L487" s="31">
        <v>0.44</v>
      </c>
      <c r="M487" s="31">
        <v>0.28360000000000002</v>
      </c>
      <c r="N487" s="31">
        <v>0</v>
      </c>
      <c r="O487" s="31">
        <v>8</v>
      </c>
      <c r="P487" s="31">
        <v>8</v>
      </c>
    </row>
    <row r="488" spans="1:16" x14ac:dyDescent="0.3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  <c r="K488" s="31">
        <v>0</v>
      </c>
      <c r="L488" s="31">
        <v>0.44</v>
      </c>
      <c r="M488" s="31">
        <v>0.32840000000000003</v>
      </c>
      <c r="N488" s="31">
        <v>1</v>
      </c>
      <c r="O488" s="31">
        <v>26</v>
      </c>
      <c r="P488" s="31">
        <v>27</v>
      </c>
    </row>
    <row r="489" spans="1:16" x14ac:dyDescent="0.3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  <c r="K489" s="31">
        <v>3.0300000000000001E-2</v>
      </c>
      <c r="L489" s="31">
        <v>0.41</v>
      </c>
      <c r="M489" s="31">
        <v>0.25369999999999998</v>
      </c>
      <c r="N489" s="31">
        <v>3</v>
      </c>
      <c r="O489" s="31">
        <v>37</v>
      </c>
      <c r="P489" s="31">
        <v>40</v>
      </c>
    </row>
    <row r="490" spans="1:16" x14ac:dyDescent="0.3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  <c r="K490" s="31">
        <v>6.0600000000000001E-2</v>
      </c>
      <c r="L490" s="31">
        <v>0.41</v>
      </c>
      <c r="M490" s="31">
        <v>0.16420000000000001</v>
      </c>
      <c r="N490" s="31">
        <v>3</v>
      </c>
      <c r="O490" s="31">
        <v>50</v>
      </c>
      <c r="P490" s="31">
        <v>53</v>
      </c>
    </row>
    <row r="491" spans="1:16" x14ac:dyDescent="0.3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  <c r="K491" s="31">
        <v>7.5800000000000006E-2</v>
      </c>
      <c r="L491" s="31">
        <v>0.38</v>
      </c>
      <c r="M491" s="31">
        <v>0.1343</v>
      </c>
      <c r="N491" s="31">
        <v>4</v>
      </c>
      <c r="O491" s="31">
        <v>59</v>
      </c>
      <c r="P491" s="31">
        <v>63</v>
      </c>
    </row>
    <row r="492" spans="1:16" x14ac:dyDescent="0.3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  <c r="K492" s="31">
        <v>0.1061</v>
      </c>
      <c r="L492" s="31">
        <v>0.38</v>
      </c>
      <c r="M492" s="31">
        <v>0.1045</v>
      </c>
      <c r="N492" s="31">
        <v>10</v>
      </c>
      <c r="O492" s="31">
        <v>60</v>
      </c>
      <c r="P492" s="31">
        <v>70</v>
      </c>
    </row>
    <row r="493" spans="1:16" x14ac:dyDescent="0.3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  <c r="K493" s="31">
        <v>0.16669999999999999</v>
      </c>
      <c r="L493" s="31">
        <v>0.35</v>
      </c>
      <c r="M493" s="31">
        <v>0</v>
      </c>
      <c r="N493" s="31">
        <v>12</v>
      </c>
      <c r="O493" s="31">
        <v>72</v>
      </c>
      <c r="P493" s="31">
        <v>84</v>
      </c>
    </row>
    <row r="494" spans="1:16" x14ac:dyDescent="0.3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  <c r="K494" s="31">
        <v>0.13639999999999999</v>
      </c>
      <c r="L494" s="31">
        <v>0.33</v>
      </c>
      <c r="M494" s="31">
        <v>0.1045</v>
      </c>
      <c r="N494" s="31">
        <v>11</v>
      </c>
      <c r="O494" s="31">
        <v>64</v>
      </c>
      <c r="P494" s="31">
        <v>75</v>
      </c>
    </row>
    <row r="495" spans="1:16" x14ac:dyDescent="0.3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  <c r="K495" s="31">
        <v>0.1515</v>
      </c>
      <c r="L495" s="31">
        <v>0.28000000000000003</v>
      </c>
      <c r="M495" s="31">
        <v>0</v>
      </c>
      <c r="N495" s="31">
        <v>10</v>
      </c>
      <c r="O495" s="31">
        <v>93</v>
      </c>
      <c r="P495" s="31">
        <v>103</v>
      </c>
    </row>
    <row r="496" spans="1:16" x14ac:dyDescent="0.3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  <c r="K496" s="31">
        <v>0.13639999999999999</v>
      </c>
      <c r="L496" s="31">
        <v>0.28000000000000003</v>
      </c>
      <c r="M496" s="31">
        <v>0.19400000000000001</v>
      </c>
      <c r="N496" s="31">
        <v>11</v>
      </c>
      <c r="O496" s="31">
        <v>72</v>
      </c>
      <c r="P496" s="31">
        <v>83</v>
      </c>
    </row>
    <row r="497" spans="1:16" x14ac:dyDescent="0.3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  <c r="K497" s="31">
        <v>0.19700000000000001</v>
      </c>
      <c r="L497" s="31">
        <v>0.28000000000000003</v>
      </c>
      <c r="M497" s="31">
        <v>0</v>
      </c>
      <c r="N497" s="31">
        <v>8</v>
      </c>
      <c r="O497" s="31">
        <v>59</v>
      </c>
      <c r="P497" s="31">
        <v>67</v>
      </c>
    </row>
    <row r="498" spans="1:16" x14ac:dyDescent="0.3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  <c r="K498" s="31">
        <v>9.0899999999999995E-2</v>
      </c>
      <c r="L498" s="31">
        <v>0.35</v>
      </c>
      <c r="M498" s="31">
        <v>0.19400000000000001</v>
      </c>
      <c r="N498" s="31">
        <v>0</v>
      </c>
      <c r="O498" s="31">
        <v>54</v>
      </c>
      <c r="P498" s="31">
        <v>54</v>
      </c>
    </row>
    <row r="499" spans="1:16" x14ac:dyDescent="0.3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  <c r="K499" s="31">
        <v>0.1061</v>
      </c>
      <c r="L499" s="31">
        <v>0.35</v>
      </c>
      <c r="M499" s="31">
        <v>0.1343</v>
      </c>
      <c r="N499" s="31">
        <v>6</v>
      </c>
      <c r="O499" s="31">
        <v>53</v>
      </c>
      <c r="P499" s="31">
        <v>59</v>
      </c>
    </row>
    <row r="500" spans="1:16" x14ac:dyDescent="0.3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  <c r="K500" s="31">
        <v>7.5800000000000006E-2</v>
      </c>
      <c r="L500" s="31">
        <v>0.45</v>
      </c>
      <c r="M500" s="31">
        <v>0.16420000000000001</v>
      </c>
      <c r="N500" s="31">
        <v>1</v>
      </c>
      <c r="O500" s="31">
        <v>44</v>
      </c>
      <c r="P500" s="31">
        <v>45</v>
      </c>
    </row>
    <row r="501" spans="1:16" x14ac:dyDescent="0.3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  <c r="K501" s="31">
        <v>0.1061</v>
      </c>
      <c r="L501" s="31">
        <v>0.41</v>
      </c>
      <c r="M501" s="31">
        <v>8.9599999999999999E-2</v>
      </c>
      <c r="N501" s="31">
        <v>0</v>
      </c>
      <c r="O501" s="31">
        <v>39</v>
      </c>
      <c r="P501" s="31">
        <v>39</v>
      </c>
    </row>
    <row r="502" spans="1:16" x14ac:dyDescent="0.3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  <c r="K502" s="31">
        <v>0.1515</v>
      </c>
      <c r="L502" s="31">
        <v>0.49</v>
      </c>
      <c r="M502" s="31">
        <v>0</v>
      </c>
      <c r="N502" s="31">
        <v>7</v>
      </c>
      <c r="O502" s="31">
        <v>23</v>
      </c>
      <c r="P502" s="31">
        <v>30</v>
      </c>
    </row>
    <row r="503" spans="1:16" x14ac:dyDescent="0.3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  <c r="K503" s="31">
        <v>7.5800000000000006E-2</v>
      </c>
      <c r="L503" s="31">
        <v>0.56999999999999995</v>
      </c>
      <c r="M503" s="31">
        <v>0.1045</v>
      </c>
      <c r="N503" s="31">
        <v>2</v>
      </c>
      <c r="O503" s="31">
        <v>31</v>
      </c>
      <c r="P503" s="31">
        <v>33</v>
      </c>
    </row>
    <row r="504" spans="1:16" x14ac:dyDescent="0.3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  <c r="K504" s="31">
        <v>7.5800000000000006E-2</v>
      </c>
      <c r="L504" s="31">
        <v>0.56999999999999995</v>
      </c>
      <c r="M504" s="31">
        <v>0.1045</v>
      </c>
      <c r="N504" s="31">
        <v>2</v>
      </c>
      <c r="O504" s="31">
        <v>20</v>
      </c>
      <c r="P504" s="31">
        <v>22</v>
      </c>
    </row>
    <row r="505" spans="1:16" x14ac:dyDescent="0.3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  <c r="K505" s="31">
        <v>7.5800000000000006E-2</v>
      </c>
      <c r="L505" s="31">
        <v>0.56999999999999995</v>
      </c>
      <c r="M505" s="31">
        <v>0.1045</v>
      </c>
      <c r="N505" s="31">
        <v>1</v>
      </c>
      <c r="O505" s="31">
        <v>12</v>
      </c>
      <c r="P505" s="31">
        <v>13</v>
      </c>
    </row>
    <row r="506" spans="1:16" x14ac:dyDescent="0.3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  <c r="K506" s="31">
        <v>6.0600000000000001E-2</v>
      </c>
      <c r="L506" s="31">
        <v>0.62</v>
      </c>
      <c r="M506" s="31">
        <v>0.1343</v>
      </c>
      <c r="N506" s="31">
        <v>3</v>
      </c>
      <c r="O506" s="31">
        <v>15</v>
      </c>
      <c r="P506" s="31">
        <v>18</v>
      </c>
    </row>
    <row r="507" spans="1:16" x14ac:dyDescent="0.3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  <c r="K507" s="31">
        <v>6.0600000000000001E-2</v>
      </c>
      <c r="L507" s="31">
        <v>0.62</v>
      </c>
      <c r="M507" s="31">
        <v>0.1343</v>
      </c>
      <c r="N507" s="31">
        <v>1</v>
      </c>
      <c r="O507" s="31">
        <v>4</v>
      </c>
      <c r="P507" s="31">
        <v>5</v>
      </c>
    </row>
    <row r="508" spans="1:16" x14ac:dyDescent="0.3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  <c r="K508" s="31">
        <v>7.5800000000000006E-2</v>
      </c>
      <c r="L508" s="31">
        <v>0.56999999999999995</v>
      </c>
      <c r="M508" s="31">
        <v>0.1045</v>
      </c>
      <c r="N508" s="31">
        <v>0</v>
      </c>
      <c r="O508" s="31">
        <v>3</v>
      </c>
      <c r="P508" s="31">
        <v>3</v>
      </c>
    </row>
    <row r="509" spans="1:16" x14ac:dyDescent="0.3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  <c r="K509" s="31">
        <v>7.5800000000000006E-2</v>
      </c>
      <c r="L509" s="31">
        <v>0.56999999999999995</v>
      </c>
      <c r="M509" s="31">
        <v>0.1045</v>
      </c>
      <c r="N509" s="31">
        <v>0</v>
      </c>
      <c r="O509" s="31">
        <v>1</v>
      </c>
      <c r="P509" s="31">
        <v>1</v>
      </c>
    </row>
    <row r="510" spans="1:16" x14ac:dyDescent="0.3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  <c r="K510" s="31">
        <v>0.1061</v>
      </c>
      <c r="L510" s="31">
        <v>0.57999999999999996</v>
      </c>
      <c r="M510" s="31">
        <v>0.16420000000000001</v>
      </c>
      <c r="N510" s="31">
        <v>1</v>
      </c>
      <c r="O510" s="31">
        <v>1</v>
      </c>
      <c r="P510" s="31">
        <v>2</v>
      </c>
    </row>
    <row r="511" spans="1:16" x14ac:dyDescent="0.3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  <c r="K511" s="31">
        <v>7.5800000000000006E-2</v>
      </c>
      <c r="L511" s="31">
        <v>0.62</v>
      </c>
      <c r="M511" s="31">
        <v>0.16420000000000001</v>
      </c>
      <c r="N511" s="31">
        <v>2</v>
      </c>
      <c r="O511" s="31">
        <v>17</v>
      </c>
      <c r="P511" s="31">
        <v>19</v>
      </c>
    </row>
    <row r="512" spans="1:16" x14ac:dyDescent="0.3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  <c r="K512" s="31">
        <v>7.5800000000000006E-2</v>
      </c>
      <c r="L512" s="31">
        <v>0.54</v>
      </c>
      <c r="M512" s="31">
        <v>0.35820000000000002</v>
      </c>
      <c r="N512" s="31">
        <v>3</v>
      </c>
      <c r="O512" s="31">
        <v>25</v>
      </c>
      <c r="P512" s="31">
        <v>28</v>
      </c>
    </row>
    <row r="513" spans="1:16" x14ac:dyDescent="0.3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  <c r="K513" s="31">
        <v>0.1061</v>
      </c>
      <c r="L513" s="31">
        <v>0.46</v>
      </c>
      <c r="M513" s="31">
        <v>0.3881</v>
      </c>
      <c r="N513" s="31">
        <v>7</v>
      </c>
      <c r="O513" s="31">
        <v>51</v>
      </c>
      <c r="P513" s="31">
        <v>58</v>
      </c>
    </row>
    <row r="514" spans="1:16" x14ac:dyDescent="0.3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  <c r="K514" s="31">
        <v>0.13639999999999999</v>
      </c>
      <c r="L514" s="31">
        <v>0.43</v>
      </c>
      <c r="M514" s="31">
        <v>0.22389999999999999</v>
      </c>
      <c r="N514" s="31">
        <v>22</v>
      </c>
      <c r="O514" s="31">
        <v>77</v>
      </c>
      <c r="P514" s="31">
        <v>99</v>
      </c>
    </row>
    <row r="515" spans="1:16" x14ac:dyDescent="0.3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  <c r="K515" s="31">
        <v>0.1212</v>
      </c>
      <c r="L515" s="31">
        <v>0.37</v>
      </c>
      <c r="M515" s="31">
        <v>0.4627</v>
      </c>
      <c r="N515" s="31">
        <v>24</v>
      </c>
      <c r="O515" s="31">
        <v>92</v>
      </c>
      <c r="P515" s="31">
        <v>116</v>
      </c>
    </row>
    <row r="516" spans="1:16" x14ac:dyDescent="0.3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  <c r="K516" s="31">
        <v>0.1061</v>
      </c>
      <c r="L516" s="31">
        <v>0.33</v>
      </c>
      <c r="M516" s="31">
        <v>0.3881</v>
      </c>
      <c r="N516" s="31">
        <v>12</v>
      </c>
      <c r="O516" s="31">
        <v>75</v>
      </c>
      <c r="P516" s="31">
        <v>87</v>
      </c>
    </row>
    <row r="517" spans="1:16" x14ac:dyDescent="0.3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  <c r="K517" s="31">
        <v>0.13639999999999999</v>
      </c>
      <c r="L517" s="31">
        <v>0.28000000000000003</v>
      </c>
      <c r="M517" s="31">
        <v>0.35820000000000002</v>
      </c>
      <c r="N517" s="31">
        <v>17</v>
      </c>
      <c r="O517" s="31">
        <v>93</v>
      </c>
      <c r="P517" s="31">
        <v>110</v>
      </c>
    </row>
    <row r="518" spans="1:16" x14ac:dyDescent="0.3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  <c r="K518" s="31">
        <v>0.13639999999999999</v>
      </c>
      <c r="L518" s="31">
        <v>0.28000000000000003</v>
      </c>
      <c r="M518" s="31">
        <v>0.35820000000000002</v>
      </c>
      <c r="N518" s="31">
        <v>13</v>
      </c>
      <c r="O518" s="31">
        <v>64</v>
      </c>
      <c r="P518" s="31">
        <v>77</v>
      </c>
    </row>
    <row r="519" spans="1:16" x14ac:dyDescent="0.3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  <c r="K519" s="31">
        <v>0.13639999999999999</v>
      </c>
      <c r="L519" s="31">
        <v>0.26</v>
      </c>
      <c r="M519" s="31">
        <v>0.32840000000000003</v>
      </c>
      <c r="N519" s="31">
        <v>9</v>
      </c>
      <c r="O519" s="31">
        <v>56</v>
      </c>
      <c r="P519" s="31">
        <v>65</v>
      </c>
    </row>
    <row r="520" spans="1:16" x14ac:dyDescent="0.3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  <c r="K520" s="31">
        <v>0.1061</v>
      </c>
      <c r="L520" s="31">
        <v>0.26</v>
      </c>
      <c r="M520" s="31">
        <v>0.3881</v>
      </c>
      <c r="N520" s="31">
        <v>5</v>
      </c>
      <c r="O520" s="31">
        <v>50</v>
      </c>
      <c r="P520" s="31">
        <v>55</v>
      </c>
    </row>
    <row r="521" spans="1:16" x14ac:dyDescent="0.3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  <c r="K521" s="31">
        <v>0.1212</v>
      </c>
      <c r="L521" s="31">
        <v>0.3</v>
      </c>
      <c r="M521" s="31">
        <v>0.25369999999999998</v>
      </c>
      <c r="N521" s="31">
        <v>5</v>
      </c>
      <c r="O521" s="31">
        <v>44</v>
      </c>
      <c r="P521" s="31">
        <v>49</v>
      </c>
    </row>
    <row r="522" spans="1:16" x14ac:dyDescent="0.3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  <c r="K522" s="31">
        <v>0.1212</v>
      </c>
      <c r="L522" s="31">
        <v>0.3</v>
      </c>
      <c r="M522" s="31">
        <v>0.28360000000000002</v>
      </c>
      <c r="N522" s="31">
        <v>5</v>
      </c>
      <c r="O522" s="31">
        <v>45</v>
      </c>
      <c r="P522" s="31">
        <v>50</v>
      </c>
    </row>
    <row r="523" spans="1:16" x14ac:dyDescent="0.3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  <c r="K523" s="31">
        <v>0.1061</v>
      </c>
      <c r="L523" s="31">
        <v>0.36</v>
      </c>
      <c r="M523" s="31">
        <v>0.25369999999999998</v>
      </c>
      <c r="N523" s="31">
        <v>4</v>
      </c>
      <c r="O523" s="31">
        <v>31</v>
      </c>
      <c r="P523" s="31">
        <v>35</v>
      </c>
    </row>
    <row r="524" spans="1:16" x14ac:dyDescent="0.3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  <c r="K524" s="31">
        <v>0.1061</v>
      </c>
      <c r="L524" s="31">
        <v>0.36</v>
      </c>
      <c r="M524" s="31">
        <v>0.19400000000000001</v>
      </c>
      <c r="N524" s="31">
        <v>5</v>
      </c>
      <c r="O524" s="31">
        <v>20</v>
      </c>
      <c r="P524" s="31">
        <v>25</v>
      </c>
    </row>
    <row r="525" spans="1:16" x14ac:dyDescent="0.3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  <c r="K525" s="31">
        <v>9.0899999999999995E-2</v>
      </c>
      <c r="L525" s="31">
        <v>0.38</v>
      </c>
      <c r="M525" s="31">
        <v>0.19400000000000001</v>
      </c>
      <c r="N525" s="31">
        <v>5</v>
      </c>
      <c r="O525" s="31">
        <v>23</v>
      </c>
      <c r="P525" s="31">
        <v>28</v>
      </c>
    </row>
    <row r="526" spans="1:16" x14ac:dyDescent="0.3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  <c r="K526" s="31">
        <v>6.0600000000000001E-2</v>
      </c>
      <c r="L526" s="31">
        <v>0.41</v>
      </c>
      <c r="M526" s="31">
        <v>0.22389999999999999</v>
      </c>
      <c r="N526" s="31">
        <v>4</v>
      </c>
      <c r="O526" s="31">
        <v>17</v>
      </c>
      <c r="P526" s="31">
        <v>21</v>
      </c>
    </row>
    <row r="527" spans="1:16" x14ac:dyDescent="0.3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  <c r="K527" s="31">
        <v>6.0600000000000001E-2</v>
      </c>
      <c r="L527" s="31">
        <v>0.41</v>
      </c>
      <c r="M527" s="31">
        <v>0.19400000000000001</v>
      </c>
      <c r="N527" s="31">
        <v>0</v>
      </c>
      <c r="O527" s="31">
        <v>7</v>
      </c>
      <c r="P527" s="31">
        <v>7</v>
      </c>
    </row>
    <row r="528" spans="1:16" x14ac:dyDescent="0.3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  <c r="K528" s="31">
        <v>4.5499999999999999E-2</v>
      </c>
      <c r="L528" s="31">
        <v>0.45</v>
      </c>
      <c r="M528" s="31">
        <v>0.19400000000000001</v>
      </c>
      <c r="N528" s="31">
        <v>0</v>
      </c>
      <c r="O528" s="31">
        <v>1</v>
      </c>
      <c r="P528" s="31">
        <v>1</v>
      </c>
    </row>
    <row r="529" spans="1:16" x14ac:dyDescent="0.3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  <c r="K529" s="31">
        <v>3.0300000000000001E-2</v>
      </c>
      <c r="L529" s="31">
        <v>0.45</v>
      </c>
      <c r="M529" s="31">
        <v>0.25369999999999998</v>
      </c>
      <c r="N529" s="31">
        <v>0</v>
      </c>
      <c r="O529" s="31">
        <v>1</v>
      </c>
      <c r="P529" s="31">
        <v>1</v>
      </c>
    </row>
    <row r="530" spans="1:16" x14ac:dyDescent="0.3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  <c r="K530" s="31">
        <v>6.0600000000000001E-2</v>
      </c>
      <c r="L530" s="31">
        <v>0.48</v>
      </c>
      <c r="M530" s="31">
        <v>0.1343</v>
      </c>
      <c r="N530" s="31">
        <v>0</v>
      </c>
      <c r="O530" s="31">
        <v>1</v>
      </c>
      <c r="P530" s="31">
        <v>1</v>
      </c>
    </row>
    <row r="531" spans="1:16" x14ac:dyDescent="0.3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  <c r="K531" s="31">
        <v>6.0600000000000001E-2</v>
      </c>
      <c r="L531" s="31">
        <v>0.48</v>
      </c>
      <c r="M531" s="31">
        <v>0.1343</v>
      </c>
      <c r="N531" s="31">
        <v>0</v>
      </c>
      <c r="O531" s="31">
        <v>5</v>
      </c>
      <c r="P531" s="31">
        <v>5</v>
      </c>
    </row>
    <row r="532" spans="1:16" x14ac:dyDescent="0.3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  <c r="K532" s="31">
        <v>7.5800000000000006E-2</v>
      </c>
      <c r="L532" s="31">
        <v>0.48</v>
      </c>
      <c r="M532" s="31">
        <v>8.9599999999999999E-2</v>
      </c>
      <c r="N532" s="31">
        <v>0</v>
      </c>
      <c r="O532" s="31">
        <v>15</v>
      </c>
      <c r="P532" s="31">
        <v>15</v>
      </c>
    </row>
    <row r="533" spans="1:16" x14ac:dyDescent="0.3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  <c r="K533" s="31">
        <v>0.1212</v>
      </c>
      <c r="L533" s="31">
        <v>0.48</v>
      </c>
      <c r="M533" s="31">
        <v>0</v>
      </c>
      <c r="N533" s="31">
        <v>5</v>
      </c>
      <c r="O533" s="31">
        <v>79</v>
      </c>
      <c r="P533" s="31">
        <v>84</v>
      </c>
    </row>
    <row r="534" spans="1:16" x14ac:dyDescent="0.3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  <c r="K534" s="31">
        <v>0.13639999999999999</v>
      </c>
      <c r="L534" s="31">
        <v>0.49</v>
      </c>
      <c r="M534" s="31">
        <v>0</v>
      </c>
      <c r="N534" s="31">
        <v>6</v>
      </c>
      <c r="O534" s="31">
        <v>171</v>
      </c>
      <c r="P534" s="31">
        <v>177</v>
      </c>
    </row>
    <row r="535" spans="1:16" x14ac:dyDescent="0.3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  <c r="K535" s="31">
        <v>0.1515</v>
      </c>
      <c r="L535" s="31">
        <v>0.41</v>
      </c>
      <c r="M535" s="31">
        <v>0</v>
      </c>
      <c r="N535" s="31">
        <v>4</v>
      </c>
      <c r="O535" s="31">
        <v>98</v>
      </c>
      <c r="P535" s="31">
        <v>102</v>
      </c>
    </row>
    <row r="536" spans="1:16" x14ac:dyDescent="0.3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  <c r="K536" s="31">
        <v>0.13639999999999999</v>
      </c>
      <c r="L536" s="31">
        <v>0.42</v>
      </c>
      <c r="M536" s="31">
        <v>0</v>
      </c>
      <c r="N536" s="31">
        <v>6</v>
      </c>
      <c r="O536" s="31">
        <v>34</v>
      </c>
      <c r="P536" s="31">
        <v>40</v>
      </c>
    </row>
    <row r="537" spans="1:16" x14ac:dyDescent="0.3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  <c r="K537" s="31">
        <v>0.1212</v>
      </c>
      <c r="L537" s="31">
        <v>0.46</v>
      </c>
      <c r="M537" s="31">
        <v>0.1343</v>
      </c>
      <c r="N537" s="31">
        <v>3</v>
      </c>
      <c r="O537" s="31">
        <v>43</v>
      </c>
      <c r="P537" s="31">
        <v>46</v>
      </c>
    </row>
    <row r="538" spans="1:16" x14ac:dyDescent="0.3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  <c r="K538" s="31">
        <v>0.13639999999999999</v>
      </c>
      <c r="L538" s="31">
        <v>0.42</v>
      </c>
      <c r="M538" s="31">
        <v>0.19400000000000001</v>
      </c>
      <c r="N538" s="31">
        <v>11</v>
      </c>
      <c r="O538" s="31">
        <v>52</v>
      </c>
      <c r="P538" s="31">
        <v>63</v>
      </c>
    </row>
    <row r="539" spans="1:16" x14ac:dyDescent="0.3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  <c r="K539" s="31">
        <v>0.13639999999999999</v>
      </c>
      <c r="L539" s="31">
        <v>0.43</v>
      </c>
      <c r="M539" s="31">
        <v>0.22389999999999999</v>
      </c>
      <c r="N539" s="31">
        <v>6</v>
      </c>
      <c r="O539" s="31">
        <v>54</v>
      </c>
      <c r="P539" s="31">
        <v>60</v>
      </c>
    </row>
    <row r="540" spans="1:16" x14ac:dyDescent="0.3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  <c r="K540" s="31">
        <v>0.13639999999999999</v>
      </c>
      <c r="L540" s="31">
        <v>0.46</v>
      </c>
      <c r="M540" s="31">
        <v>0.22389999999999999</v>
      </c>
      <c r="N540" s="31">
        <v>2</v>
      </c>
      <c r="O540" s="31">
        <v>43</v>
      </c>
      <c r="P540" s="31">
        <v>45</v>
      </c>
    </row>
    <row r="541" spans="1:16" x14ac:dyDescent="0.3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  <c r="K541" s="31">
        <v>0.16669999999999999</v>
      </c>
      <c r="L541" s="31">
        <v>0.4</v>
      </c>
      <c r="M541" s="31">
        <v>0.16420000000000001</v>
      </c>
      <c r="N541" s="31">
        <v>7</v>
      </c>
      <c r="O541" s="31">
        <v>50</v>
      </c>
      <c r="P541" s="31">
        <v>57</v>
      </c>
    </row>
    <row r="542" spans="1:16" x14ac:dyDescent="0.3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  <c r="K542" s="31">
        <v>0.1515</v>
      </c>
      <c r="L542" s="31">
        <v>0.47</v>
      </c>
      <c r="M542" s="31">
        <v>0.25369999999999998</v>
      </c>
      <c r="N542" s="31">
        <v>4</v>
      </c>
      <c r="O542" s="31">
        <v>66</v>
      </c>
      <c r="P542" s="31">
        <v>70</v>
      </c>
    </row>
    <row r="543" spans="1:16" x14ac:dyDescent="0.3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  <c r="K543" s="31">
        <v>0.1212</v>
      </c>
      <c r="L543" s="31">
        <v>0.5</v>
      </c>
      <c r="M543" s="31">
        <v>0.25369999999999998</v>
      </c>
      <c r="N543" s="31">
        <v>6</v>
      </c>
      <c r="O543" s="31">
        <v>178</v>
      </c>
      <c r="P543" s="31">
        <v>184</v>
      </c>
    </row>
    <row r="544" spans="1:16" x14ac:dyDescent="0.3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  <c r="K544" s="31">
        <v>0.13639999999999999</v>
      </c>
      <c r="L544" s="31">
        <v>0.59</v>
      </c>
      <c r="M544" s="31">
        <v>0.19400000000000001</v>
      </c>
      <c r="N544" s="31">
        <v>8</v>
      </c>
      <c r="O544" s="31">
        <v>145</v>
      </c>
      <c r="P544" s="31">
        <v>153</v>
      </c>
    </row>
    <row r="545" spans="1:16" x14ac:dyDescent="0.3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  <c r="K545" s="31">
        <v>0.1515</v>
      </c>
      <c r="L545" s="31">
        <v>0.54</v>
      </c>
      <c r="M545" s="31">
        <v>0.16420000000000001</v>
      </c>
      <c r="N545" s="31">
        <v>5</v>
      </c>
      <c r="O545" s="31">
        <v>101</v>
      </c>
      <c r="P545" s="31">
        <v>106</v>
      </c>
    </row>
    <row r="546" spans="1:16" x14ac:dyDescent="0.3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  <c r="K546" s="31">
        <v>0.13639999999999999</v>
      </c>
      <c r="L546" s="31">
        <v>0.59</v>
      </c>
      <c r="M546" s="31">
        <v>0.19400000000000001</v>
      </c>
      <c r="N546" s="31">
        <v>1</v>
      </c>
      <c r="O546" s="31">
        <v>80</v>
      </c>
      <c r="P546" s="31">
        <v>81</v>
      </c>
    </row>
    <row r="547" spans="1:16" x14ac:dyDescent="0.3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  <c r="K547" s="31">
        <v>0.1515</v>
      </c>
      <c r="L547" s="31">
        <v>0.63</v>
      </c>
      <c r="M547" s="31">
        <v>0.16420000000000001</v>
      </c>
      <c r="N547" s="31">
        <v>6</v>
      </c>
      <c r="O547" s="31">
        <v>53</v>
      </c>
      <c r="P547" s="31">
        <v>59</v>
      </c>
    </row>
    <row r="548" spans="1:16" x14ac:dyDescent="0.3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  <c r="K548" s="31">
        <v>0.13639999999999999</v>
      </c>
      <c r="L548" s="31">
        <v>0.63</v>
      </c>
      <c r="M548" s="31">
        <v>0.22389999999999999</v>
      </c>
      <c r="N548" s="31">
        <v>3</v>
      </c>
      <c r="O548" s="31">
        <v>32</v>
      </c>
      <c r="P548" s="31">
        <v>35</v>
      </c>
    </row>
    <row r="549" spans="1:16" x14ac:dyDescent="0.3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  <c r="K549" s="31">
        <v>0.1515</v>
      </c>
      <c r="L549" s="31">
        <v>0.64</v>
      </c>
      <c r="M549" s="31">
        <v>0.25369999999999998</v>
      </c>
      <c r="N549" s="31">
        <v>3</v>
      </c>
      <c r="O549" s="31">
        <v>21</v>
      </c>
      <c r="P549" s="31">
        <v>24</v>
      </c>
    </row>
    <row r="550" spans="1:16" x14ac:dyDescent="0.3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  <c r="K550" s="31">
        <v>0.13639999999999999</v>
      </c>
      <c r="L550" s="31">
        <v>0.69</v>
      </c>
      <c r="M550" s="31">
        <v>0.28360000000000002</v>
      </c>
      <c r="N550" s="31">
        <v>3</v>
      </c>
      <c r="O550" s="31">
        <v>6</v>
      </c>
      <c r="P550" s="31">
        <v>9</v>
      </c>
    </row>
    <row r="551" spans="1:16" x14ac:dyDescent="0.3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  <c r="K551" s="31">
        <v>0.16669999999999999</v>
      </c>
      <c r="L551" s="31">
        <v>0.69</v>
      </c>
      <c r="M551" s="31">
        <v>0.16420000000000001</v>
      </c>
      <c r="N551" s="31">
        <v>0</v>
      </c>
      <c r="O551" s="31">
        <v>5</v>
      </c>
      <c r="P551" s="31">
        <v>5</v>
      </c>
    </row>
    <row r="552" spans="1:16" x14ac:dyDescent="0.3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  <c r="K552" s="31">
        <v>0.1515</v>
      </c>
      <c r="L552" s="31">
        <v>0.69</v>
      </c>
      <c r="M552" s="31">
        <v>0.22389999999999999</v>
      </c>
      <c r="N552" s="31">
        <v>0</v>
      </c>
      <c r="O552" s="31">
        <v>2</v>
      </c>
      <c r="P552" s="31">
        <v>2</v>
      </c>
    </row>
    <row r="553" spans="1:16" x14ac:dyDescent="0.3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  <c r="K553" s="31">
        <v>0.16669999999999999</v>
      </c>
      <c r="L553" s="31">
        <v>0.74</v>
      </c>
      <c r="M553" s="31">
        <v>0.1045</v>
      </c>
      <c r="N553" s="31">
        <v>0</v>
      </c>
      <c r="O553" s="31">
        <v>1</v>
      </c>
      <c r="P553" s="31">
        <v>1</v>
      </c>
    </row>
    <row r="554" spans="1:16" x14ac:dyDescent="0.3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  <c r="K554" s="31">
        <v>0.13639999999999999</v>
      </c>
      <c r="L554" s="31">
        <v>0.74</v>
      </c>
      <c r="M554" s="31">
        <v>0.22389999999999999</v>
      </c>
      <c r="N554" s="31">
        <v>0</v>
      </c>
      <c r="O554" s="31">
        <v>9</v>
      </c>
      <c r="P554" s="31">
        <v>9</v>
      </c>
    </row>
    <row r="555" spans="1:16" x14ac:dyDescent="0.3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  <c r="K555" s="31">
        <v>0.18179999999999999</v>
      </c>
      <c r="L555" s="31">
        <v>0.74</v>
      </c>
      <c r="M555" s="31">
        <v>0.1045</v>
      </c>
      <c r="N555" s="31">
        <v>1</v>
      </c>
      <c r="O555" s="31">
        <v>35</v>
      </c>
      <c r="P555" s="31">
        <v>36</v>
      </c>
    </row>
    <row r="556" spans="1:16" x14ac:dyDescent="0.3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  <c r="K556" s="31">
        <v>0.1515</v>
      </c>
      <c r="L556" s="31">
        <v>0.74</v>
      </c>
      <c r="M556" s="31">
        <v>0.22389999999999999</v>
      </c>
      <c r="N556" s="31">
        <v>5</v>
      </c>
      <c r="O556" s="31">
        <v>103</v>
      </c>
      <c r="P556" s="31">
        <v>108</v>
      </c>
    </row>
    <row r="557" spans="1:16" x14ac:dyDescent="0.3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  <c r="K557" s="31">
        <v>0.18179999999999999</v>
      </c>
      <c r="L557" s="31">
        <v>0.74</v>
      </c>
      <c r="M557" s="31">
        <v>0.1343</v>
      </c>
      <c r="N557" s="31">
        <v>5</v>
      </c>
      <c r="O557" s="31">
        <v>233</v>
      </c>
      <c r="P557" s="31">
        <v>238</v>
      </c>
    </row>
    <row r="558" spans="1:16" x14ac:dyDescent="0.3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  <c r="K558" s="31">
        <v>0.2273</v>
      </c>
      <c r="L558" s="31">
        <v>0.64</v>
      </c>
      <c r="M558" s="31">
        <v>8.9599999999999999E-2</v>
      </c>
      <c r="N558" s="31">
        <v>10</v>
      </c>
      <c r="O558" s="31">
        <v>134</v>
      </c>
      <c r="P558" s="31">
        <v>144</v>
      </c>
    </row>
    <row r="559" spans="1:16" x14ac:dyDescent="0.3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  <c r="K559" s="31">
        <v>0.2424</v>
      </c>
      <c r="L559" s="31">
        <v>0.6</v>
      </c>
      <c r="M559" s="31">
        <v>0.1045</v>
      </c>
      <c r="N559" s="31">
        <v>6</v>
      </c>
      <c r="O559" s="31">
        <v>49</v>
      </c>
      <c r="P559" s="31">
        <v>55</v>
      </c>
    </row>
    <row r="560" spans="1:16" x14ac:dyDescent="0.3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  <c r="K560" s="31">
        <v>0.2424</v>
      </c>
      <c r="L560" s="31">
        <v>0.6</v>
      </c>
      <c r="M560" s="31">
        <v>0.1343</v>
      </c>
      <c r="N560" s="31">
        <v>6</v>
      </c>
      <c r="O560" s="31">
        <v>55</v>
      </c>
      <c r="P560" s="31">
        <v>61</v>
      </c>
    </row>
    <row r="561" spans="1:16" x14ac:dyDescent="0.3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  <c r="K561" s="31">
        <v>0.28789999999999999</v>
      </c>
      <c r="L561" s="31">
        <v>0.56000000000000005</v>
      </c>
      <c r="M561" s="31">
        <v>8.9599999999999999E-2</v>
      </c>
      <c r="N561" s="31">
        <v>21</v>
      </c>
      <c r="O561" s="31">
        <v>85</v>
      </c>
      <c r="P561" s="31">
        <v>106</v>
      </c>
    </row>
    <row r="562" spans="1:16" x14ac:dyDescent="0.3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  <c r="K562" s="31">
        <v>0.2727</v>
      </c>
      <c r="L562" s="31">
        <v>0.56000000000000005</v>
      </c>
      <c r="M562" s="31">
        <v>0.1343</v>
      </c>
      <c r="N562" s="31">
        <v>21</v>
      </c>
      <c r="O562" s="31">
        <v>72</v>
      </c>
      <c r="P562" s="31">
        <v>93</v>
      </c>
    </row>
    <row r="563" spans="1:16" x14ac:dyDescent="0.3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  <c r="K563" s="31">
        <v>0.33329999999999999</v>
      </c>
      <c r="L563" s="31">
        <v>0.45</v>
      </c>
      <c r="M563" s="31">
        <v>0</v>
      </c>
      <c r="N563" s="31">
        <v>11</v>
      </c>
      <c r="O563" s="31">
        <v>57</v>
      </c>
      <c r="P563" s="31">
        <v>68</v>
      </c>
    </row>
    <row r="564" spans="1:16" x14ac:dyDescent="0.3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  <c r="K564" s="31">
        <v>0.34849999999999998</v>
      </c>
      <c r="L564" s="31">
        <v>0.42</v>
      </c>
      <c r="M564" s="31">
        <v>0</v>
      </c>
      <c r="N564" s="31">
        <v>21</v>
      </c>
      <c r="O564" s="31">
        <v>63</v>
      </c>
      <c r="P564" s="31">
        <v>84</v>
      </c>
    </row>
    <row r="565" spans="1:16" x14ac:dyDescent="0.3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  <c r="K565" s="31">
        <v>0.34849999999999998</v>
      </c>
      <c r="L565" s="31">
        <v>0.42</v>
      </c>
      <c r="M565" s="31">
        <v>0</v>
      </c>
      <c r="N565" s="31">
        <v>14</v>
      </c>
      <c r="O565" s="31">
        <v>102</v>
      </c>
      <c r="P565" s="31">
        <v>116</v>
      </c>
    </row>
    <row r="566" spans="1:16" x14ac:dyDescent="0.3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  <c r="K566" s="31">
        <v>0.33329999999999999</v>
      </c>
      <c r="L566" s="31">
        <v>0.45</v>
      </c>
      <c r="M566" s="31">
        <v>0</v>
      </c>
      <c r="N566" s="31">
        <v>14</v>
      </c>
      <c r="O566" s="31">
        <v>208</v>
      </c>
      <c r="P566" s="31">
        <v>222</v>
      </c>
    </row>
    <row r="567" spans="1:16" x14ac:dyDescent="0.3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  <c r="K567" s="31">
        <v>0.31819999999999998</v>
      </c>
      <c r="L567" s="31">
        <v>0.49</v>
      </c>
      <c r="M567" s="31">
        <v>8.9599999999999999E-2</v>
      </c>
      <c r="N567" s="31">
        <v>7</v>
      </c>
      <c r="O567" s="31">
        <v>218</v>
      </c>
      <c r="P567" s="31">
        <v>225</v>
      </c>
    </row>
    <row r="568" spans="1:16" x14ac:dyDescent="0.3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  <c r="K568" s="31">
        <v>0.2576</v>
      </c>
      <c r="L568" s="31">
        <v>0.65</v>
      </c>
      <c r="M568" s="31">
        <v>0.16420000000000001</v>
      </c>
      <c r="N568" s="31">
        <v>13</v>
      </c>
      <c r="O568" s="31">
        <v>133</v>
      </c>
      <c r="P568" s="31">
        <v>146</v>
      </c>
    </row>
    <row r="569" spans="1:16" x14ac:dyDescent="0.3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  <c r="K569" s="31">
        <v>0.2273</v>
      </c>
      <c r="L569" s="31">
        <v>0.65</v>
      </c>
      <c r="M569" s="31">
        <v>0.19400000000000001</v>
      </c>
      <c r="N569" s="31">
        <v>16</v>
      </c>
      <c r="O569" s="31">
        <v>103</v>
      </c>
      <c r="P569" s="31">
        <v>119</v>
      </c>
    </row>
    <row r="570" spans="1:16" x14ac:dyDescent="0.3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  <c r="K570" s="31">
        <v>0.2273</v>
      </c>
      <c r="L570" s="31">
        <v>0.65</v>
      </c>
      <c r="M570" s="31">
        <v>0.19400000000000001</v>
      </c>
      <c r="N570" s="31">
        <v>5</v>
      </c>
      <c r="O570" s="31">
        <v>40</v>
      </c>
      <c r="P570" s="31">
        <v>45</v>
      </c>
    </row>
    <row r="571" spans="1:16" x14ac:dyDescent="0.3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  <c r="K571" s="31">
        <v>0.2273</v>
      </c>
      <c r="L571" s="31">
        <v>0.64</v>
      </c>
      <c r="M571" s="31">
        <v>0.16420000000000001</v>
      </c>
      <c r="N571" s="31">
        <v>4</v>
      </c>
      <c r="O571" s="31">
        <v>49</v>
      </c>
      <c r="P571" s="31">
        <v>53</v>
      </c>
    </row>
    <row r="572" spans="1:16" x14ac:dyDescent="0.3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  <c r="K572" s="31">
        <v>0.2273</v>
      </c>
      <c r="L572" s="31">
        <v>0.64</v>
      </c>
      <c r="M572" s="31">
        <v>0.16420000000000001</v>
      </c>
      <c r="N572" s="31">
        <v>3</v>
      </c>
      <c r="O572" s="31">
        <v>37</v>
      </c>
      <c r="P572" s="31">
        <v>40</v>
      </c>
    </row>
    <row r="573" spans="1:16" x14ac:dyDescent="0.3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  <c r="K573" s="31">
        <v>0.2273</v>
      </c>
      <c r="L573" s="31">
        <v>0.69</v>
      </c>
      <c r="M573" s="31">
        <v>0.1343</v>
      </c>
      <c r="N573" s="31">
        <v>3</v>
      </c>
      <c r="O573" s="31">
        <v>14</v>
      </c>
      <c r="P573" s="31">
        <v>17</v>
      </c>
    </row>
    <row r="574" spans="1:16" x14ac:dyDescent="0.3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  <c r="K574" s="31">
        <v>0.2424</v>
      </c>
      <c r="L574" s="31">
        <v>0.65</v>
      </c>
      <c r="M574" s="31">
        <v>0.1343</v>
      </c>
      <c r="N574" s="31">
        <v>0</v>
      </c>
      <c r="O574" s="31">
        <v>5</v>
      </c>
      <c r="P574" s="31">
        <v>5</v>
      </c>
    </row>
    <row r="575" spans="1:16" x14ac:dyDescent="0.3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  <c r="K575" s="31">
        <v>0.2273</v>
      </c>
      <c r="L575" s="31">
        <v>0.69</v>
      </c>
      <c r="M575" s="31">
        <v>0.19400000000000001</v>
      </c>
      <c r="N575" s="31">
        <v>3</v>
      </c>
      <c r="O575" s="31">
        <v>7</v>
      </c>
      <c r="P575" s="31">
        <v>10</v>
      </c>
    </row>
    <row r="576" spans="1:16" x14ac:dyDescent="0.3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  <c r="K576" s="31">
        <v>0.18179999999999999</v>
      </c>
      <c r="L576" s="31">
        <v>0.86</v>
      </c>
      <c r="M576" s="31">
        <v>0.28360000000000002</v>
      </c>
      <c r="N576" s="31">
        <v>0</v>
      </c>
      <c r="O576" s="31">
        <v>1</v>
      </c>
      <c r="P576" s="31">
        <v>1</v>
      </c>
    </row>
    <row r="577" spans="1:16" x14ac:dyDescent="0.3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  <c r="K577" s="31">
        <v>0.18179999999999999</v>
      </c>
      <c r="L577" s="31">
        <v>0.86</v>
      </c>
      <c r="M577" s="31">
        <v>0.28360000000000002</v>
      </c>
      <c r="N577" s="31">
        <v>0</v>
      </c>
      <c r="O577" s="31">
        <v>8</v>
      </c>
      <c r="P577" s="31">
        <v>8</v>
      </c>
    </row>
    <row r="578" spans="1:16" x14ac:dyDescent="0.3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  <c r="K578" s="31">
        <v>0.21210000000000001</v>
      </c>
      <c r="L578" s="31">
        <v>0.87</v>
      </c>
      <c r="M578" s="31">
        <v>0.29849999999999999</v>
      </c>
      <c r="N578" s="31">
        <v>1</v>
      </c>
      <c r="O578" s="31">
        <v>29</v>
      </c>
      <c r="P578" s="31">
        <v>30</v>
      </c>
    </row>
    <row r="579" spans="1:16" x14ac:dyDescent="0.3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  <c r="K579" s="31">
        <v>0.21210000000000001</v>
      </c>
      <c r="L579" s="31">
        <v>0.87</v>
      </c>
      <c r="M579" s="31">
        <v>0.29849999999999999</v>
      </c>
      <c r="N579" s="31">
        <v>3</v>
      </c>
      <c r="O579" s="31">
        <v>69</v>
      </c>
      <c r="P579" s="31">
        <v>72</v>
      </c>
    </row>
    <row r="580" spans="1:16" x14ac:dyDescent="0.3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  <c r="K580" s="31">
        <v>0.21210000000000001</v>
      </c>
      <c r="L580" s="31">
        <v>0.87</v>
      </c>
      <c r="M580" s="31">
        <v>0.29849999999999999</v>
      </c>
      <c r="N580" s="31">
        <v>3</v>
      </c>
      <c r="O580" s="31">
        <v>55</v>
      </c>
      <c r="P580" s="31">
        <v>58</v>
      </c>
    </row>
    <row r="581" spans="1:16" x14ac:dyDescent="0.3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  <c r="K581" s="31">
        <v>0.21210000000000001</v>
      </c>
      <c r="L581" s="31">
        <v>0.93</v>
      </c>
      <c r="M581" s="31">
        <v>0.28360000000000002</v>
      </c>
      <c r="N581" s="31">
        <v>2</v>
      </c>
      <c r="O581" s="31">
        <v>26</v>
      </c>
      <c r="P581" s="31">
        <v>28</v>
      </c>
    </row>
    <row r="582" spans="1:16" x14ac:dyDescent="0.3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  <c r="K582" s="31">
        <v>0.19700000000000001</v>
      </c>
      <c r="L582" s="31">
        <v>0.93</v>
      </c>
      <c r="M582" s="31">
        <v>0.32840000000000003</v>
      </c>
      <c r="N582" s="31">
        <v>6</v>
      </c>
      <c r="O582" s="31">
        <v>35</v>
      </c>
      <c r="P582" s="31">
        <v>41</v>
      </c>
    </row>
    <row r="583" spans="1:16" x14ac:dyDescent="0.3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  <c r="K583" s="31">
        <v>0.19700000000000001</v>
      </c>
      <c r="L583" s="31">
        <v>0.93</v>
      </c>
      <c r="M583" s="31">
        <v>0.32840000000000003</v>
      </c>
      <c r="N583" s="31">
        <v>7</v>
      </c>
      <c r="O583" s="31">
        <v>41</v>
      </c>
      <c r="P583" s="31">
        <v>48</v>
      </c>
    </row>
    <row r="584" spans="1:16" x14ac:dyDescent="0.3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  <c r="K584" s="31">
        <v>0.19700000000000001</v>
      </c>
      <c r="L584" s="31">
        <v>0.93</v>
      </c>
      <c r="M584" s="31">
        <v>0.32840000000000003</v>
      </c>
      <c r="N584" s="31">
        <v>4</v>
      </c>
      <c r="O584" s="31">
        <v>43</v>
      </c>
      <c r="P584" s="31">
        <v>47</v>
      </c>
    </row>
    <row r="585" spans="1:16" x14ac:dyDescent="0.3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  <c r="K585" s="31">
        <v>0.19700000000000001</v>
      </c>
      <c r="L585" s="31">
        <v>0.93</v>
      </c>
      <c r="M585" s="31">
        <v>0.35820000000000002</v>
      </c>
      <c r="N585" s="31">
        <v>0</v>
      </c>
      <c r="O585" s="31">
        <v>36</v>
      </c>
      <c r="P585" s="31">
        <v>36</v>
      </c>
    </row>
    <row r="586" spans="1:16" x14ac:dyDescent="0.3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  <c r="K586" s="31">
        <v>0.18179999999999999</v>
      </c>
      <c r="L586" s="31">
        <v>0.93</v>
      </c>
      <c r="M586" s="31">
        <v>0.4627</v>
      </c>
      <c r="N586" s="31">
        <v>1</v>
      </c>
      <c r="O586" s="31">
        <v>42</v>
      </c>
      <c r="P586" s="31">
        <v>43</v>
      </c>
    </row>
    <row r="587" spans="1:16" x14ac:dyDescent="0.3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  <c r="K587" s="31">
        <v>0.19700000000000001</v>
      </c>
      <c r="L587" s="31">
        <v>0.93</v>
      </c>
      <c r="M587" s="31">
        <v>0.32840000000000003</v>
      </c>
      <c r="N587" s="31">
        <v>1</v>
      </c>
      <c r="O587" s="31">
        <v>35</v>
      </c>
      <c r="P587" s="31">
        <v>36</v>
      </c>
    </row>
    <row r="588" spans="1:16" x14ac:dyDescent="0.3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  <c r="K588" s="31">
        <v>0.18179999999999999</v>
      </c>
      <c r="L588" s="31">
        <v>0.93</v>
      </c>
      <c r="M588" s="31">
        <v>0.35820000000000002</v>
      </c>
      <c r="N588" s="31">
        <v>0</v>
      </c>
      <c r="O588" s="31">
        <v>26</v>
      </c>
      <c r="P588" s="31">
        <v>26</v>
      </c>
    </row>
    <row r="589" spans="1:16" x14ac:dyDescent="0.3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  <c r="K589" s="31">
        <v>0.2273</v>
      </c>
      <c r="L589" s="31">
        <v>0.55000000000000004</v>
      </c>
      <c r="M589" s="31">
        <v>0.19400000000000001</v>
      </c>
      <c r="N589" s="31">
        <v>1</v>
      </c>
      <c r="O589" s="31">
        <v>23</v>
      </c>
      <c r="P589" s="31">
        <v>24</v>
      </c>
    </row>
    <row r="590" spans="1:16" x14ac:dyDescent="0.3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  <c r="K590" s="31">
        <v>0.2424</v>
      </c>
      <c r="L590" s="31">
        <v>0.55000000000000004</v>
      </c>
      <c r="M590" s="31">
        <v>0.1045</v>
      </c>
      <c r="N590" s="31">
        <v>2</v>
      </c>
      <c r="O590" s="31">
        <v>82</v>
      </c>
      <c r="P590" s="31">
        <v>84</v>
      </c>
    </row>
    <row r="591" spans="1:16" x14ac:dyDescent="0.3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  <c r="K591" s="31">
        <v>0.2273</v>
      </c>
      <c r="L591" s="31">
        <v>0.69</v>
      </c>
      <c r="M591" s="31">
        <v>8.9599999999999999E-2</v>
      </c>
      <c r="N591" s="31">
        <v>3</v>
      </c>
      <c r="O591" s="31">
        <v>101</v>
      </c>
      <c r="P591" s="31">
        <v>104</v>
      </c>
    </row>
    <row r="592" spans="1:16" x14ac:dyDescent="0.3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  <c r="K592" s="31">
        <v>0.2273</v>
      </c>
      <c r="L592" s="31">
        <v>0.69</v>
      </c>
      <c r="M592" s="31">
        <v>8.9599999999999999E-2</v>
      </c>
      <c r="N592" s="31">
        <v>3</v>
      </c>
      <c r="O592" s="31">
        <v>76</v>
      </c>
      <c r="P592" s="31">
        <v>79</v>
      </c>
    </row>
    <row r="593" spans="1:16" x14ac:dyDescent="0.3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  <c r="K593" s="31">
        <v>0.21210000000000001</v>
      </c>
      <c r="L593" s="31">
        <v>0.74</v>
      </c>
      <c r="M593" s="31">
        <v>8.9599999999999999E-2</v>
      </c>
      <c r="N593" s="31">
        <v>4</v>
      </c>
      <c r="O593" s="31">
        <v>55</v>
      </c>
      <c r="P593" s="31">
        <v>59</v>
      </c>
    </row>
    <row r="594" spans="1:16" x14ac:dyDescent="0.3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  <c r="K594" s="31">
        <v>0.21210000000000001</v>
      </c>
      <c r="L594" s="31">
        <v>0.74</v>
      </c>
      <c r="M594" s="31">
        <v>8.9599999999999999E-2</v>
      </c>
      <c r="N594" s="31">
        <v>2</v>
      </c>
      <c r="O594" s="31">
        <v>36</v>
      </c>
      <c r="P594" s="31">
        <v>38</v>
      </c>
    </row>
    <row r="595" spans="1:16" x14ac:dyDescent="0.3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  <c r="K595" s="31">
        <v>0.21210000000000001</v>
      </c>
      <c r="L595" s="31">
        <v>0.74</v>
      </c>
      <c r="M595" s="31">
        <v>8.9599999999999999E-2</v>
      </c>
      <c r="N595" s="31">
        <v>0</v>
      </c>
      <c r="O595" s="31">
        <v>27</v>
      </c>
      <c r="P595" s="31">
        <v>27</v>
      </c>
    </row>
    <row r="596" spans="1:16" x14ac:dyDescent="0.3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  <c r="K596" s="31">
        <v>0.19700000000000001</v>
      </c>
      <c r="L596" s="31">
        <v>0.8</v>
      </c>
      <c r="M596" s="31">
        <v>0.16420000000000001</v>
      </c>
      <c r="N596" s="31">
        <v>0</v>
      </c>
      <c r="O596" s="31">
        <v>16</v>
      </c>
      <c r="P596" s="31">
        <v>16</v>
      </c>
    </row>
    <row r="597" spans="1:16" x14ac:dyDescent="0.3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  <c r="K597" s="31">
        <v>0.21210000000000001</v>
      </c>
      <c r="L597" s="31">
        <v>0.75</v>
      </c>
      <c r="M597" s="31">
        <v>0.1343</v>
      </c>
      <c r="N597" s="31">
        <v>0</v>
      </c>
      <c r="O597" s="31">
        <v>9</v>
      </c>
      <c r="P597" s="31">
        <v>9</v>
      </c>
    </row>
    <row r="598" spans="1:16" x14ac:dyDescent="0.3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  <c r="K598" s="31">
        <v>0.21210000000000001</v>
      </c>
      <c r="L598" s="31">
        <v>0.75</v>
      </c>
      <c r="M598" s="31">
        <v>0.1343</v>
      </c>
      <c r="N598" s="31">
        <v>1</v>
      </c>
      <c r="O598" s="31">
        <v>2</v>
      </c>
      <c r="P598" s="31">
        <v>3</v>
      </c>
    </row>
    <row r="599" spans="1:16" x14ac:dyDescent="0.3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  <c r="K599" s="31">
        <v>0.21210000000000001</v>
      </c>
      <c r="L599" s="31">
        <v>0.75</v>
      </c>
      <c r="M599" s="31">
        <v>0.16420000000000001</v>
      </c>
      <c r="N599" s="31">
        <v>0</v>
      </c>
      <c r="O599" s="31">
        <v>2</v>
      </c>
      <c r="P599" s="31">
        <v>2</v>
      </c>
    </row>
    <row r="600" spans="1:16" x14ac:dyDescent="0.3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  <c r="K600" s="31">
        <v>0.2273</v>
      </c>
      <c r="L600" s="31">
        <v>0.75</v>
      </c>
      <c r="M600" s="31">
        <v>0.1045</v>
      </c>
      <c r="N600" s="31">
        <v>1</v>
      </c>
      <c r="O600" s="31">
        <v>0</v>
      </c>
      <c r="P600" s="31">
        <v>1</v>
      </c>
    </row>
    <row r="601" spans="1:16" x14ac:dyDescent="0.3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  <c r="K601" s="31">
        <v>0.21210000000000001</v>
      </c>
      <c r="L601" s="31">
        <v>0.8</v>
      </c>
      <c r="M601" s="31">
        <v>0.1045</v>
      </c>
      <c r="N601" s="31">
        <v>0</v>
      </c>
      <c r="O601" s="31">
        <v>4</v>
      </c>
      <c r="P601" s="31">
        <v>4</v>
      </c>
    </row>
    <row r="602" spans="1:16" x14ac:dyDescent="0.3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  <c r="K602" s="31">
        <v>0.19700000000000001</v>
      </c>
      <c r="L602" s="31">
        <v>0.8</v>
      </c>
      <c r="M602" s="31">
        <v>0.1343</v>
      </c>
      <c r="N602" s="31">
        <v>0</v>
      </c>
      <c r="O602" s="31">
        <v>16</v>
      </c>
      <c r="P602" s="31">
        <v>16</v>
      </c>
    </row>
    <row r="603" spans="1:16" x14ac:dyDescent="0.3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  <c r="K603" s="31">
        <v>0.19700000000000001</v>
      </c>
      <c r="L603" s="31">
        <v>0.86</v>
      </c>
      <c r="M603" s="31">
        <v>8.9599999999999999E-2</v>
      </c>
      <c r="N603" s="31">
        <v>2</v>
      </c>
      <c r="O603" s="31">
        <v>58</v>
      </c>
      <c r="P603" s="31">
        <v>60</v>
      </c>
    </row>
    <row r="604" spans="1:16" x14ac:dyDescent="0.3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  <c r="K604" s="31">
        <v>0.19700000000000001</v>
      </c>
      <c r="L604" s="31">
        <v>0.86</v>
      </c>
      <c r="M604" s="31">
        <v>8.9599999999999999E-2</v>
      </c>
      <c r="N604" s="31">
        <v>2</v>
      </c>
      <c r="O604" s="31">
        <v>155</v>
      </c>
      <c r="P604" s="31">
        <v>157</v>
      </c>
    </row>
    <row r="605" spans="1:16" x14ac:dyDescent="0.3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  <c r="K605" s="31">
        <v>0.21210000000000001</v>
      </c>
      <c r="L605" s="31">
        <v>0.86</v>
      </c>
      <c r="M605" s="31">
        <v>8.9599999999999999E-2</v>
      </c>
      <c r="N605" s="31">
        <v>6</v>
      </c>
      <c r="O605" s="31">
        <v>95</v>
      </c>
      <c r="P605" s="31">
        <v>101</v>
      </c>
    </row>
    <row r="606" spans="1:16" x14ac:dyDescent="0.3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  <c r="K606" s="31">
        <v>0.21210000000000001</v>
      </c>
      <c r="L606" s="31">
        <v>0.86</v>
      </c>
      <c r="M606" s="31">
        <v>0.1045</v>
      </c>
      <c r="N606" s="31">
        <v>0</v>
      </c>
      <c r="O606" s="31">
        <v>49</v>
      </c>
      <c r="P606" s="31">
        <v>49</v>
      </c>
    </row>
    <row r="607" spans="1:16" x14ac:dyDescent="0.3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  <c r="K607" s="31">
        <v>0.21210000000000001</v>
      </c>
      <c r="L607" s="31">
        <v>0.93</v>
      </c>
      <c r="M607" s="31">
        <v>0.1045</v>
      </c>
      <c r="N607" s="31">
        <v>0</v>
      </c>
      <c r="O607" s="31">
        <v>30</v>
      </c>
      <c r="P607" s="31">
        <v>30</v>
      </c>
    </row>
    <row r="608" spans="1:16" x14ac:dyDescent="0.3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  <c r="K608" s="31">
        <v>0.21210000000000001</v>
      </c>
      <c r="L608" s="31">
        <v>0.93</v>
      </c>
      <c r="M608" s="31">
        <v>0.1045</v>
      </c>
      <c r="N608" s="31">
        <v>1</v>
      </c>
      <c r="O608" s="31">
        <v>28</v>
      </c>
      <c r="P608" s="31">
        <v>29</v>
      </c>
    </row>
    <row r="609" spans="1:16" x14ac:dyDescent="0.3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  <c r="K609" s="31">
        <v>0.21210000000000001</v>
      </c>
      <c r="L609" s="31">
        <v>0.93</v>
      </c>
      <c r="M609" s="31">
        <v>0.1045</v>
      </c>
      <c r="N609" s="31">
        <v>0</v>
      </c>
      <c r="O609" s="31">
        <v>31</v>
      </c>
      <c r="P609" s="31">
        <v>31</v>
      </c>
    </row>
    <row r="610" spans="1:16" x14ac:dyDescent="0.3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  <c r="K610" s="31">
        <v>0.2727</v>
      </c>
      <c r="L610" s="31">
        <v>0.8</v>
      </c>
      <c r="M610" s="31">
        <v>0</v>
      </c>
      <c r="N610" s="31">
        <v>2</v>
      </c>
      <c r="O610" s="31">
        <v>36</v>
      </c>
      <c r="P610" s="31">
        <v>38</v>
      </c>
    </row>
    <row r="611" spans="1:16" x14ac:dyDescent="0.3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  <c r="K611" s="31">
        <v>0.2576</v>
      </c>
      <c r="L611" s="31">
        <v>0.86</v>
      </c>
      <c r="M611" s="31">
        <v>0</v>
      </c>
      <c r="N611" s="31">
        <v>1</v>
      </c>
      <c r="O611" s="31">
        <v>40</v>
      </c>
      <c r="P611" s="31">
        <v>41</v>
      </c>
    </row>
  </sheetData>
  <conditionalFormatting sqref="I2:I611">
    <cfRule type="colorScale" priority="3">
      <colorScale>
        <cfvo type="num" val="1"/>
        <cfvo type="num" val="2"/>
        <cfvo type="num" val="4"/>
        <color theme="7" tint="0.79998168889431442"/>
        <color theme="4" tint="0.59999389629810485"/>
        <color theme="2" tint="-0.499984740745262"/>
      </colorScale>
    </cfRule>
  </conditionalFormatting>
  <conditionalFormatting sqref="L2:L611">
    <cfRule type="colorScale" priority="2">
      <colorScale>
        <cfvo type="num" val="0.2"/>
        <cfvo type="num" val="0.7"/>
        <cfvo type="num" val="1"/>
        <color theme="7" tint="0.79998168889431442"/>
        <color theme="7" tint="0.39997558519241921"/>
        <color rgb="FFC00000"/>
      </colorScale>
    </cfRule>
  </conditionalFormatting>
  <conditionalFormatting sqref="M2:M611">
    <cfRule type="colorScale" priority="1">
      <colorScale>
        <cfvo type="num" val="0"/>
        <cfvo type="num" val="0.3"/>
        <cfvo type="num" val="0.6"/>
        <color theme="0" tint="-4.9989318521683403E-2"/>
        <color theme="4" tint="0.79998168889431442"/>
        <color theme="4" tint="-0.249977111117893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EB95-8914-4C98-8BC4-14D960FC1268}">
  <dimension ref="A1:K14"/>
  <sheetViews>
    <sheetView workbookViewId="0">
      <selection activeCell="J4" sqref="J4"/>
    </sheetView>
  </sheetViews>
  <sheetFormatPr defaultColWidth="11.33203125" defaultRowHeight="14.4" x14ac:dyDescent="0.3"/>
  <cols>
    <col min="1" max="1" width="21.5546875" bestFit="1" customWidth="1"/>
    <col min="2" max="2" width="4" bestFit="1" customWidth="1"/>
    <col min="4" max="4" width="15.44140625" bestFit="1" customWidth="1"/>
    <col min="5" max="5" width="13.21875" bestFit="1" customWidth="1"/>
    <col min="6" max="6" width="10.88671875" bestFit="1" customWidth="1"/>
    <col min="7" max="7" width="18.77734375" bestFit="1" customWidth="1"/>
    <col min="8" max="8" width="15" bestFit="1" customWidth="1"/>
    <col min="9" max="9" width="11.88671875" bestFit="1" customWidth="1"/>
    <col min="10" max="10" width="14.5546875" bestFit="1" customWidth="1"/>
    <col min="11" max="11" width="10.77734375" bestFit="1" customWidth="1"/>
  </cols>
  <sheetData>
    <row r="1" spans="1:11" ht="15" thickBot="1" x14ac:dyDescent="0.35">
      <c r="E1" s="24" t="s">
        <v>33</v>
      </c>
      <c r="H1" s="24" t="s">
        <v>33</v>
      </c>
    </row>
    <row r="2" spans="1:11" x14ac:dyDescent="0.3">
      <c r="A2" s="6" t="s">
        <v>17</v>
      </c>
      <c r="B2" s="9">
        <v>368</v>
      </c>
      <c r="D2" s="18" t="s">
        <v>30</v>
      </c>
      <c r="E2" s="19">
        <f>COUNTIFS(DataSet_Merge!L2:L611,"&gt;0.6",DataSet_Merge!L2:L611,"&lt;=1")</f>
        <v>193</v>
      </c>
      <c r="G2" s="28" t="s">
        <v>34</v>
      </c>
      <c r="H2" s="25">
        <f>COUNTIFS(DataSet_Merge!M2:M611,"&gt;0.4",DataSet_Merge!M2:M611,"&lt;=0.6")</f>
        <v>39</v>
      </c>
    </row>
    <row r="3" spans="1:11" x14ac:dyDescent="0.3">
      <c r="A3" s="7" t="s">
        <v>19</v>
      </c>
      <c r="B3" s="10">
        <v>194</v>
      </c>
      <c r="D3" s="20" t="s">
        <v>31</v>
      </c>
      <c r="E3" s="21">
        <f>COUNTIFS(DataSet_Merge!L2:L611,"&gt;0.3",DataSet_Merge!L2:L611,"&lt;=0.6")</f>
        <v>391</v>
      </c>
      <c r="G3" s="29" t="s">
        <v>35</v>
      </c>
      <c r="H3" s="26">
        <f>COUNTIFS(DataSet_Merge!M2:M611,"&gt;0.2",DataSet_Merge!M2:M611,"&lt;=0.4")</f>
        <v>240</v>
      </c>
    </row>
    <row r="4" spans="1:11" ht="15" thickBot="1" x14ac:dyDescent="0.35">
      <c r="A4" s="7" t="s">
        <v>20</v>
      </c>
      <c r="B4" s="10">
        <v>47</v>
      </c>
      <c r="D4" s="22" t="s">
        <v>32</v>
      </c>
      <c r="E4" s="23">
        <f>COUNTIFS(DataSet_Merge!L2:L611,"&gt;=0",DataSet_Merge!L2:L611,"&lt;=0.3")</f>
        <v>26</v>
      </c>
      <c r="G4" s="30" t="s">
        <v>36</v>
      </c>
      <c r="H4" s="27">
        <f>COUNTIFS(DataSet_Merge!M2:M611,"&gt;=0",DataSet_Merge!M2:M611,"&lt;=0.2")</f>
        <v>331</v>
      </c>
    </row>
    <row r="5" spans="1:11" ht="15" thickBot="1" x14ac:dyDescent="0.35">
      <c r="A5" s="8" t="s">
        <v>21</v>
      </c>
      <c r="B5" s="11">
        <v>1</v>
      </c>
    </row>
    <row r="6" spans="1:11" ht="15" thickBot="1" x14ac:dyDescent="0.35"/>
    <row r="7" spans="1:11" x14ac:dyDescent="0.3">
      <c r="D7" s="12" t="s">
        <v>16</v>
      </c>
      <c r="E7" s="13" t="s">
        <v>18</v>
      </c>
      <c r="F7" s="13" t="s">
        <v>22</v>
      </c>
      <c r="G7" s="13" t="s">
        <v>23</v>
      </c>
      <c r="H7" s="13" t="s">
        <v>27</v>
      </c>
      <c r="I7" s="13" t="s">
        <v>24</v>
      </c>
      <c r="J7" s="13" t="s">
        <v>25</v>
      </c>
      <c r="K7" s="14" t="s">
        <v>26</v>
      </c>
    </row>
    <row r="8" spans="1:11" ht="15" thickBot="1" x14ac:dyDescent="0.35">
      <c r="D8" s="15">
        <v>610</v>
      </c>
      <c r="E8" s="16">
        <v>0.19700000000000001</v>
      </c>
      <c r="F8" s="16">
        <v>0.2</v>
      </c>
      <c r="G8" s="16">
        <v>0.56200000000000006</v>
      </c>
      <c r="H8" s="16">
        <v>0.20499999999999999</v>
      </c>
      <c r="I8" s="16">
        <v>2746</v>
      </c>
      <c r="J8" s="16">
        <v>31152</v>
      </c>
      <c r="K8" s="17">
        <v>33898</v>
      </c>
    </row>
    <row r="10" spans="1:11" x14ac:dyDescent="0.3">
      <c r="A10" t="s">
        <v>29</v>
      </c>
    </row>
    <row r="11" spans="1:11" x14ac:dyDescent="0.3">
      <c r="A11" t="s">
        <v>28</v>
      </c>
    </row>
    <row r="12" spans="1:11" x14ac:dyDescent="0.3">
      <c r="A12" t="s">
        <v>37</v>
      </c>
    </row>
    <row r="13" spans="1:11" x14ac:dyDescent="0.3">
      <c r="A13" t="s">
        <v>38</v>
      </c>
    </row>
    <row r="14" spans="1:11" x14ac:dyDescent="0.3">
      <c r="A1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E9B0-D2E1-4BBC-AFDA-5BA6F990CEC5}">
  <dimension ref="A3:E28"/>
  <sheetViews>
    <sheetView workbookViewId="0">
      <selection activeCell="G24" sqref="G24"/>
    </sheetView>
  </sheetViews>
  <sheetFormatPr defaultRowHeight="14.4" x14ac:dyDescent="0.3"/>
  <cols>
    <col min="1" max="1" width="16.5546875" bestFit="1" customWidth="1"/>
    <col min="2" max="2" width="18.5546875" bestFit="1" customWidth="1"/>
    <col min="3" max="3" width="4" bestFit="1" customWidth="1"/>
    <col min="4" max="5" width="3" bestFit="1" customWidth="1"/>
    <col min="6" max="6" width="10.77734375" bestFit="1" customWidth="1"/>
  </cols>
  <sheetData>
    <row r="3" spans="1:5" x14ac:dyDescent="0.3">
      <c r="A3" s="34" t="s">
        <v>40</v>
      </c>
      <c r="B3" s="34" t="s">
        <v>41</v>
      </c>
    </row>
    <row r="4" spans="1:5" x14ac:dyDescent="0.3">
      <c r="A4" s="34" t="s">
        <v>42</v>
      </c>
      <c r="B4">
        <v>1</v>
      </c>
      <c r="C4">
        <v>2</v>
      </c>
      <c r="D4">
        <v>3</v>
      </c>
      <c r="E4">
        <v>4</v>
      </c>
    </row>
    <row r="5" spans="1:5" x14ac:dyDescent="0.3">
      <c r="A5" s="35">
        <v>0</v>
      </c>
      <c r="B5" s="37">
        <v>14.25</v>
      </c>
      <c r="C5" s="37">
        <v>14.2</v>
      </c>
      <c r="D5" s="37"/>
      <c r="E5" s="37"/>
    </row>
    <row r="6" spans="1:5" x14ac:dyDescent="0.3">
      <c r="A6" s="35">
        <v>1</v>
      </c>
      <c r="B6" s="37">
        <v>8.5</v>
      </c>
      <c r="C6" s="37">
        <v>10.272727272727273</v>
      </c>
      <c r="D6" s="37">
        <v>7</v>
      </c>
      <c r="E6" s="37"/>
    </row>
    <row r="7" spans="1:5" x14ac:dyDescent="0.3">
      <c r="A7" s="35">
        <v>2</v>
      </c>
      <c r="B7" s="37">
        <v>7.1538461538461542</v>
      </c>
      <c r="C7" s="37">
        <v>7.75</v>
      </c>
      <c r="D7" s="37">
        <v>5</v>
      </c>
      <c r="E7" s="37"/>
    </row>
    <row r="8" spans="1:5" x14ac:dyDescent="0.3">
      <c r="A8" s="35">
        <v>3</v>
      </c>
      <c r="B8" s="37">
        <v>4.8888888888888893</v>
      </c>
      <c r="C8" s="37">
        <v>4.8</v>
      </c>
      <c r="D8" s="37">
        <v>4</v>
      </c>
      <c r="E8" s="37"/>
    </row>
    <row r="9" spans="1:5" x14ac:dyDescent="0.3">
      <c r="A9" s="35">
        <v>4</v>
      </c>
      <c r="B9" s="37">
        <v>1.6363636363636365</v>
      </c>
      <c r="C9" s="37">
        <v>2.4285714285714284</v>
      </c>
      <c r="D9" s="37">
        <v>1.5</v>
      </c>
      <c r="E9" s="37"/>
    </row>
    <row r="10" spans="1:5" x14ac:dyDescent="0.3">
      <c r="A10" s="35">
        <v>5</v>
      </c>
      <c r="B10" s="37">
        <v>4.3076923076923075</v>
      </c>
      <c r="C10" s="37">
        <v>3.6666666666666665</v>
      </c>
      <c r="D10" s="37">
        <v>3</v>
      </c>
      <c r="E10" s="37"/>
    </row>
    <row r="11" spans="1:5" x14ac:dyDescent="0.3">
      <c r="A11" s="35">
        <v>6</v>
      </c>
      <c r="B11" s="37">
        <v>22.142857142857142</v>
      </c>
      <c r="C11" s="37">
        <v>15.6</v>
      </c>
      <c r="D11" s="37">
        <v>5</v>
      </c>
      <c r="E11" s="37"/>
    </row>
    <row r="12" spans="1:5" x14ac:dyDescent="0.3">
      <c r="A12" s="35">
        <v>7</v>
      </c>
      <c r="B12" s="37">
        <v>58.411764705882355</v>
      </c>
      <c r="C12" s="37">
        <v>46.25</v>
      </c>
      <c r="D12" s="37">
        <v>30</v>
      </c>
      <c r="E12" s="37"/>
    </row>
    <row r="13" spans="1:5" x14ac:dyDescent="0.3">
      <c r="A13" s="35">
        <v>8</v>
      </c>
      <c r="B13" s="37">
        <v>129</v>
      </c>
      <c r="C13" s="37">
        <v>171.66666666666666</v>
      </c>
      <c r="D13" s="37">
        <v>31.666666666666668</v>
      </c>
      <c r="E13" s="37"/>
    </row>
    <row r="14" spans="1:5" x14ac:dyDescent="0.3">
      <c r="A14" s="35">
        <v>9</v>
      </c>
      <c r="B14" s="37">
        <v>80.533333333333331</v>
      </c>
      <c r="C14" s="37">
        <v>101.125</v>
      </c>
      <c r="D14" s="37">
        <v>59.666666666666664</v>
      </c>
      <c r="E14" s="37"/>
    </row>
    <row r="15" spans="1:5" x14ac:dyDescent="0.3">
      <c r="A15" s="35">
        <v>10</v>
      </c>
      <c r="B15" s="37">
        <v>52.357142857142854</v>
      </c>
      <c r="C15" s="37">
        <v>49.1</v>
      </c>
      <c r="D15" s="37">
        <v>38.5</v>
      </c>
      <c r="E15" s="37"/>
    </row>
    <row r="16" spans="1:5" x14ac:dyDescent="0.3">
      <c r="A16" s="35">
        <v>11</v>
      </c>
      <c r="B16" s="37">
        <v>59.615384615384613</v>
      </c>
      <c r="C16" s="37">
        <v>55.363636363636367</v>
      </c>
      <c r="D16" s="37">
        <v>35.5</v>
      </c>
      <c r="E16" s="37"/>
    </row>
    <row r="17" spans="1:5" x14ac:dyDescent="0.3">
      <c r="A17" s="35">
        <v>12</v>
      </c>
      <c r="B17" s="37">
        <v>78.769230769230774</v>
      </c>
      <c r="C17" s="37">
        <v>69.583333333333329</v>
      </c>
      <c r="D17" s="37">
        <v>38.5</v>
      </c>
      <c r="E17" s="37"/>
    </row>
    <row r="18" spans="1:5" x14ac:dyDescent="0.3">
      <c r="A18" s="35">
        <v>13</v>
      </c>
      <c r="B18" s="37">
        <v>81.533333333333331</v>
      </c>
      <c r="C18" s="37">
        <v>71.400000000000006</v>
      </c>
      <c r="D18" s="37">
        <v>39</v>
      </c>
      <c r="E18" s="37"/>
    </row>
    <row r="19" spans="1:5" x14ac:dyDescent="0.3">
      <c r="A19" s="35">
        <v>14</v>
      </c>
      <c r="B19" s="37">
        <v>74.666666666666671</v>
      </c>
      <c r="C19" s="37">
        <v>63.777777777777779</v>
      </c>
      <c r="D19" s="37">
        <v>44.333333333333336</v>
      </c>
      <c r="E19" s="37"/>
    </row>
    <row r="20" spans="1:5" x14ac:dyDescent="0.3">
      <c r="A20" s="35">
        <v>15</v>
      </c>
      <c r="B20" s="37">
        <v>72.733333333333334</v>
      </c>
      <c r="C20" s="37">
        <v>72.599999999999994</v>
      </c>
      <c r="D20" s="37">
        <v>58.5</v>
      </c>
      <c r="E20" s="37"/>
    </row>
    <row r="21" spans="1:5" x14ac:dyDescent="0.3">
      <c r="A21" s="35">
        <v>16</v>
      </c>
      <c r="B21" s="37">
        <v>79.647058823529406</v>
      </c>
      <c r="C21" s="37">
        <v>91.75</v>
      </c>
      <c r="D21" s="37">
        <v>76</v>
      </c>
      <c r="E21" s="37">
        <v>36</v>
      </c>
    </row>
    <row r="22" spans="1:5" x14ac:dyDescent="0.3">
      <c r="A22" s="35">
        <v>17</v>
      </c>
      <c r="B22" s="37">
        <v>135.55000000000001</v>
      </c>
      <c r="C22" s="37">
        <v>135.5</v>
      </c>
      <c r="D22" s="37">
        <v>26</v>
      </c>
      <c r="E22" s="37"/>
    </row>
    <row r="23" spans="1:5" x14ac:dyDescent="0.3">
      <c r="A23" s="35">
        <v>18</v>
      </c>
      <c r="B23" s="37">
        <v>121.11111111111111</v>
      </c>
      <c r="C23" s="37">
        <v>128.66666666666666</v>
      </c>
      <c r="D23" s="37">
        <v>65</v>
      </c>
      <c r="E23" s="37"/>
    </row>
    <row r="24" spans="1:5" x14ac:dyDescent="0.3">
      <c r="A24" s="35">
        <v>19</v>
      </c>
      <c r="B24" s="37">
        <v>87.3</v>
      </c>
      <c r="C24" s="37">
        <v>106.33333333333333</v>
      </c>
      <c r="D24" s="37">
        <v>49.333333333333336</v>
      </c>
      <c r="E24" s="37"/>
    </row>
    <row r="25" spans="1:5" x14ac:dyDescent="0.3">
      <c r="A25" s="35">
        <v>20</v>
      </c>
      <c r="B25" s="37">
        <v>59.5</v>
      </c>
      <c r="C25" s="37">
        <v>71.5</v>
      </c>
      <c r="D25" s="37">
        <v>32.5</v>
      </c>
      <c r="E25" s="37"/>
    </row>
    <row r="26" spans="1:5" x14ac:dyDescent="0.3">
      <c r="A26" s="35">
        <v>21</v>
      </c>
      <c r="B26" s="37">
        <v>41.631578947368418</v>
      </c>
      <c r="C26" s="37">
        <v>47.4</v>
      </c>
      <c r="D26" s="37">
        <v>23.5</v>
      </c>
      <c r="E26" s="37"/>
    </row>
    <row r="27" spans="1:5" x14ac:dyDescent="0.3">
      <c r="A27" s="35">
        <v>22</v>
      </c>
      <c r="B27" s="37">
        <v>31.533333333333335</v>
      </c>
      <c r="C27" s="37">
        <v>35.888888888888886</v>
      </c>
      <c r="D27" s="37">
        <v>21</v>
      </c>
      <c r="E27" s="37"/>
    </row>
    <row r="28" spans="1:5" x14ac:dyDescent="0.3">
      <c r="A28" s="35">
        <v>23</v>
      </c>
      <c r="B28" s="37">
        <v>20</v>
      </c>
      <c r="C28" s="37">
        <v>26.333333333333332</v>
      </c>
      <c r="D28" s="37">
        <v>11.5</v>
      </c>
      <c r="E28" s="37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60A-95CB-4FA7-A818-900BFE1F7C44}">
  <dimension ref="A3:C10"/>
  <sheetViews>
    <sheetView workbookViewId="0">
      <selection activeCell="C24" sqref="C24"/>
    </sheetView>
  </sheetViews>
  <sheetFormatPr defaultRowHeight="14.4" x14ac:dyDescent="0.3"/>
  <cols>
    <col min="1" max="1" width="12.5546875" bestFit="1" customWidth="1"/>
    <col min="2" max="2" width="11.88671875" bestFit="1" customWidth="1"/>
    <col min="3" max="3" width="14.5546875" bestFit="1" customWidth="1"/>
  </cols>
  <sheetData>
    <row r="3" spans="1:3" x14ac:dyDescent="0.3">
      <c r="A3" s="34" t="s">
        <v>43</v>
      </c>
      <c r="B3" t="s">
        <v>24</v>
      </c>
      <c r="C3" t="s">
        <v>25</v>
      </c>
    </row>
    <row r="4" spans="1:3" x14ac:dyDescent="0.3">
      <c r="A4" s="35">
        <v>0</v>
      </c>
      <c r="B4" s="36">
        <v>586</v>
      </c>
      <c r="C4" s="36">
        <v>3227</v>
      </c>
    </row>
    <row r="5" spans="1:3" x14ac:dyDescent="0.3">
      <c r="A5" s="35">
        <v>1</v>
      </c>
      <c r="B5" s="36">
        <v>364</v>
      </c>
      <c r="C5" s="36">
        <v>4722</v>
      </c>
    </row>
    <row r="6" spans="1:3" x14ac:dyDescent="0.3">
      <c r="A6" s="35">
        <v>2</v>
      </c>
      <c r="B6" s="36">
        <v>346</v>
      </c>
      <c r="C6" s="36">
        <v>5147</v>
      </c>
    </row>
    <row r="7" spans="1:3" x14ac:dyDescent="0.3">
      <c r="A7" s="35">
        <v>3</v>
      </c>
      <c r="B7" s="36">
        <v>219</v>
      </c>
      <c r="C7" s="36">
        <v>4699</v>
      </c>
    </row>
    <row r="8" spans="1:3" x14ac:dyDescent="0.3">
      <c r="A8" s="35">
        <v>4</v>
      </c>
      <c r="B8" s="36">
        <v>224</v>
      </c>
      <c r="C8" s="36">
        <v>5146</v>
      </c>
    </row>
    <row r="9" spans="1:3" x14ac:dyDescent="0.3">
      <c r="A9" s="35">
        <v>5</v>
      </c>
      <c r="B9" s="36">
        <v>293</v>
      </c>
      <c r="C9" s="36">
        <v>4752</v>
      </c>
    </row>
    <row r="10" spans="1:3" x14ac:dyDescent="0.3">
      <c r="A10" s="35">
        <v>6</v>
      </c>
      <c r="B10" s="36">
        <v>714</v>
      </c>
      <c r="C10" s="36">
        <v>3459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A368-AACB-48FD-BEE6-123445E9F2BD}">
  <dimension ref="A1:E5"/>
  <sheetViews>
    <sheetView tabSelected="1" workbookViewId="0">
      <selection activeCell="D5" sqref="D5"/>
    </sheetView>
  </sheetViews>
  <sheetFormatPr defaultRowHeight="14.4" x14ac:dyDescent="0.3"/>
  <sheetData>
    <row r="1" spans="1:5" x14ac:dyDescent="0.3">
      <c r="A1" s="40"/>
      <c r="B1" s="41" t="s">
        <v>9</v>
      </c>
      <c r="C1" s="41" t="s">
        <v>10</v>
      </c>
      <c r="D1" s="41" t="s">
        <v>11</v>
      </c>
      <c r="E1" s="41" t="s">
        <v>12</v>
      </c>
    </row>
    <row r="2" spans="1:5" x14ac:dyDescent="0.3">
      <c r="A2" s="42" t="s">
        <v>9</v>
      </c>
      <c r="B2" s="38">
        <v>1</v>
      </c>
      <c r="C2" s="38"/>
      <c r="D2" s="38"/>
      <c r="E2" s="38"/>
    </row>
    <row r="3" spans="1:5" x14ac:dyDescent="0.3">
      <c r="A3" s="42" t="s">
        <v>10</v>
      </c>
      <c r="B3" s="44">
        <v>0.908020416987108</v>
      </c>
      <c r="C3" s="38">
        <v>1</v>
      </c>
      <c r="D3" s="38"/>
      <c r="E3" s="38"/>
    </row>
    <row r="4" spans="1:5" x14ac:dyDescent="0.3">
      <c r="A4" s="42" t="s">
        <v>11</v>
      </c>
      <c r="B4" s="44">
        <v>0.22594215513162746</v>
      </c>
      <c r="C4" s="44">
        <v>0.29827680982598709</v>
      </c>
      <c r="D4" s="38">
        <v>1</v>
      </c>
      <c r="E4" s="38"/>
    </row>
    <row r="5" spans="1:5" ht="15" thickBot="1" x14ac:dyDescent="0.35">
      <c r="A5" s="43" t="s">
        <v>12</v>
      </c>
      <c r="B5" s="45">
        <v>7.1848031462170475E-2</v>
      </c>
      <c r="C5" s="45">
        <v>-0.24421833724532316</v>
      </c>
      <c r="D5" s="45">
        <v>-0.307205357236353</v>
      </c>
      <c r="E5" s="39">
        <v>1</v>
      </c>
    </row>
  </sheetData>
  <conditionalFormatting sqref="B2:E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DataSet_Merge</vt:lpstr>
      <vt:lpstr>DataSet_A</vt:lpstr>
      <vt:lpstr>Insights</vt:lpstr>
      <vt:lpstr>WeatherBasedRentals</vt:lpstr>
      <vt:lpstr>DayWiseRentals</vt:lpstr>
      <vt:lpstr>Correlation_Matrix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Sakkaf</dc:creator>
  <cp:lastModifiedBy>Yousuf Sakkaf</cp:lastModifiedBy>
  <dcterms:created xsi:type="dcterms:W3CDTF">2015-06-05T18:17:20Z</dcterms:created>
  <dcterms:modified xsi:type="dcterms:W3CDTF">2026-03-25T13:06:56Z</dcterms:modified>
</cp:coreProperties>
</file>