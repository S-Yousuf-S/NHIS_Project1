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Stuff\TechStuffs\DigicromeAcademy\Internship\Project 1\"/>
    </mc:Choice>
  </mc:AlternateContent>
  <xr:revisionPtr revIDLastSave="0" documentId="13_ncr:1_{872FD47B-358A-4EE2-932C-FA8762D38B3D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Given_Dataset" sheetId="1" r:id="rId1"/>
    <sheet name="atemp_blanks" sheetId="3" r:id="rId2"/>
    <sheet name="Dataset_2" sheetId="2" r:id="rId3"/>
    <sheet name="AtempBasedRentals" sheetId="5" r:id="rId4"/>
    <sheet name="HumidityBasedRentals" sheetId="4" r:id="rId5"/>
    <sheet name="WindspeedBasedRentals" sheetId="6" r:id="rId6"/>
  </sheets>
  <calcPr calcId="191029"/>
  <pivotCaches>
    <pivotCache cacheId="2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rltirriGylH92jq7eCuocbnphY6ibIB2zqDYDnsve4w="/>
    </ext>
  </extLst>
</workbook>
</file>

<file path=xl/calcChain.xml><?xml version="1.0" encoding="utf-8"?>
<calcChain xmlns="http://schemas.openxmlformats.org/spreadsheetml/2006/main">
  <c r="D7" i="3" l="1"/>
  <c r="G614" i="2"/>
  <c r="F614" i="2"/>
  <c r="H614" i="2" s="1"/>
  <c r="C614" i="2"/>
  <c r="E614" i="2"/>
  <c r="D614" i="2"/>
  <c r="B61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2" i="2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11" i="3"/>
  <c r="K12" i="3"/>
  <c r="K13" i="3"/>
  <c r="K14" i="3"/>
  <c r="K15" i="3"/>
  <c r="K16" i="3"/>
  <c r="K17" i="3"/>
  <c r="K18" i="3"/>
  <c r="K19" i="3"/>
  <c r="K20" i="3"/>
  <c r="K3" i="3"/>
  <c r="K4" i="3"/>
  <c r="K5" i="3"/>
  <c r="K6" i="3"/>
  <c r="K7" i="3"/>
  <c r="K8" i="3"/>
  <c r="K9" i="3"/>
  <c r="K10" i="3"/>
  <c r="K2" i="3"/>
  <c r="D8" i="3" l="1"/>
  <c r="E7" i="3"/>
  <c r="D9" i="3"/>
</calcChain>
</file>

<file path=xl/sharedStrings.xml><?xml version="1.0" encoding="utf-8"?>
<sst xmlns="http://schemas.openxmlformats.org/spreadsheetml/2006/main" count="48" uniqueCount="37">
  <si>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</si>
  <si>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</si>
  <si>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</si>
  <si>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</si>
  <si>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</si>
  <si>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</si>
  <si>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</si>
  <si>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</si>
  <si>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There are 9 blanks and total instants are 610</t>
  </si>
  <si>
    <t>So we need to divide the sum of atemp values by (610-9)</t>
  </si>
  <si>
    <t>MEAN</t>
  </si>
  <si>
    <t>MODE</t>
  </si>
  <si>
    <t>MEDIAN</t>
  </si>
  <si>
    <t xml:space="preserve">To fill in the blanks for atemp we will be checking mean, mode and median </t>
  </si>
  <si>
    <t>Since all three value are similar so we will be usung mean and round it by 4</t>
  </si>
  <si>
    <t>Updated Mean</t>
  </si>
  <si>
    <t>Now lets use conditions like If so as to fill the blanks</t>
  </si>
  <si>
    <t>Copy the atemp column here and create new column using IF condition</t>
  </si>
  <si>
    <t>Updated_atemp</t>
  </si>
  <si>
    <t>updated_atemp</t>
  </si>
  <si>
    <t>Now copy the updated_atemp column and use pasete special (values) in column atemp.</t>
  </si>
  <si>
    <t>You will now get reformed "atemp" column</t>
  </si>
  <si>
    <t>Total Instants</t>
  </si>
  <si>
    <t>Avg. Atemp</t>
  </si>
  <si>
    <t>Avg. Humidity</t>
  </si>
  <si>
    <t>Avg, WindSpeed</t>
  </si>
  <si>
    <t>Total Casuals</t>
  </si>
  <si>
    <t>Total Registered</t>
  </si>
  <si>
    <t>Total Count</t>
  </si>
  <si>
    <t>Original_atemp</t>
  </si>
  <si>
    <t>We can see now all the blanks are filled with 0.1999 which is same as updated mean</t>
  </si>
  <si>
    <t>Row Labels</t>
  </si>
  <si>
    <t>Total Casual</t>
  </si>
  <si>
    <t>Humidity</t>
  </si>
  <si>
    <t>Total Rentals</t>
  </si>
  <si>
    <t>Atemp</t>
  </si>
  <si>
    <t>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</si>
</sst>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1" fillId="0" borderId="0" xfId="0" applyFont="1"/>
    <xf numFmtId="0" fontId="4" fillId="3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[DataSet_2_YS.xlsx]AtempBasedRentals!PivotTable5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Atemp</a:t>
            </a:r>
            <a:r>
              <a:rPr lang="en-US" b="1" baseline="0"/>
              <a:t> based Rentals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AtempBasedRentals!$B$3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AtempBasedRentals!$A$4:$A$33</c:f>
              <c:strCache>
                <c:ptCount val="30"/>
                <c:pt idx="0">
                  <c:v>0</c:v>
                </c:pt>
                <c:pt idx="1">
                  <c:v>0.0152</c:v>
                </c:pt>
                <c:pt idx="2">
                  <c:v>0.0303</c:v>
                </c:pt>
                <c:pt idx="3">
                  <c:v>0.0455</c:v>
                </c:pt>
                <c:pt idx="4">
                  <c:v>0.0606</c:v>
                </c:pt>
                <c:pt idx="5">
                  <c:v>0.0758</c:v>
                </c:pt>
                <c:pt idx="6">
                  <c:v>0.0909</c:v>
                </c:pt>
                <c:pt idx="7">
                  <c:v>0.1061</c:v>
                </c:pt>
                <c:pt idx="8">
                  <c:v>0.1212</c:v>
                </c:pt>
                <c:pt idx="9">
                  <c:v>0.1364</c:v>
                </c:pt>
                <c:pt idx="10">
                  <c:v>0.1515</c:v>
                </c:pt>
                <c:pt idx="11">
                  <c:v>0.1667</c:v>
                </c:pt>
                <c:pt idx="12">
                  <c:v>0.1818</c:v>
                </c:pt>
                <c:pt idx="13">
                  <c:v>0.197</c:v>
                </c:pt>
                <c:pt idx="14">
                  <c:v>0.1999</c:v>
                </c:pt>
                <c:pt idx="15">
                  <c:v>0.2121</c:v>
                </c:pt>
                <c:pt idx="16">
                  <c:v>0.2273</c:v>
                </c:pt>
                <c:pt idx="17">
                  <c:v>0.2424</c:v>
                </c:pt>
                <c:pt idx="18">
                  <c:v>0.2576</c:v>
                </c:pt>
                <c:pt idx="19">
                  <c:v>0.2727</c:v>
                </c:pt>
                <c:pt idx="20">
                  <c:v>0.2879</c:v>
                </c:pt>
                <c:pt idx="21">
                  <c:v>0.303</c:v>
                </c:pt>
                <c:pt idx="22">
                  <c:v>0.3182</c:v>
                </c:pt>
                <c:pt idx="23">
                  <c:v>0.3333</c:v>
                </c:pt>
                <c:pt idx="24">
                  <c:v>0.3485</c:v>
                </c:pt>
                <c:pt idx="25">
                  <c:v>0.3939</c:v>
                </c:pt>
                <c:pt idx="26">
                  <c:v>0.4091</c:v>
                </c:pt>
                <c:pt idx="27">
                  <c:v>0.4242</c:v>
                </c:pt>
                <c:pt idx="28">
                  <c:v>0.4394</c:v>
                </c:pt>
                <c:pt idx="29">
                  <c:v>0.4545</c:v>
                </c:pt>
              </c:strCache>
            </c:strRef>
          </c:cat>
          <c:val>
            <c:numRef>
              <c:f>AtempBasedRentals!$B$4:$B$33</c:f>
              <c:numCache>
                <c:formatCode>General</c:formatCode>
                <c:ptCount val="30"/>
                <c:pt idx="0">
                  <c:v>39</c:v>
                </c:pt>
                <c:pt idx="1">
                  <c:v>11</c:v>
                </c:pt>
                <c:pt idx="2">
                  <c:v>108</c:v>
                </c:pt>
                <c:pt idx="3">
                  <c:v>28</c:v>
                </c:pt>
                <c:pt idx="4">
                  <c:v>155</c:v>
                </c:pt>
                <c:pt idx="5">
                  <c:v>384</c:v>
                </c:pt>
                <c:pt idx="6">
                  <c:v>101</c:v>
                </c:pt>
                <c:pt idx="7">
                  <c:v>719</c:v>
                </c:pt>
                <c:pt idx="8">
                  <c:v>2099</c:v>
                </c:pt>
                <c:pt idx="9">
                  <c:v>2274</c:v>
                </c:pt>
                <c:pt idx="10">
                  <c:v>2542</c:v>
                </c:pt>
                <c:pt idx="11">
                  <c:v>1394</c:v>
                </c:pt>
                <c:pt idx="12">
                  <c:v>2876</c:v>
                </c:pt>
                <c:pt idx="13">
                  <c:v>3297</c:v>
                </c:pt>
                <c:pt idx="14">
                  <c:v>338</c:v>
                </c:pt>
                <c:pt idx="15">
                  <c:v>2971</c:v>
                </c:pt>
                <c:pt idx="16">
                  <c:v>4331</c:v>
                </c:pt>
                <c:pt idx="17">
                  <c:v>1311</c:v>
                </c:pt>
                <c:pt idx="18">
                  <c:v>2555</c:v>
                </c:pt>
                <c:pt idx="19">
                  <c:v>1119</c:v>
                </c:pt>
                <c:pt idx="20">
                  <c:v>988</c:v>
                </c:pt>
                <c:pt idx="21">
                  <c:v>653</c:v>
                </c:pt>
                <c:pt idx="22">
                  <c:v>985</c:v>
                </c:pt>
                <c:pt idx="23">
                  <c:v>1186</c:v>
                </c:pt>
                <c:pt idx="24">
                  <c:v>342</c:v>
                </c:pt>
                <c:pt idx="25">
                  <c:v>140</c:v>
                </c:pt>
                <c:pt idx="26">
                  <c:v>342</c:v>
                </c:pt>
                <c:pt idx="27">
                  <c:v>260</c:v>
                </c:pt>
                <c:pt idx="28">
                  <c:v>127</c:v>
                </c:pt>
                <c:pt idx="29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1-4141-8675-189024CC5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424784"/>
        <c:axId val="939426704"/>
      </c:lineChart>
      <c:catAx>
        <c:axId val="93942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6704"/>
        <c:crosses val="autoZero"/>
        <c:auto val="1"/>
        <c:lblAlgn val="ctr"/>
        <c:lblOffset val="100"/>
        <c:noMultiLvlLbl val="0"/>
      </c:catAx>
      <c:valAx>
        <c:axId val="9394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[DataSet_2_YS.xlsx]HumidityBasedRentals!PivotTable3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Humidity</a:t>
            </a:r>
            <a:r>
              <a:rPr lang="en-IN" b="1" baseline="0"/>
              <a:t> based Rentals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HumidityBasedRentals!$B$3</c:f>
              <c:strCache>
                <c:ptCount val="1"/>
                <c:pt idx="0">
                  <c:v>Total Casual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HumidityBasedRentals!$A$4:$A$64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HumidityBasedRentals!$B$4:$B$64</c:f>
              <c:numCache>
                <c:formatCode>General</c:formatCode>
                <c:ptCount val="61"/>
                <c:pt idx="0">
                  <c:v>8</c:v>
                </c:pt>
                <c:pt idx="1">
                  <c:v>6</c:v>
                </c:pt>
                <c:pt idx="2">
                  <c:v>18</c:v>
                </c:pt>
                <c:pt idx="3">
                  <c:v>11</c:v>
                </c:pt>
                <c:pt idx="4">
                  <c:v>90</c:v>
                </c:pt>
                <c:pt idx="5">
                  <c:v>8</c:v>
                </c:pt>
                <c:pt idx="6">
                  <c:v>65</c:v>
                </c:pt>
                <c:pt idx="7">
                  <c:v>34</c:v>
                </c:pt>
                <c:pt idx="8">
                  <c:v>41</c:v>
                </c:pt>
                <c:pt idx="9">
                  <c:v>52</c:v>
                </c:pt>
                <c:pt idx="10">
                  <c:v>85</c:v>
                </c:pt>
                <c:pt idx="11">
                  <c:v>105</c:v>
                </c:pt>
                <c:pt idx="12">
                  <c:v>130</c:v>
                </c:pt>
                <c:pt idx="13">
                  <c:v>137</c:v>
                </c:pt>
                <c:pt idx="14">
                  <c:v>62</c:v>
                </c:pt>
                <c:pt idx="15">
                  <c:v>97</c:v>
                </c:pt>
                <c:pt idx="16">
                  <c:v>71</c:v>
                </c:pt>
                <c:pt idx="17">
                  <c:v>61</c:v>
                </c:pt>
                <c:pt idx="18">
                  <c:v>63</c:v>
                </c:pt>
                <c:pt idx="19">
                  <c:v>59</c:v>
                </c:pt>
                <c:pt idx="20">
                  <c:v>77</c:v>
                </c:pt>
                <c:pt idx="21">
                  <c:v>28</c:v>
                </c:pt>
                <c:pt idx="22">
                  <c:v>154</c:v>
                </c:pt>
                <c:pt idx="23">
                  <c:v>37</c:v>
                </c:pt>
                <c:pt idx="24">
                  <c:v>59</c:v>
                </c:pt>
                <c:pt idx="25">
                  <c:v>43</c:v>
                </c:pt>
                <c:pt idx="26">
                  <c:v>118</c:v>
                </c:pt>
                <c:pt idx="27">
                  <c:v>36</c:v>
                </c:pt>
                <c:pt idx="28">
                  <c:v>1</c:v>
                </c:pt>
                <c:pt idx="29">
                  <c:v>13</c:v>
                </c:pt>
                <c:pt idx="30">
                  <c:v>63</c:v>
                </c:pt>
                <c:pt idx="31">
                  <c:v>88</c:v>
                </c:pt>
                <c:pt idx="32">
                  <c:v>23</c:v>
                </c:pt>
                <c:pt idx="33">
                  <c:v>18</c:v>
                </c:pt>
                <c:pt idx="34">
                  <c:v>56</c:v>
                </c:pt>
                <c:pt idx="35">
                  <c:v>18</c:v>
                </c:pt>
                <c:pt idx="36">
                  <c:v>5</c:v>
                </c:pt>
                <c:pt idx="37">
                  <c:v>17</c:v>
                </c:pt>
                <c:pt idx="38">
                  <c:v>12</c:v>
                </c:pt>
                <c:pt idx="39">
                  <c:v>32</c:v>
                </c:pt>
                <c:pt idx="40">
                  <c:v>37</c:v>
                </c:pt>
                <c:pt idx="41">
                  <c:v>31</c:v>
                </c:pt>
                <c:pt idx="42">
                  <c:v>2</c:v>
                </c:pt>
                <c:pt idx="43">
                  <c:v>59</c:v>
                </c:pt>
                <c:pt idx="44">
                  <c:v>1</c:v>
                </c:pt>
                <c:pt idx="45">
                  <c:v>25</c:v>
                </c:pt>
                <c:pt idx="46">
                  <c:v>82</c:v>
                </c:pt>
                <c:pt idx="47">
                  <c:v>20</c:v>
                </c:pt>
                <c:pt idx="48">
                  <c:v>6</c:v>
                </c:pt>
                <c:pt idx="49">
                  <c:v>25</c:v>
                </c:pt>
                <c:pt idx="50">
                  <c:v>69</c:v>
                </c:pt>
                <c:pt idx="51">
                  <c:v>35</c:v>
                </c:pt>
                <c:pt idx="52">
                  <c:v>60</c:v>
                </c:pt>
                <c:pt idx="53">
                  <c:v>57</c:v>
                </c:pt>
                <c:pt idx="54">
                  <c:v>23</c:v>
                </c:pt>
                <c:pt idx="55">
                  <c:v>29</c:v>
                </c:pt>
                <c:pt idx="56">
                  <c:v>34</c:v>
                </c:pt>
                <c:pt idx="57">
                  <c:v>1</c:v>
                </c:pt>
                <c:pt idx="58">
                  <c:v>32</c:v>
                </c:pt>
                <c:pt idx="59">
                  <c:v>16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B-4338-BE46-B59A0D9EA428}"/>
            </c:ext>
          </c:extLst>
        </c:ser>
        <c:ser>
          <c:idx val="1"/>
          <c:order val="1"/>
          <c:tx>
            <c:strRef>
              <c:f>HumidityBasedRentals!$C$3</c:f>
              <c:strCache>
                <c:ptCount val="1"/>
                <c:pt idx="0">
                  <c:v>Total Registered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HumidityBasedRentals!$A$4:$A$64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HumidityBasedRentals!$C$4:$C$64</c:f>
              <c:numCache>
                <c:formatCode>General</c:formatCode>
                <c:ptCount val="61"/>
                <c:pt idx="0">
                  <c:v>65</c:v>
                </c:pt>
                <c:pt idx="1">
                  <c:v>56</c:v>
                </c:pt>
                <c:pt idx="2">
                  <c:v>264</c:v>
                </c:pt>
                <c:pt idx="3">
                  <c:v>67</c:v>
                </c:pt>
                <c:pt idx="4">
                  <c:v>724</c:v>
                </c:pt>
                <c:pt idx="5">
                  <c:v>68</c:v>
                </c:pt>
                <c:pt idx="6">
                  <c:v>703</c:v>
                </c:pt>
                <c:pt idx="7">
                  <c:v>364</c:v>
                </c:pt>
                <c:pt idx="8">
                  <c:v>299</c:v>
                </c:pt>
                <c:pt idx="9">
                  <c:v>243</c:v>
                </c:pt>
                <c:pt idx="10">
                  <c:v>585</c:v>
                </c:pt>
                <c:pt idx="11">
                  <c:v>482</c:v>
                </c:pt>
                <c:pt idx="12">
                  <c:v>1095</c:v>
                </c:pt>
                <c:pt idx="13">
                  <c:v>1188</c:v>
                </c:pt>
                <c:pt idx="14">
                  <c:v>364</c:v>
                </c:pt>
                <c:pt idx="15">
                  <c:v>1539</c:v>
                </c:pt>
                <c:pt idx="16">
                  <c:v>856</c:v>
                </c:pt>
                <c:pt idx="17">
                  <c:v>419</c:v>
                </c:pt>
                <c:pt idx="18">
                  <c:v>547</c:v>
                </c:pt>
                <c:pt idx="19">
                  <c:v>562</c:v>
                </c:pt>
                <c:pt idx="20">
                  <c:v>718</c:v>
                </c:pt>
                <c:pt idx="21">
                  <c:v>351</c:v>
                </c:pt>
                <c:pt idx="22">
                  <c:v>2315</c:v>
                </c:pt>
                <c:pt idx="23">
                  <c:v>779</c:v>
                </c:pt>
                <c:pt idx="24">
                  <c:v>929</c:v>
                </c:pt>
                <c:pt idx="25">
                  <c:v>1448</c:v>
                </c:pt>
                <c:pt idx="26">
                  <c:v>1878</c:v>
                </c:pt>
                <c:pt idx="27">
                  <c:v>322</c:v>
                </c:pt>
                <c:pt idx="28">
                  <c:v>7</c:v>
                </c:pt>
                <c:pt idx="29">
                  <c:v>341</c:v>
                </c:pt>
                <c:pt idx="30">
                  <c:v>1401</c:v>
                </c:pt>
                <c:pt idx="31">
                  <c:v>652</c:v>
                </c:pt>
                <c:pt idx="32">
                  <c:v>423</c:v>
                </c:pt>
                <c:pt idx="33">
                  <c:v>163</c:v>
                </c:pt>
                <c:pt idx="34">
                  <c:v>1386</c:v>
                </c:pt>
                <c:pt idx="35">
                  <c:v>327</c:v>
                </c:pt>
                <c:pt idx="36">
                  <c:v>156</c:v>
                </c:pt>
                <c:pt idx="37">
                  <c:v>103</c:v>
                </c:pt>
                <c:pt idx="38">
                  <c:v>157</c:v>
                </c:pt>
                <c:pt idx="39">
                  <c:v>527</c:v>
                </c:pt>
                <c:pt idx="40">
                  <c:v>365</c:v>
                </c:pt>
                <c:pt idx="41">
                  <c:v>137</c:v>
                </c:pt>
                <c:pt idx="42">
                  <c:v>160</c:v>
                </c:pt>
                <c:pt idx="43">
                  <c:v>886</c:v>
                </c:pt>
                <c:pt idx="44">
                  <c:v>26</c:v>
                </c:pt>
                <c:pt idx="45">
                  <c:v>129</c:v>
                </c:pt>
                <c:pt idx="46">
                  <c:v>118</c:v>
                </c:pt>
                <c:pt idx="47">
                  <c:v>720</c:v>
                </c:pt>
                <c:pt idx="48">
                  <c:v>34</c:v>
                </c:pt>
                <c:pt idx="49">
                  <c:v>105</c:v>
                </c:pt>
                <c:pt idx="50">
                  <c:v>127</c:v>
                </c:pt>
                <c:pt idx="51">
                  <c:v>542</c:v>
                </c:pt>
                <c:pt idx="52">
                  <c:v>209</c:v>
                </c:pt>
                <c:pt idx="53">
                  <c:v>228</c:v>
                </c:pt>
                <c:pt idx="54">
                  <c:v>677</c:v>
                </c:pt>
                <c:pt idx="55">
                  <c:v>433</c:v>
                </c:pt>
                <c:pt idx="56">
                  <c:v>94</c:v>
                </c:pt>
                <c:pt idx="57">
                  <c:v>89</c:v>
                </c:pt>
                <c:pt idx="58">
                  <c:v>1154</c:v>
                </c:pt>
                <c:pt idx="59">
                  <c:v>38</c:v>
                </c:pt>
                <c:pt idx="6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B-4338-BE46-B59A0D9EA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711584"/>
        <c:axId val="1775713024"/>
      </c:lineChart>
      <c:catAx>
        <c:axId val="177571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13024"/>
        <c:crosses val="autoZero"/>
        <c:auto val="1"/>
        <c:lblAlgn val="ctr"/>
        <c:lblOffset val="100"/>
        <c:noMultiLvlLbl val="0"/>
      </c:catAx>
      <c:valAx>
        <c:axId val="177571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[DataSet_2_YS.xlsx]HumidityBasedRentals!PivotTable4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Humidity</a:t>
            </a:r>
            <a:r>
              <a:rPr lang="en-US" b="1" baseline="0"/>
              <a:t> based Total Rentals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HumidityBasedRentals!$N$3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HumidityBasedRentals!$M$4:$M$64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HumidityBasedRentals!$N$4:$N$64</c:f>
              <c:numCache>
                <c:formatCode>General</c:formatCode>
                <c:ptCount val="61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1-444F-9407-9A4904D66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422864"/>
        <c:axId val="946423824"/>
      </c:lineChart>
      <c:catAx>
        <c:axId val="9464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423824"/>
        <c:crosses val="autoZero"/>
        <c:auto val="1"/>
        <c:lblAlgn val="ctr"/>
        <c:lblOffset val="100"/>
        <c:noMultiLvlLbl val="0"/>
      </c:catAx>
      <c:valAx>
        <c:axId val="9464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4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[DataSet_2_YS.xlsx]WindspeedBasedRentals!PivotTable6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Windspeed</a:t>
            </a:r>
            <a:r>
              <a:rPr lang="en-IN" b="1" baseline="0"/>
              <a:t> based Rentals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WindspeedBasedRentals!$B$3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WindspeedBasedRentals!$A$4:$A$23</c:f>
              <c:strCache>
                <c:ptCount val="20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WindspeedBasedRentals!$B$4:$B$23</c:f>
              <c:numCache>
                <c:formatCode>General</c:formatCode>
                <c:ptCount val="20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8-455D-AAD4-06F1BD0CC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427184"/>
        <c:axId val="939421904"/>
      </c:lineChart>
      <c:catAx>
        <c:axId val="93942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1904"/>
        <c:crosses val="autoZero"/>
        <c:auto val="1"/>
        <c:lblAlgn val="ctr"/>
        <c:lblOffset val="100"/>
        <c:noMultiLvlLbl val="0"/>
      </c:catAx>
      <c:valAx>
        <c:axId val="9394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2</xdr:row>
      <xdr:rowOff>102870</xdr:rowOff>
    </xdr:from>
    <xdr:to>
      <xdr:col>10</xdr:col>
      <xdr:colOff>175260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CBADC-B887-5B70-2EEB-AFA74D529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1</xdr:row>
      <xdr:rowOff>140970</xdr:rowOff>
    </xdr:from>
    <xdr:to>
      <xdr:col>10</xdr:col>
      <xdr:colOff>563880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F290D-0498-74FE-098A-378250907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281940</xdr:colOff>
      <xdr:row>17</xdr:row>
      <xdr:rowOff>179070</xdr:rowOff>
    </xdr:from>
    <xdr:to>
      <xdr:col>10</xdr:col>
      <xdr:colOff>586740</xdr:colOff>
      <xdr:row>32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B61AB-C40D-B746-7584-7132E9245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5</xdr:row>
      <xdr:rowOff>41910</xdr:rowOff>
    </xdr:from>
    <xdr:to>
      <xdr:col>11</xdr:col>
      <xdr:colOff>358140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AA172-ED87-B501-4907-A0D97FD6C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uf Sakkaf" refreshedDate="46106.743023263887" createdVersion="8" refreshedVersion="8" minRefreshableVersion="3" recordCount="610" xr:uid="{34DBDF1B-F309-4161-A431-FC3E8B54154F}">
  <cacheSource type="worksheet">
    <worksheetSource name="Table1"/>
  </cacheSource>
  <cacheFields count="8">
    <cacheField name="Unnamed: 0" numFmtId="0">
      <sharedItems containsSemiMixedTypes="0" containsString="0" containsNumber="1" containsInteger="1" minValue="0" maxValue="609"/>
    </cacheField>
    <cacheField name="instant" numFmtId="0">
      <sharedItems containsSemiMixedTypes="0" containsString="0" containsNumber="1" containsInteger="1" minValue="1" maxValue="610"/>
    </cacheField>
    <cacheField name="atemp" numFmtId="0">
      <sharedItems containsSemiMixedTypes="0" containsString="0" containsNumber="1" minValue="0" maxValue="0.45450000000000002" count="30">
        <n v="0.28789999999999999"/>
        <n v="0.2727"/>
        <n v="0.2576"/>
        <n v="0.19989999999999999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" numFmtId="0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0"/>
    <n v="1"/>
    <x v="0"/>
    <x v="0"/>
    <x v="0"/>
    <n v="3"/>
    <n v="13"/>
    <n v="16"/>
  </r>
  <r>
    <n v="1"/>
    <n v="2"/>
    <x v="1"/>
    <x v="1"/>
    <x v="0"/>
    <n v="8"/>
    <n v="32"/>
    <n v="40"/>
  </r>
  <r>
    <n v="2"/>
    <n v="3"/>
    <x v="1"/>
    <x v="1"/>
    <x v="0"/>
    <n v="5"/>
    <n v="27"/>
    <n v="32"/>
  </r>
  <r>
    <n v="3"/>
    <n v="4"/>
    <x v="0"/>
    <x v="2"/>
    <x v="0"/>
    <n v="3"/>
    <n v="10"/>
    <n v="13"/>
  </r>
  <r>
    <n v="4"/>
    <n v="5"/>
    <x v="0"/>
    <x v="2"/>
    <x v="0"/>
    <n v="0"/>
    <n v="1"/>
    <n v="1"/>
  </r>
  <r>
    <n v="5"/>
    <n v="6"/>
    <x v="2"/>
    <x v="2"/>
    <x v="1"/>
    <n v="0"/>
    <n v="1"/>
    <n v="1"/>
  </r>
  <r>
    <n v="6"/>
    <n v="7"/>
    <x v="1"/>
    <x v="1"/>
    <x v="0"/>
    <n v="2"/>
    <n v="0"/>
    <n v="2"/>
  </r>
  <r>
    <n v="7"/>
    <n v="8"/>
    <x v="2"/>
    <x v="3"/>
    <x v="0"/>
    <n v="1"/>
    <n v="2"/>
    <n v="3"/>
  </r>
  <r>
    <n v="8"/>
    <n v="9"/>
    <x v="3"/>
    <x v="2"/>
    <x v="0"/>
    <n v="1"/>
    <n v="7"/>
    <n v="8"/>
  </r>
  <r>
    <n v="9"/>
    <n v="10"/>
    <x v="4"/>
    <x v="4"/>
    <x v="0"/>
    <n v="8"/>
    <n v="6"/>
    <n v="14"/>
  </r>
  <r>
    <n v="10"/>
    <n v="11"/>
    <x v="5"/>
    <x v="4"/>
    <x v="2"/>
    <n v="12"/>
    <n v="24"/>
    <n v="36"/>
  </r>
  <r>
    <n v="11"/>
    <n v="12"/>
    <x v="6"/>
    <x v="0"/>
    <x v="3"/>
    <n v="26"/>
    <n v="30"/>
    <n v="56"/>
  </r>
  <r>
    <n v="12"/>
    <n v="13"/>
    <x v="7"/>
    <x v="5"/>
    <x v="3"/>
    <n v="29"/>
    <n v="55"/>
    <n v="84"/>
  </r>
  <r>
    <n v="13"/>
    <n v="14"/>
    <x v="8"/>
    <x v="6"/>
    <x v="4"/>
    <n v="47"/>
    <n v="47"/>
    <n v="94"/>
  </r>
  <r>
    <n v="14"/>
    <n v="15"/>
    <x v="8"/>
    <x v="6"/>
    <x v="3"/>
    <n v="35"/>
    <n v="71"/>
    <n v="106"/>
  </r>
  <r>
    <n v="15"/>
    <n v="16"/>
    <x v="9"/>
    <x v="5"/>
    <x v="4"/>
    <n v="40"/>
    <n v="70"/>
    <n v="110"/>
  </r>
  <r>
    <n v="16"/>
    <n v="17"/>
    <x v="7"/>
    <x v="7"/>
    <x v="4"/>
    <n v="41"/>
    <n v="52"/>
    <n v="93"/>
  </r>
  <r>
    <n v="17"/>
    <n v="18"/>
    <x v="3"/>
    <x v="7"/>
    <x v="3"/>
    <n v="15"/>
    <n v="52"/>
    <n v="67"/>
  </r>
  <r>
    <n v="18"/>
    <n v="19"/>
    <x v="7"/>
    <x v="8"/>
    <x v="2"/>
    <n v="9"/>
    <n v="26"/>
    <n v="35"/>
  </r>
  <r>
    <n v="19"/>
    <n v="20"/>
    <x v="7"/>
    <x v="8"/>
    <x v="2"/>
    <n v="6"/>
    <n v="31"/>
    <n v="37"/>
  </r>
  <r>
    <n v="20"/>
    <n v="21"/>
    <x v="10"/>
    <x v="9"/>
    <x v="2"/>
    <n v="11"/>
    <n v="25"/>
    <n v="36"/>
  </r>
  <r>
    <n v="21"/>
    <n v="22"/>
    <x v="10"/>
    <x v="9"/>
    <x v="5"/>
    <n v="3"/>
    <n v="31"/>
    <n v="34"/>
  </r>
  <r>
    <n v="22"/>
    <n v="23"/>
    <x v="10"/>
    <x v="10"/>
    <x v="6"/>
    <n v="11"/>
    <n v="17"/>
    <n v="28"/>
  </r>
  <r>
    <n v="23"/>
    <n v="24"/>
    <x v="3"/>
    <x v="8"/>
    <x v="4"/>
    <n v="15"/>
    <n v="24"/>
    <n v="39"/>
  </r>
  <r>
    <n v="24"/>
    <n v="25"/>
    <x v="8"/>
    <x v="8"/>
    <x v="4"/>
    <n v="4"/>
    <n v="13"/>
    <n v="17"/>
  </r>
  <r>
    <n v="25"/>
    <n v="26"/>
    <x v="9"/>
    <x v="10"/>
    <x v="2"/>
    <n v="1"/>
    <n v="16"/>
    <n v="17"/>
  </r>
  <r>
    <n v="26"/>
    <n v="27"/>
    <x v="7"/>
    <x v="11"/>
    <x v="3"/>
    <n v="1"/>
    <n v="8"/>
    <n v="9"/>
  </r>
  <r>
    <n v="27"/>
    <n v="28"/>
    <x v="8"/>
    <x v="10"/>
    <x v="5"/>
    <n v="2"/>
    <n v="4"/>
    <n v="6"/>
  </r>
  <r>
    <n v="28"/>
    <n v="29"/>
    <x v="3"/>
    <x v="10"/>
    <x v="5"/>
    <n v="2"/>
    <n v="1"/>
    <n v="3"/>
  </r>
  <r>
    <n v="29"/>
    <n v="30"/>
    <x v="7"/>
    <x v="5"/>
    <x v="4"/>
    <n v="0"/>
    <n v="2"/>
    <n v="2"/>
  </r>
  <r>
    <n v="30"/>
    <n v="31"/>
    <x v="10"/>
    <x v="4"/>
    <x v="5"/>
    <n v="0"/>
    <n v="1"/>
    <n v="1"/>
  </r>
  <r>
    <n v="31"/>
    <n v="32"/>
    <x v="10"/>
    <x v="12"/>
    <x v="6"/>
    <n v="0"/>
    <n v="8"/>
    <n v="8"/>
  </r>
  <r>
    <n v="32"/>
    <n v="33"/>
    <x v="3"/>
    <x v="4"/>
    <x v="6"/>
    <n v="1"/>
    <n v="19"/>
    <n v="20"/>
  </r>
  <r>
    <n v="33"/>
    <n v="34"/>
    <x v="4"/>
    <x v="0"/>
    <x v="6"/>
    <n v="7"/>
    <n v="46"/>
    <n v="53"/>
  </r>
  <r>
    <n v="34"/>
    <n v="35"/>
    <x v="6"/>
    <x v="12"/>
    <x v="2"/>
    <n v="16"/>
    <n v="54"/>
    <n v="70"/>
  </r>
  <r>
    <n v="35"/>
    <n v="36"/>
    <x v="6"/>
    <x v="13"/>
    <x v="4"/>
    <n v="20"/>
    <n v="73"/>
    <n v="93"/>
  </r>
  <r>
    <n v="36"/>
    <n v="37"/>
    <x v="4"/>
    <x v="13"/>
    <x v="7"/>
    <n v="11"/>
    <n v="64"/>
    <n v="75"/>
  </r>
  <r>
    <n v="37"/>
    <n v="38"/>
    <x v="3"/>
    <x v="4"/>
    <x v="5"/>
    <n v="4"/>
    <n v="55"/>
    <n v="59"/>
  </r>
  <r>
    <n v="38"/>
    <n v="39"/>
    <x v="6"/>
    <x v="0"/>
    <x v="8"/>
    <n v="19"/>
    <n v="55"/>
    <n v="74"/>
  </r>
  <r>
    <n v="39"/>
    <n v="40"/>
    <x v="6"/>
    <x v="12"/>
    <x v="8"/>
    <n v="9"/>
    <n v="67"/>
    <n v="76"/>
  </r>
  <r>
    <n v="40"/>
    <n v="41"/>
    <x v="6"/>
    <x v="14"/>
    <x v="5"/>
    <n v="7"/>
    <n v="58"/>
    <n v="65"/>
  </r>
  <r>
    <n v="41"/>
    <n v="42"/>
    <x v="6"/>
    <x v="15"/>
    <x v="9"/>
    <n v="10"/>
    <n v="43"/>
    <n v="53"/>
  </r>
  <r>
    <n v="42"/>
    <n v="43"/>
    <x v="0"/>
    <x v="16"/>
    <x v="10"/>
    <n v="1"/>
    <n v="29"/>
    <n v="30"/>
  </r>
  <r>
    <n v="43"/>
    <n v="44"/>
    <x v="3"/>
    <x v="17"/>
    <x v="11"/>
    <n v="5"/>
    <n v="17"/>
    <n v="22"/>
  </r>
  <r>
    <n v="44"/>
    <n v="45"/>
    <x v="11"/>
    <x v="18"/>
    <x v="9"/>
    <n v="11"/>
    <n v="20"/>
    <n v="31"/>
  </r>
  <r>
    <n v="45"/>
    <n v="46"/>
    <x v="12"/>
    <x v="18"/>
    <x v="4"/>
    <n v="0"/>
    <n v="9"/>
    <n v="9"/>
  </r>
  <r>
    <n v="46"/>
    <n v="47"/>
    <x v="11"/>
    <x v="19"/>
    <x v="8"/>
    <n v="0"/>
    <n v="8"/>
    <n v="8"/>
  </r>
  <r>
    <n v="47"/>
    <n v="48"/>
    <x v="13"/>
    <x v="18"/>
    <x v="11"/>
    <n v="0"/>
    <n v="5"/>
    <n v="5"/>
  </r>
  <r>
    <n v="48"/>
    <n v="49"/>
    <x v="3"/>
    <x v="18"/>
    <x v="12"/>
    <n v="0"/>
    <n v="2"/>
    <n v="2"/>
  </r>
  <r>
    <n v="49"/>
    <n v="50"/>
    <x v="14"/>
    <x v="19"/>
    <x v="13"/>
    <n v="0"/>
    <n v="1"/>
    <n v="1"/>
  </r>
  <r>
    <n v="50"/>
    <n v="51"/>
    <x v="14"/>
    <x v="19"/>
    <x v="3"/>
    <n v="0"/>
    <n v="3"/>
    <n v="3"/>
  </r>
  <r>
    <n v="51"/>
    <n v="52"/>
    <x v="15"/>
    <x v="20"/>
    <x v="13"/>
    <n v="0"/>
    <n v="30"/>
    <n v="30"/>
  </r>
  <r>
    <n v="52"/>
    <n v="53"/>
    <x v="14"/>
    <x v="20"/>
    <x v="5"/>
    <n v="1"/>
    <n v="63"/>
    <n v="64"/>
  </r>
  <r>
    <n v="53"/>
    <n v="54"/>
    <x v="16"/>
    <x v="20"/>
    <x v="3"/>
    <n v="1"/>
    <n v="153"/>
    <n v="154"/>
  </r>
  <r>
    <n v="54"/>
    <n v="55"/>
    <x v="14"/>
    <x v="21"/>
    <x v="13"/>
    <n v="7"/>
    <n v="81"/>
    <n v="88"/>
  </r>
  <r>
    <n v="55"/>
    <n v="56"/>
    <x v="17"/>
    <x v="21"/>
    <x v="2"/>
    <n v="11"/>
    <n v="33"/>
    <n v="44"/>
  </r>
  <r>
    <n v="56"/>
    <n v="57"/>
    <x v="18"/>
    <x v="22"/>
    <x v="9"/>
    <n v="10"/>
    <n v="41"/>
    <n v="51"/>
  </r>
  <r>
    <n v="57"/>
    <n v="58"/>
    <x v="12"/>
    <x v="23"/>
    <x v="4"/>
    <n v="13"/>
    <n v="48"/>
    <n v="61"/>
  </r>
  <r>
    <n v="58"/>
    <n v="59"/>
    <x v="3"/>
    <x v="23"/>
    <x v="3"/>
    <n v="8"/>
    <n v="53"/>
    <n v="61"/>
  </r>
  <r>
    <n v="59"/>
    <n v="60"/>
    <x v="19"/>
    <x v="24"/>
    <x v="3"/>
    <n v="11"/>
    <n v="66"/>
    <n v="77"/>
  </r>
  <r>
    <n v="60"/>
    <n v="61"/>
    <x v="19"/>
    <x v="24"/>
    <x v="2"/>
    <n v="14"/>
    <n v="58"/>
    <n v="72"/>
  </r>
  <r>
    <n v="61"/>
    <n v="62"/>
    <x v="19"/>
    <x v="24"/>
    <x v="2"/>
    <n v="9"/>
    <n v="67"/>
    <n v="76"/>
  </r>
  <r>
    <n v="62"/>
    <n v="63"/>
    <x v="11"/>
    <x v="24"/>
    <x v="6"/>
    <n v="11"/>
    <n v="146"/>
    <n v="157"/>
  </r>
  <r>
    <n v="63"/>
    <n v="64"/>
    <x v="2"/>
    <x v="25"/>
    <x v="14"/>
    <n v="9"/>
    <n v="148"/>
    <n v="157"/>
  </r>
  <r>
    <n v="64"/>
    <n v="65"/>
    <x v="2"/>
    <x v="19"/>
    <x v="0"/>
    <n v="8"/>
    <n v="102"/>
    <n v="110"/>
  </r>
  <r>
    <n v="65"/>
    <n v="66"/>
    <x v="3"/>
    <x v="19"/>
    <x v="14"/>
    <n v="3"/>
    <n v="49"/>
    <n v="52"/>
  </r>
  <r>
    <n v="66"/>
    <n v="67"/>
    <x v="13"/>
    <x v="26"/>
    <x v="7"/>
    <n v="3"/>
    <n v="49"/>
    <n v="52"/>
  </r>
  <r>
    <n v="67"/>
    <n v="68"/>
    <x v="20"/>
    <x v="27"/>
    <x v="7"/>
    <n v="0"/>
    <n v="20"/>
    <n v="20"/>
  </r>
  <r>
    <n v="68"/>
    <n v="69"/>
    <x v="12"/>
    <x v="28"/>
    <x v="14"/>
    <n v="1"/>
    <n v="11"/>
    <n v="12"/>
  </r>
  <r>
    <n v="69"/>
    <n v="70"/>
    <x v="3"/>
    <x v="28"/>
    <x v="14"/>
    <n v="0"/>
    <n v="5"/>
    <n v="5"/>
  </r>
  <r>
    <n v="70"/>
    <n v="71"/>
    <x v="18"/>
    <x v="29"/>
    <x v="14"/>
    <n v="0"/>
    <n v="2"/>
    <n v="2"/>
  </r>
  <r>
    <n v="71"/>
    <n v="72"/>
    <x v="20"/>
    <x v="30"/>
    <x v="7"/>
    <n v="0"/>
    <n v="1"/>
    <n v="1"/>
  </r>
  <r>
    <n v="72"/>
    <n v="73"/>
    <x v="18"/>
    <x v="30"/>
    <x v="1"/>
    <n v="0"/>
    <n v="2"/>
    <n v="2"/>
  </r>
  <r>
    <n v="73"/>
    <n v="74"/>
    <x v="20"/>
    <x v="31"/>
    <x v="14"/>
    <n v="0"/>
    <n v="4"/>
    <n v="4"/>
  </r>
  <r>
    <n v="74"/>
    <n v="75"/>
    <x v="20"/>
    <x v="32"/>
    <x v="14"/>
    <n v="0"/>
    <n v="36"/>
    <n v="36"/>
  </r>
  <r>
    <n v="75"/>
    <n v="76"/>
    <x v="20"/>
    <x v="32"/>
    <x v="7"/>
    <n v="2"/>
    <n v="92"/>
    <n v="94"/>
  </r>
  <r>
    <n v="76"/>
    <n v="77"/>
    <x v="20"/>
    <x v="27"/>
    <x v="8"/>
    <n v="2"/>
    <n v="177"/>
    <n v="179"/>
  </r>
  <r>
    <n v="77"/>
    <n v="78"/>
    <x v="20"/>
    <x v="26"/>
    <x v="6"/>
    <n v="2"/>
    <n v="98"/>
    <n v="100"/>
  </r>
  <r>
    <n v="78"/>
    <n v="79"/>
    <x v="14"/>
    <x v="27"/>
    <x v="9"/>
    <n v="5"/>
    <n v="37"/>
    <n v="42"/>
  </r>
  <r>
    <n v="79"/>
    <n v="80"/>
    <x v="12"/>
    <x v="33"/>
    <x v="4"/>
    <n v="7"/>
    <n v="50"/>
    <n v="57"/>
  </r>
  <r>
    <n v="80"/>
    <n v="81"/>
    <x v="11"/>
    <x v="33"/>
    <x v="8"/>
    <n v="12"/>
    <n v="66"/>
    <n v="78"/>
  </r>
  <r>
    <n v="81"/>
    <n v="82"/>
    <x v="11"/>
    <x v="34"/>
    <x v="5"/>
    <n v="18"/>
    <n v="79"/>
    <n v="97"/>
  </r>
  <r>
    <n v="82"/>
    <n v="83"/>
    <x v="2"/>
    <x v="35"/>
    <x v="6"/>
    <n v="9"/>
    <n v="54"/>
    <n v="63"/>
  </r>
  <r>
    <n v="83"/>
    <n v="84"/>
    <x v="1"/>
    <x v="35"/>
    <x v="2"/>
    <n v="17"/>
    <n v="48"/>
    <n v="65"/>
  </r>
  <r>
    <n v="84"/>
    <n v="85"/>
    <x v="0"/>
    <x v="36"/>
    <x v="2"/>
    <n v="15"/>
    <n v="68"/>
    <n v="83"/>
  </r>
  <r>
    <n v="85"/>
    <n v="86"/>
    <x v="1"/>
    <x v="37"/>
    <x v="6"/>
    <n v="10"/>
    <n v="202"/>
    <n v="212"/>
  </r>
  <r>
    <n v="86"/>
    <n v="87"/>
    <x v="2"/>
    <x v="37"/>
    <x v="5"/>
    <n v="3"/>
    <n v="179"/>
    <n v="182"/>
  </r>
  <r>
    <n v="87"/>
    <n v="88"/>
    <x v="2"/>
    <x v="37"/>
    <x v="14"/>
    <n v="2"/>
    <n v="110"/>
    <n v="112"/>
  </r>
  <r>
    <n v="88"/>
    <n v="89"/>
    <x v="2"/>
    <x v="37"/>
    <x v="14"/>
    <n v="1"/>
    <n v="53"/>
    <n v="54"/>
  </r>
  <r>
    <n v="89"/>
    <n v="90"/>
    <x v="1"/>
    <x v="26"/>
    <x v="0"/>
    <n v="0"/>
    <n v="48"/>
    <n v="48"/>
  </r>
  <r>
    <n v="90"/>
    <n v="91"/>
    <x v="2"/>
    <x v="26"/>
    <x v="1"/>
    <n v="1"/>
    <n v="34"/>
    <n v="35"/>
  </r>
  <r>
    <n v="91"/>
    <n v="92"/>
    <x v="11"/>
    <x v="27"/>
    <x v="1"/>
    <n v="2"/>
    <n v="9"/>
    <n v="11"/>
  </r>
  <r>
    <n v="92"/>
    <n v="93"/>
    <x v="2"/>
    <x v="26"/>
    <x v="0"/>
    <n v="0"/>
    <n v="6"/>
    <n v="6"/>
  </r>
  <r>
    <n v="93"/>
    <n v="94"/>
    <x v="13"/>
    <x v="32"/>
    <x v="1"/>
    <n v="0"/>
    <n v="6"/>
    <n v="6"/>
  </r>
  <r>
    <n v="94"/>
    <n v="95"/>
    <x v="13"/>
    <x v="32"/>
    <x v="1"/>
    <n v="0"/>
    <n v="2"/>
    <n v="2"/>
  </r>
  <r>
    <n v="95"/>
    <n v="96"/>
    <x v="11"/>
    <x v="37"/>
    <x v="6"/>
    <n v="0"/>
    <n v="2"/>
    <n v="2"/>
  </r>
  <r>
    <n v="96"/>
    <n v="97"/>
    <x v="11"/>
    <x v="19"/>
    <x v="8"/>
    <n v="0"/>
    <n v="3"/>
    <n v="3"/>
  </r>
  <r>
    <n v="97"/>
    <n v="98"/>
    <x v="13"/>
    <x v="19"/>
    <x v="6"/>
    <n v="0"/>
    <n v="33"/>
    <n v="33"/>
  </r>
  <r>
    <n v="98"/>
    <n v="99"/>
    <x v="18"/>
    <x v="21"/>
    <x v="5"/>
    <n v="1"/>
    <n v="87"/>
    <n v="88"/>
  </r>
  <r>
    <n v="99"/>
    <n v="100"/>
    <x v="18"/>
    <x v="22"/>
    <x v="4"/>
    <n v="3"/>
    <n v="192"/>
    <n v="195"/>
  </r>
  <r>
    <n v="100"/>
    <n v="101"/>
    <x v="13"/>
    <x v="38"/>
    <x v="9"/>
    <n v="6"/>
    <n v="109"/>
    <n v="115"/>
  </r>
  <r>
    <n v="101"/>
    <n v="102"/>
    <x v="13"/>
    <x v="38"/>
    <x v="9"/>
    <n v="4"/>
    <n v="53"/>
    <n v="57"/>
  </r>
  <r>
    <n v="102"/>
    <n v="103"/>
    <x v="11"/>
    <x v="39"/>
    <x v="9"/>
    <n v="12"/>
    <n v="34"/>
    <n v="46"/>
  </r>
  <r>
    <n v="103"/>
    <n v="104"/>
    <x v="11"/>
    <x v="39"/>
    <x v="9"/>
    <n v="5"/>
    <n v="74"/>
    <n v="79"/>
  </r>
  <r>
    <n v="104"/>
    <n v="105"/>
    <x v="2"/>
    <x v="24"/>
    <x v="4"/>
    <n v="6"/>
    <n v="65"/>
    <n v="71"/>
  </r>
  <r>
    <n v="105"/>
    <n v="106"/>
    <x v="0"/>
    <x v="40"/>
    <x v="5"/>
    <n v="10"/>
    <n v="52"/>
    <n v="62"/>
  </r>
  <r>
    <n v="106"/>
    <n v="107"/>
    <x v="0"/>
    <x v="40"/>
    <x v="5"/>
    <n v="7"/>
    <n v="55"/>
    <n v="62"/>
  </r>
  <r>
    <n v="107"/>
    <n v="108"/>
    <x v="21"/>
    <x v="40"/>
    <x v="1"/>
    <n v="4"/>
    <n v="85"/>
    <n v="89"/>
  </r>
  <r>
    <n v="108"/>
    <n v="109"/>
    <x v="11"/>
    <x v="41"/>
    <x v="5"/>
    <n v="4"/>
    <n v="186"/>
    <n v="190"/>
  </r>
  <r>
    <n v="109"/>
    <n v="110"/>
    <x v="19"/>
    <x v="41"/>
    <x v="7"/>
    <n v="3"/>
    <n v="166"/>
    <n v="169"/>
  </r>
  <r>
    <n v="110"/>
    <n v="111"/>
    <x v="2"/>
    <x v="41"/>
    <x v="14"/>
    <n v="5"/>
    <n v="127"/>
    <n v="132"/>
  </r>
  <r>
    <n v="111"/>
    <n v="112"/>
    <x v="11"/>
    <x v="19"/>
    <x v="8"/>
    <n v="7"/>
    <n v="82"/>
    <n v="89"/>
  </r>
  <r>
    <n v="112"/>
    <n v="113"/>
    <x v="13"/>
    <x v="33"/>
    <x v="5"/>
    <n v="3"/>
    <n v="40"/>
    <n v="43"/>
  </r>
  <r>
    <n v="113"/>
    <n v="114"/>
    <x v="13"/>
    <x v="28"/>
    <x v="7"/>
    <n v="1"/>
    <n v="41"/>
    <n v="42"/>
  </r>
  <r>
    <n v="114"/>
    <n v="115"/>
    <x v="2"/>
    <x v="19"/>
    <x v="0"/>
    <n v="1"/>
    <n v="18"/>
    <n v="19"/>
  </r>
  <r>
    <n v="115"/>
    <n v="116"/>
    <x v="19"/>
    <x v="28"/>
    <x v="0"/>
    <n v="0"/>
    <n v="11"/>
    <n v="11"/>
  </r>
  <r>
    <n v="116"/>
    <n v="117"/>
    <x v="11"/>
    <x v="26"/>
    <x v="0"/>
    <n v="0"/>
    <n v="4"/>
    <n v="4"/>
  </r>
  <r>
    <n v="117"/>
    <n v="118"/>
    <x v="11"/>
    <x v="26"/>
    <x v="0"/>
    <n v="0"/>
    <n v="2"/>
    <n v="2"/>
  </r>
  <r>
    <n v="118"/>
    <n v="119"/>
    <x v="13"/>
    <x v="26"/>
    <x v="1"/>
    <n v="0"/>
    <n v="1"/>
    <n v="1"/>
  </r>
  <r>
    <n v="119"/>
    <n v="120"/>
    <x v="18"/>
    <x v="27"/>
    <x v="1"/>
    <n v="0"/>
    <n v="4"/>
    <n v="4"/>
  </r>
  <r>
    <n v="120"/>
    <n v="121"/>
    <x v="17"/>
    <x v="30"/>
    <x v="14"/>
    <n v="0"/>
    <n v="36"/>
    <n v="36"/>
  </r>
  <r>
    <n v="121"/>
    <n v="122"/>
    <x v="11"/>
    <x v="29"/>
    <x v="0"/>
    <n v="0"/>
    <n v="95"/>
    <n v="95"/>
  </r>
  <r>
    <n v="122"/>
    <n v="123"/>
    <x v="11"/>
    <x v="29"/>
    <x v="0"/>
    <n v="3"/>
    <n v="216"/>
    <n v="219"/>
  </r>
  <r>
    <n v="123"/>
    <n v="124"/>
    <x v="19"/>
    <x v="33"/>
    <x v="0"/>
    <n v="6"/>
    <n v="116"/>
    <n v="122"/>
  </r>
  <r>
    <n v="124"/>
    <n v="125"/>
    <x v="2"/>
    <x v="19"/>
    <x v="0"/>
    <n v="3"/>
    <n v="42"/>
    <n v="45"/>
  </r>
  <r>
    <n v="125"/>
    <n v="126"/>
    <x v="2"/>
    <x v="18"/>
    <x v="1"/>
    <n v="2"/>
    <n v="57"/>
    <n v="59"/>
  </r>
  <r>
    <n v="126"/>
    <n v="127"/>
    <x v="0"/>
    <x v="23"/>
    <x v="0"/>
    <n v="6"/>
    <n v="78"/>
    <n v="84"/>
  </r>
  <r>
    <n v="127"/>
    <n v="128"/>
    <x v="1"/>
    <x v="23"/>
    <x v="14"/>
    <n v="12"/>
    <n v="55"/>
    <n v="67"/>
  </r>
  <r>
    <n v="128"/>
    <n v="129"/>
    <x v="1"/>
    <x v="42"/>
    <x v="8"/>
    <n v="11"/>
    <n v="59"/>
    <n v="70"/>
  </r>
  <r>
    <n v="129"/>
    <n v="130"/>
    <x v="1"/>
    <x v="42"/>
    <x v="0"/>
    <n v="8"/>
    <n v="54"/>
    <n v="62"/>
  </r>
  <r>
    <n v="130"/>
    <n v="131"/>
    <x v="2"/>
    <x v="41"/>
    <x v="8"/>
    <n v="12"/>
    <n v="74"/>
    <n v="86"/>
  </r>
  <r>
    <n v="131"/>
    <n v="132"/>
    <x v="11"/>
    <x v="33"/>
    <x v="8"/>
    <n v="9"/>
    <n v="163"/>
    <n v="172"/>
  </r>
  <r>
    <n v="132"/>
    <n v="133"/>
    <x v="11"/>
    <x v="33"/>
    <x v="7"/>
    <n v="5"/>
    <n v="158"/>
    <n v="163"/>
  </r>
  <r>
    <n v="133"/>
    <n v="134"/>
    <x v="2"/>
    <x v="28"/>
    <x v="1"/>
    <n v="3"/>
    <n v="109"/>
    <n v="112"/>
  </r>
  <r>
    <n v="134"/>
    <n v="135"/>
    <x v="12"/>
    <x v="33"/>
    <x v="8"/>
    <n v="3"/>
    <n v="66"/>
    <n v="69"/>
  </r>
  <r>
    <n v="135"/>
    <n v="136"/>
    <x v="12"/>
    <x v="28"/>
    <x v="6"/>
    <n v="0"/>
    <n v="48"/>
    <n v="48"/>
  </r>
  <r>
    <n v="136"/>
    <n v="137"/>
    <x v="12"/>
    <x v="33"/>
    <x v="3"/>
    <n v="1"/>
    <n v="51"/>
    <n v="52"/>
  </r>
  <r>
    <n v="137"/>
    <n v="138"/>
    <x v="13"/>
    <x v="29"/>
    <x v="5"/>
    <n v="4"/>
    <n v="19"/>
    <n v="23"/>
  </r>
  <r>
    <n v="138"/>
    <n v="139"/>
    <x v="13"/>
    <x v="26"/>
    <x v="5"/>
    <n v="4"/>
    <n v="13"/>
    <n v="17"/>
  </r>
  <r>
    <n v="139"/>
    <n v="140"/>
    <x v="13"/>
    <x v="27"/>
    <x v="6"/>
    <n v="2"/>
    <n v="5"/>
    <n v="7"/>
  </r>
  <r>
    <n v="140"/>
    <n v="141"/>
    <x v="13"/>
    <x v="27"/>
    <x v="6"/>
    <n v="0"/>
    <n v="1"/>
    <n v="1"/>
  </r>
  <r>
    <n v="141"/>
    <n v="142"/>
    <x v="12"/>
    <x v="27"/>
    <x v="7"/>
    <n v="0"/>
    <n v="1"/>
    <n v="1"/>
  </r>
  <r>
    <n v="142"/>
    <n v="143"/>
    <x v="1"/>
    <x v="28"/>
    <x v="0"/>
    <n v="0"/>
    <n v="5"/>
    <n v="5"/>
  </r>
  <r>
    <n v="143"/>
    <n v="144"/>
    <x v="2"/>
    <x v="27"/>
    <x v="0"/>
    <n v="8"/>
    <n v="26"/>
    <n v="34"/>
  </r>
  <r>
    <n v="144"/>
    <n v="145"/>
    <x v="12"/>
    <x v="27"/>
    <x v="7"/>
    <n v="8"/>
    <n v="76"/>
    <n v="84"/>
  </r>
  <r>
    <n v="145"/>
    <n v="146"/>
    <x v="13"/>
    <x v="33"/>
    <x v="2"/>
    <n v="20"/>
    <n v="190"/>
    <n v="210"/>
  </r>
  <r>
    <n v="146"/>
    <n v="147"/>
    <x v="18"/>
    <x v="19"/>
    <x v="4"/>
    <n v="9"/>
    <n v="125"/>
    <n v="134"/>
  </r>
  <r>
    <n v="147"/>
    <n v="148"/>
    <x v="13"/>
    <x v="38"/>
    <x v="9"/>
    <n v="16"/>
    <n v="47"/>
    <n v="63"/>
  </r>
  <r>
    <n v="148"/>
    <n v="149"/>
    <x v="13"/>
    <x v="22"/>
    <x v="6"/>
    <n v="19"/>
    <n v="48"/>
    <n v="67"/>
  </r>
  <r>
    <n v="149"/>
    <n v="150"/>
    <x v="13"/>
    <x v="38"/>
    <x v="2"/>
    <n v="9"/>
    <n v="50"/>
    <n v="59"/>
  </r>
  <r>
    <n v="150"/>
    <n v="151"/>
    <x v="18"/>
    <x v="38"/>
    <x v="3"/>
    <n v="9"/>
    <n v="64"/>
    <n v="73"/>
  </r>
  <r>
    <n v="151"/>
    <n v="152"/>
    <x v="13"/>
    <x v="22"/>
    <x v="2"/>
    <n v="7"/>
    <n v="43"/>
    <n v="50"/>
  </r>
  <r>
    <n v="152"/>
    <n v="153"/>
    <x v="12"/>
    <x v="38"/>
    <x v="8"/>
    <n v="9"/>
    <n v="63"/>
    <n v="72"/>
  </r>
  <r>
    <n v="153"/>
    <n v="154"/>
    <x v="12"/>
    <x v="38"/>
    <x v="8"/>
    <n v="5"/>
    <n v="82"/>
    <n v="87"/>
  </r>
  <r>
    <n v="154"/>
    <n v="155"/>
    <x v="2"/>
    <x v="38"/>
    <x v="0"/>
    <n v="9"/>
    <n v="178"/>
    <n v="187"/>
  </r>
  <r>
    <n v="155"/>
    <n v="156"/>
    <x v="11"/>
    <x v="22"/>
    <x v="1"/>
    <n v="7"/>
    <n v="116"/>
    <n v="123"/>
  </r>
  <r>
    <n v="156"/>
    <n v="157"/>
    <x v="13"/>
    <x v="28"/>
    <x v="1"/>
    <n v="3"/>
    <n v="92"/>
    <n v="95"/>
  </r>
  <r>
    <n v="157"/>
    <n v="158"/>
    <x v="12"/>
    <x v="19"/>
    <x v="14"/>
    <n v="1"/>
    <n v="50"/>
    <n v="51"/>
  </r>
  <r>
    <n v="158"/>
    <n v="159"/>
    <x v="13"/>
    <x v="19"/>
    <x v="7"/>
    <n v="0"/>
    <n v="39"/>
    <n v="39"/>
  </r>
  <r>
    <n v="159"/>
    <n v="160"/>
    <x v="13"/>
    <x v="21"/>
    <x v="8"/>
    <n v="2"/>
    <n v="34"/>
    <n v="36"/>
  </r>
  <r>
    <n v="160"/>
    <n v="161"/>
    <x v="13"/>
    <x v="33"/>
    <x v="8"/>
    <n v="1"/>
    <n v="14"/>
    <n v="15"/>
  </r>
  <r>
    <n v="161"/>
    <n v="162"/>
    <x v="13"/>
    <x v="33"/>
    <x v="8"/>
    <n v="1"/>
    <n v="24"/>
    <n v="25"/>
  </r>
  <r>
    <n v="162"/>
    <n v="163"/>
    <x v="12"/>
    <x v="28"/>
    <x v="1"/>
    <n v="1"/>
    <n v="15"/>
    <n v="16"/>
  </r>
  <r>
    <n v="163"/>
    <n v="164"/>
    <x v="19"/>
    <x v="28"/>
    <x v="0"/>
    <n v="3"/>
    <n v="13"/>
    <n v="16"/>
  </r>
  <r>
    <n v="164"/>
    <n v="165"/>
    <x v="13"/>
    <x v="28"/>
    <x v="8"/>
    <n v="0"/>
    <n v="7"/>
    <n v="7"/>
  </r>
  <r>
    <n v="165"/>
    <n v="166"/>
    <x v="13"/>
    <x v="28"/>
    <x v="8"/>
    <n v="0"/>
    <n v="1"/>
    <n v="1"/>
  </r>
  <r>
    <n v="166"/>
    <n v="167"/>
    <x v="17"/>
    <x v="32"/>
    <x v="8"/>
    <n v="0"/>
    <n v="5"/>
    <n v="5"/>
  </r>
  <r>
    <n v="167"/>
    <n v="168"/>
    <x v="17"/>
    <x v="32"/>
    <x v="8"/>
    <n v="0"/>
    <n v="2"/>
    <n v="2"/>
  </r>
  <r>
    <n v="168"/>
    <n v="169"/>
    <x v="18"/>
    <x v="32"/>
    <x v="14"/>
    <n v="1"/>
    <n v="8"/>
    <n v="9"/>
  </r>
  <r>
    <n v="169"/>
    <n v="170"/>
    <x v="18"/>
    <x v="43"/>
    <x v="14"/>
    <n v="0"/>
    <n v="15"/>
    <n v="15"/>
  </r>
  <r>
    <n v="170"/>
    <n v="171"/>
    <x v="18"/>
    <x v="43"/>
    <x v="14"/>
    <n v="0"/>
    <n v="20"/>
    <n v="20"/>
  </r>
  <r>
    <n v="171"/>
    <n v="172"/>
    <x v="13"/>
    <x v="1"/>
    <x v="8"/>
    <n v="5"/>
    <n v="56"/>
    <n v="61"/>
  </r>
  <r>
    <n v="172"/>
    <n v="173"/>
    <x v="18"/>
    <x v="27"/>
    <x v="13"/>
    <n v="2"/>
    <n v="60"/>
    <n v="62"/>
  </r>
  <r>
    <n v="173"/>
    <n v="174"/>
    <x v="18"/>
    <x v="29"/>
    <x v="11"/>
    <n v="8"/>
    <n v="90"/>
    <n v="98"/>
  </r>
  <r>
    <n v="174"/>
    <n v="175"/>
    <x v="18"/>
    <x v="18"/>
    <x v="9"/>
    <n v="7"/>
    <n v="95"/>
    <n v="102"/>
  </r>
  <r>
    <n v="175"/>
    <n v="176"/>
    <x v="17"/>
    <x v="25"/>
    <x v="15"/>
    <n v="12"/>
    <n v="83"/>
    <n v="95"/>
  </r>
  <r>
    <n v="176"/>
    <n v="177"/>
    <x v="17"/>
    <x v="25"/>
    <x v="10"/>
    <n v="5"/>
    <n v="69"/>
    <n v="74"/>
  </r>
  <r>
    <n v="177"/>
    <n v="178"/>
    <x v="14"/>
    <x v="44"/>
    <x v="10"/>
    <n v="8"/>
    <n v="68"/>
    <n v="76"/>
  </r>
  <r>
    <n v="178"/>
    <n v="179"/>
    <x v="16"/>
    <x v="38"/>
    <x v="16"/>
    <n v="5"/>
    <n v="64"/>
    <n v="69"/>
  </r>
  <r>
    <n v="179"/>
    <n v="180"/>
    <x v="16"/>
    <x v="17"/>
    <x v="4"/>
    <n v="3"/>
    <n v="52"/>
    <n v="55"/>
  </r>
  <r>
    <n v="180"/>
    <n v="181"/>
    <x v="16"/>
    <x v="42"/>
    <x v="2"/>
    <n v="4"/>
    <n v="26"/>
    <n v="30"/>
  </r>
  <r>
    <n v="181"/>
    <n v="182"/>
    <x v="16"/>
    <x v="42"/>
    <x v="2"/>
    <n v="0"/>
    <n v="28"/>
    <n v="28"/>
  </r>
  <r>
    <n v="182"/>
    <n v="183"/>
    <x v="15"/>
    <x v="17"/>
    <x v="11"/>
    <n v="2"/>
    <n v="35"/>
    <n v="37"/>
  </r>
  <r>
    <n v="183"/>
    <n v="184"/>
    <x v="15"/>
    <x v="42"/>
    <x v="13"/>
    <n v="1"/>
    <n v="33"/>
    <n v="34"/>
  </r>
  <r>
    <n v="184"/>
    <n v="185"/>
    <x v="22"/>
    <x v="17"/>
    <x v="10"/>
    <n v="0"/>
    <n v="22"/>
    <n v="22"/>
  </r>
  <r>
    <n v="185"/>
    <n v="186"/>
    <x v="23"/>
    <x v="16"/>
    <x v="13"/>
    <n v="1"/>
    <n v="24"/>
    <n v="25"/>
  </r>
  <r>
    <n v="186"/>
    <n v="187"/>
    <x v="22"/>
    <x v="16"/>
    <x v="17"/>
    <n v="0"/>
    <n v="12"/>
    <n v="12"/>
  </r>
  <r>
    <n v="187"/>
    <n v="188"/>
    <x v="22"/>
    <x v="15"/>
    <x v="17"/>
    <n v="0"/>
    <n v="11"/>
    <n v="11"/>
  </r>
  <r>
    <n v="188"/>
    <n v="189"/>
    <x v="23"/>
    <x v="15"/>
    <x v="12"/>
    <n v="0"/>
    <n v="4"/>
    <n v="4"/>
  </r>
  <r>
    <n v="189"/>
    <n v="190"/>
    <x v="24"/>
    <x v="45"/>
    <x v="5"/>
    <n v="0"/>
    <n v="1"/>
    <n v="1"/>
  </r>
  <r>
    <n v="190"/>
    <n v="191"/>
    <x v="24"/>
    <x v="45"/>
    <x v="5"/>
    <n v="0"/>
    <n v="1"/>
    <n v="1"/>
  </r>
  <r>
    <n v="191"/>
    <n v="192"/>
    <x v="24"/>
    <x v="36"/>
    <x v="3"/>
    <n v="0"/>
    <n v="1"/>
    <n v="1"/>
  </r>
  <r>
    <n v="192"/>
    <n v="193"/>
    <x v="24"/>
    <x v="45"/>
    <x v="5"/>
    <n v="1"/>
    <n v="5"/>
    <n v="6"/>
  </r>
  <r>
    <n v="193"/>
    <n v="194"/>
    <x v="24"/>
    <x v="36"/>
    <x v="3"/>
    <n v="0"/>
    <n v="10"/>
    <n v="10"/>
  </r>
  <r>
    <n v="194"/>
    <n v="195"/>
    <x v="23"/>
    <x v="15"/>
    <x v="18"/>
    <n v="0"/>
    <n v="19"/>
    <n v="19"/>
  </r>
  <r>
    <n v="195"/>
    <n v="196"/>
    <x v="15"/>
    <x v="21"/>
    <x v="13"/>
    <n v="0"/>
    <n v="49"/>
    <n v="49"/>
  </r>
  <r>
    <n v="196"/>
    <n v="197"/>
    <x v="16"/>
    <x v="22"/>
    <x v="18"/>
    <n v="2"/>
    <n v="47"/>
    <n v="49"/>
  </r>
  <r>
    <n v="197"/>
    <n v="198"/>
    <x v="14"/>
    <x v="38"/>
    <x v="10"/>
    <n v="4"/>
    <n v="79"/>
    <n v="83"/>
  </r>
  <r>
    <n v="198"/>
    <n v="199"/>
    <x v="17"/>
    <x v="46"/>
    <x v="10"/>
    <n v="6"/>
    <n v="69"/>
    <n v="75"/>
  </r>
  <r>
    <n v="199"/>
    <n v="200"/>
    <x v="18"/>
    <x v="25"/>
    <x v="17"/>
    <n v="8"/>
    <n v="64"/>
    <n v="72"/>
  </r>
  <r>
    <n v="200"/>
    <n v="201"/>
    <x v="13"/>
    <x v="23"/>
    <x v="11"/>
    <n v="5"/>
    <n v="77"/>
    <n v="82"/>
  </r>
  <r>
    <n v="201"/>
    <n v="202"/>
    <x v="17"/>
    <x v="46"/>
    <x v="10"/>
    <n v="13"/>
    <n v="79"/>
    <n v="92"/>
  </r>
  <r>
    <n v="202"/>
    <n v="203"/>
    <x v="20"/>
    <x v="38"/>
    <x v="13"/>
    <n v="3"/>
    <n v="59"/>
    <n v="62"/>
  </r>
  <r>
    <n v="203"/>
    <n v="204"/>
    <x v="14"/>
    <x v="22"/>
    <x v="9"/>
    <n v="4"/>
    <n v="44"/>
    <n v="48"/>
  </r>
  <r>
    <n v="204"/>
    <n v="205"/>
    <x v="14"/>
    <x v="21"/>
    <x v="9"/>
    <n v="1"/>
    <n v="40"/>
    <n v="41"/>
  </r>
  <r>
    <n v="205"/>
    <n v="206"/>
    <x v="16"/>
    <x v="15"/>
    <x v="2"/>
    <n v="0"/>
    <n v="38"/>
    <n v="38"/>
  </r>
  <r>
    <n v="206"/>
    <n v="207"/>
    <x v="15"/>
    <x v="15"/>
    <x v="12"/>
    <n v="1"/>
    <n v="19"/>
    <n v="20"/>
  </r>
  <r>
    <n v="207"/>
    <n v="208"/>
    <x v="16"/>
    <x v="15"/>
    <x v="4"/>
    <n v="5"/>
    <n v="10"/>
    <n v="15"/>
  </r>
  <r>
    <n v="208"/>
    <n v="209"/>
    <x v="14"/>
    <x v="20"/>
    <x v="5"/>
    <n v="0"/>
    <n v="6"/>
    <n v="6"/>
  </r>
  <r>
    <n v="209"/>
    <n v="210"/>
    <x v="16"/>
    <x v="20"/>
    <x v="3"/>
    <n v="2"/>
    <n v="3"/>
    <n v="5"/>
  </r>
  <r>
    <n v="210"/>
    <n v="211"/>
    <x v="16"/>
    <x v="20"/>
    <x v="3"/>
    <n v="1"/>
    <n v="0"/>
    <n v="1"/>
  </r>
  <r>
    <n v="211"/>
    <n v="212"/>
    <x v="16"/>
    <x v="20"/>
    <x v="6"/>
    <n v="0"/>
    <n v="3"/>
    <n v="3"/>
  </r>
  <r>
    <n v="212"/>
    <n v="213"/>
    <x v="16"/>
    <x v="20"/>
    <x v="6"/>
    <n v="0"/>
    <n v="1"/>
    <n v="1"/>
  </r>
  <r>
    <n v="213"/>
    <n v="214"/>
    <x v="16"/>
    <x v="47"/>
    <x v="7"/>
    <n v="1"/>
    <n v="2"/>
    <n v="3"/>
  </r>
  <r>
    <n v="214"/>
    <n v="215"/>
    <x v="15"/>
    <x v="47"/>
    <x v="2"/>
    <n v="0"/>
    <n v="3"/>
    <n v="3"/>
  </r>
  <r>
    <n v="215"/>
    <n v="216"/>
    <x v="16"/>
    <x v="20"/>
    <x v="3"/>
    <n v="0"/>
    <n v="31"/>
    <n v="31"/>
  </r>
  <r>
    <n v="216"/>
    <n v="217"/>
    <x v="16"/>
    <x v="20"/>
    <x v="6"/>
    <n v="2"/>
    <n v="75"/>
    <n v="77"/>
  </r>
  <r>
    <n v="217"/>
    <n v="218"/>
    <x v="16"/>
    <x v="20"/>
    <x v="3"/>
    <n v="4"/>
    <n v="184"/>
    <n v="188"/>
  </r>
  <r>
    <n v="218"/>
    <n v="219"/>
    <x v="16"/>
    <x v="20"/>
    <x v="2"/>
    <n v="2"/>
    <n v="92"/>
    <n v="94"/>
  </r>
  <r>
    <n v="219"/>
    <n v="220"/>
    <x v="16"/>
    <x v="20"/>
    <x v="4"/>
    <n v="0"/>
    <n v="31"/>
    <n v="31"/>
  </r>
  <r>
    <n v="220"/>
    <n v="221"/>
    <x v="14"/>
    <x v="19"/>
    <x v="3"/>
    <n v="2"/>
    <n v="28"/>
    <n v="30"/>
  </r>
  <r>
    <n v="221"/>
    <n v="222"/>
    <x v="18"/>
    <x v="22"/>
    <x v="3"/>
    <n v="5"/>
    <n v="47"/>
    <n v="52"/>
  </r>
  <r>
    <n v="222"/>
    <n v="223"/>
    <x v="18"/>
    <x v="22"/>
    <x v="3"/>
    <n v="4"/>
    <n v="50"/>
    <n v="54"/>
  </r>
  <r>
    <n v="223"/>
    <n v="224"/>
    <x v="13"/>
    <x v="22"/>
    <x v="6"/>
    <n v="0"/>
    <n v="47"/>
    <n v="47"/>
  </r>
  <r>
    <n v="224"/>
    <n v="225"/>
    <x v="13"/>
    <x v="22"/>
    <x v="6"/>
    <n v="2"/>
    <n v="43"/>
    <n v="45"/>
  </r>
  <r>
    <n v="225"/>
    <n v="226"/>
    <x v="12"/>
    <x v="22"/>
    <x v="7"/>
    <n v="4"/>
    <n v="70"/>
    <n v="74"/>
  </r>
  <r>
    <n v="226"/>
    <n v="227"/>
    <x v="11"/>
    <x v="22"/>
    <x v="14"/>
    <n v="4"/>
    <n v="174"/>
    <n v="178"/>
  </r>
  <r>
    <n v="227"/>
    <n v="228"/>
    <x v="13"/>
    <x v="22"/>
    <x v="6"/>
    <n v="1"/>
    <n v="154"/>
    <n v="155"/>
  </r>
  <r>
    <n v="228"/>
    <n v="229"/>
    <x v="17"/>
    <x v="19"/>
    <x v="8"/>
    <n v="3"/>
    <n v="92"/>
    <n v="95"/>
  </r>
  <r>
    <n v="229"/>
    <n v="230"/>
    <x v="17"/>
    <x v="20"/>
    <x v="8"/>
    <n v="1"/>
    <n v="73"/>
    <n v="74"/>
  </r>
  <r>
    <n v="230"/>
    <n v="231"/>
    <x v="14"/>
    <x v="29"/>
    <x v="5"/>
    <n v="1"/>
    <n v="37"/>
    <n v="38"/>
  </r>
  <r>
    <n v="231"/>
    <n v="232"/>
    <x v="20"/>
    <x v="29"/>
    <x v="8"/>
    <n v="2"/>
    <n v="22"/>
    <n v="24"/>
  </r>
  <r>
    <n v="232"/>
    <n v="233"/>
    <x v="20"/>
    <x v="29"/>
    <x v="8"/>
    <n v="0"/>
    <n v="18"/>
    <n v="18"/>
  </r>
  <r>
    <n v="233"/>
    <n v="234"/>
    <x v="17"/>
    <x v="29"/>
    <x v="14"/>
    <n v="2"/>
    <n v="10"/>
    <n v="12"/>
  </r>
  <r>
    <n v="234"/>
    <n v="235"/>
    <x v="20"/>
    <x v="29"/>
    <x v="8"/>
    <n v="0"/>
    <n v="3"/>
    <n v="3"/>
  </r>
  <r>
    <n v="235"/>
    <n v="236"/>
    <x v="20"/>
    <x v="28"/>
    <x v="5"/>
    <n v="0"/>
    <n v="3"/>
    <n v="3"/>
  </r>
  <r>
    <n v="236"/>
    <n v="237"/>
    <x v="18"/>
    <x v="28"/>
    <x v="7"/>
    <n v="0"/>
    <n v="6"/>
    <n v="6"/>
  </r>
  <r>
    <n v="237"/>
    <n v="238"/>
    <x v="18"/>
    <x v="28"/>
    <x v="7"/>
    <n v="0"/>
    <n v="27"/>
    <n v="27"/>
  </r>
  <r>
    <n v="238"/>
    <n v="239"/>
    <x v="11"/>
    <x v="28"/>
    <x v="0"/>
    <n v="2"/>
    <n v="97"/>
    <n v="99"/>
  </r>
  <r>
    <n v="239"/>
    <n v="240"/>
    <x v="12"/>
    <x v="33"/>
    <x v="1"/>
    <n v="3"/>
    <n v="214"/>
    <n v="217"/>
  </r>
  <r>
    <n v="240"/>
    <n v="241"/>
    <x v="13"/>
    <x v="33"/>
    <x v="8"/>
    <n v="3"/>
    <n v="127"/>
    <n v="130"/>
  </r>
  <r>
    <n v="241"/>
    <n v="242"/>
    <x v="12"/>
    <x v="33"/>
    <x v="8"/>
    <n v="3"/>
    <n v="51"/>
    <n v="54"/>
  </r>
  <r>
    <n v="242"/>
    <n v="243"/>
    <x v="12"/>
    <x v="19"/>
    <x v="7"/>
    <n v="4"/>
    <n v="31"/>
    <n v="35"/>
  </r>
  <r>
    <n v="243"/>
    <n v="244"/>
    <x v="11"/>
    <x v="33"/>
    <x v="14"/>
    <n v="2"/>
    <n v="55"/>
    <n v="57"/>
  </r>
  <r>
    <n v="244"/>
    <n v="245"/>
    <x v="11"/>
    <x v="29"/>
    <x v="1"/>
    <n v="6"/>
    <n v="46"/>
    <n v="52"/>
  </r>
  <r>
    <n v="245"/>
    <n v="246"/>
    <x v="11"/>
    <x v="29"/>
    <x v="1"/>
    <n v="3"/>
    <n v="60"/>
    <n v="63"/>
  </r>
  <r>
    <n v="246"/>
    <n v="247"/>
    <x v="13"/>
    <x v="1"/>
    <x v="1"/>
    <n v="2"/>
    <n v="45"/>
    <n v="47"/>
  </r>
  <r>
    <n v="247"/>
    <n v="248"/>
    <x v="20"/>
    <x v="3"/>
    <x v="6"/>
    <n v="4"/>
    <n v="72"/>
    <n v="76"/>
  </r>
  <r>
    <n v="248"/>
    <n v="249"/>
    <x v="20"/>
    <x v="3"/>
    <x v="6"/>
    <n v="6"/>
    <n v="130"/>
    <n v="136"/>
  </r>
  <r>
    <n v="249"/>
    <n v="250"/>
    <x v="18"/>
    <x v="43"/>
    <x v="14"/>
    <n v="1"/>
    <n v="94"/>
    <n v="95"/>
  </r>
  <r>
    <n v="250"/>
    <n v="251"/>
    <x v="11"/>
    <x v="43"/>
    <x v="0"/>
    <n v="0"/>
    <n v="51"/>
    <n v="51"/>
  </r>
  <r>
    <n v="251"/>
    <n v="252"/>
    <x v="20"/>
    <x v="43"/>
    <x v="5"/>
    <n v="0"/>
    <n v="32"/>
    <n v="32"/>
  </r>
  <r>
    <n v="252"/>
    <n v="253"/>
    <x v="13"/>
    <x v="3"/>
    <x v="1"/>
    <n v="0"/>
    <n v="20"/>
    <n v="20"/>
  </r>
  <r>
    <n v="253"/>
    <n v="254"/>
    <x v="18"/>
    <x v="43"/>
    <x v="14"/>
    <n v="1"/>
    <n v="28"/>
    <n v="29"/>
  </r>
  <r>
    <n v="254"/>
    <n v="255"/>
    <x v="13"/>
    <x v="43"/>
    <x v="1"/>
    <n v="1"/>
    <n v="18"/>
    <n v="19"/>
  </r>
  <r>
    <n v="255"/>
    <n v="256"/>
    <x v="13"/>
    <x v="3"/>
    <x v="1"/>
    <n v="0"/>
    <n v="7"/>
    <n v="7"/>
  </r>
  <r>
    <n v="256"/>
    <n v="257"/>
    <x v="18"/>
    <x v="3"/>
    <x v="14"/>
    <n v="0"/>
    <n v="6"/>
    <n v="6"/>
  </r>
  <r>
    <n v="257"/>
    <n v="258"/>
    <x v="20"/>
    <x v="3"/>
    <x v="7"/>
    <n v="0"/>
    <n v="1"/>
    <n v="1"/>
  </r>
  <r>
    <n v="258"/>
    <n v="259"/>
    <x v="20"/>
    <x v="3"/>
    <x v="8"/>
    <n v="0"/>
    <n v="5"/>
    <n v="5"/>
  </r>
  <r>
    <n v="259"/>
    <n v="260"/>
    <x v="20"/>
    <x v="43"/>
    <x v="7"/>
    <n v="0"/>
    <n v="16"/>
    <n v="16"/>
  </r>
  <r>
    <n v="260"/>
    <n v="261"/>
    <x v="20"/>
    <x v="27"/>
    <x v="7"/>
    <n v="0"/>
    <n v="54"/>
    <n v="54"/>
  </r>
  <r>
    <n v="261"/>
    <n v="262"/>
    <x v="17"/>
    <x v="29"/>
    <x v="8"/>
    <n v="3"/>
    <n v="125"/>
    <n v="128"/>
  </r>
  <r>
    <n v="262"/>
    <n v="263"/>
    <x v="14"/>
    <x v="29"/>
    <x v="9"/>
    <n v="3"/>
    <n v="78"/>
    <n v="81"/>
  </r>
  <r>
    <n v="263"/>
    <n v="264"/>
    <x v="18"/>
    <x v="28"/>
    <x v="6"/>
    <n v="0"/>
    <n v="39"/>
    <n v="39"/>
  </r>
  <r>
    <n v="264"/>
    <n v="265"/>
    <x v="18"/>
    <x v="33"/>
    <x v="13"/>
    <n v="3"/>
    <n v="32"/>
    <n v="35"/>
  </r>
  <r>
    <n v="265"/>
    <n v="266"/>
    <x v="20"/>
    <x v="19"/>
    <x v="19"/>
    <n v="3"/>
    <n v="52"/>
    <n v="55"/>
  </r>
  <r>
    <n v="266"/>
    <n v="267"/>
    <x v="13"/>
    <x v="18"/>
    <x v="11"/>
    <n v="0"/>
    <n v="49"/>
    <n v="49"/>
  </r>
  <r>
    <n v="267"/>
    <n v="268"/>
    <x v="18"/>
    <x v="19"/>
    <x v="9"/>
    <n v="0"/>
    <n v="44"/>
    <n v="44"/>
  </r>
  <r>
    <n v="268"/>
    <n v="269"/>
    <x v="17"/>
    <x v="19"/>
    <x v="12"/>
    <n v="1"/>
    <n v="48"/>
    <n v="49"/>
  </r>
  <r>
    <n v="269"/>
    <n v="270"/>
    <x v="13"/>
    <x v="18"/>
    <x v="9"/>
    <n v="5"/>
    <n v="63"/>
    <n v="68"/>
  </r>
  <r>
    <n v="270"/>
    <n v="271"/>
    <x v="18"/>
    <x v="19"/>
    <x v="11"/>
    <n v="0"/>
    <n v="139"/>
    <n v="139"/>
  </r>
  <r>
    <n v="271"/>
    <n v="272"/>
    <x v="20"/>
    <x v="19"/>
    <x v="18"/>
    <n v="2"/>
    <n v="135"/>
    <n v="137"/>
  </r>
  <r>
    <n v="272"/>
    <n v="273"/>
    <x v="20"/>
    <x v="19"/>
    <x v="12"/>
    <n v="1"/>
    <n v="82"/>
    <n v="83"/>
  </r>
  <r>
    <n v="273"/>
    <n v="274"/>
    <x v="14"/>
    <x v="20"/>
    <x v="9"/>
    <n v="2"/>
    <n v="54"/>
    <n v="56"/>
  </r>
  <r>
    <n v="274"/>
    <n v="275"/>
    <x v="14"/>
    <x v="28"/>
    <x v="9"/>
    <n v="0"/>
    <n v="57"/>
    <n v="57"/>
  </r>
  <r>
    <n v="275"/>
    <n v="276"/>
    <x v="16"/>
    <x v="28"/>
    <x v="10"/>
    <n v="1"/>
    <n v="32"/>
    <n v="33"/>
  </r>
  <r>
    <n v="276"/>
    <n v="277"/>
    <x v="15"/>
    <x v="29"/>
    <x v="12"/>
    <n v="1"/>
    <n v="19"/>
    <n v="20"/>
  </r>
  <r>
    <n v="277"/>
    <n v="278"/>
    <x v="16"/>
    <x v="29"/>
    <x v="3"/>
    <n v="1"/>
    <n v="6"/>
    <n v="7"/>
  </r>
  <r>
    <n v="278"/>
    <n v="279"/>
    <x v="16"/>
    <x v="20"/>
    <x v="3"/>
    <n v="0"/>
    <n v="2"/>
    <n v="2"/>
  </r>
  <r>
    <n v="279"/>
    <n v="280"/>
    <x v="16"/>
    <x v="20"/>
    <x v="11"/>
    <n v="0"/>
    <n v="2"/>
    <n v="2"/>
  </r>
  <r>
    <n v="280"/>
    <n v="281"/>
    <x v="16"/>
    <x v="20"/>
    <x v="9"/>
    <n v="0"/>
    <n v="3"/>
    <n v="3"/>
  </r>
  <r>
    <n v="281"/>
    <n v="282"/>
    <x v="16"/>
    <x v="20"/>
    <x v="2"/>
    <n v="0"/>
    <n v="4"/>
    <n v="4"/>
  </r>
  <r>
    <n v="282"/>
    <n v="283"/>
    <x v="16"/>
    <x v="20"/>
    <x v="4"/>
    <n v="0"/>
    <n v="3"/>
    <n v="3"/>
  </r>
  <r>
    <n v="283"/>
    <n v="284"/>
    <x v="20"/>
    <x v="47"/>
    <x v="7"/>
    <n v="0"/>
    <n v="28"/>
    <n v="28"/>
  </r>
  <r>
    <n v="284"/>
    <n v="285"/>
    <x v="20"/>
    <x v="47"/>
    <x v="7"/>
    <n v="0"/>
    <n v="72"/>
    <n v="72"/>
  </r>
  <r>
    <n v="285"/>
    <n v="286"/>
    <x v="14"/>
    <x v="20"/>
    <x v="5"/>
    <n v="5"/>
    <n v="197"/>
    <n v="202"/>
  </r>
  <r>
    <n v="286"/>
    <n v="287"/>
    <x v="16"/>
    <x v="20"/>
    <x v="9"/>
    <n v="2"/>
    <n v="137"/>
    <n v="139"/>
  </r>
  <r>
    <n v="287"/>
    <n v="288"/>
    <x v="14"/>
    <x v="20"/>
    <x v="11"/>
    <n v="2"/>
    <n v="36"/>
    <n v="38"/>
  </r>
  <r>
    <n v="288"/>
    <n v="289"/>
    <x v="17"/>
    <x v="18"/>
    <x v="10"/>
    <n v="4"/>
    <n v="33"/>
    <n v="37"/>
  </r>
  <r>
    <n v="289"/>
    <n v="290"/>
    <x v="17"/>
    <x v="18"/>
    <x v="12"/>
    <n v="3"/>
    <n v="49"/>
    <n v="52"/>
  </r>
  <r>
    <n v="290"/>
    <n v="291"/>
    <x v="13"/>
    <x v="48"/>
    <x v="10"/>
    <n v="2"/>
    <n v="81"/>
    <n v="83"/>
  </r>
  <r>
    <n v="291"/>
    <n v="292"/>
    <x v="13"/>
    <x v="48"/>
    <x v="13"/>
    <n v="3"/>
    <n v="39"/>
    <n v="42"/>
  </r>
  <r>
    <n v="292"/>
    <n v="293"/>
    <x v="12"/>
    <x v="41"/>
    <x v="4"/>
    <n v="5"/>
    <n v="55"/>
    <n v="60"/>
  </r>
  <r>
    <n v="293"/>
    <n v="294"/>
    <x v="12"/>
    <x v="41"/>
    <x v="11"/>
    <n v="2"/>
    <n v="76"/>
    <n v="78"/>
  </r>
  <r>
    <n v="294"/>
    <n v="295"/>
    <x v="18"/>
    <x v="22"/>
    <x v="3"/>
    <n v="4"/>
    <n v="158"/>
    <n v="162"/>
  </r>
  <r>
    <n v="295"/>
    <n v="296"/>
    <x v="18"/>
    <x v="22"/>
    <x v="9"/>
    <n v="3"/>
    <n v="141"/>
    <n v="144"/>
  </r>
  <r>
    <n v="296"/>
    <n v="297"/>
    <x v="20"/>
    <x v="19"/>
    <x v="2"/>
    <n v="1"/>
    <n v="98"/>
    <n v="99"/>
  </r>
  <r>
    <n v="297"/>
    <n v="298"/>
    <x v="20"/>
    <x v="19"/>
    <x v="6"/>
    <n v="0"/>
    <n v="64"/>
    <n v="64"/>
  </r>
  <r>
    <n v="298"/>
    <n v="299"/>
    <x v="16"/>
    <x v="15"/>
    <x v="4"/>
    <n v="0"/>
    <n v="40"/>
    <n v="40"/>
  </r>
  <r>
    <n v="299"/>
    <n v="300"/>
    <x v="16"/>
    <x v="15"/>
    <x v="9"/>
    <n v="0"/>
    <n v="30"/>
    <n v="30"/>
  </r>
  <r>
    <n v="300"/>
    <n v="301"/>
    <x v="14"/>
    <x v="20"/>
    <x v="5"/>
    <n v="1"/>
    <n v="14"/>
    <n v="15"/>
  </r>
  <r>
    <n v="301"/>
    <n v="302"/>
    <x v="14"/>
    <x v="20"/>
    <x v="5"/>
    <n v="0"/>
    <n v="14"/>
    <n v="14"/>
  </r>
  <r>
    <n v="302"/>
    <n v="303"/>
    <x v="16"/>
    <x v="47"/>
    <x v="8"/>
    <n v="0"/>
    <n v="5"/>
    <n v="5"/>
  </r>
  <r>
    <n v="303"/>
    <n v="304"/>
    <x v="16"/>
    <x v="47"/>
    <x v="7"/>
    <n v="0"/>
    <n v="1"/>
    <n v="1"/>
  </r>
  <r>
    <n v="304"/>
    <n v="305"/>
    <x v="14"/>
    <x v="47"/>
    <x v="14"/>
    <n v="0"/>
    <n v="1"/>
    <n v="1"/>
  </r>
  <r>
    <n v="305"/>
    <n v="306"/>
    <x v="14"/>
    <x v="47"/>
    <x v="1"/>
    <n v="0"/>
    <n v="8"/>
    <n v="8"/>
  </r>
  <r>
    <n v="306"/>
    <n v="307"/>
    <x v="18"/>
    <x v="47"/>
    <x v="0"/>
    <n v="0"/>
    <n v="17"/>
    <n v="17"/>
  </r>
  <r>
    <n v="307"/>
    <n v="308"/>
    <x v="16"/>
    <x v="32"/>
    <x v="8"/>
    <n v="0"/>
    <n v="70"/>
    <n v="70"/>
  </r>
  <r>
    <n v="308"/>
    <n v="309"/>
    <x v="17"/>
    <x v="31"/>
    <x v="0"/>
    <n v="2"/>
    <n v="156"/>
    <n v="158"/>
  </r>
  <r>
    <n v="309"/>
    <n v="310"/>
    <x v="20"/>
    <x v="27"/>
    <x v="7"/>
    <n v="0"/>
    <n v="117"/>
    <n v="117"/>
  </r>
  <r>
    <n v="310"/>
    <n v="311"/>
    <x v="18"/>
    <x v="28"/>
    <x v="5"/>
    <n v="4"/>
    <n v="40"/>
    <n v="44"/>
  </r>
  <r>
    <n v="311"/>
    <n v="312"/>
    <x v="17"/>
    <x v="33"/>
    <x v="3"/>
    <n v="6"/>
    <n v="47"/>
    <n v="53"/>
  </r>
  <r>
    <n v="312"/>
    <n v="313"/>
    <x v="13"/>
    <x v="18"/>
    <x v="2"/>
    <n v="2"/>
    <n v="59"/>
    <n v="61"/>
  </r>
  <r>
    <n v="313"/>
    <n v="314"/>
    <x v="13"/>
    <x v="38"/>
    <x v="13"/>
    <n v="4"/>
    <n v="73"/>
    <n v="77"/>
  </r>
  <r>
    <n v="314"/>
    <n v="315"/>
    <x v="12"/>
    <x v="48"/>
    <x v="3"/>
    <n v="5"/>
    <n v="59"/>
    <n v="64"/>
  </r>
  <r>
    <n v="315"/>
    <n v="316"/>
    <x v="19"/>
    <x v="41"/>
    <x v="8"/>
    <n v="9"/>
    <n v="59"/>
    <n v="68"/>
  </r>
  <r>
    <n v="316"/>
    <n v="317"/>
    <x v="19"/>
    <x v="48"/>
    <x v="14"/>
    <n v="3"/>
    <n v="87"/>
    <n v="90"/>
  </r>
  <r>
    <n v="317"/>
    <n v="318"/>
    <x v="11"/>
    <x v="48"/>
    <x v="8"/>
    <n v="4"/>
    <n v="155"/>
    <n v="159"/>
  </r>
  <r>
    <n v="318"/>
    <n v="319"/>
    <x v="2"/>
    <x v="19"/>
    <x v="0"/>
    <n v="5"/>
    <n v="134"/>
    <n v="139"/>
  </r>
  <r>
    <n v="319"/>
    <n v="320"/>
    <x v="13"/>
    <x v="29"/>
    <x v="1"/>
    <n v="3"/>
    <n v="89"/>
    <n v="92"/>
  </r>
  <r>
    <n v="320"/>
    <n v="321"/>
    <x v="19"/>
    <x v="29"/>
    <x v="0"/>
    <n v="0"/>
    <n v="68"/>
    <n v="68"/>
  </r>
  <r>
    <n v="321"/>
    <n v="322"/>
    <x v="11"/>
    <x v="27"/>
    <x v="0"/>
    <n v="4"/>
    <n v="48"/>
    <n v="52"/>
  </r>
  <r>
    <n v="322"/>
    <n v="323"/>
    <x v="11"/>
    <x v="27"/>
    <x v="0"/>
    <n v="2"/>
    <n v="34"/>
    <n v="36"/>
  </r>
  <r>
    <n v="323"/>
    <n v="324"/>
    <x v="19"/>
    <x v="28"/>
    <x v="0"/>
    <n v="1"/>
    <n v="26"/>
    <n v="27"/>
  </r>
  <r>
    <n v="324"/>
    <n v="325"/>
    <x v="19"/>
    <x v="28"/>
    <x v="0"/>
    <n v="3"/>
    <n v="25"/>
    <n v="28"/>
  </r>
  <r>
    <n v="325"/>
    <n v="326"/>
    <x v="13"/>
    <x v="29"/>
    <x v="1"/>
    <n v="2"/>
    <n v="18"/>
    <n v="20"/>
  </r>
  <r>
    <n v="326"/>
    <n v="327"/>
    <x v="13"/>
    <x v="29"/>
    <x v="1"/>
    <n v="0"/>
    <n v="12"/>
    <n v="12"/>
  </r>
  <r>
    <n v="327"/>
    <n v="328"/>
    <x v="11"/>
    <x v="29"/>
    <x v="0"/>
    <n v="1"/>
    <n v="7"/>
    <n v="8"/>
  </r>
  <r>
    <n v="328"/>
    <n v="329"/>
    <x v="11"/>
    <x v="29"/>
    <x v="0"/>
    <n v="0"/>
    <n v="5"/>
    <n v="5"/>
  </r>
  <r>
    <n v="329"/>
    <n v="330"/>
    <x v="11"/>
    <x v="29"/>
    <x v="0"/>
    <n v="0"/>
    <n v="1"/>
    <n v="1"/>
  </r>
  <r>
    <n v="330"/>
    <n v="331"/>
    <x v="17"/>
    <x v="30"/>
    <x v="14"/>
    <n v="1"/>
    <n v="2"/>
    <n v="3"/>
  </r>
  <r>
    <n v="331"/>
    <n v="332"/>
    <x v="12"/>
    <x v="30"/>
    <x v="0"/>
    <n v="1"/>
    <n v="9"/>
    <n v="10"/>
  </r>
  <r>
    <n v="332"/>
    <n v="333"/>
    <x v="20"/>
    <x v="30"/>
    <x v="7"/>
    <n v="1"/>
    <n v="22"/>
    <n v="23"/>
  </r>
  <r>
    <n v="333"/>
    <n v="334"/>
    <x v="18"/>
    <x v="26"/>
    <x v="7"/>
    <n v="2"/>
    <n v="31"/>
    <n v="33"/>
  </r>
  <r>
    <n v="334"/>
    <n v="335"/>
    <x v="13"/>
    <x v="29"/>
    <x v="8"/>
    <n v="2"/>
    <n v="57"/>
    <n v="59"/>
  </r>
  <r>
    <n v="335"/>
    <n v="336"/>
    <x v="13"/>
    <x v="28"/>
    <x v="6"/>
    <n v="18"/>
    <n v="54"/>
    <n v="72"/>
  </r>
  <r>
    <n v="336"/>
    <n v="337"/>
    <x v="11"/>
    <x v="37"/>
    <x v="6"/>
    <n v="15"/>
    <n v="74"/>
    <n v="89"/>
  </r>
  <r>
    <n v="337"/>
    <n v="338"/>
    <x v="2"/>
    <x v="41"/>
    <x v="4"/>
    <n v="21"/>
    <n v="80"/>
    <n v="101"/>
  </r>
  <r>
    <n v="338"/>
    <n v="339"/>
    <x v="0"/>
    <x v="17"/>
    <x v="3"/>
    <n v="26"/>
    <n v="92"/>
    <n v="118"/>
  </r>
  <r>
    <n v="339"/>
    <n v="340"/>
    <x v="21"/>
    <x v="42"/>
    <x v="5"/>
    <n v="21"/>
    <n v="108"/>
    <n v="129"/>
  </r>
  <r>
    <n v="340"/>
    <n v="341"/>
    <x v="6"/>
    <x v="46"/>
    <x v="5"/>
    <n v="33"/>
    <n v="95"/>
    <n v="128"/>
  </r>
  <r>
    <n v="341"/>
    <n v="342"/>
    <x v="25"/>
    <x v="42"/>
    <x v="3"/>
    <n v="29"/>
    <n v="54"/>
    <n v="83"/>
  </r>
  <r>
    <n v="342"/>
    <n v="343"/>
    <x v="0"/>
    <x v="49"/>
    <x v="2"/>
    <n v="15"/>
    <n v="69"/>
    <n v="84"/>
  </r>
  <r>
    <n v="343"/>
    <n v="344"/>
    <x v="25"/>
    <x v="17"/>
    <x v="2"/>
    <n v="14"/>
    <n v="60"/>
    <n v="74"/>
  </r>
  <r>
    <n v="344"/>
    <n v="345"/>
    <x v="25"/>
    <x v="17"/>
    <x v="2"/>
    <n v="6"/>
    <n v="35"/>
    <n v="41"/>
  </r>
  <r>
    <n v="345"/>
    <n v="346"/>
    <x v="25"/>
    <x v="17"/>
    <x v="6"/>
    <n v="6"/>
    <n v="51"/>
    <n v="57"/>
  </r>
  <r>
    <n v="346"/>
    <n v="347"/>
    <x v="21"/>
    <x v="16"/>
    <x v="14"/>
    <n v="0"/>
    <n v="26"/>
    <n v="26"/>
  </r>
  <r>
    <n v="347"/>
    <n v="348"/>
    <x v="0"/>
    <x v="49"/>
    <x v="3"/>
    <n v="5"/>
    <n v="39"/>
    <n v="44"/>
  </r>
  <r>
    <n v="348"/>
    <n v="349"/>
    <x v="25"/>
    <x v="34"/>
    <x v="0"/>
    <n v="6"/>
    <n v="33"/>
    <n v="39"/>
  </r>
  <r>
    <n v="349"/>
    <n v="350"/>
    <x v="1"/>
    <x v="34"/>
    <x v="7"/>
    <n v="4"/>
    <n v="19"/>
    <n v="23"/>
  </r>
  <r>
    <n v="350"/>
    <n v="351"/>
    <x v="0"/>
    <x v="34"/>
    <x v="1"/>
    <n v="3"/>
    <n v="13"/>
    <n v="16"/>
  </r>
  <r>
    <n v="351"/>
    <n v="352"/>
    <x v="1"/>
    <x v="27"/>
    <x v="0"/>
    <n v="9"/>
    <n v="6"/>
    <n v="15"/>
  </r>
  <r>
    <n v="352"/>
    <n v="353"/>
    <x v="2"/>
    <x v="34"/>
    <x v="8"/>
    <n v="0"/>
    <n v="1"/>
    <n v="1"/>
  </r>
  <r>
    <n v="353"/>
    <n v="354"/>
    <x v="2"/>
    <x v="34"/>
    <x v="8"/>
    <n v="1"/>
    <n v="1"/>
    <n v="2"/>
  </r>
  <r>
    <n v="354"/>
    <n v="355"/>
    <x v="2"/>
    <x v="34"/>
    <x v="8"/>
    <n v="0"/>
    <n v="1"/>
    <n v="1"/>
  </r>
  <r>
    <n v="355"/>
    <n v="356"/>
    <x v="12"/>
    <x v="34"/>
    <x v="4"/>
    <n v="0"/>
    <n v="3"/>
    <n v="3"/>
  </r>
  <r>
    <n v="356"/>
    <n v="357"/>
    <x v="12"/>
    <x v="28"/>
    <x v="3"/>
    <n v="0"/>
    <n v="18"/>
    <n v="18"/>
  </r>
  <r>
    <n v="357"/>
    <n v="358"/>
    <x v="12"/>
    <x v="33"/>
    <x v="2"/>
    <n v="3"/>
    <n v="29"/>
    <n v="32"/>
  </r>
  <r>
    <n v="358"/>
    <n v="359"/>
    <x v="12"/>
    <x v="33"/>
    <x v="3"/>
    <n v="8"/>
    <n v="71"/>
    <n v="79"/>
  </r>
  <r>
    <n v="359"/>
    <n v="360"/>
    <x v="11"/>
    <x v="18"/>
    <x v="2"/>
    <n v="23"/>
    <n v="70"/>
    <n v="93"/>
  </r>
  <r>
    <n v="360"/>
    <n v="361"/>
    <x v="12"/>
    <x v="48"/>
    <x v="3"/>
    <n v="29"/>
    <n v="75"/>
    <n v="104"/>
  </r>
  <r>
    <n v="361"/>
    <n v="362"/>
    <x v="11"/>
    <x v="23"/>
    <x v="4"/>
    <n v="23"/>
    <n v="95"/>
    <n v="118"/>
  </r>
  <r>
    <n v="362"/>
    <n v="363"/>
    <x v="1"/>
    <x v="42"/>
    <x v="2"/>
    <n v="22"/>
    <n v="69"/>
    <n v="91"/>
  </r>
  <r>
    <n v="363"/>
    <n v="364"/>
    <x v="19"/>
    <x v="41"/>
    <x v="2"/>
    <n v="35"/>
    <n v="78"/>
    <n v="113"/>
  </r>
  <r>
    <n v="364"/>
    <n v="365"/>
    <x v="11"/>
    <x v="41"/>
    <x v="6"/>
    <n v="22"/>
    <n v="77"/>
    <n v="99"/>
  </r>
  <r>
    <n v="365"/>
    <n v="366"/>
    <x v="12"/>
    <x v="38"/>
    <x v="2"/>
    <n v="23"/>
    <n v="82"/>
    <n v="105"/>
  </r>
  <r>
    <n v="366"/>
    <n v="367"/>
    <x v="12"/>
    <x v="22"/>
    <x v="8"/>
    <n v="11"/>
    <n v="56"/>
    <n v="67"/>
  </r>
  <r>
    <n v="367"/>
    <n v="368"/>
    <x v="13"/>
    <x v="19"/>
    <x v="7"/>
    <n v="14"/>
    <n v="47"/>
    <n v="61"/>
  </r>
  <r>
    <n v="368"/>
    <n v="369"/>
    <x v="13"/>
    <x v="19"/>
    <x v="8"/>
    <n v="7"/>
    <n v="50"/>
    <n v="57"/>
  </r>
  <r>
    <n v="369"/>
    <n v="370"/>
    <x v="13"/>
    <x v="33"/>
    <x v="8"/>
    <n v="6"/>
    <n v="22"/>
    <n v="28"/>
  </r>
  <r>
    <n v="370"/>
    <n v="371"/>
    <x v="12"/>
    <x v="36"/>
    <x v="7"/>
    <n v="2"/>
    <n v="19"/>
    <n v="21"/>
  </r>
  <r>
    <n v="371"/>
    <n v="372"/>
    <x v="11"/>
    <x v="22"/>
    <x v="14"/>
    <n v="0"/>
    <n v="18"/>
    <n v="18"/>
  </r>
  <r>
    <n v="372"/>
    <n v="373"/>
    <x v="13"/>
    <x v="19"/>
    <x v="6"/>
    <n v="1"/>
    <n v="16"/>
    <n v="17"/>
  </r>
  <r>
    <n v="373"/>
    <n v="374"/>
    <x v="13"/>
    <x v="18"/>
    <x v="5"/>
    <n v="1"/>
    <n v="15"/>
    <n v="16"/>
  </r>
  <r>
    <n v="374"/>
    <n v="375"/>
    <x v="17"/>
    <x v="21"/>
    <x v="2"/>
    <n v="0"/>
    <n v="8"/>
    <n v="8"/>
  </r>
  <r>
    <n v="375"/>
    <n v="376"/>
    <x v="18"/>
    <x v="21"/>
    <x v="5"/>
    <n v="0"/>
    <n v="2"/>
    <n v="2"/>
  </r>
  <r>
    <n v="376"/>
    <n v="377"/>
    <x v="13"/>
    <x v="21"/>
    <x v="7"/>
    <n v="1"/>
    <n v="2"/>
    <n v="3"/>
  </r>
  <r>
    <n v="377"/>
    <n v="378"/>
    <x v="13"/>
    <x v="21"/>
    <x v="8"/>
    <n v="0"/>
    <n v="1"/>
    <n v="1"/>
  </r>
  <r>
    <n v="378"/>
    <n v="379"/>
    <x v="18"/>
    <x v="21"/>
    <x v="5"/>
    <n v="0"/>
    <n v="5"/>
    <n v="5"/>
  </r>
  <r>
    <n v="379"/>
    <n v="380"/>
    <x v="18"/>
    <x v="20"/>
    <x v="7"/>
    <n v="4"/>
    <n v="9"/>
    <n v="13"/>
  </r>
  <r>
    <n v="380"/>
    <n v="381"/>
    <x v="20"/>
    <x v="19"/>
    <x v="6"/>
    <n v="3"/>
    <n v="30"/>
    <n v="33"/>
  </r>
  <r>
    <n v="381"/>
    <n v="382"/>
    <x v="20"/>
    <x v="19"/>
    <x v="6"/>
    <n v="8"/>
    <n v="39"/>
    <n v="47"/>
  </r>
  <r>
    <n v="382"/>
    <n v="383"/>
    <x v="20"/>
    <x v="20"/>
    <x v="2"/>
    <n v="7"/>
    <n v="50"/>
    <n v="57"/>
  </r>
  <r>
    <n v="383"/>
    <n v="384"/>
    <x v="20"/>
    <x v="28"/>
    <x v="5"/>
    <n v="9"/>
    <n v="55"/>
    <n v="64"/>
  </r>
  <r>
    <n v="384"/>
    <n v="385"/>
    <x v="13"/>
    <x v="19"/>
    <x v="7"/>
    <n v="10"/>
    <n v="70"/>
    <n v="80"/>
  </r>
  <r>
    <n v="385"/>
    <n v="386"/>
    <x v="13"/>
    <x v="19"/>
    <x v="7"/>
    <n v="13"/>
    <n v="80"/>
    <n v="93"/>
  </r>
  <r>
    <n v="386"/>
    <n v="387"/>
    <x v="12"/>
    <x v="21"/>
    <x v="14"/>
    <n v="12"/>
    <n v="74"/>
    <n v="86"/>
  </r>
  <r>
    <n v="387"/>
    <n v="388"/>
    <x v="12"/>
    <x v="19"/>
    <x v="8"/>
    <n v="21"/>
    <n v="72"/>
    <n v="93"/>
  </r>
  <r>
    <n v="388"/>
    <n v="389"/>
    <x v="12"/>
    <x v="19"/>
    <x v="8"/>
    <n v="6"/>
    <n v="76"/>
    <n v="82"/>
  </r>
  <r>
    <n v="389"/>
    <n v="390"/>
    <x v="13"/>
    <x v="33"/>
    <x v="5"/>
    <n v="4"/>
    <n v="67"/>
    <n v="71"/>
  </r>
  <r>
    <n v="390"/>
    <n v="391"/>
    <x v="17"/>
    <x v="28"/>
    <x v="2"/>
    <n v="7"/>
    <n v="85"/>
    <n v="92"/>
  </r>
  <r>
    <n v="391"/>
    <n v="392"/>
    <x v="18"/>
    <x v="29"/>
    <x v="5"/>
    <n v="2"/>
    <n v="58"/>
    <n v="60"/>
  </r>
  <r>
    <n v="392"/>
    <n v="393"/>
    <x v="20"/>
    <x v="1"/>
    <x v="5"/>
    <n v="4"/>
    <n v="29"/>
    <n v="33"/>
  </r>
  <r>
    <n v="393"/>
    <n v="394"/>
    <x v="20"/>
    <x v="1"/>
    <x v="5"/>
    <n v="3"/>
    <n v="24"/>
    <n v="27"/>
  </r>
  <r>
    <n v="394"/>
    <n v="395"/>
    <x v="16"/>
    <x v="43"/>
    <x v="2"/>
    <n v="0"/>
    <n v="13"/>
    <n v="13"/>
  </r>
  <r>
    <n v="395"/>
    <n v="396"/>
    <x v="14"/>
    <x v="3"/>
    <x v="3"/>
    <n v="1"/>
    <n v="3"/>
    <n v="4"/>
  </r>
  <r>
    <n v="396"/>
    <n v="397"/>
    <x v="18"/>
    <x v="3"/>
    <x v="9"/>
    <n v="0"/>
    <n v="3"/>
    <n v="3"/>
  </r>
  <r>
    <n v="397"/>
    <n v="398"/>
    <x v="13"/>
    <x v="3"/>
    <x v="6"/>
    <n v="0"/>
    <n v="22"/>
    <n v="22"/>
  </r>
  <r>
    <n v="398"/>
    <n v="399"/>
    <x v="11"/>
    <x v="1"/>
    <x v="8"/>
    <n v="2"/>
    <n v="26"/>
    <n v="28"/>
  </r>
  <r>
    <n v="399"/>
    <n v="400"/>
    <x v="11"/>
    <x v="9"/>
    <x v="8"/>
    <n v="3"/>
    <n v="32"/>
    <n v="35"/>
  </r>
  <r>
    <n v="400"/>
    <n v="401"/>
    <x v="11"/>
    <x v="9"/>
    <x v="5"/>
    <n v="0"/>
    <n v="61"/>
    <n v="61"/>
  </r>
  <r>
    <n v="401"/>
    <n v="402"/>
    <x v="11"/>
    <x v="7"/>
    <x v="5"/>
    <n v="1"/>
    <n v="124"/>
    <n v="125"/>
  </r>
  <r>
    <n v="402"/>
    <n v="403"/>
    <x v="11"/>
    <x v="1"/>
    <x v="8"/>
    <n v="1"/>
    <n v="132"/>
    <n v="133"/>
  </r>
  <r>
    <n v="403"/>
    <n v="404"/>
    <x v="11"/>
    <x v="1"/>
    <x v="7"/>
    <n v="1"/>
    <n v="98"/>
    <n v="99"/>
  </r>
  <r>
    <n v="404"/>
    <n v="405"/>
    <x v="1"/>
    <x v="9"/>
    <x v="0"/>
    <n v="0"/>
    <n v="83"/>
    <n v="83"/>
  </r>
  <r>
    <n v="405"/>
    <n v="406"/>
    <x v="19"/>
    <x v="43"/>
    <x v="14"/>
    <n v="0"/>
    <n v="41"/>
    <n v="41"/>
  </r>
  <r>
    <n v="406"/>
    <n v="407"/>
    <x v="2"/>
    <x v="43"/>
    <x v="1"/>
    <n v="0"/>
    <n v="33"/>
    <n v="33"/>
  </r>
  <r>
    <n v="407"/>
    <n v="408"/>
    <x v="1"/>
    <x v="43"/>
    <x v="0"/>
    <n v="1"/>
    <n v="19"/>
    <n v="20"/>
  </r>
  <r>
    <n v="408"/>
    <n v="409"/>
    <x v="1"/>
    <x v="43"/>
    <x v="0"/>
    <n v="0"/>
    <n v="3"/>
    <n v="3"/>
  </r>
  <r>
    <n v="409"/>
    <n v="410"/>
    <x v="11"/>
    <x v="43"/>
    <x v="7"/>
    <n v="1"/>
    <n v="6"/>
    <n v="7"/>
  </r>
  <r>
    <n v="410"/>
    <n v="411"/>
    <x v="11"/>
    <x v="43"/>
    <x v="7"/>
    <n v="0"/>
    <n v="3"/>
    <n v="3"/>
  </r>
  <r>
    <n v="411"/>
    <n v="412"/>
    <x v="11"/>
    <x v="43"/>
    <x v="7"/>
    <n v="1"/>
    <n v="1"/>
    <n v="2"/>
  </r>
  <r>
    <n v="412"/>
    <n v="413"/>
    <x v="2"/>
    <x v="43"/>
    <x v="1"/>
    <n v="0"/>
    <n v="7"/>
    <n v="7"/>
  </r>
  <r>
    <n v="413"/>
    <n v="414"/>
    <x v="2"/>
    <x v="43"/>
    <x v="1"/>
    <n v="0"/>
    <n v="32"/>
    <n v="32"/>
  </r>
  <r>
    <n v="414"/>
    <n v="415"/>
    <x v="2"/>
    <x v="50"/>
    <x v="14"/>
    <n v="1"/>
    <n v="89"/>
    <n v="90"/>
  </r>
  <r>
    <n v="415"/>
    <n v="416"/>
    <x v="2"/>
    <x v="43"/>
    <x v="14"/>
    <n v="1"/>
    <n v="196"/>
    <n v="197"/>
  </r>
  <r>
    <n v="416"/>
    <n v="417"/>
    <x v="2"/>
    <x v="43"/>
    <x v="14"/>
    <n v="2"/>
    <n v="107"/>
    <n v="109"/>
  </r>
  <r>
    <n v="417"/>
    <n v="418"/>
    <x v="1"/>
    <x v="43"/>
    <x v="7"/>
    <n v="1"/>
    <n v="46"/>
    <n v="47"/>
  </r>
  <r>
    <n v="418"/>
    <n v="419"/>
    <x v="25"/>
    <x v="9"/>
    <x v="1"/>
    <n v="5"/>
    <n v="47"/>
    <n v="52"/>
  </r>
  <r>
    <n v="419"/>
    <n v="420"/>
    <x v="21"/>
    <x v="0"/>
    <x v="1"/>
    <n v="5"/>
    <n v="65"/>
    <n v="70"/>
  </r>
  <r>
    <n v="420"/>
    <n v="421"/>
    <x v="10"/>
    <x v="51"/>
    <x v="3"/>
    <n v="11"/>
    <n v="67"/>
    <n v="78"/>
  </r>
  <r>
    <n v="421"/>
    <n v="422"/>
    <x v="10"/>
    <x v="52"/>
    <x v="2"/>
    <n v="7"/>
    <n v="68"/>
    <n v="75"/>
  </r>
  <r>
    <n v="422"/>
    <n v="423"/>
    <x v="10"/>
    <x v="47"/>
    <x v="3"/>
    <n v="4"/>
    <n v="78"/>
    <n v="82"/>
  </r>
  <r>
    <n v="423"/>
    <n v="424"/>
    <x v="5"/>
    <x v="52"/>
    <x v="13"/>
    <n v="10"/>
    <n v="94"/>
    <n v="104"/>
  </r>
  <r>
    <n v="424"/>
    <n v="425"/>
    <x v="6"/>
    <x v="14"/>
    <x v="9"/>
    <n v="7"/>
    <n v="190"/>
    <n v="197"/>
  </r>
  <r>
    <n v="425"/>
    <n v="426"/>
    <x v="21"/>
    <x v="53"/>
    <x v="3"/>
    <n v="5"/>
    <n v="156"/>
    <n v="161"/>
  </r>
  <r>
    <n v="426"/>
    <n v="427"/>
    <x v="0"/>
    <x v="14"/>
    <x v="12"/>
    <n v="4"/>
    <n v="108"/>
    <n v="112"/>
  </r>
  <r>
    <n v="427"/>
    <n v="428"/>
    <x v="25"/>
    <x v="36"/>
    <x v="4"/>
    <n v="2"/>
    <n v="74"/>
    <n v="76"/>
  </r>
  <r>
    <n v="428"/>
    <n v="429"/>
    <x v="0"/>
    <x v="36"/>
    <x v="12"/>
    <n v="4"/>
    <n v="55"/>
    <n v="59"/>
  </r>
  <r>
    <n v="429"/>
    <n v="430"/>
    <x v="25"/>
    <x v="35"/>
    <x v="8"/>
    <n v="6"/>
    <n v="53"/>
    <n v="59"/>
  </r>
  <r>
    <n v="430"/>
    <n v="431"/>
    <x v="1"/>
    <x v="35"/>
    <x v="17"/>
    <n v="1"/>
    <n v="27"/>
    <n v="28"/>
  </r>
  <r>
    <n v="431"/>
    <n v="432"/>
    <x v="11"/>
    <x v="34"/>
    <x v="13"/>
    <n v="5"/>
    <n v="8"/>
    <n v="13"/>
  </r>
  <r>
    <n v="432"/>
    <n v="433"/>
    <x v="1"/>
    <x v="34"/>
    <x v="0"/>
    <n v="2"/>
    <n v="3"/>
    <n v="5"/>
  </r>
  <r>
    <n v="433"/>
    <n v="434"/>
    <x v="1"/>
    <x v="34"/>
    <x v="0"/>
    <n v="0"/>
    <n v="2"/>
    <n v="2"/>
  </r>
  <r>
    <n v="434"/>
    <n v="435"/>
    <x v="2"/>
    <x v="34"/>
    <x v="8"/>
    <n v="0"/>
    <n v="1"/>
    <n v="1"/>
  </r>
  <r>
    <n v="435"/>
    <n v="436"/>
    <x v="2"/>
    <x v="34"/>
    <x v="8"/>
    <n v="0"/>
    <n v="1"/>
    <n v="1"/>
  </r>
  <r>
    <n v="436"/>
    <n v="437"/>
    <x v="11"/>
    <x v="54"/>
    <x v="6"/>
    <n v="0"/>
    <n v="6"/>
    <n v="6"/>
  </r>
  <r>
    <n v="437"/>
    <n v="438"/>
    <x v="12"/>
    <x v="54"/>
    <x v="6"/>
    <n v="0"/>
    <n v="35"/>
    <n v="35"/>
  </r>
  <r>
    <n v="438"/>
    <n v="439"/>
    <x v="12"/>
    <x v="28"/>
    <x v="6"/>
    <n v="1"/>
    <n v="100"/>
    <n v="101"/>
  </r>
  <r>
    <n v="439"/>
    <n v="440"/>
    <x v="12"/>
    <x v="28"/>
    <x v="3"/>
    <n v="2"/>
    <n v="247"/>
    <n v="249"/>
  </r>
  <r>
    <n v="440"/>
    <n v="441"/>
    <x v="11"/>
    <x v="35"/>
    <x v="6"/>
    <n v="3"/>
    <n v="140"/>
    <n v="143"/>
  </r>
  <r>
    <n v="441"/>
    <n v="442"/>
    <x v="11"/>
    <x v="37"/>
    <x v="4"/>
    <n v="1"/>
    <n v="56"/>
    <n v="57"/>
  </r>
  <r>
    <n v="442"/>
    <n v="443"/>
    <x v="1"/>
    <x v="49"/>
    <x v="8"/>
    <n v="5"/>
    <n v="63"/>
    <n v="68"/>
  </r>
  <r>
    <n v="443"/>
    <n v="444"/>
    <x v="6"/>
    <x v="16"/>
    <x v="0"/>
    <n v="7"/>
    <n v="77"/>
    <n v="84"/>
  </r>
  <r>
    <n v="444"/>
    <n v="445"/>
    <x v="0"/>
    <x v="49"/>
    <x v="14"/>
    <n v="12"/>
    <n v="86"/>
    <n v="98"/>
  </r>
  <r>
    <n v="445"/>
    <n v="446"/>
    <x v="25"/>
    <x v="49"/>
    <x v="7"/>
    <n v="6"/>
    <n v="75"/>
    <n v="81"/>
  </r>
  <r>
    <n v="446"/>
    <n v="447"/>
    <x v="21"/>
    <x v="49"/>
    <x v="5"/>
    <n v="8"/>
    <n v="62"/>
    <n v="70"/>
  </r>
  <r>
    <n v="447"/>
    <n v="448"/>
    <x v="25"/>
    <x v="36"/>
    <x v="7"/>
    <n v="8"/>
    <n v="83"/>
    <n v="91"/>
  </r>
  <r>
    <n v="448"/>
    <n v="449"/>
    <x v="21"/>
    <x v="36"/>
    <x v="14"/>
    <n v="8"/>
    <n v="207"/>
    <n v="215"/>
  </r>
  <r>
    <n v="449"/>
    <n v="450"/>
    <x v="2"/>
    <x v="34"/>
    <x v="5"/>
    <n v="1"/>
    <n v="184"/>
    <n v="185"/>
  </r>
  <r>
    <n v="450"/>
    <n v="451"/>
    <x v="11"/>
    <x v="34"/>
    <x v="9"/>
    <n v="6"/>
    <n v="146"/>
    <n v="152"/>
  </r>
  <r>
    <n v="451"/>
    <n v="452"/>
    <x v="19"/>
    <x v="54"/>
    <x v="3"/>
    <n v="2"/>
    <n v="124"/>
    <n v="126"/>
  </r>
  <r>
    <n v="452"/>
    <n v="453"/>
    <x v="11"/>
    <x v="54"/>
    <x v="2"/>
    <n v="3"/>
    <n v="54"/>
    <n v="57"/>
  </r>
  <r>
    <n v="453"/>
    <n v="454"/>
    <x v="12"/>
    <x v="55"/>
    <x v="3"/>
    <n v="0"/>
    <n v="56"/>
    <n v="56"/>
  </r>
  <r>
    <n v="454"/>
    <n v="455"/>
    <x v="12"/>
    <x v="55"/>
    <x v="9"/>
    <n v="3"/>
    <n v="28"/>
    <n v="31"/>
  </r>
  <r>
    <n v="455"/>
    <n v="456"/>
    <x v="11"/>
    <x v="56"/>
    <x v="2"/>
    <n v="1"/>
    <n v="20"/>
    <n v="21"/>
  </r>
  <r>
    <n v="456"/>
    <n v="457"/>
    <x v="11"/>
    <x v="56"/>
    <x v="2"/>
    <n v="0"/>
    <n v="6"/>
    <n v="6"/>
  </r>
  <r>
    <n v="457"/>
    <n v="458"/>
    <x v="19"/>
    <x v="2"/>
    <x v="8"/>
    <n v="0"/>
    <n v="2"/>
    <n v="2"/>
  </r>
  <r>
    <n v="458"/>
    <n v="459"/>
    <x v="12"/>
    <x v="1"/>
    <x v="4"/>
    <n v="0"/>
    <n v="1"/>
    <n v="1"/>
  </r>
  <r>
    <n v="459"/>
    <n v="460"/>
    <x v="2"/>
    <x v="9"/>
    <x v="1"/>
    <n v="0"/>
    <n v="1"/>
    <n v="1"/>
  </r>
  <r>
    <n v="460"/>
    <n v="461"/>
    <x v="13"/>
    <x v="54"/>
    <x v="12"/>
    <n v="1"/>
    <n v="4"/>
    <n v="5"/>
  </r>
  <r>
    <n v="461"/>
    <n v="462"/>
    <x v="12"/>
    <x v="28"/>
    <x v="2"/>
    <n v="0"/>
    <n v="27"/>
    <n v="27"/>
  </r>
  <r>
    <n v="462"/>
    <n v="463"/>
    <x v="18"/>
    <x v="33"/>
    <x v="3"/>
    <n v="2"/>
    <n v="66"/>
    <n v="68"/>
  </r>
  <r>
    <n v="463"/>
    <n v="464"/>
    <x v="18"/>
    <x v="19"/>
    <x v="9"/>
    <n v="7"/>
    <n v="210"/>
    <n v="217"/>
  </r>
  <r>
    <n v="464"/>
    <n v="465"/>
    <x v="18"/>
    <x v="33"/>
    <x v="11"/>
    <n v="7"/>
    <n v="159"/>
    <n v="166"/>
  </r>
  <r>
    <n v="465"/>
    <n v="466"/>
    <x v="17"/>
    <x v="19"/>
    <x v="17"/>
    <n v="6"/>
    <n v="57"/>
    <n v="63"/>
  </r>
  <r>
    <n v="466"/>
    <n v="467"/>
    <x v="18"/>
    <x v="48"/>
    <x v="17"/>
    <n v="6"/>
    <n v="53"/>
    <n v="59"/>
  </r>
  <r>
    <n v="467"/>
    <n v="468"/>
    <x v="18"/>
    <x v="57"/>
    <x v="19"/>
    <n v="11"/>
    <n v="67"/>
    <n v="78"/>
  </r>
  <r>
    <n v="468"/>
    <n v="469"/>
    <x v="20"/>
    <x v="58"/>
    <x v="19"/>
    <n v="8"/>
    <n v="65"/>
    <n v="73"/>
  </r>
  <r>
    <n v="469"/>
    <n v="470"/>
    <x v="20"/>
    <x v="59"/>
    <x v="18"/>
    <n v="6"/>
    <n v="56"/>
    <n v="62"/>
  </r>
  <r>
    <n v="470"/>
    <n v="471"/>
    <x v="16"/>
    <x v="60"/>
    <x v="10"/>
    <n v="4"/>
    <n v="61"/>
    <n v="65"/>
  </r>
  <r>
    <n v="471"/>
    <n v="472"/>
    <x v="14"/>
    <x v="60"/>
    <x v="11"/>
    <n v="0"/>
    <n v="97"/>
    <n v="97"/>
  </r>
  <r>
    <n v="472"/>
    <n v="473"/>
    <x v="16"/>
    <x v="40"/>
    <x v="11"/>
    <n v="10"/>
    <n v="151"/>
    <n v="161"/>
  </r>
  <r>
    <n v="473"/>
    <n v="474"/>
    <x v="16"/>
    <x v="24"/>
    <x v="2"/>
    <n v="1"/>
    <n v="119"/>
    <n v="120"/>
  </r>
  <r>
    <n v="474"/>
    <n v="475"/>
    <x v="15"/>
    <x v="24"/>
    <x v="9"/>
    <n v="3"/>
    <n v="93"/>
    <n v="96"/>
  </r>
  <r>
    <n v="475"/>
    <n v="476"/>
    <x v="23"/>
    <x v="39"/>
    <x v="12"/>
    <n v="1"/>
    <n v="52"/>
    <n v="53"/>
  </r>
  <r>
    <n v="476"/>
    <n v="477"/>
    <x v="23"/>
    <x v="41"/>
    <x v="3"/>
    <n v="0"/>
    <n v="41"/>
    <n v="41"/>
  </r>
  <r>
    <n v="477"/>
    <n v="478"/>
    <x v="26"/>
    <x v="48"/>
    <x v="13"/>
    <n v="1"/>
    <n v="33"/>
    <n v="34"/>
  </r>
  <r>
    <n v="478"/>
    <n v="479"/>
    <x v="27"/>
    <x v="41"/>
    <x v="9"/>
    <n v="0"/>
    <n v="27"/>
    <n v="27"/>
  </r>
  <r>
    <n v="479"/>
    <n v="480"/>
    <x v="26"/>
    <x v="49"/>
    <x v="2"/>
    <n v="0"/>
    <n v="13"/>
    <n v="13"/>
  </r>
  <r>
    <n v="480"/>
    <n v="481"/>
    <x v="28"/>
    <x v="48"/>
    <x v="13"/>
    <n v="3"/>
    <n v="9"/>
    <n v="12"/>
  </r>
  <r>
    <n v="481"/>
    <n v="482"/>
    <x v="26"/>
    <x v="48"/>
    <x v="2"/>
    <n v="0"/>
    <n v="11"/>
    <n v="11"/>
  </r>
  <r>
    <n v="482"/>
    <n v="483"/>
    <x v="26"/>
    <x v="48"/>
    <x v="3"/>
    <n v="1"/>
    <n v="6"/>
    <n v="7"/>
  </r>
  <r>
    <n v="483"/>
    <n v="484"/>
    <x v="29"/>
    <x v="37"/>
    <x v="4"/>
    <n v="0"/>
    <n v="3"/>
    <n v="3"/>
  </r>
  <r>
    <n v="484"/>
    <n v="485"/>
    <x v="26"/>
    <x v="18"/>
    <x v="6"/>
    <n v="0"/>
    <n v="2"/>
    <n v="2"/>
  </r>
  <r>
    <n v="485"/>
    <n v="486"/>
    <x v="29"/>
    <x v="18"/>
    <x v="3"/>
    <n v="0"/>
    <n v="8"/>
    <n v="8"/>
  </r>
  <r>
    <n v="486"/>
    <n v="487"/>
    <x v="28"/>
    <x v="18"/>
    <x v="9"/>
    <n v="1"/>
    <n v="26"/>
    <n v="27"/>
  </r>
  <r>
    <n v="487"/>
    <n v="488"/>
    <x v="26"/>
    <x v="48"/>
    <x v="2"/>
    <n v="3"/>
    <n v="37"/>
    <n v="40"/>
  </r>
  <r>
    <n v="488"/>
    <n v="489"/>
    <x v="22"/>
    <x v="48"/>
    <x v="8"/>
    <n v="3"/>
    <n v="50"/>
    <n v="53"/>
  </r>
  <r>
    <n v="489"/>
    <n v="490"/>
    <x v="23"/>
    <x v="41"/>
    <x v="7"/>
    <n v="4"/>
    <n v="59"/>
    <n v="63"/>
  </r>
  <r>
    <n v="490"/>
    <n v="491"/>
    <x v="15"/>
    <x v="41"/>
    <x v="14"/>
    <n v="10"/>
    <n v="60"/>
    <n v="70"/>
  </r>
  <r>
    <n v="491"/>
    <n v="492"/>
    <x v="17"/>
    <x v="23"/>
    <x v="0"/>
    <n v="12"/>
    <n v="72"/>
    <n v="84"/>
  </r>
  <r>
    <n v="492"/>
    <n v="493"/>
    <x v="14"/>
    <x v="39"/>
    <x v="14"/>
    <n v="11"/>
    <n v="64"/>
    <n v="75"/>
  </r>
  <r>
    <n v="493"/>
    <n v="494"/>
    <x v="20"/>
    <x v="40"/>
    <x v="0"/>
    <n v="10"/>
    <n v="93"/>
    <n v="103"/>
  </r>
  <r>
    <n v="494"/>
    <n v="495"/>
    <x v="14"/>
    <x v="40"/>
    <x v="5"/>
    <n v="11"/>
    <n v="72"/>
    <n v="83"/>
  </r>
  <r>
    <n v="495"/>
    <n v="496"/>
    <x v="13"/>
    <x v="40"/>
    <x v="0"/>
    <n v="8"/>
    <n v="59"/>
    <n v="67"/>
  </r>
  <r>
    <n v="496"/>
    <n v="497"/>
    <x v="24"/>
    <x v="23"/>
    <x v="5"/>
    <n v="0"/>
    <n v="54"/>
    <n v="54"/>
  </r>
  <r>
    <n v="497"/>
    <n v="498"/>
    <x v="15"/>
    <x v="23"/>
    <x v="7"/>
    <n v="6"/>
    <n v="53"/>
    <n v="59"/>
  </r>
  <r>
    <n v="498"/>
    <n v="499"/>
    <x v="23"/>
    <x v="49"/>
    <x v="8"/>
    <n v="1"/>
    <n v="44"/>
    <n v="45"/>
  </r>
  <r>
    <n v="499"/>
    <n v="500"/>
    <x v="15"/>
    <x v="48"/>
    <x v="1"/>
    <n v="0"/>
    <n v="39"/>
    <n v="39"/>
  </r>
  <r>
    <n v="500"/>
    <n v="501"/>
    <x v="20"/>
    <x v="36"/>
    <x v="0"/>
    <n v="7"/>
    <n v="23"/>
    <n v="30"/>
  </r>
  <r>
    <n v="501"/>
    <n v="502"/>
    <x v="23"/>
    <x v="14"/>
    <x v="14"/>
    <n v="2"/>
    <n v="31"/>
    <n v="33"/>
  </r>
  <r>
    <n v="502"/>
    <n v="503"/>
    <x v="23"/>
    <x v="14"/>
    <x v="14"/>
    <n v="2"/>
    <n v="20"/>
    <n v="22"/>
  </r>
  <r>
    <n v="503"/>
    <n v="504"/>
    <x v="23"/>
    <x v="14"/>
    <x v="14"/>
    <n v="1"/>
    <n v="12"/>
    <n v="13"/>
  </r>
  <r>
    <n v="504"/>
    <n v="505"/>
    <x v="22"/>
    <x v="51"/>
    <x v="7"/>
    <n v="3"/>
    <n v="15"/>
    <n v="18"/>
  </r>
  <r>
    <n v="505"/>
    <n v="506"/>
    <x v="22"/>
    <x v="51"/>
    <x v="7"/>
    <n v="1"/>
    <n v="4"/>
    <n v="5"/>
  </r>
  <r>
    <n v="506"/>
    <n v="507"/>
    <x v="23"/>
    <x v="14"/>
    <x v="14"/>
    <n v="0"/>
    <n v="3"/>
    <n v="3"/>
  </r>
  <r>
    <n v="507"/>
    <n v="508"/>
    <x v="23"/>
    <x v="14"/>
    <x v="14"/>
    <n v="0"/>
    <n v="1"/>
    <n v="1"/>
  </r>
  <r>
    <n v="508"/>
    <n v="509"/>
    <x v="15"/>
    <x v="52"/>
    <x v="8"/>
    <n v="1"/>
    <n v="1"/>
    <n v="2"/>
  </r>
  <r>
    <n v="509"/>
    <n v="510"/>
    <x v="23"/>
    <x v="51"/>
    <x v="8"/>
    <n v="2"/>
    <n v="17"/>
    <n v="19"/>
  </r>
  <r>
    <n v="510"/>
    <n v="511"/>
    <x v="23"/>
    <x v="47"/>
    <x v="11"/>
    <n v="3"/>
    <n v="25"/>
    <n v="28"/>
  </r>
  <r>
    <n v="511"/>
    <n v="512"/>
    <x v="15"/>
    <x v="15"/>
    <x v="13"/>
    <n v="7"/>
    <n v="51"/>
    <n v="58"/>
  </r>
  <r>
    <n v="512"/>
    <n v="513"/>
    <x v="14"/>
    <x v="21"/>
    <x v="6"/>
    <n v="22"/>
    <n v="77"/>
    <n v="99"/>
  </r>
  <r>
    <n v="513"/>
    <n v="514"/>
    <x v="16"/>
    <x v="38"/>
    <x v="17"/>
    <n v="24"/>
    <n v="92"/>
    <n v="116"/>
  </r>
  <r>
    <n v="514"/>
    <n v="515"/>
    <x v="15"/>
    <x v="39"/>
    <x v="13"/>
    <n v="12"/>
    <n v="75"/>
    <n v="87"/>
  </r>
  <r>
    <n v="515"/>
    <n v="516"/>
    <x v="14"/>
    <x v="40"/>
    <x v="11"/>
    <n v="17"/>
    <n v="93"/>
    <n v="110"/>
  </r>
  <r>
    <n v="516"/>
    <n v="517"/>
    <x v="14"/>
    <x v="40"/>
    <x v="11"/>
    <n v="13"/>
    <n v="64"/>
    <n v="77"/>
  </r>
  <r>
    <n v="517"/>
    <n v="518"/>
    <x v="14"/>
    <x v="60"/>
    <x v="9"/>
    <n v="9"/>
    <n v="56"/>
    <n v="65"/>
  </r>
  <r>
    <n v="518"/>
    <n v="519"/>
    <x v="15"/>
    <x v="60"/>
    <x v="13"/>
    <n v="5"/>
    <n v="50"/>
    <n v="55"/>
  </r>
  <r>
    <n v="519"/>
    <n v="520"/>
    <x v="16"/>
    <x v="24"/>
    <x v="2"/>
    <n v="5"/>
    <n v="44"/>
    <n v="49"/>
  </r>
  <r>
    <n v="520"/>
    <n v="521"/>
    <x v="16"/>
    <x v="24"/>
    <x v="3"/>
    <n v="5"/>
    <n v="45"/>
    <n v="50"/>
  </r>
  <r>
    <n v="521"/>
    <n v="522"/>
    <x v="15"/>
    <x v="42"/>
    <x v="2"/>
    <n v="4"/>
    <n v="31"/>
    <n v="35"/>
  </r>
  <r>
    <n v="522"/>
    <n v="523"/>
    <x v="15"/>
    <x v="42"/>
    <x v="5"/>
    <n v="5"/>
    <n v="20"/>
    <n v="25"/>
  </r>
  <r>
    <n v="523"/>
    <n v="524"/>
    <x v="24"/>
    <x v="41"/>
    <x v="5"/>
    <n v="5"/>
    <n v="23"/>
    <n v="28"/>
  </r>
  <r>
    <n v="524"/>
    <n v="525"/>
    <x v="22"/>
    <x v="48"/>
    <x v="6"/>
    <n v="4"/>
    <n v="17"/>
    <n v="21"/>
  </r>
  <r>
    <n v="525"/>
    <n v="526"/>
    <x v="22"/>
    <x v="48"/>
    <x v="5"/>
    <n v="0"/>
    <n v="7"/>
    <n v="7"/>
  </r>
  <r>
    <n v="526"/>
    <n v="527"/>
    <x v="27"/>
    <x v="49"/>
    <x v="5"/>
    <n v="0"/>
    <n v="1"/>
    <n v="1"/>
  </r>
  <r>
    <n v="527"/>
    <n v="528"/>
    <x v="26"/>
    <x v="49"/>
    <x v="2"/>
    <n v="0"/>
    <n v="1"/>
    <n v="1"/>
  </r>
  <r>
    <n v="528"/>
    <n v="529"/>
    <x v="22"/>
    <x v="37"/>
    <x v="7"/>
    <n v="0"/>
    <n v="1"/>
    <n v="1"/>
  </r>
  <r>
    <n v="529"/>
    <n v="530"/>
    <x v="22"/>
    <x v="37"/>
    <x v="7"/>
    <n v="0"/>
    <n v="5"/>
    <n v="5"/>
  </r>
  <r>
    <n v="530"/>
    <n v="531"/>
    <x v="23"/>
    <x v="37"/>
    <x v="1"/>
    <n v="0"/>
    <n v="15"/>
    <n v="15"/>
  </r>
  <r>
    <n v="531"/>
    <n v="532"/>
    <x v="16"/>
    <x v="37"/>
    <x v="0"/>
    <n v="5"/>
    <n v="79"/>
    <n v="84"/>
  </r>
  <r>
    <n v="532"/>
    <n v="533"/>
    <x v="14"/>
    <x v="36"/>
    <x v="0"/>
    <n v="6"/>
    <n v="171"/>
    <n v="177"/>
  </r>
  <r>
    <n v="533"/>
    <n v="534"/>
    <x v="20"/>
    <x v="48"/>
    <x v="0"/>
    <n v="4"/>
    <n v="98"/>
    <n v="102"/>
  </r>
  <r>
    <n v="534"/>
    <n v="535"/>
    <x v="14"/>
    <x v="16"/>
    <x v="0"/>
    <n v="6"/>
    <n v="34"/>
    <n v="40"/>
  </r>
  <r>
    <n v="535"/>
    <n v="536"/>
    <x v="16"/>
    <x v="15"/>
    <x v="7"/>
    <n v="3"/>
    <n v="43"/>
    <n v="46"/>
  </r>
  <r>
    <n v="536"/>
    <n v="537"/>
    <x v="14"/>
    <x v="16"/>
    <x v="5"/>
    <n v="11"/>
    <n v="52"/>
    <n v="63"/>
  </r>
  <r>
    <n v="537"/>
    <n v="538"/>
    <x v="14"/>
    <x v="21"/>
    <x v="6"/>
    <n v="6"/>
    <n v="54"/>
    <n v="60"/>
  </r>
  <r>
    <n v="538"/>
    <n v="539"/>
    <x v="14"/>
    <x v="15"/>
    <x v="6"/>
    <n v="2"/>
    <n v="43"/>
    <n v="45"/>
  </r>
  <r>
    <n v="539"/>
    <n v="540"/>
    <x v="17"/>
    <x v="22"/>
    <x v="8"/>
    <n v="7"/>
    <n v="50"/>
    <n v="57"/>
  </r>
  <r>
    <n v="540"/>
    <n v="541"/>
    <x v="20"/>
    <x v="19"/>
    <x v="2"/>
    <n v="4"/>
    <n v="66"/>
    <n v="70"/>
  </r>
  <r>
    <n v="541"/>
    <n v="542"/>
    <x v="16"/>
    <x v="20"/>
    <x v="2"/>
    <n v="6"/>
    <n v="178"/>
    <n v="184"/>
  </r>
  <r>
    <n v="542"/>
    <n v="543"/>
    <x v="14"/>
    <x v="29"/>
    <x v="5"/>
    <n v="8"/>
    <n v="145"/>
    <n v="153"/>
  </r>
  <r>
    <n v="543"/>
    <n v="544"/>
    <x v="20"/>
    <x v="47"/>
    <x v="8"/>
    <n v="5"/>
    <n v="101"/>
    <n v="106"/>
  </r>
  <r>
    <n v="544"/>
    <n v="545"/>
    <x v="14"/>
    <x v="29"/>
    <x v="5"/>
    <n v="1"/>
    <n v="80"/>
    <n v="81"/>
  </r>
  <r>
    <n v="545"/>
    <n v="546"/>
    <x v="20"/>
    <x v="30"/>
    <x v="8"/>
    <n v="6"/>
    <n v="53"/>
    <n v="59"/>
  </r>
  <r>
    <n v="546"/>
    <n v="547"/>
    <x v="14"/>
    <x v="30"/>
    <x v="6"/>
    <n v="3"/>
    <n v="32"/>
    <n v="35"/>
  </r>
  <r>
    <n v="547"/>
    <n v="548"/>
    <x v="20"/>
    <x v="26"/>
    <x v="2"/>
    <n v="3"/>
    <n v="21"/>
    <n v="24"/>
  </r>
  <r>
    <n v="548"/>
    <n v="549"/>
    <x v="14"/>
    <x v="27"/>
    <x v="3"/>
    <n v="3"/>
    <n v="6"/>
    <n v="9"/>
  </r>
  <r>
    <n v="549"/>
    <n v="550"/>
    <x v="17"/>
    <x v="27"/>
    <x v="8"/>
    <n v="0"/>
    <n v="5"/>
    <n v="5"/>
  </r>
  <r>
    <n v="550"/>
    <n v="551"/>
    <x v="20"/>
    <x v="27"/>
    <x v="6"/>
    <n v="0"/>
    <n v="2"/>
    <n v="2"/>
  </r>
  <r>
    <n v="551"/>
    <n v="552"/>
    <x v="17"/>
    <x v="32"/>
    <x v="14"/>
    <n v="0"/>
    <n v="1"/>
    <n v="1"/>
  </r>
  <r>
    <n v="552"/>
    <n v="553"/>
    <x v="14"/>
    <x v="32"/>
    <x v="6"/>
    <n v="0"/>
    <n v="9"/>
    <n v="9"/>
  </r>
  <r>
    <n v="553"/>
    <n v="554"/>
    <x v="18"/>
    <x v="32"/>
    <x v="14"/>
    <n v="1"/>
    <n v="35"/>
    <n v="36"/>
  </r>
  <r>
    <n v="554"/>
    <n v="555"/>
    <x v="20"/>
    <x v="32"/>
    <x v="6"/>
    <n v="5"/>
    <n v="103"/>
    <n v="108"/>
  </r>
  <r>
    <n v="555"/>
    <n v="556"/>
    <x v="18"/>
    <x v="32"/>
    <x v="7"/>
    <n v="5"/>
    <n v="233"/>
    <n v="238"/>
  </r>
  <r>
    <n v="556"/>
    <n v="557"/>
    <x v="11"/>
    <x v="26"/>
    <x v="1"/>
    <n v="10"/>
    <n v="134"/>
    <n v="144"/>
  </r>
  <r>
    <n v="557"/>
    <n v="558"/>
    <x v="19"/>
    <x v="54"/>
    <x v="14"/>
    <n v="6"/>
    <n v="49"/>
    <n v="55"/>
  </r>
  <r>
    <n v="558"/>
    <n v="559"/>
    <x v="19"/>
    <x v="54"/>
    <x v="7"/>
    <n v="6"/>
    <n v="55"/>
    <n v="61"/>
  </r>
  <r>
    <n v="559"/>
    <n v="560"/>
    <x v="0"/>
    <x v="34"/>
    <x v="1"/>
    <n v="21"/>
    <n v="85"/>
    <n v="106"/>
  </r>
  <r>
    <n v="560"/>
    <n v="561"/>
    <x v="1"/>
    <x v="34"/>
    <x v="7"/>
    <n v="21"/>
    <n v="72"/>
    <n v="93"/>
  </r>
  <r>
    <n v="561"/>
    <n v="562"/>
    <x v="6"/>
    <x v="49"/>
    <x v="0"/>
    <n v="11"/>
    <n v="57"/>
    <n v="68"/>
  </r>
  <r>
    <n v="562"/>
    <n v="563"/>
    <x v="4"/>
    <x v="16"/>
    <x v="0"/>
    <n v="21"/>
    <n v="63"/>
    <n v="84"/>
  </r>
  <r>
    <n v="563"/>
    <n v="564"/>
    <x v="4"/>
    <x v="16"/>
    <x v="0"/>
    <n v="14"/>
    <n v="102"/>
    <n v="116"/>
  </r>
  <r>
    <n v="564"/>
    <n v="565"/>
    <x v="6"/>
    <x v="49"/>
    <x v="0"/>
    <n v="14"/>
    <n v="208"/>
    <n v="222"/>
  </r>
  <r>
    <n v="565"/>
    <n v="566"/>
    <x v="21"/>
    <x v="36"/>
    <x v="1"/>
    <n v="7"/>
    <n v="218"/>
    <n v="225"/>
  </r>
  <r>
    <n v="566"/>
    <n v="567"/>
    <x v="2"/>
    <x v="55"/>
    <x v="8"/>
    <n v="13"/>
    <n v="133"/>
    <n v="146"/>
  </r>
  <r>
    <n v="567"/>
    <n v="568"/>
    <x v="11"/>
    <x v="55"/>
    <x v="5"/>
    <n v="16"/>
    <n v="103"/>
    <n v="119"/>
  </r>
  <r>
    <n v="568"/>
    <n v="569"/>
    <x v="11"/>
    <x v="55"/>
    <x v="5"/>
    <n v="5"/>
    <n v="40"/>
    <n v="45"/>
  </r>
  <r>
    <n v="569"/>
    <n v="570"/>
    <x v="11"/>
    <x v="26"/>
    <x v="8"/>
    <n v="4"/>
    <n v="49"/>
    <n v="53"/>
  </r>
  <r>
    <n v="570"/>
    <n v="571"/>
    <x v="11"/>
    <x v="26"/>
    <x v="8"/>
    <n v="3"/>
    <n v="37"/>
    <n v="40"/>
  </r>
  <r>
    <n v="571"/>
    <n v="572"/>
    <x v="11"/>
    <x v="27"/>
    <x v="7"/>
    <n v="3"/>
    <n v="14"/>
    <n v="17"/>
  </r>
  <r>
    <n v="572"/>
    <n v="573"/>
    <x v="19"/>
    <x v="55"/>
    <x v="7"/>
    <n v="0"/>
    <n v="5"/>
    <n v="5"/>
  </r>
  <r>
    <n v="573"/>
    <n v="574"/>
    <x v="11"/>
    <x v="27"/>
    <x v="5"/>
    <n v="3"/>
    <n v="7"/>
    <n v="10"/>
  </r>
  <r>
    <n v="574"/>
    <n v="575"/>
    <x v="18"/>
    <x v="3"/>
    <x v="3"/>
    <n v="0"/>
    <n v="1"/>
    <n v="1"/>
  </r>
  <r>
    <n v="575"/>
    <n v="576"/>
    <x v="18"/>
    <x v="3"/>
    <x v="3"/>
    <n v="0"/>
    <n v="8"/>
    <n v="8"/>
  </r>
  <r>
    <n v="576"/>
    <n v="577"/>
    <x v="12"/>
    <x v="9"/>
    <x v="4"/>
    <n v="1"/>
    <n v="29"/>
    <n v="30"/>
  </r>
  <r>
    <n v="577"/>
    <n v="578"/>
    <x v="12"/>
    <x v="9"/>
    <x v="4"/>
    <n v="3"/>
    <n v="69"/>
    <n v="72"/>
  </r>
  <r>
    <n v="578"/>
    <n v="579"/>
    <x v="12"/>
    <x v="9"/>
    <x v="4"/>
    <n v="3"/>
    <n v="55"/>
    <n v="58"/>
  </r>
  <r>
    <n v="579"/>
    <n v="580"/>
    <x v="12"/>
    <x v="43"/>
    <x v="3"/>
    <n v="2"/>
    <n v="26"/>
    <n v="28"/>
  </r>
  <r>
    <n v="580"/>
    <n v="581"/>
    <x v="13"/>
    <x v="43"/>
    <x v="9"/>
    <n v="6"/>
    <n v="35"/>
    <n v="41"/>
  </r>
  <r>
    <n v="581"/>
    <n v="582"/>
    <x v="13"/>
    <x v="43"/>
    <x v="9"/>
    <n v="7"/>
    <n v="41"/>
    <n v="48"/>
  </r>
  <r>
    <n v="582"/>
    <n v="583"/>
    <x v="13"/>
    <x v="43"/>
    <x v="9"/>
    <n v="4"/>
    <n v="43"/>
    <n v="47"/>
  </r>
  <r>
    <n v="583"/>
    <n v="584"/>
    <x v="13"/>
    <x v="43"/>
    <x v="11"/>
    <n v="0"/>
    <n v="36"/>
    <n v="36"/>
  </r>
  <r>
    <n v="584"/>
    <n v="585"/>
    <x v="18"/>
    <x v="43"/>
    <x v="17"/>
    <n v="1"/>
    <n v="42"/>
    <n v="43"/>
  </r>
  <r>
    <n v="585"/>
    <n v="586"/>
    <x v="13"/>
    <x v="43"/>
    <x v="9"/>
    <n v="1"/>
    <n v="35"/>
    <n v="36"/>
  </r>
  <r>
    <n v="586"/>
    <n v="587"/>
    <x v="18"/>
    <x v="43"/>
    <x v="11"/>
    <n v="0"/>
    <n v="26"/>
    <n v="26"/>
  </r>
  <r>
    <n v="587"/>
    <n v="588"/>
    <x v="11"/>
    <x v="28"/>
    <x v="5"/>
    <n v="1"/>
    <n v="23"/>
    <n v="24"/>
  </r>
  <r>
    <n v="588"/>
    <n v="589"/>
    <x v="19"/>
    <x v="28"/>
    <x v="14"/>
    <n v="2"/>
    <n v="82"/>
    <n v="84"/>
  </r>
  <r>
    <n v="589"/>
    <n v="590"/>
    <x v="11"/>
    <x v="27"/>
    <x v="1"/>
    <n v="3"/>
    <n v="101"/>
    <n v="104"/>
  </r>
  <r>
    <n v="590"/>
    <n v="591"/>
    <x v="11"/>
    <x v="27"/>
    <x v="1"/>
    <n v="3"/>
    <n v="76"/>
    <n v="79"/>
  </r>
  <r>
    <n v="591"/>
    <n v="592"/>
    <x v="12"/>
    <x v="32"/>
    <x v="1"/>
    <n v="4"/>
    <n v="55"/>
    <n v="59"/>
  </r>
  <r>
    <n v="592"/>
    <n v="593"/>
    <x v="12"/>
    <x v="32"/>
    <x v="1"/>
    <n v="2"/>
    <n v="36"/>
    <n v="38"/>
  </r>
  <r>
    <n v="593"/>
    <n v="594"/>
    <x v="12"/>
    <x v="32"/>
    <x v="1"/>
    <n v="0"/>
    <n v="27"/>
    <n v="27"/>
  </r>
  <r>
    <n v="594"/>
    <n v="595"/>
    <x v="13"/>
    <x v="1"/>
    <x v="8"/>
    <n v="0"/>
    <n v="16"/>
    <n v="16"/>
  </r>
  <r>
    <n v="595"/>
    <n v="596"/>
    <x v="12"/>
    <x v="2"/>
    <x v="7"/>
    <n v="0"/>
    <n v="9"/>
    <n v="9"/>
  </r>
  <r>
    <n v="596"/>
    <n v="597"/>
    <x v="12"/>
    <x v="2"/>
    <x v="7"/>
    <n v="1"/>
    <n v="2"/>
    <n v="3"/>
  </r>
  <r>
    <n v="597"/>
    <n v="598"/>
    <x v="12"/>
    <x v="2"/>
    <x v="8"/>
    <n v="0"/>
    <n v="2"/>
    <n v="2"/>
  </r>
  <r>
    <n v="598"/>
    <n v="599"/>
    <x v="11"/>
    <x v="2"/>
    <x v="14"/>
    <n v="1"/>
    <n v="0"/>
    <n v="1"/>
  </r>
  <r>
    <n v="599"/>
    <n v="600"/>
    <x v="12"/>
    <x v="1"/>
    <x v="14"/>
    <n v="0"/>
    <n v="4"/>
    <n v="4"/>
  </r>
  <r>
    <n v="600"/>
    <n v="601"/>
    <x v="13"/>
    <x v="1"/>
    <x v="7"/>
    <n v="0"/>
    <n v="16"/>
    <n v="16"/>
  </r>
  <r>
    <n v="601"/>
    <n v="602"/>
    <x v="13"/>
    <x v="3"/>
    <x v="1"/>
    <n v="2"/>
    <n v="58"/>
    <n v="60"/>
  </r>
  <r>
    <n v="602"/>
    <n v="603"/>
    <x v="13"/>
    <x v="3"/>
    <x v="1"/>
    <n v="2"/>
    <n v="155"/>
    <n v="157"/>
  </r>
  <r>
    <n v="603"/>
    <n v="604"/>
    <x v="12"/>
    <x v="3"/>
    <x v="1"/>
    <n v="6"/>
    <n v="95"/>
    <n v="101"/>
  </r>
  <r>
    <n v="604"/>
    <n v="605"/>
    <x v="12"/>
    <x v="3"/>
    <x v="14"/>
    <n v="0"/>
    <n v="49"/>
    <n v="49"/>
  </r>
  <r>
    <n v="605"/>
    <n v="606"/>
    <x v="12"/>
    <x v="43"/>
    <x v="14"/>
    <n v="0"/>
    <n v="30"/>
    <n v="30"/>
  </r>
  <r>
    <n v="606"/>
    <n v="607"/>
    <x v="12"/>
    <x v="43"/>
    <x v="14"/>
    <n v="1"/>
    <n v="28"/>
    <n v="29"/>
  </r>
  <r>
    <n v="607"/>
    <n v="608"/>
    <x v="12"/>
    <x v="43"/>
    <x v="14"/>
    <n v="0"/>
    <n v="31"/>
    <n v="31"/>
  </r>
  <r>
    <n v="608"/>
    <n v="609"/>
    <x v="1"/>
    <x v="1"/>
    <x v="0"/>
    <n v="2"/>
    <n v="36"/>
    <n v="38"/>
  </r>
  <r>
    <n v="609"/>
    <n v="610"/>
    <x v="2"/>
    <x v="3"/>
    <x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8F4AF-1649-4C82-9CB1-8B430DA8A366}" name="PivotTable5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Atemp">
  <location ref="A3:B33" firstHeaderRow="1" firstDataRow="1" firstDataCol="1"/>
  <pivotFields count="8">
    <pivotField showAll="0"/>
    <pivotField showAll="0"/>
    <pivotField axis="axisRow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Items count="1">
    <i/>
  </colItems>
  <dataFields count="1">
    <dataField name="Total Rentals" fld="7" baseField="2" baseItem="0"/>
  </dataFields>
  <formats count="1">
    <format dxfId="2">
      <pivotArea dataOnly="0" labelOnly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9B02F-E49E-4DD0-B708-9EABB94B2B56}" name="PivotTable4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>
  <location ref="M3:N64" firstHeaderRow="1" firstDataRow="1" firstDataCol="1"/>
  <pivotFields count="8">
    <pivotField showAll="0"/>
    <pivotField showAll="0"/>
    <pivotField showAll="0"/>
    <pivotField axis="axisRow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</rowItems>
  <colItems count="1">
    <i/>
  </colItems>
  <dataFields count="1">
    <dataField name="Total Rentals" fld="7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86F4C-65E7-45AC-AB48-6DAFD74C0659}" name="PivotTable3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 rowHeaderCaption="Humidity">
  <location ref="A3:C64" firstHeaderRow="0" firstDataRow="1" firstDataCol="1"/>
  <pivotFields count="8">
    <pivotField showAll="0"/>
    <pivotField showAll="0"/>
    <pivotField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axis="axisRow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</rowItems>
  <colFields count="1">
    <field x="-2"/>
  </colFields>
  <colItems count="2">
    <i>
      <x/>
    </i>
    <i i="1">
      <x v="1"/>
    </i>
  </colItems>
  <dataFields count="2">
    <dataField name="Total Casual" fld="5" baseField="3" baseItem="0"/>
    <dataField name="Total Registered" fld="6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98EF2-8B26-45BE-A1D4-1D99F4079FE1}" name="PivotTable6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Windspeed">
  <location ref="A3:B23" firstHeaderRow="1" firstDataRow="1" firstDataCol="1"/>
  <pivotFields count="8">
    <pivotField showAll="0"/>
    <pivotField showAll="0"/>
    <pivotField showAll="0"/>
    <pivotField showAll="0"/>
    <pivotField axis="axisRow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showAll="0"/>
    <pivotField showAll="0"/>
    <pivotField dataField="1"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Total Rentals" fld="7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62D04-4AA0-49A5-84E8-7A8E4B8D02C6}" name="Table1" displayName="Table1" ref="A1:H611" totalsRowShown="0" headerRowDxfId="13" dataDxfId="12">
  <autoFilter ref="A1:H611" xr:uid="{25B62D04-4AA0-49A5-84E8-7A8E4B8D02C6}"/>
  <tableColumns count="8">
    <tableColumn id="1" xr3:uid="{8DDF5F00-1BA1-4A95-8932-232353B57C3F}" name="Unnamed: 0" dataDxfId="11"/>
    <tableColumn id="2" xr3:uid="{77AA352F-D874-4640-82B1-C8A09FEF8F89}" name="instant" dataDxfId="10"/>
    <tableColumn id="3" xr3:uid="{02C7B990-73D0-40E6-8B6E-8E97030C5194}" name="atemp" dataDxfId="9"/>
    <tableColumn id="4" xr3:uid="{91A20B0E-64C8-4DBB-B81C-5EF3CB898732}" name="hum" dataDxfId="8"/>
    <tableColumn id="5" xr3:uid="{E60FBB40-9FAF-46A6-A47E-ECFA02FDE81B}" name="windspeed" dataDxfId="7"/>
    <tableColumn id="6" xr3:uid="{7F5F5DFB-B8F6-4983-A110-CCC4FB8B6A01}" name="casual" dataDxfId="6"/>
    <tableColumn id="7" xr3:uid="{B5448589-B5BF-44A2-B37F-B5B50EB44FA9}" name="registered" dataDxfId="5"/>
    <tableColumn id="8" xr3:uid="{2A1A0AD2-4689-48CC-855B-67F1CD47BE2A}" name="cnt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589" workbookViewId="0">
      <selection sqref="A1:H611"/>
    </sheetView>
  </sheetViews>
  <sheetFormatPr defaultColWidth="14.44140625" defaultRowHeight="15" customHeight="1" x14ac:dyDescent="0.3"/>
  <cols>
    <col min="1" max="4" width="8.6640625" customWidth="1"/>
    <col min="5" max="5" width="10.44140625" customWidth="1"/>
    <col min="6" max="6" width="8.6640625" customWidth="1"/>
    <col min="7" max="7" width="9.6640625" customWidth="1"/>
    <col min="8" max="8" width="4.33203125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4.4" x14ac:dyDescent="0.3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4.4" x14ac:dyDescent="0.3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4.4" x14ac:dyDescent="0.3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4.4" x14ac:dyDescent="0.3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4.4" x14ac:dyDescent="0.3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4.4" x14ac:dyDescent="0.3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4.4" x14ac:dyDescent="0.3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4.4" x14ac:dyDescent="0.3">
      <c r="A10" s="1">
        <v>8</v>
      </c>
      <c r="B10" s="1">
        <v>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4.4" x14ac:dyDescent="0.3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4.4" x14ac:dyDescent="0.3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4.4" x14ac:dyDescent="0.3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4.4" x14ac:dyDescent="0.3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4.4" x14ac:dyDescent="0.3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4.4" x14ac:dyDescent="0.3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4" x14ac:dyDescent="0.3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4" x14ac:dyDescent="0.3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4" x14ac:dyDescent="0.3">
      <c r="A19" s="1">
        <v>17</v>
      </c>
      <c r="B19" s="1">
        <v>18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4" x14ac:dyDescent="0.3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3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3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3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3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3">
      <c r="A25" s="1">
        <v>23</v>
      </c>
      <c r="B25" s="1">
        <v>24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3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3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3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3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3">
      <c r="A30" s="1">
        <v>28</v>
      </c>
      <c r="B30" s="1">
        <v>29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3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3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3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3">
      <c r="A34" s="1">
        <v>32</v>
      </c>
      <c r="B34" s="1">
        <v>33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3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3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3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3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3">
      <c r="A39" s="1">
        <v>37</v>
      </c>
      <c r="B39" s="1">
        <v>38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3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3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3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3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3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3">
      <c r="A45" s="1">
        <v>43</v>
      </c>
      <c r="B45" s="1">
        <v>44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3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3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3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3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3">
      <c r="A50" s="1">
        <v>48</v>
      </c>
      <c r="B50" s="1">
        <v>49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3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3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3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3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3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3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3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3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3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3">
      <c r="A60" s="1">
        <v>58</v>
      </c>
      <c r="B60" s="1">
        <v>59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3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3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3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3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3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3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3">
      <c r="A67" s="1">
        <v>65</v>
      </c>
      <c r="B67" s="1">
        <v>66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3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3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3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3">
      <c r="A71" s="1">
        <v>69</v>
      </c>
      <c r="B71" s="1">
        <v>70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3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3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3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3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3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3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3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3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3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3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3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3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3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3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3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3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3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3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3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3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3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3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3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3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3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3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3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3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3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3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3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3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3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3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3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3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3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3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3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3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3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3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3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3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3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3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3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3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3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3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3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3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3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3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3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3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3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3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3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3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3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3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3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3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3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3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3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3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3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3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3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3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3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3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3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3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3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3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3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3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3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3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3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3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3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3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3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3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3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3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3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3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3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3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3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3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3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3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3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3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3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3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3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3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3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3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3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3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3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3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3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3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3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3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3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3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3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3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3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3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3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3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3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3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3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3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3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3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3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3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3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3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3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3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3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3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3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3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3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3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3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3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3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3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3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3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3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3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3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3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3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3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3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3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3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3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3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3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3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3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3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3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3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3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3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3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3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3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3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3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3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3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3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3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3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3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3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3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3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3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3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3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3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3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3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3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3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3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3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3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3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3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3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3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3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3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3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3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3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3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3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3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3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3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3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3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3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3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3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3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3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3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3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3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3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3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3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3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3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3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3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3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3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3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3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3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3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3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3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3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3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3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3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3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3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3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3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3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3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3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3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3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3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3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3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3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3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3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3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3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3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3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3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3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3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3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3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3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3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3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3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3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3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3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3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3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3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3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3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3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3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3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3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3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3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3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3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3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3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3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3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3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3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3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3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3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3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3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3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3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3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3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3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3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3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3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3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3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3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3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3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3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3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3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3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3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3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3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3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3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3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3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3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3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3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3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3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3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3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3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3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3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3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3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3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3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3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3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3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3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3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3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3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3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3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3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3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3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3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3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3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3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3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3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3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3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3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3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3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3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3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3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3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3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3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3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3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3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3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3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3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3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3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3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3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3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3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3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3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3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3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3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3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3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3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3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3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3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3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3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3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3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3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3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3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3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3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3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3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3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3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3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3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3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3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3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3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3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3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3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3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3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3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3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3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3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3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3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3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3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3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3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3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3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3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3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3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3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3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3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3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3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3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3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3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3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3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3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3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3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3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3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3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3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3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3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3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3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3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3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3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3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3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3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3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3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3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3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3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3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3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3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3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3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3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3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3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3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3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3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3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3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3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3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3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3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3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3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3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3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3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3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3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3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3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3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3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3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3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3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3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3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3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3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3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3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3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3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3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3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3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3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3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3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3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3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3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3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3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3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3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3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3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3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3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3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3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3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3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3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3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3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3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3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3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3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3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3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3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3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3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3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3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3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3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3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3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3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3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3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3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3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3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3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3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3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3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3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3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3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3"/>
    <row r="613" spans="1:8" ht="15.75" customHeight="1" x14ac:dyDescent="0.3"/>
    <row r="614" spans="1:8" ht="15.75" customHeight="1" x14ac:dyDescent="0.3"/>
    <row r="615" spans="1:8" ht="15.75" customHeight="1" x14ac:dyDescent="0.3"/>
    <row r="616" spans="1:8" ht="15.75" customHeight="1" x14ac:dyDescent="0.3"/>
    <row r="617" spans="1:8" ht="15.75" customHeight="1" x14ac:dyDescent="0.3"/>
    <row r="618" spans="1:8" ht="15.75" customHeight="1" x14ac:dyDescent="0.3"/>
    <row r="619" spans="1:8" ht="15.75" customHeight="1" x14ac:dyDescent="0.3"/>
    <row r="620" spans="1:8" ht="15.75" customHeight="1" x14ac:dyDescent="0.3"/>
    <row r="621" spans="1:8" ht="15.75" customHeight="1" x14ac:dyDescent="0.3"/>
    <row r="622" spans="1:8" ht="15.75" customHeight="1" x14ac:dyDescent="0.3"/>
    <row r="623" spans="1:8" ht="15.75" customHeight="1" x14ac:dyDescent="0.3"/>
    <row r="624" spans="1:8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81C6-F2B9-4CA7-BA27-B7EA1C12D902}">
  <dimension ref="A1:K611"/>
  <sheetViews>
    <sheetView workbookViewId="0">
      <selection activeCell="A19" sqref="A19"/>
    </sheetView>
  </sheetViews>
  <sheetFormatPr defaultRowHeight="14.4" x14ac:dyDescent="0.3"/>
  <cols>
    <col min="10" max="10" width="13.77734375" bestFit="1" customWidth="1"/>
  </cols>
  <sheetData>
    <row r="1" spans="1:11" x14ac:dyDescent="0.3">
      <c r="J1" s="2" t="s">
        <v>29</v>
      </c>
      <c r="K1" s="3" t="s">
        <v>18</v>
      </c>
    </row>
    <row r="2" spans="1:11" x14ac:dyDescent="0.3">
      <c r="A2" t="s">
        <v>13</v>
      </c>
      <c r="J2" s="1">
        <v>0.28789999999999999</v>
      </c>
      <c r="K2">
        <f>IF(J2="",ROUND(AVERAGE($J$2:$J$611),4),J2)</f>
        <v>0.28789999999999999</v>
      </c>
    </row>
    <row r="3" spans="1:11" x14ac:dyDescent="0.3">
      <c r="A3" t="s">
        <v>8</v>
      </c>
      <c r="J3" s="1">
        <v>0.2727</v>
      </c>
      <c r="K3">
        <f t="shared" ref="K3:K66" si="0">IF(J3="",ROUND(AVERAGE($J$2:$J$611),4),J3)</f>
        <v>0.2727</v>
      </c>
    </row>
    <row r="4" spans="1:11" x14ac:dyDescent="0.3">
      <c r="A4" t="s">
        <v>9</v>
      </c>
      <c r="J4" s="1">
        <v>0.2727</v>
      </c>
      <c r="K4">
        <f t="shared" si="0"/>
        <v>0.2727</v>
      </c>
    </row>
    <row r="5" spans="1:11" x14ac:dyDescent="0.3">
      <c r="J5" s="1">
        <v>0.28789999999999999</v>
      </c>
      <c r="K5">
        <f t="shared" si="0"/>
        <v>0.28789999999999999</v>
      </c>
    </row>
    <row r="6" spans="1:11" x14ac:dyDescent="0.3">
      <c r="E6" t="s">
        <v>15</v>
      </c>
      <c r="J6" s="1">
        <v>0.28789999999999999</v>
      </c>
      <c r="K6">
        <f t="shared" si="0"/>
        <v>0.28789999999999999</v>
      </c>
    </row>
    <row r="7" spans="1:11" x14ac:dyDescent="0.3">
      <c r="C7" t="s">
        <v>10</v>
      </c>
      <c r="D7">
        <f>SUM(Table1[atemp])/610</f>
        <v>0.19993426229508213</v>
      </c>
      <c r="E7" s="4">
        <f>ROUND(D7,4)</f>
        <v>0.19989999999999999</v>
      </c>
      <c r="J7" s="1">
        <v>0.2576</v>
      </c>
      <c r="K7">
        <f t="shared" si="0"/>
        <v>0.2576</v>
      </c>
    </row>
    <row r="8" spans="1:11" x14ac:dyDescent="0.3">
      <c r="C8" t="s">
        <v>11</v>
      </c>
      <c r="D8">
        <f>MODE(Table1[atemp])</f>
        <v>0.19700000000000001</v>
      </c>
      <c r="J8" s="1">
        <v>0.2727</v>
      </c>
      <c r="K8">
        <f t="shared" si="0"/>
        <v>0.2727</v>
      </c>
    </row>
    <row r="9" spans="1:11" x14ac:dyDescent="0.3">
      <c r="C9" t="s">
        <v>12</v>
      </c>
      <c r="D9">
        <f>MEDIAN(Table1[atemp])</f>
        <v>0.19700000000000001</v>
      </c>
      <c r="J9" s="1">
        <v>0.2576</v>
      </c>
      <c r="K9">
        <f t="shared" si="0"/>
        <v>0.2576</v>
      </c>
    </row>
    <row r="10" spans="1:11" x14ac:dyDescent="0.3">
      <c r="K10">
        <f t="shared" si="0"/>
        <v>0.19989999999999999</v>
      </c>
    </row>
    <row r="11" spans="1:11" x14ac:dyDescent="0.3">
      <c r="A11" t="s">
        <v>14</v>
      </c>
      <c r="J11" s="1">
        <v>0.34849999999999998</v>
      </c>
      <c r="K11">
        <f t="shared" si="0"/>
        <v>0.34849999999999998</v>
      </c>
    </row>
    <row r="12" spans="1:11" x14ac:dyDescent="0.3">
      <c r="A12" s="5" t="s">
        <v>16</v>
      </c>
      <c r="J12" s="1">
        <v>0.39389999999999997</v>
      </c>
      <c r="K12">
        <f t="shared" si="0"/>
        <v>0.39389999999999997</v>
      </c>
    </row>
    <row r="13" spans="1:11" x14ac:dyDescent="0.3">
      <c r="A13" s="5" t="s">
        <v>17</v>
      </c>
      <c r="J13" s="1">
        <v>0.33329999999999999</v>
      </c>
      <c r="K13">
        <f t="shared" si="0"/>
        <v>0.33329999999999999</v>
      </c>
    </row>
    <row r="14" spans="1:11" x14ac:dyDescent="0.3">
      <c r="J14" s="1">
        <v>0.42420000000000002</v>
      </c>
      <c r="K14">
        <f t="shared" si="0"/>
        <v>0.42420000000000002</v>
      </c>
    </row>
    <row r="15" spans="1:11" x14ac:dyDescent="0.3">
      <c r="A15" s="5" t="s">
        <v>30</v>
      </c>
      <c r="J15" s="1">
        <v>0.45450000000000002</v>
      </c>
      <c r="K15">
        <f t="shared" si="0"/>
        <v>0.45450000000000002</v>
      </c>
    </row>
    <row r="16" spans="1:11" x14ac:dyDescent="0.3">
      <c r="J16" s="1">
        <v>0.45450000000000002</v>
      </c>
      <c r="K16">
        <f t="shared" si="0"/>
        <v>0.45450000000000002</v>
      </c>
    </row>
    <row r="17" spans="1:11" x14ac:dyDescent="0.3">
      <c r="A17" s="5" t="s">
        <v>20</v>
      </c>
      <c r="J17" s="1">
        <v>0.43940000000000001</v>
      </c>
      <c r="K17">
        <f t="shared" si="0"/>
        <v>0.43940000000000001</v>
      </c>
    </row>
    <row r="18" spans="1:11" x14ac:dyDescent="0.3">
      <c r="A18" s="5" t="s">
        <v>21</v>
      </c>
      <c r="J18" s="1">
        <v>0.42420000000000002</v>
      </c>
      <c r="K18">
        <f t="shared" si="0"/>
        <v>0.42420000000000002</v>
      </c>
    </row>
    <row r="19" spans="1:11" x14ac:dyDescent="0.3">
      <c r="K19">
        <f t="shared" si="0"/>
        <v>0.19989999999999999</v>
      </c>
    </row>
    <row r="20" spans="1:11" x14ac:dyDescent="0.3">
      <c r="J20" s="1">
        <v>0.42420000000000002</v>
      </c>
      <c r="K20">
        <f t="shared" si="0"/>
        <v>0.42420000000000002</v>
      </c>
    </row>
    <row r="21" spans="1:11" x14ac:dyDescent="0.3">
      <c r="J21" s="1">
        <v>0.42420000000000002</v>
      </c>
      <c r="K21">
        <f t="shared" si="0"/>
        <v>0.42420000000000002</v>
      </c>
    </row>
    <row r="22" spans="1:11" x14ac:dyDescent="0.3">
      <c r="J22" s="1">
        <v>0.40910000000000002</v>
      </c>
      <c r="K22">
        <f t="shared" si="0"/>
        <v>0.40910000000000002</v>
      </c>
    </row>
    <row r="23" spans="1:11" x14ac:dyDescent="0.3">
      <c r="J23" s="1">
        <v>0.40910000000000002</v>
      </c>
      <c r="K23">
        <f t="shared" si="0"/>
        <v>0.40910000000000002</v>
      </c>
    </row>
    <row r="24" spans="1:11" x14ac:dyDescent="0.3">
      <c r="J24" s="1">
        <v>0.40910000000000002</v>
      </c>
      <c r="K24">
        <f t="shared" si="0"/>
        <v>0.40910000000000002</v>
      </c>
    </row>
    <row r="25" spans="1:11" x14ac:dyDescent="0.3">
      <c r="K25">
        <f t="shared" si="0"/>
        <v>0.19989999999999999</v>
      </c>
    </row>
    <row r="26" spans="1:11" x14ac:dyDescent="0.3">
      <c r="J26" s="1">
        <v>0.45450000000000002</v>
      </c>
      <c r="K26">
        <f t="shared" si="0"/>
        <v>0.45450000000000002</v>
      </c>
    </row>
    <row r="27" spans="1:11" x14ac:dyDescent="0.3">
      <c r="J27" s="1">
        <v>0.43940000000000001</v>
      </c>
      <c r="K27">
        <f t="shared" si="0"/>
        <v>0.43940000000000001</v>
      </c>
    </row>
    <row r="28" spans="1:11" x14ac:dyDescent="0.3">
      <c r="J28" s="1">
        <v>0.42420000000000002</v>
      </c>
      <c r="K28">
        <f t="shared" si="0"/>
        <v>0.42420000000000002</v>
      </c>
    </row>
    <row r="29" spans="1:11" x14ac:dyDescent="0.3">
      <c r="J29" s="1">
        <v>0.45450000000000002</v>
      </c>
      <c r="K29">
        <f t="shared" si="0"/>
        <v>0.45450000000000002</v>
      </c>
    </row>
    <row r="30" spans="1:11" x14ac:dyDescent="0.3">
      <c r="K30">
        <f t="shared" si="0"/>
        <v>0.19989999999999999</v>
      </c>
    </row>
    <row r="31" spans="1:11" x14ac:dyDescent="0.3">
      <c r="J31" s="1">
        <v>0.42420000000000002</v>
      </c>
      <c r="K31">
        <f t="shared" si="0"/>
        <v>0.42420000000000002</v>
      </c>
    </row>
    <row r="32" spans="1:11" x14ac:dyDescent="0.3">
      <c r="J32" s="1">
        <v>0.40910000000000002</v>
      </c>
      <c r="K32">
        <f t="shared" si="0"/>
        <v>0.40910000000000002</v>
      </c>
    </row>
    <row r="33" spans="10:11" x14ac:dyDescent="0.3">
      <c r="J33" s="1">
        <v>0.40910000000000002</v>
      </c>
      <c r="K33">
        <f t="shared" si="0"/>
        <v>0.40910000000000002</v>
      </c>
    </row>
    <row r="34" spans="10:11" x14ac:dyDescent="0.3">
      <c r="K34">
        <f t="shared" si="0"/>
        <v>0.19989999999999999</v>
      </c>
    </row>
    <row r="35" spans="10:11" x14ac:dyDescent="0.3">
      <c r="J35" s="1">
        <v>0.34849999999999998</v>
      </c>
      <c r="K35">
        <f t="shared" si="0"/>
        <v>0.34849999999999998</v>
      </c>
    </row>
    <row r="36" spans="10:11" x14ac:dyDescent="0.3">
      <c r="J36" s="1">
        <v>0.33329999999999999</v>
      </c>
      <c r="K36">
        <f t="shared" si="0"/>
        <v>0.33329999999999999</v>
      </c>
    </row>
    <row r="37" spans="10:11" x14ac:dyDescent="0.3">
      <c r="J37" s="1">
        <v>0.33329999999999999</v>
      </c>
      <c r="K37">
        <f t="shared" si="0"/>
        <v>0.33329999999999999</v>
      </c>
    </row>
    <row r="38" spans="10:11" x14ac:dyDescent="0.3">
      <c r="J38" s="1">
        <v>0.34849999999999998</v>
      </c>
      <c r="K38">
        <f t="shared" si="0"/>
        <v>0.34849999999999998</v>
      </c>
    </row>
    <row r="39" spans="10:11" x14ac:dyDescent="0.3">
      <c r="K39">
        <f t="shared" si="0"/>
        <v>0.19989999999999999</v>
      </c>
    </row>
    <row r="40" spans="10:11" x14ac:dyDescent="0.3">
      <c r="J40" s="1">
        <v>0.33329999999999999</v>
      </c>
      <c r="K40">
        <f t="shared" si="0"/>
        <v>0.33329999999999999</v>
      </c>
    </row>
    <row r="41" spans="10:11" x14ac:dyDescent="0.3">
      <c r="J41" s="1">
        <v>0.33329999999999999</v>
      </c>
      <c r="K41">
        <f t="shared" si="0"/>
        <v>0.33329999999999999</v>
      </c>
    </row>
    <row r="42" spans="10:11" x14ac:dyDescent="0.3">
      <c r="J42" s="1">
        <v>0.33329999999999999</v>
      </c>
      <c r="K42">
        <f t="shared" si="0"/>
        <v>0.33329999999999999</v>
      </c>
    </row>
    <row r="43" spans="10:11" x14ac:dyDescent="0.3">
      <c r="J43" s="1">
        <v>0.33329999999999999</v>
      </c>
      <c r="K43">
        <f t="shared" si="0"/>
        <v>0.33329999999999999</v>
      </c>
    </row>
    <row r="44" spans="10:11" x14ac:dyDescent="0.3">
      <c r="J44" s="1">
        <v>0.28789999999999999</v>
      </c>
      <c r="K44">
        <f t="shared" si="0"/>
        <v>0.28789999999999999</v>
      </c>
    </row>
    <row r="45" spans="10:11" x14ac:dyDescent="0.3">
      <c r="K45">
        <f t="shared" si="0"/>
        <v>0.19989999999999999</v>
      </c>
    </row>
    <row r="46" spans="10:11" x14ac:dyDescent="0.3">
      <c r="J46" s="1">
        <v>0.2273</v>
      </c>
      <c r="K46">
        <f t="shared" si="0"/>
        <v>0.2273</v>
      </c>
    </row>
    <row r="47" spans="10:11" x14ac:dyDescent="0.3">
      <c r="J47" s="1">
        <v>0.21210000000000001</v>
      </c>
      <c r="K47">
        <f t="shared" si="0"/>
        <v>0.21210000000000001</v>
      </c>
    </row>
    <row r="48" spans="10:11" x14ac:dyDescent="0.3">
      <c r="J48" s="1">
        <v>0.2273</v>
      </c>
      <c r="K48">
        <f t="shared" si="0"/>
        <v>0.2273</v>
      </c>
    </row>
    <row r="49" spans="10:11" x14ac:dyDescent="0.3">
      <c r="J49" s="1">
        <v>0.19700000000000001</v>
      </c>
      <c r="K49">
        <f t="shared" si="0"/>
        <v>0.19700000000000001</v>
      </c>
    </row>
    <row r="50" spans="10:11" x14ac:dyDescent="0.3">
      <c r="K50">
        <f t="shared" si="0"/>
        <v>0.19989999999999999</v>
      </c>
    </row>
    <row r="51" spans="10:11" x14ac:dyDescent="0.3">
      <c r="J51" s="1">
        <v>0.13639999999999999</v>
      </c>
      <c r="K51">
        <f t="shared" si="0"/>
        <v>0.13639999999999999</v>
      </c>
    </row>
    <row r="52" spans="10:11" x14ac:dyDescent="0.3">
      <c r="J52" s="1">
        <v>0.13639999999999999</v>
      </c>
      <c r="K52">
        <f t="shared" si="0"/>
        <v>0.13639999999999999</v>
      </c>
    </row>
    <row r="53" spans="10:11" x14ac:dyDescent="0.3">
      <c r="J53" s="1">
        <v>0.1061</v>
      </c>
      <c r="K53">
        <f t="shared" si="0"/>
        <v>0.1061</v>
      </c>
    </row>
    <row r="54" spans="10:11" x14ac:dyDescent="0.3">
      <c r="J54" s="1">
        <v>0.13639999999999999</v>
      </c>
      <c r="K54">
        <f t="shared" si="0"/>
        <v>0.13639999999999999</v>
      </c>
    </row>
    <row r="55" spans="10:11" x14ac:dyDescent="0.3">
      <c r="J55" s="1">
        <v>0.1212</v>
      </c>
      <c r="K55">
        <f t="shared" si="0"/>
        <v>0.1212</v>
      </c>
    </row>
    <row r="56" spans="10:11" x14ac:dyDescent="0.3">
      <c r="J56" s="1">
        <v>0.13639999999999999</v>
      </c>
      <c r="K56">
        <f t="shared" si="0"/>
        <v>0.13639999999999999</v>
      </c>
    </row>
    <row r="57" spans="10:11" x14ac:dyDescent="0.3">
      <c r="J57" s="1">
        <v>0.16669999999999999</v>
      </c>
      <c r="K57">
        <f t="shared" si="0"/>
        <v>0.16669999999999999</v>
      </c>
    </row>
    <row r="58" spans="10:11" x14ac:dyDescent="0.3">
      <c r="J58" s="1">
        <v>0.18179999999999999</v>
      </c>
      <c r="K58">
        <f t="shared" si="0"/>
        <v>0.18179999999999999</v>
      </c>
    </row>
    <row r="59" spans="10:11" x14ac:dyDescent="0.3">
      <c r="J59" s="1">
        <v>0.21210000000000001</v>
      </c>
      <c r="K59">
        <f t="shared" si="0"/>
        <v>0.21210000000000001</v>
      </c>
    </row>
    <row r="60" spans="10:11" x14ac:dyDescent="0.3">
      <c r="K60">
        <f t="shared" si="0"/>
        <v>0.19989999999999999</v>
      </c>
    </row>
    <row r="61" spans="10:11" x14ac:dyDescent="0.3">
      <c r="J61" s="1">
        <v>0.2424</v>
      </c>
      <c r="K61">
        <f t="shared" si="0"/>
        <v>0.2424</v>
      </c>
    </row>
    <row r="62" spans="10:11" x14ac:dyDescent="0.3">
      <c r="J62" s="1">
        <v>0.2424</v>
      </c>
      <c r="K62">
        <f t="shared" si="0"/>
        <v>0.2424</v>
      </c>
    </row>
    <row r="63" spans="10:11" x14ac:dyDescent="0.3">
      <c r="J63" s="1">
        <v>0.2424</v>
      </c>
      <c r="K63">
        <f t="shared" si="0"/>
        <v>0.2424</v>
      </c>
    </row>
    <row r="64" spans="10:11" x14ac:dyDescent="0.3">
      <c r="J64" s="1">
        <v>0.2273</v>
      </c>
      <c r="K64">
        <f t="shared" si="0"/>
        <v>0.2273</v>
      </c>
    </row>
    <row r="65" spans="10:11" x14ac:dyDescent="0.3">
      <c r="J65" s="1">
        <v>0.2576</v>
      </c>
      <c r="K65">
        <f t="shared" si="0"/>
        <v>0.2576</v>
      </c>
    </row>
    <row r="66" spans="10:11" x14ac:dyDescent="0.3">
      <c r="J66" s="1">
        <v>0.2576</v>
      </c>
      <c r="K66">
        <f t="shared" si="0"/>
        <v>0.2576</v>
      </c>
    </row>
    <row r="67" spans="10:11" x14ac:dyDescent="0.3">
      <c r="K67">
        <f t="shared" ref="K67:K130" si="1">IF(J67="",ROUND(AVERAGE($J$2:$J$611),4),J67)</f>
        <v>0.19989999999999999</v>
      </c>
    </row>
    <row r="68" spans="10:11" x14ac:dyDescent="0.3">
      <c r="J68" s="1">
        <v>0.19700000000000001</v>
      </c>
      <c r="K68">
        <f t="shared" si="1"/>
        <v>0.19700000000000001</v>
      </c>
    </row>
    <row r="69" spans="10:11" x14ac:dyDescent="0.3">
      <c r="J69" s="1">
        <v>0.1515</v>
      </c>
      <c r="K69">
        <f t="shared" si="1"/>
        <v>0.1515</v>
      </c>
    </row>
    <row r="70" spans="10:11" x14ac:dyDescent="0.3">
      <c r="J70" s="1">
        <v>0.21210000000000001</v>
      </c>
      <c r="K70">
        <f t="shared" si="1"/>
        <v>0.21210000000000001</v>
      </c>
    </row>
    <row r="71" spans="10:11" x14ac:dyDescent="0.3">
      <c r="K71">
        <f t="shared" si="1"/>
        <v>0.19989999999999999</v>
      </c>
    </row>
    <row r="72" spans="10:11" x14ac:dyDescent="0.3">
      <c r="J72" s="1">
        <v>0.18179999999999999</v>
      </c>
      <c r="K72">
        <f t="shared" si="1"/>
        <v>0.18179999999999999</v>
      </c>
    </row>
    <row r="73" spans="10:11" x14ac:dyDescent="0.3">
      <c r="J73" s="1">
        <v>0.1515</v>
      </c>
      <c r="K73">
        <f t="shared" si="1"/>
        <v>0.1515</v>
      </c>
    </row>
    <row r="74" spans="10:11" x14ac:dyDescent="0.3">
      <c r="J74" s="1">
        <v>0.18179999999999999</v>
      </c>
      <c r="K74">
        <f t="shared" si="1"/>
        <v>0.18179999999999999</v>
      </c>
    </row>
    <row r="75" spans="10:11" x14ac:dyDescent="0.3">
      <c r="J75" s="1">
        <v>0.1515</v>
      </c>
      <c r="K75">
        <f t="shared" si="1"/>
        <v>0.1515</v>
      </c>
    </row>
    <row r="76" spans="10:11" x14ac:dyDescent="0.3">
      <c r="J76" s="1">
        <v>0.1515</v>
      </c>
      <c r="K76">
        <f t="shared" si="1"/>
        <v>0.1515</v>
      </c>
    </row>
    <row r="77" spans="10:11" x14ac:dyDescent="0.3">
      <c r="J77" s="1">
        <v>0.1515</v>
      </c>
      <c r="K77">
        <f t="shared" si="1"/>
        <v>0.1515</v>
      </c>
    </row>
    <row r="78" spans="10:11" x14ac:dyDescent="0.3">
      <c r="J78" s="1">
        <v>0.1515</v>
      </c>
      <c r="K78">
        <f t="shared" si="1"/>
        <v>0.1515</v>
      </c>
    </row>
    <row r="79" spans="10:11" x14ac:dyDescent="0.3">
      <c r="J79" s="1">
        <v>0.1515</v>
      </c>
      <c r="K79">
        <f t="shared" si="1"/>
        <v>0.1515</v>
      </c>
    </row>
    <row r="80" spans="10:11" x14ac:dyDescent="0.3">
      <c r="J80" s="1">
        <v>0.13639999999999999</v>
      </c>
      <c r="K80">
        <f t="shared" si="1"/>
        <v>0.13639999999999999</v>
      </c>
    </row>
    <row r="81" spans="10:11" x14ac:dyDescent="0.3">
      <c r="J81" s="1">
        <v>0.21210000000000001</v>
      </c>
      <c r="K81">
        <f t="shared" si="1"/>
        <v>0.21210000000000001</v>
      </c>
    </row>
    <row r="82" spans="10:11" x14ac:dyDescent="0.3">
      <c r="J82" s="1">
        <v>0.2273</v>
      </c>
      <c r="K82">
        <f t="shared" si="1"/>
        <v>0.2273</v>
      </c>
    </row>
    <row r="83" spans="10:11" x14ac:dyDescent="0.3">
      <c r="J83" s="1">
        <v>0.2273</v>
      </c>
      <c r="K83">
        <f t="shared" si="1"/>
        <v>0.2273</v>
      </c>
    </row>
    <row r="84" spans="10:11" x14ac:dyDescent="0.3">
      <c r="J84" s="1">
        <v>0.2576</v>
      </c>
      <c r="K84">
        <f t="shared" si="1"/>
        <v>0.2576</v>
      </c>
    </row>
    <row r="85" spans="10:11" x14ac:dyDescent="0.3">
      <c r="J85" s="1">
        <v>0.2727</v>
      </c>
      <c r="K85">
        <f t="shared" si="1"/>
        <v>0.2727</v>
      </c>
    </row>
    <row r="86" spans="10:11" x14ac:dyDescent="0.3">
      <c r="J86" s="1">
        <v>0.28789999999999999</v>
      </c>
      <c r="K86">
        <f t="shared" si="1"/>
        <v>0.28789999999999999</v>
      </c>
    </row>
    <row r="87" spans="10:11" x14ac:dyDescent="0.3">
      <c r="J87" s="1">
        <v>0.2727</v>
      </c>
      <c r="K87">
        <f t="shared" si="1"/>
        <v>0.2727</v>
      </c>
    </row>
    <row r="88" spans="10:11" x14ac:dyDescent="0.3">
      <c r="J88" s="1">
        <v>0.2576</v>
      </c>
      <c r="K88">
        <f t="shared" si="1"/>
        <v>0.2576</v>
      </c>
    </row>
    <row r="89" spans="10:11" x14ac:dyDescent="0.3">
      <c r="J89" s="1">
        <v>0.2576</v>
      </c>
      <c r="K89">
        <f t="shared" si="1"/>
        <v>0.2576</v>
      </c>
    </row>
    <row r="90" spans="10:11" x14ac:dyDescent="0.3">
      <c r="J90" s="1">
        <v>0.2576</v>
      </c>
      <c r="K90">
        <f t="shared" si="1"/>
        <v>0.2576</v>
      </c>
    </row>
    <row r="91" spans="10:11" x14ac:dyDescent="0.3">
      <c r="J91" s="1">
        <v>0.2727</v>
      </c>
      <c r="K91">
        <f t="shared" si="1"/>
        <v>0.2727</v>
      </c>
    </row>
    <row r="92" spans="10:11" x14ac:dyDescent="0.3">
      <c r="J92" s="1">
        <v>0.2576</v>
      </c>
      <c r="K92">
        <f t="shared" si="1"/>
        <v>0.2576</v>
      </c>
    </row>
    <row r="93" spans="10:11" x14ac:dyDescent="0.3">
      <c r="J93" s="1">
        <v>0.2273</v>
      </c>
      <c r="K93">
        <f t="shared" si="1"/>
        <v>0.2273</v>
      </c>
    </row>
    <row r="94" spans="10:11" x14ac:dyDescent="0.3">
      <c r="J94" s="1">
        <v>0.2576</v>
      </c>
      <c r="K94">
        <f t="shared" si="1"/>
        <v>0.2576</v>
      </c>
    </row>
    <row r="95" spans="10:11" x14ac:dyDescent="0.3">
      <c r="J95" s="1">
        <v>0.19700000000000001</v>
      </c>
      <c r="K95">
        <f t="shared" si="1"/>
        <v>0.19700000000000001</v>
      </c>
    </row>
    <row r="96" spans="10:11" x14ac:dyDescent="0.3">
      <c r="J96" s="1">
        <v>0.19700000000000001</v>
      </c>
      <c r="K96">
        <f t="shared" si="1"/>
        <v>0.19700000000000001</v>
      </c>
    </row>
    <row r="97" spans="10:11" x14ac:dyDescent="0.3">
      <c r="J97" s="1">
        <v>0.2273</v>
      </c>
      <c r="K97">
        <f t="shared" si="1"/>
        <v>0.2273</v>
      </c>
    </row>
    <row r="98" spans="10:11" x14ac:dyDescent="0.3">
      <c r="J98" s="1">
        <v>0.2273</v>
      </c>
      <c r="K98">
        <f t="shared" si="1"/>
        <v>0.2273</v>
      </c>
    </row>
    <row r="99" spans="10:11" x14ac:dyDescent="0.3">
      <c r="J99" s="1">
        <v>0.19700000000000001</v>
      </c>
      <c r="K99">
        <f t="shared" si="1"/>
        <v>0.19700000000000001</v>
      </c>
    </row>
    <row r="100" spans="10:11" x14ac:dyDescent="0.3">
      <c r="J100" s="1">
        <v>0.18179999999999999</v>
      </c>
      <c r="K100">
        <f t="shared" si="1"/>
        <v>0.18179999999999999</v>
      </c>
    </row>
    <row r="101" spans="10:11" x14ac:dyDescent="0.3">
      <c r="J101" s="1">
        <v>0.18179999999999999</v>
      </c>
      <c r="K101">
        <f t="shared" si="1"/>
        <v>0.18179999999999999</v>
      </c>
    </row>
    <row r="102" spans="10:11" x14ac:dyDescent="0.3">
      <c r="J102" s="1">
        <v>0.19700000000000001</v>
      </c>
      <c r="K102">
        <f t="shared" si="1"/>
        <v>0.19700000000000001</v>
      </c>
    </row>
    <row r="103" spans="10:11" x14ac:dyDescent="0.3">
      <c r="J103" s="1">
        <v>0.19700000000000001</v>
      </c>
      <c r="K103">
        <f t="shared" si="1"/>
        <v>0.19700000000000001</v>
      </c>
    </row>
    <row r="104" spans="10:11" x14ac:dyDescent="0.3">
      <c r="J104" s="1">
        <v>0.2273</v>
      </c>
      <c r="K104">
        <f t="shared" si="1"/>
        <v>0.2273</v>
      </c>
    </row>
    <row r="105" spans="10:11" x14ac:dyDescent="0.3">
      <c r="J105" s="1">
        <v>0.2273</v>
      </c>
      <c r="K105">
        <f t="shared" si="1"/>
        <v>0.2273</v>
      </c>
    </row>
    <row r="106" spans="10:11" x14ac:dyDescent="0.3">
      <c r="J106" s="1">
        <v>0.2576</v>
      </c>
      <c r="K106">
        <f t="shared" si="1"/>
        <v>0.2576</v>
      </c>
    </row>
    <row r="107" spans="10:11" x14ac:dyDescent="0.3">
      <c r="J107" s="1">
        <v>0.28789999999999999</v>
      </c>
      <c r="K107">
        <f t="shared" si="1"/>
        <v>0.28789999999999999</v>
      </c>
    </row>
    <row r="108" spans="10:11" x14ac:dyDescent="0.3">
      <c r="J108" s="1">
        <v>0.28789999999999999</v>
      </c>
      <c r="K108">
        <f t="shared" si="1"/>
        <v>0.28789999999999999</v>
      </c>
    </row>
    <row r="109" spans="10:11" x14ac:dyDescent="0.3">
      <c r="J109" s="1">
        <v>0.31819999999999998</v>
      </c>
      <c r="K109">
        <f t="shared" si="1"/>
        <v>0.31819999999999998</v>
      </c>
    </row>
    <row r="110" spans="10:11" x14ac:dyDescent="0.3">
      <c r="J110" s="1">
        <v>0.2273</v>
      </c>
      <c r="K110">
        <f t="shared" si="1"/>
        <v>0.2273</v>
      </c>
    </row>
    <row r="111" spans="10:11" x14ac:dyDescent="0.3">
      <c r="J111" s="1">
        <v>0.2424</v>
      </c>
      <c r="K111">
        <f t="shared" si="1"/>
        <v>0.2424</v>
      </c>
    </row>
    <row r="112" spans="10:11" x14ac:dyDescent="0.3">
      <c r="J112" s="1">
        <v>0.2576</v>
      </c>
      <c r="K112">
        <f t="shared" si="1"/>
        <v>0.2576</v>
      </c>
    </row>
    <row r="113" spans="10:11" x14ac:dyDescent="0.3">
      <c r="J113" s="1">
        <v>0.2273</v>
      </c>
      <c r="K113">
        <f t="shared" si="1"/>
        <v>0.2273</v>
      </c>
    </row>
    <row r="114" spans="10:11" x14ac:dyDescent="0.3">
      <c r="J114" s="1">
        <v>0.19700000000000001</v>
      </c>
      <c r="K114">
        <f t="shared" si="1"/>
        <v>0.19700000000000001</v>
      </c>
    </row>
    <row r="115" spans="10:11" x14ac:dyDescent="0.3">
      <c r="J115" s="1">
        <v>0.19700000000000001</v>
      </c>
      <c r="K115">
        <f t="shared" si="1"/>
        <v>0.19700000000000001</v>
      </c>
    </row>
    <row r="116" spans="10:11" x14ac:dyDescent="0.3">
      <c r="J116" s="1">
        <v>0.2576</v>
      </c>
      <c r="K116">
        <f t="shared" si="1"/>
        <v>0.2576</v>
      </c>
    </row>
    <row r="117" spans="10:11" x14ac:dyDescent="0.3">
      <c r="J117" s="1">
        <v>0.2424</v>
      </c>
      <c r="K117">
        <f t="shared" si="1"/>
        <v>0.2424</v>
      </c>
    </row>
    <row r="118" spans="10:11" x14ac:dyDescent="0.3">
      <c r="J118" s="1">
        <v>0.2273</v>
      </c>
      <c r="K118">
        <f t="shared" si="1"/>
        <v>0.2273</v>
      </c>
    </row>
    <row r="119" spans="10:11" x14ac:dyDescent="0.3">
      <c r="J119" s="1">
        <v>0.2273</v>
      </c>
      <c r="K119">
        <f t="shared" si="1"/>
        <v>0.2273</v>
      </c>
    </row>
    <row r="120" spans="10:11" x14ac:dyDescent="0.3">
      <c r="J120" s="1">
        <v>0.19700000000000001</v>
      </c>
      <c r="K120">
        <f t="shared" si="1"/>
        <v>0.19700000000000001</v>
      </c>
    </row>
    <row r="121" spans="10:11" x14ac:dyDescent="0.3">
      <c r="J121" s="1">
        <v>0.18179999999999999</v>
      </c>
      <c r="K121">
        <f t="shared" si="1"/>
        <v>0.18179999999999999</v>
      </c>
    </row>
    <row r="122" spans="10:11" x14ac:dyDescent="0.3">
      <c r="J122" s="1">
        <v>0.16669999999999999</v>
      </c>
      <c r="K122">
        <f t="shared" si="1"/>
        <v>0.16669999999999999</v>
      </c>
    </row>
    <row r="123" spans="10:11" x14ac:dyDescent="0.3">
      <c r="J123" s="1">
        <v>0.2273</v>
      </c>
      <c r="K123">
        <f t="shared" si="1"/>
        <v>0.2273</v>
      </c>
    </row>
    <row r="124" spans="10:11" x14ac:dyDescent="0.3">
      <c r="J124" s="1">
        <v>0.2273</v>
      </c>
      <c r="K124">
        <f t="shared" si="1"/>
        <v>0.2273</v>
      </c>
    </row>
    <row r="125" spans="10:11" x14ac:dyDescent="0.3">
      <c r="J125" s="1">
        <v>0.2424</v>
      </c>
      <c r="K125">
        <f t="shared" si="1"/>
        <v>0.2424</v>
      </c>
    </row>
    <row r="126" spans="10:11" x14ac:dyDescent="0.3">
      <c r="J126" s="1">
        <v>0.2576</v>
      </c>
      <c r="K126">
        <f t="shared" si="1"/>
        <v>0.2576</v>
      </c>
    </row>
    <row r="127" spans="10:11" x14ac:dyDescent="0.3">
      <c r="J127" s="1">
        <v>0.2576</v>
      </c>
      <c r="K127">
        <f t="shared" si="1"/>
        <v>0.2576</v>
      </c>
    </row>
    <row r="128" spans="10:11" x14ac:dyDescent="0.3">
      <c r="J128" s="1">
        <v>0.28789999999999999</v>
      </c>
      <c r="K128">
        <f t="shared" si="1"/>
        <v>0.28789999999999999</v>
      </c>
    </row>
    <row r="129" spans="10:11" x14ac:dyDescent="0.3">
      <c r="J129" s="1">
        <v>0.2727</v>
      </c>
      <c r="K129">
        <f t="shared" si="1"/>
        <v>0.2727</v>
      </c>
    </row>
    <row r="130" spans="10:11" x14ac:dyDescent="0.3">
      <c r="J130" s="1">
        <v>0.2727</v>
      </c>
      <c r="K130">
        <f t="shared" si="1"/>
        <v>0.2727</v>
      </c>
    </row>
    <row r="131" spans="10:11" x14ac:dyDescent="0.3">
      <c r="J131" s="1">
        <v>0.2727</v>
      </c>
      <c r="K131">
        <f t="shared" ref="K131:K194" si="2">IF(J131="",ROUND(AVERAGE($J$2:$J$611),4),J131)</f>
        <v>0.2727</v>
      </c>
    </row>
    <row r="132" spans="10:11" x14ac:dyDescent="0.3">
      <c r="J132" s="1">
        <v>0.2576</v>
      </c>
      <c r="K132">
        <f t="shared" si="2"/>
        <v>0.2576</v>
      </c>
    </row>
    <row r="133" spans="10:11" x14ac:dyDescent="0.3">
      <c r="J133" s="1">
        <v>0.2273</v>
      </c>
      <c r="K133">
        <f t="shared" si="2"/>
        <v>0.2273</v>
      </c>
    </row>
    <row r="134" spans="10:11" x14ac:dyDescent="0.3">
      <c r="J134" s="1">
        <v>0.2273</v>
      </c>
      <c r="K134">
        <f t="shared" si="2"/>
        <v>0.2273</v>
      </c>
    </row>
    <row r="135" spans="10:11" x14ac:dyDescent="0.3">
      <c r="J135" s="1">
        <v>0.2576</v>
      </c>
      <c r="K135">
        <f t="shared" si="2"/>
        <v>0.2576</v>
      </c>
    </row>
    <row r="136" spans="10:11" x14ac:dyDescent="0.3">
      <c r="J136" s="1">
        <v>0.21210000000000001</v>
      </c>
      <c r="K136">
        <f t="shared" si="2"/>
        <v>0.21210000000000001</v>
      </c>
    </row>
    <row r="137" spans="10:11" x14ac:dyDescent="0.3">
      <c r="J137" s="1">
        <v>0.21210000000000001</v>
      </c>
      <c r="K137">
        <f t="shared" si="2"/>
        <v>0.21210000000000001</v>
      </c>
    </row>
    <row r="138" spans="10:11" x14ac:dyDescent="0.3">
      <c r="J138" s="1">
        <v>0.21210000000000001</v>
      </c>
      <c r="K138">
        <f t="shared" si="2"/>
        <v>0.21210000000000001</v>
      </c>
    </row>
    <row r="139" spans="10:11" x14ac:dyDescent="0.3">
      <c r="J139" s="1">
        <v>0.19700000000000001</v>
      </c>
      <c r="K139">
        <f t="shared" si="2"/>
        <v>0.19700000000000001</v>
      </c>
    </row>
    <row r="140" spans="10:11" x14ac:dyDescent="0.3">
      <c r="J140" s="1">
        <v>0.19700000000000001</v>
      </c>
      <c r="K140">
        <f t="shared" si="2"/>
        <v>0.19700000000000001</v>
      </c>
    </row>
    <row r="141" spans="10:11" x14ac:dyDescent="0.3">
      <c r="J141" s="1">
        <v>0.19700000000000001</v>
      </c>
      <c r="K141">
        <f t="shared" si="2"/>
        <v>0.19700000000000001</v>
      </c>
    </row>
    <row r="142" spans="10:11" x14ac:dyDescent="0.3">
      <c r="J142" s="1">
        <v>0.19700000000000001</v>
      </c>
      <c r="K142">
        <f t="shared" si="2"/>
        <v>0.19700000000000001</v>
      </c>
    </row>
    <row r="143" spans="10:11" x14ac:dyDescent="0.3">
      <c r="J143" s="1">
        <v>0.21210000000000001</v>
      </c>
      <c r="K143">
        <f t="shared" si="2"/>
        <v>0.21210000000000001</v>
      </c>
    </row>
    <row r="144" spans="10:11" x14ac:dyDescent="0.3">
      <c r="J144" s="1">
        <v>0.2727</v>
      </c>
      <c r="K144">
        <f t="shared" si="2"/>
        <v>0.2727</v>
      </c>
    </row>
    <row r="145" spans="10:11" x14ac:dyDescent="0.3">
      <c r="J145" s="1">
        <v>0.2576</v>
      </c>
      <c r="K145">
        <f t="shared" si="2"/>
        <v>0.2576</v>
      </c>
    </row>
    <row r="146" spans="10:11" x14ac:dyDescent="0.3">
      <c r="J146" s="1">
        <v>0.21210000000000001</v>
      </c>
      <c r="K146">
        <f t="shared" si="2"/>
        <v>0.21210000000000001</v>
      </c>
    </row>
    <row r="147" spans="10:11" x14ac:dyDescent="0.3">
      <c r="J147" s="1">
        <v>0.19700000000000001</v>
      </c>
      <c r="K147">
        <f t="shared" si="2"/>
        <v>0.19700000000000001</v>
      </c>
    </row>
    <row r="148" spans="10:11" x14ac:dyDescent="0.3">
      <c r="J148" s="1">
        <v>0.18179999999999999</v>
      </c>
      <c r="K148">
        <f t="shared" si="2"/>
        <v>0.18179999999999999</v>
      </c>
    </row>
    <row r="149" spans="10:11" x14ac:dyDescent="0.3">
      <c r="J149" s="1">
        <v>0.19700000000000001</v>
      </c>
      <c r="K149">
        <f t="shared" si="2"/>
        <v>0.19700000000000001</v>
      </c>
    </row>
    <row r="150" spans="10:11" x14ac:dyDescent="0.3">
      <c r="J150" s="1">
        <v>0.19700000000000001</v>
      </c>
      <c r="K150">
        <f t="shared" si="2"/>
        <v>0.19700000000000001</v>
      </c>
    </row>
    <row r="151" spans="10:11" x14ac:dyDescent="0.3">
      <c r="J151" s="1">
        <v>0.19700000000000001</v>
      </c>
      <c r="K151">
        <f t="shared" si="2"/>
        <v>0.19700000000000001</v>
      </c>
    </row>
    <row r="152" spans="10:11" x14ac:dyDescent="0.3">
      <c r="J152" s="1">
        <v>0.18179999999999999</v>
      </c>
      <c r="K152">
        <f t="shared" si="2"/>
        <v>0.18179999999999999</v>
      </c>
    </row>
    <row r="153" spans="10:11" x14ac:dyDescent="0.3">
      <c r="J153" s="1">
        <v>0.19700000000000001</v>
      </c>
      <c r="K153">
        <f t="shared" si="2"/>
        <v>0.19700000000000001</v>
      </c>
    </row>
    <row r="154" spans="10:11" x14ac:dyDescent="0.3">
      <c r="J154" s="1">
        <v>0.21210000000000001</v>
      </c>
      <c r="K154">
        <f t="shared" si="2"/>
        <v>0.21210000000000001</v>
      </c>
    </row>
    <row r="155" spans="10:11" x14ac:dyDescent="0.3">
      <c r="J155" s="1">
        <v>0.21210000000000001</v>
      </c>
      <c r="K155">
        <f t="shared" si="2"/>
        <v>0.21210000000000001</v>
      </c>
    </row>
    <row r="156" spans="10:11" x14ac:dyDescent="0.3">
      <c r="J156" s="1">
        <v>0.2576</v>
      </c>
      <c r="K156">
        <f t="shared" si="2"/>
        <v>0.2576</v>
      </c>
    </row>
    <row r="157" spans="10:11" x14ac:dyDescent="0.3">
      <c r="J157" s="1">
        <v>0.2273</v>
      </c>
      <c r="K157">
        <f t="shared" si="2"/>
        <v>0.2273</v>
      </c>
    </row>
    <row r="158" spans="10:11" x14ac:dyDescent="0.3">
      <c r="J158" s="1">
        <v>0.19700000000000001</v>
      </c>
      <c r="K158">
        <f t="shared" si="2"/>
        <v>0.19700000000000001</v>
      </c>
    </row>
    <row r="159" spans="10:11" x14ac:dyDescent="0.3">
      <c r="J159" s="1">
        <v>0.21210000000000001</v>
      </c>
      <c r="K159">
        <f t="shared" si="2"/>
        <v>0.21210000000000001</v>
      </c>
    </row>
    <row r="160" spans="10:11" x14ac:dyDescent="0.3">
      <c r="J160" s="1">
        <v>0.19700000000000001</v>
      </c>
      <c r="K160">
        <f t="shared" si="2"/>
        <v>0.19700000000000001</v>
      </c>
    </row>
    <row r="161" spans="10:11" x14ac:dyDescent="0.3">
      <c r="J161" s="1">
        <v>0.19700000000000001</v>
      </c>
      <c r="K161">
        <f t="shared" si="2"/>
        <v>0.19700000000000001</v>
      </c>
    </row>
    <row r="162" spans="10:11" x14ac:dyDescent="0.3">
      <c r="J162" s="1">
        <v>0.19700000000000001</v>
      </c>
      <c r="K162">
        <f t="shared" si="2"/>
        <v>0.19700000000000001</v>
      </c>
    </row>
    <row r="163" spans="10:11" x14ac:dyDescent="0.3">
      <c r="J163" s="1">
        <v>0.19700000000000001</v>
      </c>
      <c r="K163">
        <f t="shared" si="2"/>
        <v>0.19700000000000001</v>
      </c>
    </row>
    <row r="164" spans="10:11" x14ac:dyDescent="0.3">
      <c r="J164" s="1">
        <v>0.21210000000000001</v>
      </c>
      <c r="K164">
        <f t="shared" si="2"/>
        <v>0.21210000000000001</v>
      </c>
    </row>
    <row r="165" spans="10:11" x14ac:dyDescent="0.3">
      <c r="J165" s="1">
        <v>0.2424</v>
      </c>
      <c r="K165">
        <f t="shared" si="2"/>
        <v>0.2424</v>
      </c>
    </row>
    <row r="166" spans="10:11" x14ac:dyDescent="0.3">
      <c r="J166" s="1">
        <v>0.19700000000000001</v>
      </c>
      <c r="K166">
        <f t="shared" si="2"/>
        <v>0.19700000000000001</v>
      </c>
    </row>
    <row r="167" spans="10:11" x14ac:dyDescent="0.3">
      <c r="J167" s="1">
        <v>0.19700000000000001</v>
      </c>
      <c r="K167">
        <f t="shared" si="2"/>
        <v>0.19700000000000001</v>
      </c>
    </row>
    <row r="168" spans="10:11" x14ac:dyDescent="0.3">
      <c r="J168" s="1">
        <v>0.16669999999999999</v>
      </c>
      <c r="K168">
        <f t="shared" si="2"/>
        <v>0.16669999999999999</v>
      </c>
    </row>
    <row r="169" spans="10:11" x14ac:dyDescent="0.3">
      <c r="J169" s="1">
        <v>0.16669999999999999</v>
      </c>
      <c r="K169">
        <f t="shared" si="2"/>
        <v>0.16669999999999999</v>
      </c>
    </row>
    <row r="170" spans="10:11" x14ac:dyDescent="0.3">
      <c r="J170" s="1">
        <v>0.18179999999999999</v>
      </c>
      <c r="K170">
        <f t="shared" si="2"/>
        <v>0.18179999999999999</v>
      </c>
    </row>
    <row r="171" spans="10:11" x14ac:dyDescent="0.3">
      <c r="J171" s="1">
        <v>0.18179999999999999</v>
      </c>
      <c r="K171">
        <f t="shared" si="2"/>
        <v>0.18179999999999999</v>
      </c>
    </row>
    <row r="172" spans="10:11" x14ac:dyDescent="0.3">
      <c r="J172" s="1">
        <v>0.18179999999999999</v>
      </c>
      <c r="K172">
        <f t="shared" si="2"/>
        <v>0.18179999999999999</v>
      </c>
    </row>
    <row r="173" spans="10:11" x14ac:dyDescent="0.3">
      <c r="J173" s="1">
        <v>0.19700000000000001</v>
      </c>
      <c r="K173">
        <f t="shared" si="2"/>
        <v>0.19700000000000001</v>
      </c>
    </row>
    <row r="174" spans="10:11" x14ac:dyDescent="0.3">
      <c r="J174" s="1">
        <v>0.18179999999999999</v>
      </c>
      <c r="K174">
        <f t="shared" si="2"/>
        <v>0.18179999999999999</v>
      </c>
    </row>
    <row r="175" spans="10:11" x14ac:dyDescent="0.3">
      <c r="J175" s="1">
        <v>0.18179999999999999</v>
      </c>
      <c r="K175">
        <f t="shared" si="2"/>
        <v>0.18179999999999999</v>
      </c>
    </row>
    <row r="176" spans="10:11" x14ac:dyDescent="0.3">
      <c r="J176" s="1">
        <v>0.18179999999999999</v>
      </c>
      <c r="K176">
        <f t="shared" si="2"/>
        <v>0.18179999999999999</v>
      </c>
    </row>
    <row r="177" spans="10:11" x14ac:dyDescent="0.3">
      <c r="J177" s="1">
        <v>0.16669999999999999</v>
      </c>
      <c r="K177">
        <f t="shared" si="2"/>
        <v>0.16669999999999999</v>
      </c>
    </row>
    <row r="178" spans="10:11" x14ac:dyDescent="0.3">
      <c r="J178" s="1">
        <v>0.16669999999999999</v>
      </c>
      <c r="K178">
        <f t="shared" si="2"/>
        <v>0.16669999999999999</v>
      </c>
    </row>
    <row r="179" spans="10:11" x14ac:dyDescent="0.3">
      <c r="J179" s="1">
        <v>0.13639999999999999</v>
      </c>
      <c r="K179">
        <f t="shared" si="2"/>
        <v>0.13639999999999999</v>
      </c>
    </row>
    <row r="180" spans="10:11" x14ac:dyDescent="0.3">
      <c r="J180" s="1">
        <v>0.1212</v>
      </c>
      <c r="K180">
        <f t="shared" si="2"/>
        <v>0.1212</v>
      </c>
    </row>
    <row r="181" spans="10:11" x14ac:dyDescent="0.3">
      <c r="J181" s="1">
        <v>0.1212</v>
      </c>
      <c r="K181">
        <f t="shared" si="2"/>
        <v>0.1212</v>
      </c>
    </row>
    <row r="182" spans="10:11" x14ac:dyDescent="0.3">
      <c r="J182" s="1">
        <v>0.1212</v>
      </c>
      <c r="K182">
        <f t="shared" si="2"/>
        <v>0.1212</v>
      </c>
    </row>
    <row r="183" spans="10:11" x14ac:dyDescent="0.3">
      <c r="J183" s="1">
        <v>0.1212</v>
      </c>
      <c r="K183">
        <f t="shared" si="2"/>
        <v>0.1212</v>
      </c>
    </row>
    <row r="184" spans="10:11" x14ac:dyDescent="0.3">
      <c r="J184" s="1">
        <v>0.1061</v>
      </c>
      <c r="K184">
        <f t="shared" si="2"/>
        <v>0.1061</v>
      </c>
    </row>
    <row r="185" spans="10:11" x14ac:dyDescent="0.3">
      <c r="J185" s="1">
        <v>0.1061</v>
      </c>
      <c r="K185">
        <f t="shared" si="2"/>
        <v>0.1061</v>
      </c>
    </row>
    <row r="186" spans="10:11" x14ac:dyDescent="0.3">
      <c r="J186" s="1">
        <v>6.0600000000000001E-2</v>
      </c>
      <c r="K186">
        <f t="shared" si="2"/>
        <v>6.0600000000000001E-2</v>
      </c>
    </row>
    <row r="187" spans="10:11" x14ac:dyDescent="0.3">
      <c r="J187" s="1">
        <v>7.5800000000000006E-2</v>
      </c>
      <c r="K187">
        <f t="shared" si="2"/>
        <v>7.5800000000000006E-2</v>
      </c>
    </row>
    <row r="188" spans="10:11" x14ac:dyDescent="0.3">
      <c r="J188" s="1">
        <v>6.0600000000000001E-2</v>
      </c>
      <c r="K188">
        <f t="shared" si="2"/>
        <v>6.0600000000000001E-2</v>
      </c>
    </row>
    <row r="189" spans="10:11" x14ac:dyDescent="0.3">
      <c r="J189" s="1">
        <v>6.0600000000000001E-2</v>
      </c>
      <c r="K189">
        <f t="shared" si="2"/>
        <v>6.0600000000000001E-2</v>
      </c>
    </row>
    <row r="190" spans="10:11" x14ac:dyDescent="0.3">
      <c r="J190" s="1">
        <v>7.5800000000000006E-2</v>
      </c>
      <c r="K190">
        <f t="shared" si="2"/>
        <v>7.5800000000000006E-2</v>
      </c>
    </row>
    <row r="191" spans="10:11" x14ac:dyDescent="0.3">
      <c r="J191" s="1">
        <v>9.0899999999999995E-2</v>
      </c>
      <c r="K191">
        <f t="shared" si="2"/>
        <v>9.0899999999999995E-2</v>
      </c>
    </row>
    <row r="192" spans="10:11" x14ac:dyDescent="0.3">
      <c r="J192" s="1">
        <v>9.0899999999999995E-2</v>
      </c>
      <c r="K192">
        <f t="shared" si="2"/>
        <v>9.0899999999999995E-2</v>
      </c>
    </row>
    <row r="193" spans="10:11" x14ac:dyDescent="0.3">
      <c r="J193" s="1">
        <v>9.0899999999999995E-2</v>
      </c>
      <c r="K193">
        <f t="shared" si="2"/>
        <v>9.0899999999999995E-2</v>
      </c>
    </row>
    <row r="194" spans="10:11" x14ac:dyDescent="0.3">
      <c r="J194" s="1">
        <v>9.0899999999999995E-2</v>
      </c>
      <c r="K194">
        <f t="shared" si="2"/>
        <v>9.0899999999999995E-2</v>
      </c>
    </row>
    <row r="195" spans="10:11" x14ac:dyDescent="0.3">
      <c r="J195" s="1">
        <v>9.0899999999999995E-2</v>
      </c>
      <c r="K195">
        <f t="shared" ref="K195:K258" si="3">IF(J195="",ROUND(AVERAGE($J$2:$J$611),4),J195)</f>
        <v>9.0899999999999995E-2</v>
      </c>
    </row>
    <row r="196" spans="10:11" x14ac:dyDescent="0.3">
      <c r="J196" s="1">
        <v>7.5800000000000006E-2</v>
      </c>
      <c r="K196">
        <f t="shared" si="3"/>
        <v>7.5800000000000006E-2</v>
      </c>
    </row>
    <row r="197" spans="10:11" x14ac:dyDescent="0.3">
      <c r="J197" s="1">
        <v>0.1061</v>
      </c>
      <c r="K197">
        <f t="shared" si="3"/>
        <v>0.1061</v>
      </c>
    </row>
    <row r="198" spans="10:11" x14ac:dyDescent="0.3">
      <c r="J198" s="1">
        <v>0.1212</v>
      </c>
      <c r="K198">
        <f t="shared" si="3"/>
        <v>0.1212</v>
      </c>
    </row>
    <row r="199" spans="10:11" x14ac:dyDescent="0.3">
      <c r="J199" s="1">
        <v>0.13639999999999999</v>
      </c>
      <c r="K199">
        <f t="shared" si="3"/>
        <v>0.13639999999999999</v>
      </c>
    </row>
    <row r="200" spans="10:11" x14ac:dyDescent="0.3">
      <c r="J200" s="1">
        <v>0.16669999999999999</v>
      </c>
      <c r="K200">
        <f t="shared" si="3"/>
        <v>0.16669999999999999</v>
      </c>
    </row>
    <row r="201" spans="10:11" x14ac:dyDescent="0.3">
      <c r="J201" s="1">
        <v>0.18179999999999999</v>
      </c>
      <c r="K201">
        <f t="shared" si="3"/>
        <v>0.18179999999999999</v>
      </c>
    </row>
    <row r="202" spans="10:11" x14ac:dyDescent="0.3">
      <c r="J202" s="1">
        <v>0.19700000000000001</v>
      </c>
      <c r="K202">
        <f t="shared" si="3"/>
        <v>0.19700000000000001</v>
      </c>
    </row>
    <row r="203" spans="10:11" x14ac:dyDescent="0.3">
      <c r="J203" s="1">
        <v>0.16669999999999999</v>
      </c>
      <c r="K203">
        <f t="shared" si="3"/>
        <v>0.16669999999999999</v>
      </c>
    </row>
    <row r="204" spans="10:11" x14ac:dyDescent="0.3">
      <c r="J204" s="1">
        <v>0.1515</v>
      </c>
      <c r="K204">
        <f t="shared" si="3"/>
        <v>0.1515</v>
      </c>
    </row>
    <row r="205" spans="10:11" x14ac:dyDescent="0.3">
      <c r="J205" s="1">
        <v>0.13639999999999999</v>
      </c>
      <c r="K205">
        <f t="shared" si="3"/>
        <v>0.13639999999999999</v>
      </c>
    </row>
    <row r="206" spans="10:11" x14ac:dyDescent="0.3">
      <c r="J206" s="1">
        <v>0.13639999999999999</v>
      </c>
      <c r="K206">
        <f t="shared" si="3"/>
        <v>0.13639999999999999</v>
      </c>
    </row>
    <row r="207" spans="10:11" x14ac:dyDescent="0.3">
      <c r="J207" s="1">
        <v>0.1212</v>
      </c>
      <c r="K207">
        <f t="shared" si="3"/>
        <v>0.1212</v>
      </c>
    </row>
    <row r="208" spans="10:11" x14ac:dyDescent="0.3">
      <c r="J208" s="1">
        <v>0.1061</v>
      </c>
      <c r="K208">
        <f t="shared" si="3"/>
        <v>0.1061</v>
      </c>
    </row>
    <row r="209" spans="10:11" x14ac:dyDescent="0.3">
      <c r="J209" s="1">
        <v>0.1212</v>
      </c>
      <c r="K209">
        <f t="shared" si="3"/>
        <v>0.1212</v>
      </c>
    </row>
    <row r="210" spans="10:11" x14ac:dyDescent="0.3">
      <c r="J210" s="1">
        <v>0.13639999999999999</v>
      </c>
      <c r="K210">
        <f t="shared" si="3"/>
        <v>0.13639999999999999</v>
      </c>
    </row>
    <row r="211" spans="10:11" x14ac:dyDescent="0.3">
      <c r="J211" s="1">
        <v>0.1212</v>
      </c>
      <c r="K211">
        <f t="shared" si="3"/>
        <v>0.1212</v>
      </c>
    </row>
    <row r="212" spans="10:11" x14ac:dyDescent="0.3">
      <c r="J212" s="1">
        <v>0.1212</v>
      </c>
      <c r="K212">
        <f t="shared" si="3"/>
        <v>0.1212</v>
      </c>
    </row>
    <row r="213" spans="10:11" x14ac:dyDescent="0.3">
      <c r="J213" s="1">
        <v>0.1212</v>
      </c>
      <c r="K213">
        <f t="shared" si="3"/>
        <v>0.1212</v>
      </c>
    </row>
    <row r="214" spans="10:11" x14ac:dyDescent="0.3">
      <c r="J214" s="1">
        <v>0.1212</v>
      </c>
      <c r="K214">
        <f t="shared" si="3"/>
        <v>0.1212</v>
      </c>
    </row>
    <row r="215" spans="10:11" x14ac:dyDescent="0.3">
      <c r="J215" s="1">
        <v>0.1212</v>
      </c>
      <c r="K215">
        <f t="shared" si="3"/>
        <v>0.1212</v>
      </c>
    </row>
    <row r="216" spans="10:11" x14ac:dyDescent="0.3">
      <c r="J216" s="1">
        <v>0.1061</v>
      </c>
      <c r="K216">
        <f t="shared" si="3"/>
        <v>0.1061</v>
      </c>
    </row>
    <row r="217" spans="10:11" x14ac:dyDescent="0.3">
      <c r="J217" s="1">
        <v>0.1212</v>
      </c>
      <c r="K217">
        <f t="shared" si="3"/>
        <v>0.1212</v>
      </c>
    </row>
    <row r="218" spans="10:11" x14ac:dyDescent="0.3">
      <c r="J218" s="1">
        <v>0.1212</v>
      </c>
      <c r="K218">
        <f t="shared" si="3"/>
        <v>0.1212</v>
      </c>
    </row>
    <row r="219" spans="10:11" x14ac:dyDescent="0.3">
      <c r="J219" s="1">
        <v>0.1212</v>
      </c>
      <c r="K219">
        <f t="shared" si="3"/>
        <v>0.1212</v>
      </c>
    </row>
    <row r="220" spans="10:11" x14ac:dyDescent="0.3">
      <c r="J220" s="1">
        <v>0.1212</v>
      </c>
      <c r="K220">
        <f t="shared" si="3"/>
        <v>0.1212</v>
      </c>
    </row>
    <row r="221" spans="10:11" x14ac:dyDescent="0.3">
      <c r="J221" s="1">
        <v>0.1212</v>
      </c>
      <c r="K221">
        <f t="shared" si="3"/>
        <v>0.1212</v>
      </c>
    </row>
    <row r="222" spans="10:11" x14ac:dyDescent="0.3">
      <c r="J222" s="1">
        <v>0.13639999999999999</v>
      </c>
      <c r="K222">
        <f t="shared" si="3"/>
        <v>0.13639999999999999</v>
      </c>
    </row>
    <row r="223" spans="10:11" x14ac:dyDescent="0.3">
      <c r="J223" s="1">
        <v>0.18179999999999999</v>
      </c>
      <c r="K223">
        <f t="shared" si="3"/>
        <v>0.18179999999999999</v>
      </c>
    </row>
    <row r="224" spans="10:11" x14ac:dyDescent="0.3">
      <c r="J224" s="1">
        <v>0.18179999999999999</v>
      </c>
      <c r="K224">
        <f t="shared" si="3"/>
        <v>0.18179999999999999</v>
      </c>
    </row>
    <row r="225" spans="10:11" x14ac:dyDescent="0.3">
      <c r="J225" s="1">
        <v>0.19700000000000001</v>
      </c>
      <c r="K225">
        <f t="shared" si="3"/>
        <v>0.19700000000000001</v>
      </c>
    </row>
    <row r="226" spans="10:11" x14ac:dyDescent="0.3">
      <c r="J226" s="1">
        <v>0.19700000000000001</v>
      </c>
      <c r="K226">
        <f t="shared" si="3"/>
        <v>0.19700000000000001</v>
      </c>
    </row>
    <row r="227" spans="10:11" x14ac:dyDescent="0.3">
      <c r="J227" s="1">
        <v>0.21210000000000001</v>
      </c>
      <c r="K227">
        <f t="shared" si="3"/>
        <v>0.21210000000000001</v>
      </c>
    </row>
    <row r="228" spans="10:11" x14ac:dyDescent="0.3">
      <c r="J228" s="1">
        <v>0.2273</v>
      </c>
      <c r="K228">
        <f t="shared" si="3"/>
        <v>0.2273</v>
      </c>
    </row>
    <row r="229" spans="10:11" x14ac:dyDescent="0.3">
      <c r="J229" s="1">
        <v>0.19700000000000001</v>
      </c>
      <c r="K229">
        <f t="shared" si="3"/>
        <v>0.19700000000000001</v>
      </c>
    </row>
    <row r="230" spans="10:11" x14ac:dyDescent="0.3">
      <c r="J230" s="1">
        <v>0.16669999999999999</v>
      </c>
      <c r="K230">
        <f t="shared" si="3"/>
        <v>0.16669999999999999</v>
      </c>
    </row>
    <row r="231" spans="10:11" x14ac:dyDescent="0.3">
      <c r="J231" s="1">
        <v>0.16669999999999999</v>
      </c>
      <c r="K231">
        <f t="shared" si="3"/>
        <v>0.16669999999999999</v>
      </c>
    </row>
    <row r="232" spans="10:11" x14ac:dyDescent="0.3">
      <c r="J232" s="1">
        <v>0.13639999999999999</v>
      </c>
      <c r="K232">
        <f t="shared" si="3"/>
        <v>0.13639999999999999</v>
      </c>
    </row>
    <row r="233" spans="10:11" x14ac:dyDescent="0.3">
      <c r="J233" s="1">
        <v>0.1515</v>
      </c>
      <c r="K233">
        <f t="shared" si="3"/>
        <v>0.1515</v>
      </c>
    </row>
    <row r="234" spans="10:11" x14ac:dyDescent="0.3">
      <c r="J234" s="1">
        <v>0.1515</v>
      </c>
      <c r="K234">
        <f t="shared" si="3"/>
        <v>0.1515</v>
      </c>
    </row>
    <row r="235" spans="10:11" x14ac:dyDescent="0.3">
      <c r="J235" s="1">
        <v>0.16669999999999999</v>
      </c>
      <c r="K235">
        <f t="shared" si="3"/>
        <v>0.16669999999999999</v>
      </c>
    </row>
    <row r="236" spans="10:11" x14ac:dyDescent="0.3">
      <c r="J236" s="1">
        <v>0.1515</v>
      </c>
      <c r="K236">
        <f t="shared" si="3"/>
        <v>0.1515</v>
      </c>
    </row>
    <row r="237" spans="10:11" x14ac:dyDescent="0.3">
      <c r="J237" s="1">
        <v>0.1515</v>
      </c>
      <c r="K237">
        <f t="shared" si="3"/>
        <v>0.1515</v>
      </c>
    </row>
    <row r="238" spans="10:11" x14ac:dyDescent="0.3">
      <c r="J238" s="1">
        <v>0.18179999999999999</v>
      </c>
      <c r="K238">
        <f t="shared" si="3"/>
        <v>0.18179999999999999</v>
      </c>
    </row>
    <row r="239" spans="10:11" x14ac:dyDescent="0.3">
      <c r="J239" s="1">
        <v>0.18179999999999999</v>
      </c>
      <c r="K239">
        <f t="shared" si="3"/>
        <v>0.18179999999999999</v>
      </c>
    </row>
    <row r="240" spans="10:11" x14ac:dyDescent="0.3">
      <c r="J240" s="1">
        <v>0.2273</v>
      </c>
      <c r="K240">
        <f t="shared" si="3"/>
        <v>0.2273</v>
      </c>
    </row>
    <row r="241" spans="10:11" x14ac:dyDescent="0.3">
      <c r="J241" s="1">
        <v>0.21210000000000001</v>
      </c>
      <c r="K241">
        <f t="shared" si="3"/>
        <v>0.21210000000000001</v>
      </c>
    </row>
    <row r="242" spans="10:11" x14ac:dyDescent="0.3">
      <c r="J242" s="1">
        <v>0.19700000000000001</v>
      </c>
      <c r="K242">
        <f t="shared" si="3"/>
        <v>0.19700000000000001</v>
      </c>
    </row>
    <row r="243" spans="10:11" x14ac:dyDescent="0.3">
      <c r="J243" s="1">
        <v>0.21210000000000001</v>
      </c>
      <c r="K243">
        <f t="shared" si="3"/>
        <v>0.21210000000000001</v>
      </c>
    </row>
    <row r="244" spans="10:11" x14ac:dyDescent="0.3">
      <c r="J244" s="1">
        <v>0.21210000000000001</v>
      </c>
      <c r="K244">
        <f t="shared" si="3"/>
        <v>0.21210000000000001</v>
      </c>
    </row>
    <row r="245" spans="10:11" x14ac:dyDescent="0.3">
      <c r="J245" s="1">
        <v>0.2273</v>
      </c>
      <c r="K245">
        <f t="shared" si="3"/>
        <v>0.2273</v>
      </c>
    </row>
    <row r="246" spans="10:11" x14ac:dyDescent="0.3">
      <c r="J246" s="1">
        <v>0.2273</v>
      </c>
      <c r="K246">
        <f t="shared" si="3"/>
        <v>0.2273</v>
      </c>
    </row>
    <row r="247" spans="10:11" x14ac:dyDescent="0.3">
      <c r="J247" s="1">
        <v>0.2273</v>
      </c>
      <c r="K247">
        <f t="shared" si="3"/>
        <v>0.2273</v>
      </c>
    </row>
    <row r="248" spans="10:11" x14ac:dyDescent="0.3">
      <c r="J248" s="1">
        <v>0.19700000000000001</v>
      </c>
      <c r="K248">
        <f t="shared" si="3"/>
        <v>0.19700000000000001</v>
      </c>
    </row>
    <row r="249" spans="10:11" x14ac:dyDescent="0.3">
      <c r="J249" s="1">
        <v>0.1515</v>
      </c>
      <c r="K249">
        <f t="shared" si="3"/>
        <v>0.1515</v>
      </c>
    </row>
    <row r="250" spans="10:11" x14ac:dyDescent="0.3">
      <c r="J250" s="1">
        <v>0.1515</v>
      </c>
      <c r="K250">
        <f t="shared" si="3"/>
        <v>0.1515</v>
      </c>
    </row>
    <row r="251" spans="10:11" x14ac:dyDescent="0.3">
      <c r="J251" s="1">
        <v>0.18179999999999999</v>
      </c>
      <c r="K251">
        <f t="shared" si="3"/>
        <v>0.18179999999999999</v>
      </c>
    </row>
    <row r="252" spans="10:11" x14ac:dyDescent="0.3">
      <c r="J252" s="1">
        <v>0.2273</v>
      </c>
      <c r="K252">
        <f t="shared" si="3"/>
        <v>0.2273</v>
      </c>
    </row>
    <row r="253" spans="10:11" x14ac:dyDescent="0.3">
      <c r="J253" s="1">
        <v>0.1515</v>
      </c>
      <c r="K253">
        <f t="shared" si="3"/>
        <v>0.1515</v>
      </c>
    </row>
    <row r="254" spans="10:11" x14ac:dyDescent="0.3">
      <c r="J254" s="1">
        <v>0.19700000000000001</v>
      </c>
      <c r="K254">
        <f t="shared" si="3"/>
        <v>0.19700000000000001</v>
      </c>
    </row>
    <row r="255" spans="10:11" x14ac:dyDescent="0.3">
      <c r="J255" s="1">
        <v>0.18179999999999999</v>
      </c>
      <c r="K255">
        <f t="shared" si="3"/>
        <v>0.18179999999999999</v>
      </c>
    </row>
    <row r="256" spans="10:11" x14ac:dyDescent="0.3">
      <c r="J256" s="1">
        <v>0.19700000000000001</v>
      </c>
      <c r="K256">
        <f t="shared" si="3"/>
        <v>0.19700000000000001</v>
      </c>
    </row>
    <row r="257" spans="10:11" x14ac:dyDescent="0.3">
      <c r="J257" s="1">
        <v>0.19700000000000001</v>
      </c>
      <c r="K257">
        <f t="shared" si="3"/>
        <v>0.19700000000000001</v>
      </c>
    </row>
    <row r="258" spans="10:11" x14ac:dyDescent="0.3">
      <c r="J258" s="1">
        <v>0.18179999999999999</v>
      </c>
      <c r="K258">
        <f t="shared" si="3"/>
        <v>0.18179999999999999</v>
      </c>
    </row>
    <row r="259" spans="10:11" x14ac:dyDescent="0.3">
      <c r="J259" s="1">
        <v>0.1515</v>
      </c>
      <c r="K259">
        <f t="shared" ref="K259:K322" si="4">IF(J259="",ROUND(AVERAGE($J$2:$J$611),4),J259)</f>
        <v>0.1515</v>
      </c>
    </row>
    <row r="260" spans="10:11" x14ac:dyDescent="0.3">
      <c r="J260" s="1">
        <v>0.1515</v>
      </c>
      <c r="K260">
        <f t="shared" si="4"/>
        <v>0.1515</v>
      </c>
    </row>
    <row r="261" spans="10:11" x14ac:dyDescent="0.3">
      <c r="J261" s="1">
        <v>0.1515</v>
      </c>
      <c r="K261">
        <f t="shared" si="4"/>
        <v>0.1515</v>
      </c>
    </row>
    <row r="262" spans="10:11" x14ac:dyDescent="0.3">
      <c r="J262" s="1">
        <v>0.1515</v>
      </c>
      <c r="K262">
        <f t="shared" si="4"/>
        <v>0.1515</v>
      </c>
    </row>
    <row r="263" spans="10:11" x14ac:dyDescent="0.3">
      <c r="J263" s="1">
        <v>0.16669999999999999</v>
      </c>
      <c r="K263">
        <f t="shared" si="4"/>
        <v>0.16669999999999999</v>
      </c>
    </row>
    <row r="264" spans="10:11" x14ac:dyDescent="0.3">
      <c r="J264" s="1">
        <v>0.13639999999999999</v>
      </c>
      <c r="K264">
        <f t="shared" si="4"/>
        <v>0.13639999999999999</v>
      </c>
    </row>
    <row r="265" spans="10:11" x14ac:dyDescent="0.3">
      <c r="J265" s="1">
        <v>0.18179999999999999</v>
      </c>
      <c r="K265">
        <f t="shared" si="4"/>
        <v>0.18179999999999999</v>
      </c>
    </row>
    <row r="266" spans="10:11" x14ac:dyDescent="0.3">
      <c r="J266" s="1">
        <v>0.18179999999999999</v>
      </c>
      <c r="K266">
        <f t="shared" si="4"/>
        <v>0.18179999999999999</v>
      </c>
    </row>
    <row r="267" spans="10:11" x14ac:dyDescent="0.3">
      <c r="J267" s="1">
        <v>0.1515</v>
      </c>
      <c r="K267">
        <f t="shared" si="4"/>
        <v>0.1515</v>
      </c>
    </row>
    <row r="268" spans="10:11" x14ac:dyDescent="0.3">
      <c r="J268" s="1">
        <v>0.19700000000000001</v>
      </c>
      <c r="K268">
        <f t="shared" si="4"/>
        <v>0.19700000000000001</v>
      </c>
    </row>
    <row r="269" spans="10:11" x14ac:dyDescent="0.3">
      <c r="J269" s="1">
        <v>0.18179999999999999</v>
      </c>
      <c r="K269">
        <f t="shared" si="4"/>
        <v>0.18179999999999999</v>
      </c>
    </row>
    <row r="270" spans="10:11" x14ac:dyDescent="0.3">
      <c r="J270" s="1">
        <v>0.16669999999999999</v>
      </c>
      <c r="K270">
        <f t="shared" si="4"/>
        <v>0.16669999999999999</v>
      </c>
    </row>
    <row r="271" spans="10:11" x14ac:dyDescent="0.3">
      <c r="J271" s="1">
        <v>0.19700000000000001</v>
      </c>
      <c r="K271">
        <f t="shared" si="4"/>
        <v>0.19700000000000001</v>
      </c>
    </row>
    <row r="272" spans="10:11" x14ac:dyDescent="0.3">
      <c r="J272" s="1">
        <v>0.18179999999999999</v>
      </c>
      <c r="K272">
        <f t="shared" si="4"/>
        <v>0.18179999999999999</v>
      </c>
    </row>
    <row r="273" spans="10:11" x14ac:dyDescent="0.3">
      <c r="J273" s="1">
        <v>0.1515</v>
      </c>
      <c r="K273">
        <f t="shared" si="4"/>
        <v>0.1515</v>
      </c>
    </row>
    <row r="274" spans="10:11" x14ac:dyDescent="0.3">
      <c r="J274" s="1">
        <v>0.1515</v>
      </c>
      <c r="K274">
        <f t="shared" si="4"/>
        <v>0.1515</v>
      </c>
    </row>
    <row r="275" spans="10:11" x14ac:dyDescent="0.3">
      <c r="J275" s="1">
        <v>0.13639999999999999</v>
      </c>
      <c r="K275">
        <f t="shared" si="4"/>
        <v>0.13639999999999999</v>
      </c>
    </row>
    <row r="276" spans="10:11" x14ac:dyDescent="0.3">
      <c r="J276" s="1">
        <v>0.13639999999999999</v>
      </c>
      <c r="K276">
        <f t="shared" si="4"/>
        <v>0.13639999999999999</v>
      </c>
    </row>
    <row r="277" spans="10:11" x14ac:dyDescent="0.3">
      <c r="J277" s="1">
        <v>0.1212</v>
      </c>
      <c r="K277">
        <f t="shared" si="4"/>
        <v>0.1212</v>
      </c>
    </row>
    <row r="278" spans="10:11" x14ac:dyDescent="0.3">
      <c r="J278" s="1">
        <v>0.1061</v>
      </c>
      <c r="K278">
        <f t="shared" si="4"/>
        <v>0.1061</v>
      </c>
    </row>
    <row r="279" spans="10:11" x14ac:dyDescent="0.3">
      <c r="J279" s="1">
        <v>0.1212</v>
      </c>
      <c r="K279">
        <f t="shared" si="4"/>
        <v>0.1212</v>
      </c>
    </row>
    <row r="280" spans="10:11" x14ac:dyDescent="0.3">
      <c r="J280" s="1">
        <v>0.1212</v>
      </c>
      <c r="K280">
        <f t="shared" si="4"/>
        <v>0.1212</v>
      </c>
    </row>
    <row r="281" spans="10:11" x14ac:dyDescent="0.3">
      <c r="J281" s="1">
        <v>0.1212</v>
      </c>
      <c r="K281">
        <f t="shared" si="4"/>
        <v>0.1212</v>
      </c>
    </row>
    <row r="282" spans="10:11" x14ac:dyDescent="0.3">
      <c r="J282" s="1">
        <v>0.1212</v>
      </c>
      <c r="K282">
        <f t="shared" si="4"/>
        <v>0.1212</v>
      </c>
    </row>
    <row r="283" spans="10:11" x14ac:dyDescent="0.3">
      <c r="J283" s="1">
        <v>0.1212</v>
      </c>
      <c r="K283">
        <f t="shared" si="4"/>
        <v>0.1212</v>
      </c>
    </row>
    <row r="284" spans="10:11" x14ac:dyDescent="0.3">
      <c r="J284" s="1">
        <v>0.1212</v>
      </c>
      <c r="K284">
        <f t="shared" si="4"/>
        <v>0.1212</v>
      </c>
    </row>
    <row r="285" spans="10:11" x14ac:dyDescent="0.3">
      <c r="J285" s="1">
        <v>0.1515</v>
      </c>
      <c r="K285">
        <f t="shared" si="4"/>
        <v>0.1515</v>
      </c>
    </row>
    <row r="286" spans="10:11" x14ac:dyDescent="0.3">
      <c r="J286" s="1">
        <v>0.1515</v>
      </c>
      <c r="K286">
        <f t="shared" si="4"/>
        <v>0.1515</v>
      </c>
    </row>
    <row r="287" spans="10:11" x14ac:dyDescent="0.3">
      <c r="J287" s="1">
        <v>0.13639999999999999</v>
      </c>
      <c r="K287">
        <f t="shared" si="4"/>
        <v>0.13639999999999999</v>
      </c>
    </row>
    <row r="288" spans="10:11" x14ac:dyDescent="0.3">
      <c r="J288" s="1">
        <v>0.1212</v>
      </c>
      <c r="K288">
        <f t="shared" si="4"/>
        <v>0.1212</v>
      </c>
    </row>
    <row r="289" spans="10:11" x14ac:dyDescent="0.3">
      <c r="J289" s="1">
        <v>0.13639999999999999</v>
      </c>
      <c r="K289">
        <f t="shared" si="4"/>
        <v>0.13639999999999999</v>
      </c>
    </row>
    <row r="290" spans="10:11" x14ac:dyDescent="0.3">
      <c r="J290" s="1">
        <v>0.16669999999999999</v>
      </c>
      <c r="K290">
        <f t="shared" si="4"/>
        <v>0.16669999999999999</v>
      </c>
    </row>
    <row r="291" spans="10:11" x14ac:dyDescent="0.3">
      <c r="J291" s="1">
        <v>0.16669999999999999</v>
      </c>
      <c r="K291">
        <f t="shared" si="4"/>
        <v>0.16669999999999999</v>
      </c>
    </row>
    <row r="292" spans="10:11" x14ac:dyDescent="0.3">
      <c r="J292" s="1">
        <v>0.19700000000000001</v>
      </c>
      <c r="K292">
        <f t="shared" si="4"/>
        <v>0.19700000000000001</v>
      </c>
    </row>
    <row r="293" spans="10:11" x14ac:dyDescent="0.3">
      <c r="J293" s="1">
        <v>0.19700000000000001</v>
      </c>
      <c r="K293">
        <f t="shared" si="4"/>
        <v>0.19700000000000001</v>
      </c>
    </row>
    <row r="294" spans="10:11" x14ac:dyDescent="0.3">
      <c r="J294" s="1">
        <v>0.21210000000000001</v>
      </c>
      <c r="K294">
        <f t="shared" si="4"/>
        <v>0.21210000000000001</v>
      </c>
    </row>
    <row r="295" spans="10:11" x14ac:dyDescent="0.3">
      <c r="J295" s="1">
        <v>0.21210000000000001</v>
      </c>
      <c r="K295">
        <f t="shared" si="4"/>
        <v>0.21210000000000001</v>
      </c>
    </row>
    <row r="296" spans="10:11" x14ac:dyDescent="0.3">
      <c r="J296" s="1">
        <v>0.18179999999999999</v>
      </c>
      <c r="K296">
        <f t="shared" si="4"/>
        <v>0.18179999999999999</v>
      </c>
    </row>
    <row r="297" spans="10:11" x14ac:dyDescent="0.3">
      <c r="J297" s="1">
        <v>0.18179999999999999</v>
      </c>
      <c r="K297">
        <f t="shared" si="4"/>
        <v>0.18179999999999999</v>
      </c>
    </row>
    <row r="298" spans="10:11" x14ac:dyDescent="0.3">
      <c r="J298" s="1">
        <v>0.1515</v>
      </c>
      <c r="K298">
        <f t="shared" si="4"/>
        <v>0.1515</v>
      </c>
    </row>
    <row r="299" spans="10:11" x14ac:dyDescent="0.3">
      <c r="J299" s="1">
        <v>0.1515</v>
      </c>
      <c r="K299">
        <f t="shared" si="4"/>
        <v>0.1515</v>
      </c>
    </row>
    <row r="300" spans="10:11" x14ac:dyDescent="0.3">
      <c r="J300" s="1">
        <v>0.1212</v>
      </c>
      <c r="K300">
        <f t="shared" si="4"/>
        <v>0.1212</v>
      </c>
    </row>
    <row r="301" spans="10:11" x14ac:dyDescent="0.3">
      <c r="J301" s="1">
        <v>0.1212</v>
      </c>
      <c r="K301">
        <f t="shared" si="4"/>
        <v>0.1212</v>
      </c>
    </row>
    <row r="302" spans="10:11" x14ac:dyDescent="0.3">
      <c r="J302" s="1">
        <v>0.13639999999999999</v>
      </c>
      <c r="K302">
        <f t="shared" si="4"/>
        <v>0.13639999999999999</v>
      </c>
    </row>
    <row r="303" spans="10:11" x14ac:dyDescent="0.3">
      <c r="J303" s="1">
        <v>0.13639999999999999</v>
      </c>
      <c r="K303">
        <f t="shared" si="4"/>
        <v>0.13639999999999999</v>
      </c>
    </row>
    <row r="304" spans="10:11" x14ac:dyDescent="0.3">
      <c r="J304" s="1">
        <v>0.1212</v>
      </c>
      <c r="K304">
        <f t="shared" si="4"/>
        <v>0.1212</v>
      </c>
    </row>
    <row r="305" spans="10:11" x14ac:dyDescent="0.3">
      <c r="J305" s="1">
        <v>0.1212</v>
      </c>
      <c r="K305">
        <f t="shared" si="4"/>
        <v>0.1212</v>
      </c>
    </row>
    <row r="306" spans="10:11" x14ac:dyDescent="0.3">
      <c r="J306" s="1">
        <v>0.13639999999999999</v>
      </c>
      <c r="K306">
        <f t="shared" si="4"/>
        <v>0.13639999999999999</v>
      </c>
    </row>
    <row r="307" spans="10:11" x14ac:dyDescent="0.3">
      <c r="J307" s="1">
        <v>0.13639999999999999</v>
      </c>
      <c r="K307">
        <f t="shared" si="4"/>
        <v>0.13639999999999999</v>
      </c>
    </row>
    <row r="308" spans="10:11" x14ac:dyDescent="0.3">
      <c r="J308" s="1">
        <v>0.18179999999999999</v>
      </c>
      <c r="K308">
        <f t="shared" si="4"/>
        <v>0.18179999999999999</v>
      </c>
    </row>
    <row r="309" spans="10:11" x14ac:dyDescent="0.3">
      <c r="J309" s="1">
        <v>0.1212</v>
      </c>
      <c r="K309">
        <f t="shared" si="4"/>
        <v>0.1212</v>
      </c>
    </row>
    <row r="310" spans="10:11" x14ac:dyDescent="0.3">
      <c r="J310" s="1">
        <v>0.16669999999999999</v>
      </c>
      <c r="K310">
        <f t="shared" si="4"/>
        <v>0.16669999999999999</v>
      </c>
    </row>
    <row r="311" spans="10:11" x14ac:dyDescent="0.3">
      <c r="J311" s="1">
        <v>0.1515</v>
      </c>
      <c r="K311">
        <f t="shared" si="4"/>
        <v>0.1515</v>
      </c>
    </row>
    <row r="312" spans="10:11" x14ac:dyDescent="0.3">
      <c r="J312" s="1">
        <v>0.18179999999999999</v>
      </c>
      <c r="K312">
        <f t="shared" si="4"/>
        <v>0.18179999999999999</v>
      </c>
    </row>
    <row r="313" spans="10:11" x14ac:dyDescent="0.3">
      <c r="J313" s="1">
        <v>0.16669999999999999</v>
      </c>
      <c r="K313">
        <f t="shared" si="4"/>
        <v>0.16669999999999999</v>
      </c>
    </row>
    <row r="314" spans="10:11" x14ac:dyDescent="0.3">
      <c r="J314" s="1">
        <v>0.19700000000000001</v>
      </c>
      <c r="K314">
        <f t="shared" si="4"/>
        <v>0.19700000000000001</v>
      </c>
    </row>
    <row r="315" spans="10:11" x14ac:dyDescent="0.3">
      <c r="J315" s="1">
        <v>0.19700000000000001</v>
      </c>
      <c r="K315">
        <f t="shared" si="4"/>
        <v>0.19700000000000001</v>
      </c>
    </row>
    <row r="316" spans="10:11" x14ac:dyDescent="0.3">
      <c r="J316" s="1">
        <v>0.21210000000000001</v>
      </c>
      <c r="K316">
        <f t="shared" si="4"/>
        <v>0.21210000000000001</v>
      </c>
    </row>
    <row r="317" spans="10:11" x14ac:dyDescent="0.3">
      <c r="J317" s="1">
        <v>0.2424</v>
      </c>
      <c r="K317">
        <f t="shared" si="4"/>
        <v>0.2424</v>
      </c>
    </row>
    <row r="318" spans="10:11" x14ac:dyDescent="0.3">
      <c r="J318" s="1">
        <v>0.2424</v>
      </c>
      <c r="K318">
        <f t="shared" si="4"/>
        <v>0.2424</v>
      </c>
    </row>
    <row r="319" spans="10:11" x14ac:dyDescent="0.3">
      <c r="J319" s="1">
        <v>0.2273</v>
      </c>
      <c r="K319">
        <f t="shared" si="4"/>
        <v>0.2273</v>
      </c>
    </row>
    <row r="320" spans="10:11" x14ac:dyDescent="0.3">
      <c r="J320" s="1">
        <v>0.2576</v>
      </c>
      <c r="K320">
        <f t="shared" si="4"/>
        <v>0.2576</v>
      </c>
    </row>
    <row r="321" spans="10:11" x14ac:dyDescent="0.3">
      <c r="J321" s="1">
        <v>0.19700000000000001</v>
      </c>
      <c r="K321">
        <f t="shared" si="4"/>
        <v>0.19700000000000001</v>
      </c>
    </row>
    <row r="322" spans="10:11" x14ac:dyDescent="0.3">
      <c r="J322" s="1">
        <v>0.2424</v>
      </c>
      <c r="K322">
        <f t="shared" si="4"/>
        <v>0.2424</v>
      </c>
    </row>
    <row r="323" spans="10:11" x14ac:dyDescent="0.3">
      <c r="J323" s="1">
        <v>0.2273</v>
      </c>
      <c r="K323">
        <f t="shared" ref="K323:K386" si="5">IF(J323="",ROUND(AVERAGE($J$2:$J$611),4),J323)</f>
        <v>0.2273</v>
      </c>
    </row>
    <row r="324" spans="10:11" x14ac:dyDescent="0.3">
      <c r="J324" s="1">
        <v>0.2273</v>
      </c>
      <c r="K324">
        <f t="shared" si="5"/>
        <v>0.2273</v>
      </c>
    </row>
    <row r="325" spans="10:11" x14ac:dyDescent="0.3">
      <c r="J325" s="1">
        <v>0.2424</v>
      </c>
      <c r="K325">
        <f t="shared" si="5"/>
        <v>0.2424</v>
      </c>
    </row>
    <row r="326" spans="10:11" x14ac:dyDescent="0.3">
      <c r="J326" s="1">
        <v>0.2424</v>
      </c>
      <c r="K326">
        <f t="shared" si="5"/>
        <v>0.2424</v>
      </c>
    </row>
    <row r="327" spans="10:11" x14ac:dyDescent="0.3">
      <c r="J327" s="1">
        <v>0.19700000000000001</v>
      </c>
      <c r="K327">
        <f t="shared" si="5"/>
        <v>0.19700000000000001</v>
      </c>
    </row>
    <row r="328" spans="10:11" x14ac:dyDescent="0.3">
      <c r="J328" s="1">
        <v>0.19700000000000001</v>
      </c>
      <c r="K328">
        <f t="shared" si="5"/>
        <v>0.19700000000000001</v>
      </c>
    </row>
    <row r="329" spans="10:11" x14ac:dyDescent="0.3">
      <c r="J329" s="1">
        <v>0.2273</v>
      </c>
      <c r="K329">
        <f t="shared" si="5"/>
        <v>0.2273</v>
      </c>
    </row>
    <row r="330" spans="10:11" x14ac:dyDescent="0.3">
      <c r="J330" s="1">
        <v>0.2273</v>
      </c>
      <c r="K330">
        <f t="shared" si="5"/>
        <v>0.2273</v>
      </c>
    </row>
    <row r="331" spans="10:11" x14ac:dyDescent="0.3">
      <c r="J331" s="1">
        <v>0.2273</v>
      </c>
      <c r="K331">
        <f t="shared" si="5"/>
        <v>0.2273</v>
      </c>
    </row>
    <row r="332" spans="10:11" x14ac:dyDescent="0.3">
      <c r="J332" s="1">
        <v>0.16669999999999999</v>
      </c>
      <c r="K332">
        <f t="shared" si="5"/>
        <v>0.16669999999999999</v>
      </c>
    </row>
    <row r="333" spans="10:11" x14ac:dyDescent="0.3">
      <c r="J333" s="1">
        <v>0.21210000000000001</v>
      </c>
      <c r="K333">
        <f t="shared" si="5"/>
        <v>0.21210000000000001</v>
      </c>
    </row>
    <row r="334" spans="10:11" x14ac:dyDescent="0.3">
      <c r="J334" s="1">
        <v>0.1515</v>
      </c>
      <c r="K334">
        <f t="shared" si="5"/>
        <v>0.1515</v>
      </c>
    </row>
    <row r="335" spans="10:11" x14ac:dyDescent="0.3">
      <c r="J335" s="1">
        <v>0.18179999999999999</v>
      </c>
      <c r="K335">
        <f t="shared" si="5"/>
        <v>0.18179999999999999</v>
      </c>
    </row>
    <row r="336" spans="10:11" x14ac:dyDescent="0.3">
      <c r="J336" s="1">
        <v>0.19700000000000001</v>
      </c>
      <c r="K336">
        <f t="shared" si="5"/>
        <v>0.19700000000000001</v>
      </c>
    </row>
    <row r="337" spans="10:11" x14ac:dyDescent="0.3">
      <c r="J337" s="1">
        <v>0.19700000000000001</v>
      </c>
      <c r="K337">
        <f t="shared" si="5"/>
        <v>0.19700000000000001</v>
      </c>
    </row>
    <row r="338" spans="10:11" x14ac:dyDescent="0.3">
      <c r="J338" s="1">
        <v>0.2273</v>
      </c>
      <c r="K338">
        <f t="shared" si="5"/>
        <v>0.2273</v>
      </c>
    </row>
    <row r="339" spans="10:11" x14ac:dyDescent="0.3">
      <c r="J339" s="1">
        <v>0.2576</v>
      </c>
      <c r="K339">
        <f t="shared" si="5"/>
        <v>0.2576</v>
      </c>
    </row>
    <row r="340" spans="10:11" x14ac:dyDescent="0.3">
      <c r="J340" s="1">
        <v>0.28789999999999999</v>
      </c>
      <c r="K340">
        <f t="shared" si="5"/>
        <v>0.28789999999999999</v>
      </c>
    </row>
    <row r="341" spans="10:11" x14ac:dyDescent="0.3">
      <c r="J341" s="1">
        <v>0.31819999999999998</v>
      </c>
      <c r="K341">
        <f t="shared" si="5"/>
        <v>0.31819999999999998</v>
      </c>
    </row>
    <row r="342" spans="10:11" x14ac:dyDescent="0.3">
      <c r="J342" s="1">
        <v>0.33329999999999999</v>
      </c>
      <c r="K342">
        <f t="shared" si="5"/>
        <v>0.33329999999999999</v>
      </c>
    </row>
    <row r="343" spans="10:11" x14ac:dyDescent="0.3">
      <c r="J343" s="1">
        <v>0.30299999999999999</v>
      </c>
      <c r="K343">
        <f t="shared" si="5"/>
        <v>0.30299999999999999</v>
      </c>
    </row>
    <row r="344" spans="10:11" x14ac:dyDescent="0.3">
      <c r="J344" s="1">
        <v>0.28789999999999999</v>
      </c>
      <c r="K344">
        <f t="shared" si="5"/>
        <v>0.28789999999999999</v>
      </c>
    </row>
    <row r="345" spans="10:11" x14ac:dyDescent="0.3">
      <c r="J345" s="1">
        <v>0.30299999999999999</v>
      </c>
      <c r="K345">
        <f t="shared" si="5"/>
        <v>0.30299999999999999</v>
      </c>
    </row>
    <row r="346" spans="10:11" x14ac:dyDescent="0.3">
      <c r="J346" s="1">
        <v>0.30299999999999999</v>
      </c>
      <c r="K346">
        <f t="shared" si="5"/>
        <v>0.30299999999999999</v>
      </c>
    </row>
    <row r="347" spans="10:11" x14ac:dyDescent="0.3">
      <c r="J347" s="1">
        <v>0.30299999999999999</v>
      </c>
      <c r="K347">
        <f t="shared" si="5"/>
        <v>0.30299999999999999</v>
      </c>
    </row>
    <row r="348" spans="10:11" x14ac:dyDescent="0.3">
      <c r="J348" s="1">
        <v>0.31819999999999998</v>
      </c>
      <c r="K348">
        <f t="shared" si="5"/>
        <v>0.31819999999999998</v>
      </c>
    </row>
    <row r="349" spans="10:11" x14ac:dyDescent="0.3">
      <c r="J349" s="1">
        <v>0.28789999999999999</v>
      </c>
      <c r="K349">
        <f t="shared" si="5"/>
        <v>0.28789999999999999</v>
      </c>
    </row>
    <row r="350" spans="10:11" x14ac:dyDescent="0.3">
      <c r="J350" s="1">
        <v>0.30299999999999999</v>
      </c>
      <c r="K350">
        <f t="shared" si="5"/>
        <v>0.30299999999999999</v>
      </c>
    </row>
    <row r="351" spans="10:11" x14ac:dyDescent="0.3">
      <c r="J351" s="1">
        <v>0.2727</v>
      </c>
      <c r="K351">
        <f t="shared" si="5"/>
        <v>0.2727</v>
      </c>
    </row>
    <row r="352" spans="10:11" x14ac:dyDescent="0.3">
      <c r="J352" s="1">
        <v>0.28789999999999999</v>
      </c>
      <c r="K352">
        <f t="shared" si="5"/>
        <v>0.28789999999999999</v>
      </c>
    </row>
    <row r="353" spans="10:11" x14ac:dyDescent="0.3">
      <c r="J353" s="1">
        <v>0.2727</v>
      </c>
      <c r="K353">
        <f t="shared" si="5"/>
        <v>0.2727</v>
      </c>
    </row>
    <row r="354" spans="10:11" x14ac:dyDescent="0.3">
      <c r="J354" s="1">
        <v>0.2576</v>
      </c>
      <c r="K354">
        <f t="shared" si="5"/>
        <v>0.2576</v>
      </c>
    </row>
    <row r="355" spans="10:11" x14ac:dyDescent="0.3">
      <c r="J355" s="1">
        <v>0.2576</v>
      </c>
      <c r="K355">
        <f t="shared" si="5"/>
        <v>0.2576</v>
      </c>
    </row>
    <row r="356" spans="10:11" x14ac:dyDescent="0.3">
      <c r="J356" s="1">
        <v>0.2576</v>
      </c>
      <c r="K356">
        <f t="shared" si="5"/>
        <v>0.2576</v>
      </c>
    </row>
    <row r="357" spans="10:11" x14ac:dyDescent="0.3">
      <c r="J357" s="1">
        <v>0.21210000000000001</v>
      </c>
      <c r="K357">
        <f t="shared" si="5"/>
        <v>0.21210000000000001</v>
      </c>
    </row>
    <row r="358" spans="10:11" x14ac:dyDescent="0.3">
      <c r="J358" s="1">
        <v>0.21210000000000001</v>
      </c>
      <c r="K358">
        <f t="shared" si="5"/>
        <v>0.21210000000000001</v>
      </c>
    </row>
    <row r="359" spans="10:11" x14ac:dyDescent="0.3">
      <c r="J359" s="1">
        <v>0.21210000000000001</v>
      </c>
      <c r="K359">
        <f t="shared" si="5"/>
        <v>0.21210000000000001</v>
      </c>
    </row>
    <row r="360" spans="10:11" x14ac:dyDescent="0.3">
      <c r="J360" s="1">
        <v>0.21210000000000001</v>
      </c>
      <c r="K360">
        <f t="shared" si="5"/>
        <v>0.21210000000000001</v>
      </c>
    </row>
    <row r="361" spans="10:11" x14ac:dyDescent="0.3">
      <c r="J361" s="1">
        <v>0.2273</v>
      </c>
      <c r="K361">
        <f t="shared" si="5"/>
        <v>0.2273</v>
      </c>
    </row>
    <row r="362" spans="10:11" x14ac:dyDescent="0.3">
      <c r="J362" s="1">
        <v>0.21210000000000001</v>
      </c>
      <c r="K362">
        <f t="shared" si="5"/>
        <v>0.21210000000000001</v>
      </c>
    </row>
    <row r="363" spans="10:11" x14ac:dyDescent="0.3">
      <c r="J363" s="1">
        <v>0.2273</v>
      </c>
      <c r="K363">
        <f t="shared" si="5"/>
        <v>0.2273</v>
      </c>
    </row>
    <row r="364" spans="10:11" x14ac:dyDescent="0.3">
      <c r="J364" s="1">
        <v>0.2727</v>
      </c>
      <c r="K364">
        <f t="shared" si="5"/>
        <v>0.2727</v>
      </c>
    </row>
    <row r="365" spans="10:11" x14ac:dyDescent="0.3">
      <c r="J365" s="1">
        <v>0.2424</v>
      </c>
      <c r="K365">
        <f t="shared" si="5"/>
        <v>0.2424</v>
      </c>
    </row>
    <row r="366" spans="10:11" x14ac:dyDescent="0.3">
      <c r="J366" s="1">
        <v>0.2273</v>
      </c>
      <c r="K366">
        <f t="shared" si="5"/>
        <v>0.2273</v>
      </c>
    </row>
    <row r="367" spans="10:11" x14ac:dyDescent="0.3">
      <c r="J367" s="1">
        <v>0.21210000000000001</v>
      </c>
      <c r="K367">
        <f t="shared" si="5"/>
        <v>0.21210000000000001</v>
      </c>
    </row>
    <row r="368" spans="10:11" x14ac:dyDescent="0.3">
      <c r="J368" s="1">
        <v>0.21210000000000001</v>
      </c>
      <c r="K368">
        <f t="shared" si="5"/>
        <v>0.21210000000000001</v>
      </c>
    </row>
    <row r="369" spans="10:11" x14ac:dyDescent="0.3">
      <c r="J369" s="1">
        <v>0.19700000000000001</v>
      </c>
      <c r="K369">
        <f t="shared" si="5"/>
        <v>0.19700000000000001</v>
      </c>
    </row>
    <row r="370" spans="10:11" x14ac:dyDescent="0.3">
      <c r="J370" s="1">
        <v>0.19700000000000001</v>
      </c>
      <c r="K370">
        <f t="shared" si="5"/>
        <v>0.19700000000000001</v>
      </c>
    </row>
    <row r="371" spans="10:11" x14ac:dyDescent="0.3">
      <c r="J371" s="1">
        <v>0.19700000000000001</v>
      </c>
      <c r="K371">
        <f t="shared" si="5"/>
        <v>0.19700000000000001</v>
      </c>
    </row>
    <row r="372" spans="10:11" x14ac:dyDescent="0.3">
      <c r="J372" s="1">
        <v>0.21210000000000001</v>
      </c>
      <c r="K372">
        <f t="shared" si="5"/>
        <v>0.21210000000000001</v>
      </c>
    </row>
    <row r="373" spans="10:11" x14ac:dyDescent="0.3">
      <c r="J373" s="1">
        <v>0.2273</v>
      </c>
      <c r="K373">
        <f t="shared" si="5"/>
        <v>0.2273</v>
      </c>
    </row>
    <row r="374" spans="10:11" x14ac:dyDescent="0.3">
      <c r="J374" s="1">
        <v>0.19700000000000001</v>
      </c>
      <c r="K374">
        <f t="shared" si="5"/>
        <v>0.19700000000000001</v>
      </c>
    </row>
    <row r="375" spans="10:11" x14ac:dyDescent="0.3">
      <c r="J375" s="1">
        <v>0.19700000000000001</v>
      </c>
      <c r="K375">
        <f t="shared" si="5"/>
        <v>0.19700000000000001</v>
      </c>
    </row>
    <row r="376" spans="10:11" x14ac:dyDescent="0.3">
      <c r="J376" s="1">
        <v>0.16669999999999999</v>
      </c>
      <c r="K376">
        <f t="shared" si="5"/>
        <v>0.16669999999999999</v>
      </c>
    </row>
    <row r="377" spans="10:11" x14ac:dyDescent="0.3">
      <c r="J377" s="1">
        <v>0.18179999999999999</v>
      </c>
      <c r="K377">
        <f t="shared" si="5"/>
        <v>0.18179999999999999</v>
      </c>
    </row>
    <row r="378" spans="10:11" x14ac:dyDescent="0.3">
      <c r="J378" s="1">
        <v>0.19700000000000001</v>
      </c>
      <c r="K378">
        <f t="shared" si="5"/>
        <v>0.19700000000000001</v>
      </c>
    </row>
    <row r="379" spans="10:11" x14ac:dyDescent="0.3">
      <c r="J379" s="1">
        <v>0.19700000000000001</v>
      </c>
      <c r="K379">
        <f t="shared" si="5"/>
        <v>0.19700000000000001</v>
      </c>
    </row>
    <row r="380" spans="10:11" x14ac:dyDescent="0.3">
      <c r="J380" s="1">
        <v>0.18179999999999999</v>
      </c>
      <c r="K380">
        <f t="shared" si="5"/>
        <v>0.18179999999999999</v>
      </c>
    </row>
    <row r="381" spans="10:11" x14ac:dyDescent="0.3">
      <c r="J381" s="1">
        <v>0.18179999999999999</v>
      </c>
      <c r="K381">
        <f t="shared" si="5"/>
        <v>0.18179999999999999</v>
      </c>
    </row>
    <row r="382" spans="10:11" x14ac:dyDescent="0.3">
      <c r="J382" s="1">
        <v>0.1515</v>
      </c>
      <c r="K382">
        <f t="shared" si="5"/>
        <v>0.1515</v>
      </c>
    </row>
    <row r="383" spans="10:11" x14ac:dyDescent="0.3">
      <c r="J383" s="1">
        <v>0.1515</v>
      </c>
      <c r="K383">
        <f t="shared" si="5"/>
        <v>0.1515</v>
      </c>
    </row>
    <row r="384" spans="10:11" x14ac:dyDescent="0.3">
      <c r="J384" s="1">
        <v>0.1515</v>
      </c>
      <c r="K384">
        <f t="shared" si="5"/>
        <v>0.1515</v>
      </c>
    </row>
    <row r="385" spans="10:11" x14ac:dyDescent="0.3">
      <c r="J385" s="1">
        <v>0.1515</v>
      </c>
      <c r="K385">
        <f t="shared" si="5"/>
        <v>0.1515</v>
      </c>
    </row>
    <row r="386" spans="10:11" x14ac:dyDescent="0.3">
      <c r="J386" s="1">
        <v>0.19700000000000001</v>
      </c>
      <c r="K386">
        <f t="shared" si="5"/>
        <v>0.19700000000000001</v>
      </c>
    </row>
    <row r="387" spans="10:11" x14ac:dyDescent="0.3">
      <c r="J387" s="1">
        <v>0.19700000000000001</v>
      </c>
      <c r="K387">
        <f t="shared" ref="K387:K450" si="6">IF(J387="",ROUND(AVERAGE($J$2:$J$611),4),J387)</f>
        <v>0.19700000000000001</v>
      </c>
    </row>
    <row r="388" spans="10:11" x14ac:dyDescent="0.3">
      <c r="J388" s="1">
        <v>0.21210000000000001</v>
      </c>
      <c r="K388">
        <f t="shared" si="6"/>
        <v>0.21210000000000001</v>
      </c>
    </row>
    <row r="389" spans="10:11" x14ac:dyDescent="0.3">
      <c r="J389" s="1">
        <v>0.21210000000000001</v>
      </c>
      <c r="K389">
        <f t="shared" si="6"/>
        <v>0.21210000000000001</v>
      </c>
    </row>
    <row r="390" spans="10:11" x14ac:dyDescent="0.3">
      <c r="J390" s="1">
        <v>0.21210000000000001</v>
      </c>
      <c r="K390">
        <f t="shared" si="6"/>
        <v>0.21210000000000001</v>
      </c>
    </row>
    <row r="391" spans="10:11" x14ac:dyDescent="0.3">
      <c r="J391" s="1">
        <v>0.19700000000000001</v>
      </c>
      <c r="K391">
        <f t="shared" si="6"/>
        <v>0.19700000000000001</v>
      </c>
    </row>
    <row r="392" spans="10:11" x14ac:dyDescent="0.3">
      <c r="J392" s="1">
        <v>0.16669999999999999</v>
      </c>
      <c r="K392">
        <f t="shared" si="6"/>
        <v>0.16669999999999999</v>
      </c>
    </row>
    <row r="393" spans="10:11" x14ac:dyDescent="0.3">
      <c r="J393" s="1">
        <v>0.18179999999999999</v>
      </c>
      <c r="K393">
        <f t="shared" si="6"/>
        <v>0.18179999999999999</v>
      </c>
    </row>
    <row r="394" spans="10:11" x14ac:dyDescent="0.3">
      <c r="J394" s="1">
        <v>0.1515</v>
      </c>
      <c r="K394">
        <f t="shared" si="6"/>
        <v>0.1515</v>
      </c>
    </row>
    <row r="395" spans="10:11" x14ac:dyDescent="0.3">
      <c r="J395" s="1">
        <v>0.1515</v>
      </c>
      <c r="K395">
        <f t="shared" si="6"/>
        <v>0.1515</v>
      </c>
    </row>
    <row r="396" spans="10:11" x14ac:dyDescent="0.3">
      <c r="J396" s="1">
        <v>0.1212</v>
      </c>
      <c r="K396">
        <f t="shared" si="6"/>
        <v>0.1212</v>
      </c>
    </row>
    <row r="397" spans="10:11" x14ac:dyDescent="0.3">
      <c r="J397" s="1">
        <v>0.13639999999999999</v>
      </c>
      <c r="K397">
        <f t="shared" si="6"/>
        <v>0.13639999999999999</v>
      </c>
    </row>
    <row r="398" spans="10:11" x14ac:dyDescent="0.3">
      <c r="J398" s="1">
        <v>0.18179999999999999</v>
      </c>
      <c r="K398">
        <f t="shared" si="6"/>
        <v>0.18179999999999999</v>
      </c>
    </row>
    <row r="399" spans="10:11" x14ac:dyDescent="0.3">
      <c r="J399" s="1">
        <v>0.19700000000000001</v>
      </c>
      <c r="K399">
        <f t="shared" si="6"/>
        <v>0.19700000000000001</v>
      </c>
    </row>
    <row r="400" spans="10:11" x14ac:dyDescent="0.3">
      <c r="J400" s="1">
        <v>0.2273</v>
      </c>
      <c r="K400">
        <f t="shared" si="6"/>
        <v>0.2273</v>
      </c>
    </row>
    <row r="401" spans="10:11" x14ac:dyDescent="0.3">
      <c r="J401" s="1">
        <v>0.2273</v>
      </c>
      <c r="K401">
        <f t="shared" si="6"/>
        <v>0.2273</v>
      </c>
    </row>
    <row r="402" spans="10:11" x14ac:dyDescent="0.3">
      <c r="J402" s="1">
        <v>0.2273</v>
      </c>
      <c r="K402">
        <f t="shared" si="6"/>
        <v>0.2273</v>
      </c>
    </row>
    <row r="403" spans="10:11" x14ac:dyDescent="0.3">
      <c r="J403" s="1">
        <v>0.2273</v>
      </c>
      <c r="K403">
        <f t="shared" si="6"/>
        <v>0.2273</v>
      </c>
    </row>
    <row r="404" spans="10:11" x14ac:dyDescent="0.3">
      <c r="J404" s="1">
        <v>0.2273</v>
      </c>
      <c r="K404">
        <f t="shared" si="6"/>
        <v>0.2273</v>
      </c>
    </row>
    <row r="405" spans="10:11" x14ac:dyDescent="0.3">
      <c r="J405" s="1">
        <v>0.2273</v>
      </c>
      <c r="K405">
        <f t="shared" si="6"/>
        <v>0.2273</v>
      </c>
    </row>
    <row r="406" spans="10:11" x14ac:dyDescent="0.3">
      <c r="J406" s="1">
        <v>0.2727</v>
      </c>
      <c r="K406">
        <f t="shared" si="6"/>
        <v>0.2727</v>
      </c>
    </row>
    <row r="407" spans="10:11" x14ac:dyDescent="0.3">
      <c r="J407" s="1">
        <v>0.2424</v>
      </c>
      <c r="K407">
        <f t="shared" si="6"/>
        <v>0.2424</v>
      </c>
    </row>
    <row r="408" spans="10:11" x14ac:dyDescent="0.3">
      <c r="J408" s="1">
        <v>0.2576</v>
      </c>
      <c r="K408">
        <f t="shared" si="6"/>
        <v>0.2576</v>
      </c>
    </row>
    <row r="409" spans="10:11" x14ac:dyDescent="0.3">
      <c r="J409" s="1">
        <v>0.2727</v>
      </c>
      <c r="K409">
        <f t="shared" si="6"/>
        <v>0.2727</v>
      </c>
    </row>
    <row r="410" spans="10:11" x14ac:dyDescent="0.3">
      <c r="J410" s="1">
        <v>0.2727</v>
      </c>
      <c r="K410">
        <f t="shared" si="6"/>
        <v>0.2727</v>
      </c>
    </row>
    <row r="411" spans="10:11" x14ac:dyDescent="0.3">
      <c r="J411" s="1">
        <v>0.2273</v>
      </c>
      <c r="K411">
        <f t="shared" si="6"/>
        <v>0.2273</v>
      </c>
    </row>
    <row r="412" spans="10:11" x14ac:dyDescent="0.3">
      <c r="J412" s="1">
        <v>0.2273</v>
      </c>
      <c r="K412">
        <f t="shared" si="6"/>
        <v>0.2273</v>
      </c>
    </row>
    <row r="413" spans="10:11" x14ac:dyDescent="0.3">
      <c r="J413" s="1">
        <v>0.2273</v>
      </c>
      <c r="K413">
        <f t="shared" si="6"/>
        <v>0.2273</v>
      </c>
    </row>
    <row r="414" spans="10:11" x14ac:dyDescent="0.3">
      <c r="J414" s="1">
        <v>0.2576</v>
      </c>
      <c r="K414">
        <f t="shared" si="6"/>
        <v>0.2576</v>
      </c>
    </row>
    <row r="415" spans="10:11" x14ac:dyDescent="0.3">
      <c r="J415" s="1">
        <v>0.2576</v>
      </c>
      <c r="K415">
        <f t="shared" si="6"/>
        <v>0.2576</v>
      </c>
    </row>
    <row r="416" spans="10:11" x14ac:dyDescent="0.3">
      <c r="J416" s="1">
        <v>0.2576</v>
      </c>
      <c r="K416">
        <f t="shared" si="6"/>
        <v>0.2576</v>
      </c>
    </row>
    <row r="417" spans="10:11" x14ac:dyDescent="0.3">
      <c r="J417" s="1">
        <v>0.2576</v>
      </c>
      <c r="K417">
        <f t="shared" si="6"/>
        <v>0.2576</v>
      </c>
    </row>
    <row r="418" spans="10:11" x14ac:dyDescent="0.3">
      <c r="J418" s="1">
        <v>0.2576</v>
      </c>
      <c r="K418">
        <f t="shared" si="6"/>
        <v>0.2576</v>
      </c>
    </row>
    <row r="419" spans="10:11" x14ac:dyDescent="0.3">
      <c r="J419" s="1">
        <v>0.2727</v>
      </c>
      <c r="K419">
        <f t="shared" si="6"/>
        <v>0.2727</v>
      </c>
    </row>
    <row r="420" spans="10:11" x14ac:dyDescent="0.3">
      <c r="J420" s="1">
        <v>0.30299999999999999</v>
      </c>
      <c r="K420">
        <f t="shared" si="6"/>
        <v>0.30299999999999999</v>
      </c>
    </row>
    <row r="421" spans="10:11" x14ac:dyDescent="0.3">
      <c r="J421" s="1">
        <v>0.31819999999999998</v>
      </c>
      <c r="K421">
        <f t="shared" si="6"/>
        <v>0.31819999999999998</v>
      </c>
    </row>
    <row r="422" spans="10:11" x14ac:dyDescent="0.3">
      <c r="J422" s="1">
        <v>0.40910000000000002</v>
      </c>
      <c r="K422">
        <f t="shared" si="6"/>
        <v>0.40910000000000002</v>
      </c>
    </row>
    <row r="423" spans="10:11" x14ac:dyDescent="0.3">
      <c r="J423" s="1">
        <v>0.40910000000000002</v>
      </c>
      <c r="K423">
        <f t="shared" si="6"/>
        <v>0.40910000000000002</v>
      </c>
    </row>
    <row r="424" spans="10:11" x14ac:dyDescent="0.3">
      <c r="J424" s="1">
        <v>0.40910000000000002</v>
      </c>
      <c r="K424">
        <f t="shared" si="6"/>
        <v>0.40910000000000002</v>
      </c>
    </row>
    <row r="425" spans="10:11" x14ac:dyDescent="0.3">
      <c r="J425" s="1">
        <v>0.39389999999999997</v>
      </c>
      <c r="K425">
        <f t="shared" si="6"/>
        <v>0.39389999999999997</v>
      </c>
    </row>
    <row r="426" spans="10:11" x14ac:dyDescent="0.3">
      <c r="J426" s="1">
        <v>0.33329999999999999</v>
      </c>
      <c r="K426">
        <f t="shared" si="6"/>
        <v>0.33329999999999999</v>
      </c>
    </row>
    <row r="427" spans="10:11" x14ac:dyDescent="0.3">
      <c r="J427" s="1">
        <v>0.31819999999999998</v>
      </c>
      <c r="K427">
        <f t="shared" si="6"/>
        <v>0.31819999999999998</v>
      </c>
    </row>
    <row r="428" spans="10:11" x14ac:dyDescent="0.3">
      <c r="J428" s="1">
        <v>0.28789999999999999</v>
      </c>
      <c r="K428">
        <f t="shared" si="6"/>
        <v>0.28789999999999999</v>
      </c>
    </row>
    <row r="429" spans="10:11" x14ac:dyDescent="0.3">
      <c r="J429" s="1">
        <v>0.30299999999999999</v>
      </c>
      <c r="K429">
        <f t="shared" si="6"/>
        <v>0.30299999999999999</v>
      </c>
    </row>
    <row r="430" spans="10:11" x14ac:dyDescent="0.3">
      <c r="J430" s="1">
        <v>0.28789999999999999</v>
      </c>
      <c r="K430">
        <f t="shared" si="6"/>
        <v>0.28789999999999999</v>
      </c>
    </row>
    <row r="431" spans="10:11" x14ac:dyDescent="0.3">
      <c r="J431" s="1">
        <v>0.30299999999999999</v>
      </c>
      <c r="K431">
        <f t="shared" si="6"/>
        <v>0.30299999999999999</v>
      </c>
    </row>
    <row r="432" spans="10:11" x14ac:dyDescent="0.3">
      <c r="J432" s="1">
        <v>0.2727</v>
      </c>
      <c r="K432">
        <f t="shared" si="6"/>
        <v>0.2727</v>
      </c>
    </row>
    <row r="433" spans="10:11" x14ac:dyDescent="0.3">
      <c r="J433" s="1">
        <v>0.2273</v>
      </c>
      <c r="K433">
        <f t="shared" si="6"/>
        <v>0.2273</v>
      </c>
    </row>
    <row r="434" spans="10:11" x14ac:dyDescent="0.3">
      <c r="J434" s="1">
        <v>0.2727</v>
      </c>
      <c r="K434">
        <f t="shared" si="6"/>
        <v>0.2727</v>
      </c>
    </row>
    <row r="435" spans="10:11" x14ac:dyDescent="0.3">
      <c r="J435" s="1">
        <v>0.2727</v>
      </c>
      <c r="K435">
        <f t="shared" si="6"/>
        <v>0.2727</v>
      </c>
    </row>
    <row r="436" spans="10:11" x14ac:dyDescent="0.3">
      <c r="J436" s="1">
        <v>0.2576</v>
      </c>
      <c r="K436">
        <f t="shared" si="6"/>
        <v>0.2576</v>
      </c>
    </row>
    <row r="437" spans="10:11" x14ac:dyDescent="0.3">
      <c r="J437" s="1">
        <v>0.2576</v>
      </c>
      <c r="K437">
        <f t="shared" si="6"/>
        <v>0.2576</v>
      </c>
    </row>
    <row r="438" spans="10:11" x14ac:dyDescent="0.3">
      <c r="J438" s="1">
        <v>0.2273</v>
      </c>
      <c r="K438">
        <f t="shared" si="6"/>
        <v>0.2273</v>
      </c>
    </row>
    <row r="439" spans="10:11" x14ac:dyDescent="0.3">
      <c r="J439" s="1">
        <v>0.21210000000000001</v>
      </c>
      <c r="K439">
        <f t="shared" si="6"/>
        <v>0.21210000000000001</v>
      </c>
    </row>
    <row r="440" spans="10:11" x14ac:dyDescent="0.3">
      <c r="J440" s="1">
        <v>0.21210000000000001</v>
      </c>
      <c r="K440">
        <f t="shared" si="6"/>
        <v>0.21210000000000001</v>
      </c>
    </row>
    <row r="441" spans="10:11" x14ac:dyDescent="0.3">
      <c r="J441" s="1">
        <v>0.21210000000000001</v>
      </c>
      <c r="K441">
        <f t="shared" si="6"/>
        <v>0.21210000000000001</v>
      </c>
    </row>
    <row r="442" spans="10:11" x14ac:dyDescent="0.3">
      <c r="J442" s="1">
        <v>0.2273</v>
      </c>
      <c r="K442">
        <f t="shared" si="6"/>
        <v>0.2273</v>
      </c>
    </row>
    <row r="443" spans="10:11" x14ac:dyDescent="0.3">
      <c r="J443" s="1">
        <v>0.2273</v>
      </c>
      <c r="K443">
        <f t="shared" si="6"/>
        <v>0.2273</v>
      </c>
    </row>
    <row r="444" spans="10:11" x14ac:dyDescent="0.3">
      <c r="J444" s="1">
        <v>0.2727</v>
      </c>
      <c r="K444">
        <f t="shared" si="6"/>
        <v>0.2727</v>
      </c>
    </row>
    <row r="445" spans="10:11" x14ac:dyDescent="0.3">
      <c r="J445" s="1">
        <v>0.33329999999999999</v>
      </c>
      <c r="K445">
        <f t="shared" si="6"/>
        <v>0.33329999999999999</v>
      </c>
    </row>
    <row r="446" spans="10:11" x14ac:dyDescent="0.3">
      <c r="J446" s="1">
        <v>0.28789999999999999</v>
      </c>
      <c r="K446">
        <f t="shared" si="6"/>
        <v>0.28789999999999999</v>
      </c>
    </row>
    <row r="447" spans="10:11" x14ac:dyDescent="0.3">
      <c r="J447" s="1">
        <v>0.30299999999999999</v>
      </c>
      <c r="K447">
        <f t="shared" si="6"/>
        <v>0.30299999999999999</v>
      </c>
    </row>
    <row r="448" spans="10:11" x14ac:dyDescent="0.3">
      <c r="J448" s="1">
        <v>0.31819999999999998</v>
      </c>
      <c r="K448">
        <f t="shared" si="6"/>
        <v>0.31819999999999998</v>
      </c>
    </row>
    <row r="449" spans="10:11" x14ac:dyDescent="0.3">
      <c r="J449" s="1">
        <v>0.30299999999999999</v>
      </c>
      <c r="K449">
        <f t="shared" si="6"/>
        <v>0.30299999999999999</v>
      </c>
    </row>
    <row r="450" spans="10:11" x14ac:dyDescent="0.3">
      <c r="J450" s="1">
        <v>0.31819999999999998</v>
      </c>
      <c r="K450">
        <f t="shared" si="6"/>
        <v>0.31819999999999998</v>
      </c>
    </row>
    <row r="451" spans="10:11" x14ac:dyDescent="0.3">
      <c r="J451" s="1">
        <v>0.2576</v>
      </c>
      <c r="K451">
        <f t="shared" ref="K451:K514" si="7">IF(J451="",ROUND(AVERAGE($J$2:$J$611),4),J451)</f>
        <v>0.2576</v>
      </c>
    </row>
    <row r="452" spans="10:11" x14ac:dyDescent="0.3">
      <c r="J452" s="1">
        <v>0.2273</v>
      </c>
      <c r="K452">
        <f t="shared" si="7"/>
        <v>0.2273</v>
      </c>
    </row>
    <row r="453" spans="10:11" x14ac:dyDescent="0.3">
      <c r="J453" s="1">
        <v>0.2424</v>
      </c>
      <c r="K453">
        <f t="shared" si="7"/>
        <v>0.2424</v>
      </c>
    </row>
    <row r="454" spans="10:11" x14ac:dyDescent="0.3">
      <c r="J454" s="1">
        <v>0.2273</v>
      </c>
      <c r="K454">
        <f t="shared" si="7"/>
        <v>0.2273</v>
      </c>
    </row>
    <row r="455" spans="10:11" x14ac:dyDescent="0.3">
      <c r="J455" s="1">
        <v>0.21210000000000001</v>
      </c>
      <c r="K455">
        <f t="shared" si="7"/>
        <v>0.21210000000000001</v>
      </c>
    </row>
    <row r="456" spans="10:11" x14ac:dyDescent="0.3">
      <c r="J456" s="1">
        <v>0.21210000000000001</v>
      </c>
      <c r="K456">
        <f t="shared" si="7"/>
        <v>0.21210000000000001</v>
      </c>
    </row>
    <row r="457" spans="10:11" x14ac:dyDescent="0.3">
      <c r="J457" s="1">
        <v>0.2273</v>
      </c>
      <c r="K457">
        <f t="shared" si="7"/>
        <v>0.2273</v>
      </c>
    </row>
    <row r="458" spans="10:11" x14ac:dyDescent="0.3">
      <c r="J458" s="1">
        <v>0.2273</v>
      </c>
      <c r="K458">
        <f t="shared" si="7"/>
        <v>0.2273</v>
      </c>
    </row>
    <row r="459" spans="10:11" x14ac:dyDescent="0.3">
      <c r="J459" s="1">
        <v>0.2424</v>
      </c>
      <c r="K459">
        <f t="shared" si="7"/>
        <v>0.2424</v>
      </c>
    </row>
    <row r="460" spans="10:11" x14ac:dyDescent="0.3">
      <c r="J460" s="1">
        <v>0.21210000000000001</v>
      </c>
      <c r="K460">
        <f t="shared" si="7"/>
        <v>0.21210000000000001</v>
      </c>
    </row>
    <row r="461" spans="10:11" x14ac:dyDescent="0.3">
      <c r="J461" s="1">
        <v>0.2576</v>
      </c>
      <c r="K461">
        <f t="shared" si="7"/>
        <v>0.2576</v>
      </c>
    </row>
    <row r="462" spans="10:11" x14ac:dyDescent="0.3">
      <c r="J462" s="1">
        <v>0.19700000000000001</v>
      </c>
      <c r="K462">
        <f t="shared" si="7"/>
        <v>0.19700000000000001</v>
      </c>
    </row>
    <row r="463" spans="10:11" x14ac:dyDescent="0.3">
      <c r="J463" s="1">
        <v>0.21210000000000001</v>
      </c>
      <c r="K463">
        <f t="shared" si="7"/>
        <v>0.21210000000000001</v>
      </c>
    </row>
    <row r="464" spans="10:11" x14ac:dyDescent="0.3">
      <c r="J464" s="1">
        <v>0.18179999999999999</v>
      </c>
      <c r="K464">
        <f t="shared" si="7"/>
        <v>0.18179999999999999</v>
      </c>
    </row>
    <row r="465" spans="10:11" x14ac:dyDescent="0.3">
      <c r="J465" s="1">
        <v>0.18179999999999999</v>
      </c>
      <c r="K465">
        <f t="shared" si="7"/>
        <v>0.18179999999999999</v>
      </c>
    </row>
    <row r="466" spans="10:11" x14ac:dyDescent="0.3">
      <c r="J466" s="1">
        <v>0.18179999999999999</v>
      </c>
      <c r="K466">
        <f t="shared" si="7"/>
        <v>0.18179999999999999</v>
      </c>
    </row>
    <row r="467" spans="10:11" x14ac:dyDescent="0.3">
      <c r="J467" s="1">
        <v>0.16669999999999999</v>
      </c>
      <c r="K467">
        <f t="shared" si="7"/>
        <v>0.16669999999999999</v>
      </c>
    </row>
    <row r="468" spans="10:11" x14ac:dyDescent="0.3">
      <c r="J468" s="1">
        <v>0.18179999999999999</v>
      </c>
      <c r="K468">
        <f t="shared" si="7"/>
        <v>0.18179999999999999</v>
      </c>
    </row>
    <row r="469" spans="10:11" x14ac:dyDescent="0.3">
      <c r="J469" s="1">
        <v>0.18179999999999999</v>
      </c>
      <c r="K469">
        <f t="shared" si="7"/>
        <v>0.18179999999999999</v>
      </c>
    </row>
    <row r="470" spans="10:11" x14ac:dyDescent="0.3">
      <c r="J470" s="1">
        <v>0.1515</v>
      </c>
      <c r="K470">
        <f t="shared" si="7"/>
        <v>0.1515</v>
      </c>
    </row>
    <row r="471" spans="10:11" x14ac:dyDescent="0.3">
      <c r="J471" s="1">
        <v>0.1515</v>
      </c>
      <c r="K471">
        <f t="shared" si="7"/>
        <v>0.1515</v>
      </c>
    </row>
    <row r="472" spans="10:11" x14ac:dyDescent="0.3">
      <c r="J472" s="1">
        <v>0.1212</v>
      </c>
      <c r="K472">
        <f t="shared" si="7"/>
        <v>0.1212</v>
      </c>
    </row>
    <row r="473" spans="10:11" x14ac:dyDescent="0.3">
      <c r="J473" s="1">
        <v>0.13639999999999999</v>
      </c>
      <c r="K473">
        <f t="shared" si="7"/>
        <v>0.13639999999999999</v>
      </c>
    </row>
    <row r="474" spans="10:11" x14ac:dyDescent="0.3">
      <c r="J474" s="1">
        <v>0.1212</v>
      </c>
      <c r="K474">
        <f t="shared" si="7"/>
        <v>0.1212</v>
      </c>
    </row>
    <row r="475" spans="10:11" x14ac:dyDescent="0.3">
      <c r="J475" s="1">
        <v>0.1212</v>
      </c>
      <c r="K475">
        <f t="shared" si="7"/>
        <v>0.1212</v>
      </c>
    </row>
    <row r="476" spans="10:11" x14ac:dyDescent="0.3">
      <c r="J476" s="1">
        <v>0.1061</v>
      </c>
      <c r="K476">
        <f t="shared" si="7"/>
        <v>0.1061</v>
      </c>
    </row>
    <row r="477" spans="10:11" x14ac:dyDescent="0.3">
      <c r="J477" s="1">
        <v>7.5800000000000006E-2</v>
      </c>
      <c r="K477">
        <f t="shared" si="7"/>
        <v>7.5800000000000006E-2</v>
      </c>
    </row>
    <row r="478" spans="10:11" x14ac:dyDescent="0.3">
      <c r="J478" s="1">
        <v>7.5800000000000006E-2</v>
      </c>
      <c r="K478">
        <f t="shared" si="7"/>
        <v>7.5800000000000006E-2</v>
      </c>
    </row>
    <row r="479" spans="10:11" x14ac:dyDescent="0.3">
      <c r="J479" s="1">
        <v>3.0300000000000001E-2</v>
      </c>
      <c r="K479">
        <f t="shared" si="7"/>
        <v>3.0300000000000001E-2</v>
      </c>
    </row>
    <row r="480" spans="10:11" x14ac:dyDescent="0.3">
      <c r="J480" s="1">
        <v>4.5499999999999999E-2</v>
      </c>
      <c r="K480">
        <f t="shared" si="7"/>
        <v>4.5499999999999999E-2</v>
      </c>
    </row>
    <row r="481" spans="10:11" x14ac:dyDescent="0.3">
      <c r="J481" s="1">
        <v>3.0300000000000001E-2</v>
      </c>
      <c r="K481">
        <f t="shared" si="7"/>
        <v>3.0300000000000001E-2</v>
      </c>
    </row>
    <row r="482" spans="10:11" x14ac:dyDescent="0.3">
      <c r="J482" s="1">
        <v>0</v>
      </c>
      <c r="K482">
        <f t="shared" si="7"/>
        <v>0</v>
      </c>
    </row>
    <row r="483" spans="10:11" x14ac:dyDescent="0.3">
      <c r="J483" s="1">
        <v>3.0300000000000001E-2</v>
      </c>
      <c r="K483">
        <f t="shared" si="7"/>
        <v>3.0300000000000001E-2</v>
      </c>
    </row>
    <row r="484" spans="10:11" x14ac:dyDescent="0.3">
      <c r="J484" s="1">
        <v>3.0300000000000001E-2</v>
      </c>
      <c r="K484">
        <f t="shared" si="7"/>
        <v>3.0300000000000001E-2</v>
      </c>
    </row>
    <row r="485" spans="10:11" x14ac:dyDescent="0.3">
      <c r="J485" s="1">
        <v>1.52E-2</v>
      </c>
      <c r="K485">
        <f t="shared" si="7"/>
        <v>1.52E-2</v>
      </c>
    </row>
    <row r="486" spans="10:11" x14ac:dyDescent="0.3">
      <c r="J486" s="1">
        <v>3.0300000000000001E-2</v>
      </c>
      <c r="K486">
        <f t="shared" si="7"/>
        <v>3.0300000000000001E-2</v>
      </c>
    </row>
    <row r="487" spans="10:11" x14ac:dyDescent="0.3">
      <c r="J487" s="1">
        <v>1.52E-2</v>
      </c>
      <c r="K487">
        <f t="shared" si="7"/>
        <v>1.52E-2</v>
      </c>
    </row>
    <row r="488" spans="10:11" x14ac:dyDescent="0.3">
      <c r="J488" s="1">
        <v>0</v>
      </c>
      <c r="K488">
        <f t="shared" si="7"/>
        <v>0</v>
      </c>
    </row>
    <row r="489" spans="10:11" x14ac:dyDescent="0.3">
      <c r="J489" s="1">
        <v>3.0300000000000001E-2</v>
      </c>
      <c r="K489">
        <f t="shared" si="7"/>
        <v>3.0300000000000001E-2</v>
      </c>
    </row>
    <row r="490" spans="10:11" x14ac:dyDescent="0.3">
      <c r="J490" s="1">
        <v>6.0600000000000001E-2</v>
      </c>
      <c r="K490">
        <f t="shared" si="7"/>
        <v>6.0600000000000001E-2</v>
      </c>
    </row>
    <row r="491" spans="10:11" x14ac:dyDescent="0.3">
      <c r="J491" s="1">
        <v>7.5800000000000006E-2</v>
      </c>
      <c r="K491">
        <f t="shared" si="7"/>
        <v>7.5800000000000006E-2</v>
      </c>
    </row>
    <row r="492" spans="10:11" x14ac:dyDescent="0.3">
      <c r="J492" s="1">
        <v>0.1061</v>
      </c>
      <c r="K492">
        <f t="shared" si="7"/>
        <v>0.1061</v>
      </c>
    </row>
    <row r="493" spans="10:11" x14ac:dyDescent="0.3">
      <c r="J493" s="1">
        <v>0.16669999999999999</v>
      </c>
      <c r="K493">
        <f t="shared" si="7"/>
        <v>0.16669999999999999</v>
      </c>
    </row>
    <row r="494" spans="10:11" x14ac:dyDescent="0.3">
      <c r="J494" s="1">
        <v>0.13639999999999999</v>
      </c>
      <c r="K494">
        <f t="shared" si="7"/>
        <v>0.13639999999999999</v>
      </c>
    </row>
    <row r="495" spans="10:11" x14ac:dyDescent="0.3">
      <c r="J495" s="1">
        <v>0.1515</v>
      </c>
      <c r="K495">
        <f t="shared" si="7"/>
        <v>0.1515</v>
      </c>
    </row>
    <row r="496" spans="10:11" x14ac:dyDescent="0.3">
      <c r="J496" s="1">
        <v>0.13639999999999999</v>
      </c>
      <c r="K496">
        <f t="shared" si="7"/>
        <v>0.13639999999999999</v>
      </c>
    </row>
    <row r="497" spans="10:11" x14ac:dyDescent="0.3">
      <c r="J497" s="1">
        <v>0.19700000000000001</v>
      </c>
      <c r="K497">
        <f t="shared" si="7"/>
        <v>0.19700000000000001</v>
      </c>
    </row>
    <row r="498" spans="10:11" x14ac:dyDescent="0.3">
      <c r="J498" s="1">
        <v>9.0899999999999995E-2</v>
      </c>
      <c r="K498">
        <f t="shared" si="7"/>
        <v>9.0899999999999995E-2</v>
      </c>
    </row>
    <row r="499" spans="10:11" x14ac:dyDescent="0.3">
      <c r="J499" s="1">
        <v>0.1061</v>
      </c>
      <c r="K499">
        <f t="shared" si="7"/>
        <v>0.1061</v>
      </c>
    </row>
    <row r="500" spans="10:11" x14ac:dyDescent="0.3">
      <c r="J500" s="1">
        <v>7.5800000000000006E-2</v>
      </c>
      <c r="K500">
        <f t="shared" si="7"/>
        <v>7.5800000000000006E-2</v>
      </c>
    </row>
    <row r="501" spans="10:11" x14ac:dyDescent="0.3">
      <c r="J501" s="1">
        <v>0.1061</v>
      </c>
      <c r="K501">
        <f t="shared" si="7"/>
        <v>0.1061</v>
      </c>
    </row>
    <row r="502" spans="10:11" x14ac:dyDescent="0.3">
      <c r="J502" s="1">
        <v>0.1515</v>
      </c>
      <c r="K502">
        <f t="shared" si="7"/>
        <v>0.1515</v>
      </c>
    </row>
    <row r="503" spans="10:11" x14ac:dyDescent="0.3">
      <c r="J503" s="1">
        <v>7.5800000000000006E-2</v>
      </c>
      <c r="K503">
        <f t="shared" si="7"/>
        <v>7.5800000000000006E-2</v>
      </c>
    </row>
    <row r="504" spans="10:11" x14ac:dyDescent="0.3">
      <c r="J504" s="1">
        <v>7.5800000000000006E-2</v>
      </c>
      <c r="K504">
        <f t="shared" si="7"/>
        <v>7.5800000000000006E-2</v>
      </c>
    </row>
    <row r="505" spans="10:11" x14ac:dyDescent="0.3">
      <c r="J505" s="1">
        <v>7.5800000000000006E-2</v>
      </c>
      <c r="K505">
        <f t="shared" si="7"/>
        <v>7.5800000000000006E-2</v>
      </c>
    </row>
    <row r="506" spans="10:11" x14ac:dyDescent="0.3">
      <c r="J506" s="1">
        <v>6.0600000000000001E-2</v>
      </c>
      <c r="K506">
        <f t="shared" si="7"/>
        <v>6.0600000000000001E-2</v>
      </c>
    </row>
    <row r="507" spans="10:11" x14ac:dyDescent="0.3">
      <c r="J507" s="1">
        <v>6.0600000000000001E-2</v>
      </c>
      <c r="K507">
        <f t="shared" si="7"/>
        <v>6.0600000000000001E-2</v>
      </c>
    </row>
    <row r="508" spans="10:11" x14ac:dyDescent="0.3">
      <c r="J508" s="1">
        <v>7.5800000000000006E-2</v>
      </c>
      <c r="K508">
        <f t="shared" si="7"/>
        <v>7.5800000000000006E-2</v>
      </c>
    </row>
    <row r="509" spans="10:11" x14ac:dyDescent="0.3">
      <c r="J509" s="1">
        <v>7.5800000000000006E-2</v>
      </c>
      <c r="K509">
        <f t="shared" si="7"/>
        <v>7.5800000000000006E-2</v>
      </c>
    </row>
    <row r="510" spans="10:11" x14ac:dyDescent="0.3">
      <c r="J510" s="1">
        <v>0.1061</v>
      </c>
      <c r="K510">
        <f t="shared" si="7"/>
        <v>0.1061</v>
      </c>
    </row>
    <row r="511" spans="10:11" x14ac:dyDescent="0.3">
      <c r="J511" s="1">
        <v>7.5800000000000006E-2</v>
      </c>
      <c r="K511">
        <f t="shared" si="7"/>
        <v>7.5800000000000006E-2</v>
      </c>
    </row>
    <row r="512" spans="10:11" x14ac:dyDescent="0.3">
      <c r="J512" s="1">
        <v>7.5800000000000006E-2</v>
      </c>
      <c r="K512">
        <f t="shared" si="7"/>
        <v>7.5800000000000006E-2</v>
      </c>
    </row>
    <row r="513" spans="10:11" x14ac:dyDescent="0.3">
      <c r="J513" s="1">
        <v>0.1061</v>
      </c>
      <c r="K513">
        <f t="shared" si="7"/>
        <v>0.1061</v>
      </c>
    </row>
    <row r="514" spans="10:11" x14ac:dyDescent="0.3">
      <c r="J514" s="1">
        <v>0.13639999999999999</v>
      </c>
      <c r="K514">
        <f t="shared" si="7"/>
        <v>0.13639999999999999</v>
      </c>
    </row>
    <row r="515" spans="10:11" x14ac:dyDescent="0.3">
      <c r="J515" s="1">
        <v>0.1212</v>
      </c>
      <c r="K515">
        <f t="shared" ref="K515:K578" si="8">IF(J515="",ROUND(AVERAGE($J$2:$J$611),4),J515)</f>
        <v>0.1212</v>
      </c>
    </row>
    <row r="516" spans="10:11" x14ac:dyDescent="0.3">
      <c r="J516" s="1">
        <v>0.1061</v>
      </c>
      <c r="K516">
        <f t="shared" si="8"/>
        <v>0.1061</v>
      </c>
    </row>
    <row r="517" spans="10:11" x14ac:dyDescent="0.3">
      <c r="J517" s="1">
        <v>0.13639999999999999</v>
      </c>
      <c r="K517">
        <f t="shared" si="8"/>
        <v>0.13639999999999999</v>
      </c>
    </row>
    <row r="518" spans="10:11" x14ac:dyDescent="0.3">
      <c r="J518" s="1">
        <v>0.13639999999999999</v>
      </c>
      <c r="K518">
        <f t="shared" si="8"/>
        <v>0.13639999999999999</v>
      </c>
    </row>
    <row r="519" spans="10:11" x14ac:dyDescent="0.3">
      <c r="J519" s="1">
        <v>0.13639999999999999</v>
      </c>
      <c r="K519">
        <f t="shared" si="8"/>
        <v>0.13639999999999999</v>
      </c>
    </row>
    <row r="520" spans="10:11" x14ac:dyDescent="0.3">
      <c r="J520" s="1">
        <v>0.1061</v>
      </c>
      <c r="K520">
        <f t="shared" si="8"/>
        <v>0.1061</v>
      </c>
    </row>
    <row r="521" spans="10:11" x14ac:dyDescent="0.3">
      <c r="J521" s="1">
        <v>0.1212</v>
      </c>
      <c r="K521">
        <f t="shared" si="8"/>
        <v>0.1212</v>
      </c>
    </row>
    <row r="522" spans="10:11" x14ac:dyDescent="0.3">
      <c r="J522" s="1">
        <v>0.1212</v>
      </c>
      <c r="K522">
        <f t="shared" si="8"/>
        <v>0.1212</v>
      </c>
    </row>
    <row r="523" spans="10:11" x14ac:dyDescent="0.3">
      <c r="J523" s="1">
        <v>0.1061</v>
      </c>
      <c r="K523">
        <f t="shared" si="8"/>
        <v>0.1061</v>
      </c>
    </row>
    <row r="524" spans="10:11" x14ac:dyDescent="0.3">
      <c r="J524" s="1">
        <v>0.1061</v>
      </c>
      <c r="K524">
        <f t="shared" si="8"/>
        <v>0.1061</v>
      </c>
    </row>
    <row r="525" spans="10:11" x14ac:dyDescent="0.3">
      <c r="J525" s="1">
        <v>9.0899999999999995E-2</v>
      </c>
      <c r="K525">
        <f t="shared" si="8"/>
        <v>9.0899999999999995E-2</v>
      </c>
    </row>
    <row r="526" spans="10:11" x14ac:dyDescent="0.3">
      <c r="J526" s="1">
        <v>6.0600000000000001E-2</v>
      </c>
      <c r="K526">
        <f t="shared" si="8"/>
        <v>6.0600000000000001E-2</v>
      </c>
    </row>
    <row r="527" spans="10:11" x14ac:dyDescent="0.3">
      <c r="J527" s="1">
        <v>6.0600000000000001E-2</v>
      </c>
      <c r="K527">
        <f t="shared" si="8"/>
        <v>6.0600000000000001E-2</v>
      </c>
    </row>
    <row r="528" spans="10:11" x14ac:dyDescent="0.3">
      <c r="J528" s="1">
        <v>4.5499999999999999E-2</v>
      </c>
      <c r="K528">
        <f t="shared" si="8"/>
        <v>4.5499999999999999E-2</v>
      </c>
    </row>
    <row r="529" spans="10:11" x14ac:dyDescent="0.3">
      <c r="J529" s="1">
        <v>3.0300000000000001E-2</v>
      </c>
      <c r="K529">
        <f t="shared" si="8"/>
        <v>3.0300000000000001E-2</v>
      </c>
    </row>
    <row r="530" spans="10:11" x14ac:dyDescent="0.3">
      <c r="J530" s="1">
        <v>6.0600000000000001E-2</v>
      </c>
      <c r="K530">
        <f t="shared" si="8"/>
        <v>6.0600000000000001E-2</v>
      </c>
    </row>
    <row r="531" spans="10:11" x14ac:dyDescent="0.3">
      <c r="J531" s="1">
        <v>6.0600000000000001E-2</v>
      </c>
      <c r="K531">
        <f t="shared" si="8"/>
        <v>6.0600000000000001E-2</v>
      </c>
    </row>
    <row r="532" spans="10:11" x14ac:dyDescent="0.3">
      <c r="J532" s="1">
        <v>7.5800000000000006E-2</v>
      </c>
      <c r="K532">
        <f t="shared" si="8"/>
        <v>7.5800000000000006E-2</v>
      </c>
    </row>
    <row r="533" spans="10:11" x14ac:dyDescent="0.3">
      <c r="J533" s="1">
        <v>0.1212</v>
      </c>
      <c r="K533">
        <f t="shared" si="8"/>
        <v>0.1212</v>
      </c>
    </row>
    <row r="534" spans="10:11" x14ac:dyDescent="0.3">
      <c r="J534" s="1">
        <v>0.13639999999999999</v>
      </c>
      <c r="K534">
        <f t="shared" si="8"/>
        <v>0.13639999999999999</v>
      </c>
    </row>
    <row r="535" spans="10:11" x14ac:dyDescent="0.3">
      <c r="J535" s="1">
        <v>0.1515</v>
      </c>
      <c r="K535">
        <f t="shared" si="8"/>
        <v>0.1515</v>
      </c>
    </row>
    <row r="536" spans="10:11" x14ac:dyDescent="0.3">
      <c r="J536" s="1">
        <v>0.13639999999999999</v>
      </c>
      <c r="K536">
        <f t="shared" si="8"/>
        <v>0.13639999999999999</v>
      </c>
    </row>
    <row r="537" spans="10:11" x14ac:dyDescent="0.3">
      <c r="J537" s="1">
        <v>0.1212</v>
      </c>
      <c r="K537">
        <f t="shared" si="8"/>
        <v>0.1212</v>
      </c>
    </row>
    <row r="538" spans="10:11" x14ac:dyDescent="0.3">
      <c r="J538" s="1">
        <v>0.13639999999999999</v>
      </c>
      <c r="K538">
        <f t="shared" si="8"/>
        <v>0.13639999999999999</v>
      </c>
    </row>
    <row r="539" spans="10:11" x14ac:dyDescent="0.3">
      <c r="J539" s="1">
        <v>0.13639999999999999</v>
      </c>
      <c r="K539">
        <f t="shared" si="8"/>
        <v>0.13639999999999999</v>
      </c>
    </row>
    <row r="540" spans="10:11" x14ac:dyDescent="0.3">
      <c r="J540" s="1">
        <v>0.13639999999999999</v>
      </c>
      <c r="K540">
        <f t="shared" si="8"/>
        <v>0.13639999999999999</v>
      </c>
    </row>
    <row r="541" spans="10:11" x14ac:dyDescent="0.3">
      <c r="J541" s="1">
        <v>0.16669999999999999</v>
      </c>
      <c r="K541">
        <f t="shared" si="8"/>
        <v>0.16669999999999999</v>
      </c>
    </row>
    <row r="542" spans="10:11" x14ac:dyDescent="0.3">
      <c r="J542" s="1">
        <v>0.1515</v>
      </c>
      <c r="K542">
        <f t="shared" si="8"/>
        <v>0.1515</v>
      </c>
    </row>
    <row r="543" spans="10:11" x14ac:dyDescent="0.3">
      <c r="J543" s="1">
        <v>0.1212</v>
      </c>
      <c r="K543">
        <f t="shared" si="8"/>
        <v>0.1212</v>
      </c>
    </row>
    <row r="544" spans="10:11" x14ac:dyDescent="0.3">
      <c r="J544" s="1">
        <v>0.13639999999999999</v>
      </c>
      <c r="K544">
        <f t="shared" si="8"/>
        <v>0.13639999999999999</v>
      </c>
    </row>
    <row r="545" spans="10:11" x14ac:dyDescent="0.3">
      <c r="J545" s="1">
        <v>0.1515</v>
      </c>
      <c r="K545">
        <f t="shared" si="8"/>
        <v>0.1515</v>
      </c>
    </row>
    <row r="546" spans="10:11" x14ac:dyDescent="0.3">
      <c r="J546" s="1">
        <v>0.13639999999999999</v>
      </c>
      <c r="K546">
        <f t="shared" si="8"/>
        <v>0.13639999999999999</v>
      </c>
    </row>
    <row r="547" spans="10:11" x14ac:dyDescent="0.3">
      <c r="J547" s="1">
        <v>0.1515</v>
      </c>
      <c r="K547">
        <f t="shared" si="8"/>
        <v>0.1515</v>
      </c>
    </row>
    <row r="548" spans="10:11" x14ac:dyDescent="0.3">
      <c r="J548" s="1">
        <v>0.13639999999999999</v>
      </c>
      <c r="K548">
        <f t="shared" si="8"/>
        <v>0.13639999999999999</v>
      </c>
    </row>
    <row r="549" spans="10:11" x14ac:dyDescent="0.3">
      <c r="J549" s="1">
        <v>0.1515</v>
      </c>
      <c r="K549">
        <f t="shared" si="8"/>
        <v>0.1515</v>
      </c>
    </row>
    <row r="550" spans="10:11" x14ac:dyDescent="0.3">
      <c r="J550" s="1">
        <v>0.13639999999999999</v>
      </c>
      <c r="K550">
        <f t="shared" si="8"/>
        <v>0.13639999999999999</v>
      </c>
    </row>
    <row r="551" spans="10:11" x14ac:dyDescent="0.3">
      <c r="J551" s="1">
        <v>0.16669999999999999</v>
      </c>
      <c r="K551">
        <f t="shared" si="8"/>
        <v>0.16669999999999999</v>
      </c>
    </row>
    <row r="552" spans="10:11" x14ac:dyDescent="0.3">
      <c r="J552" s="1">
        <v>0.1515</v>
      </c>
      <c r="K552">
        <f t="shared" si="8"/>
        <v>0.1515</v>
      </c>
    </row>
    <row r="553" spans="10:11" x14ac:dyDescent="0.3">
      <c r="J553" s="1">
        <v>0.16669999999999999</v>
      </c>
      <c r="K553">
        <f t="shared" si="8"/>
        <v>0.16669999999999999</v>
      </c>
    </row>
    <row r="554" spans="10:11" x14ac:dyDescent="0.3">
      <c r="J554" s="1">
        <v>0.13639999999999999</v>
      </c>
      <c r="K554">
        <f t="shared" si="8"/>
        <v>0.13639999999999999</v>
      </c>
    </row>
    <row r="555" spans="10:11" x14ac:dyDescent="0.3">
      <c r="J555" s="1">
        <v>0.18179999999999999</v>
      </c>
      <c r="K555">
        <f t="shared" si="8"/>
        <v>0.18179999999999999</v>
      </c>
    </row>
    <row r="556" spans="10:11" x14ac:dyDescent="0.3">
      <c r="J556" s="1">
        <v>0.1515</v>
      </c>
      <c r="K556">
        <f t="shared" si="8"/>
        <v>0.1515</v>
      </c>
    </row>
    <row r="557" spans="10:11" x14ac:dyDescent="0.3">
      <c r="J557" s="1">
        <v>0.18179999999999999</v>
      </c>
      <c r="K557">
        <f t="shared" si="8"/>
        <v>0.18179999999999999</v>
      </c>
    </row>
    <row r="558" spans="10:11" x14ac:dyDescent="0.3">
      <c r="J558" s="1">
        <v>0.2273</v>
      </c>
      <c r="K558">
        <f t="shared" si="8"/>
        <v>0.2273</v>
      </c>
    </row>
    <row r="559" spans="10:11" x14ac:dyDescent="0.3">
      <c r="J559" s="1">
        <v>0.2424</v>
      </c>
      <c r="K559">
        <f t="shared" si="8"/>
        <v>0.2424</v>
      </c>
    </row>
    <row r="560" spans="10:11" x14ac:dyDescent="0.3">
      <c r="J560" s="1">
        <v>0.2424</v>
      </c>
      <c r="K560">
        <f t="shared" si="8"/>
        <v>0.2424</v>
      </c>
    </row>
    <row r="561" spans="10:11" x14ac:dyDescent="0.3">
      <c r="J561" s="1">
        <v>0.28789999999999999</v>
      </c>
      <c r="K561">
        <f t="shared" si="8"/>
        <v>0.28789999999999999</v>
      </c>
    </row>
    <row r="562" spans="10:11" x14ac:dyDescent="0.3">
      <c r="J562" s="1">
        <v>0.2727</v>
      </c>
      <c r="K562">
        <f t="shared" si="8"/>
        <v>0.2727</v>
      </c>
    </row>
    <row r="563" spans="10:11" x14ac:dyDescent="0.3">
      <c r="J563" s="1">
        <v>0.33329999999999999</v>
      </c>
      <c r="K563">
        <f t="shared" si="8"/>
        <v>0.33329999999999999</v>
      </c>
    </row>
    <row r="564" spans="10:11" x14ac:dyDescent="0.3">
      <c r="J564" s="1">
        <v>0.34849999999999998</v>
      </c>
      <c r="K564">
        <f t="shared" si="8"/>
        <v>0.34849999999999998</v>
      </c>
    </row>
    <row r="565" spans="10:11" x14ac:dyDescent="0.3">
      <c r="J565" s="1">
        <v>0.34849999999999998</v>
      </c>
      <c r="K565">
        <f t="shared" si="8"/>
        <v>0.34849999999999998</v>
      </c>
    </row>
    <row r="566" spans="10:11" x14ac:dyDescent="0.3">
      <c r="J566" s="1">
        <v>0.33329999999999999</v>
      </c>
      <c r="K566">
        <f t="shared" si="8"/>
        <v>0.33329999999999999</v>
      </c>
    </row>
    <row r="567" spans="10:11" x14ac:dyDescent="0.3">
      <c r="J567" s="1">
        <v>0.31819999999999998</v>
      </c>
      <c r="K567">
        <f t="shared" si="8"/>
        <v>0.31819999999999998</v>
      </c>
    </row>
    <row r="568" spans="10:11" x14ac:dyDescent="0.3">
      <c r="J568" s="1">
        <v>0.2576</v>
      </c>
      <c r="K568">
        <f t="shared" si="8"/>
        <v>0.2576</v>
      </c>
    </row>
    <row r="569" spans="10:11" x14ac:dyDescent="0.3">
      <c r="J569" s="1">
        <v>0.2273</v>
      </c>
      <c r="K569">
        <f t="shared" si="8"/>
        <v>0.2273</v>
      </c>
    </row>
    <row r="570" spans="10:11" x14ac:dyDescent="0.3">
      <c r="J570" s="1">
        <v>0.2273</v>
      </c>
      <c r="K570">
        <f t="shared" si="8"/>
        <v>0.2273</v>
      </c>
    </row>
    <row r="571" spans="10:11" x14ac:dyDescent="0.3">
      <c r="J571" s="1">
        <v>0.2273</v>
      </c>
      <c r="K571">
        <f t="shared" si="8"/>
        <v>0.2273</v>
      </c>
    </row>
    <row r="572" spans="10:11" x14ac:dyDescent="0.3">
      <c r="J572" s="1">
        <v>0.2273</v>
      </c>
      <c r="K572">
        <f t="shared" si="8"/>
        <v>0.2273</v>
      </c>
    </row>
    <row r="573" spans="10:11" x14ac:dyDescent="0.3">
      <c r="J573" s="1">
        <v>0.2273</v>
      </c>
      <c r="K573">
        <f t="shared" si="8"/>
        <v>0.2273</v>
      </c>
    </row>
    <row r="574" spans="10:11" x14ac:dyDescent="0.3">
      <c r="J574" s="1">
        <v>0.2424</v>
      </c>
      <c r="K574">
        <f t="shared" si="8"/>
        <v>0.2424</v>
      </c>
    </row>
    <row r="575" spans="10:11" x14ac:dyDescent="0.3">
      <c r="J575" s="1">
        <v>0.2273</v>
      </c>
      <c r="K575">
        <f t="shared" si="8"/>
        <v>0.2273</v>
      </c>
    </row>
    <row r="576" spans="10:11" x14ac:dyDescent="0.3">
      <c r="J576" s="1">
        <v>0.18179999999999999</v>
      </c>
      <c r="K576">
        <f t="shared" si="8"/>
        <v>0.18179999999999999</v>
      </c>
    </row>
    <row r="577" spans="10:11" x14ac:dyDescent="0.3">
      <c r="J577" s="1">
        <v>0.18179999999999999</v>
      </c>
      <c r="K577">
        <f t="shared" si="8"/>
        <v>0.18179999999999999</v>
      </c>
    </row>
    <row r="578" spans="10:11" x14ac:dyDescent="0.3">
      <c r="J578" s="1">
        <v>0.21210000000000001</v>
      </c>
      <c r="K578">
        <f t="shared" si="8"/>
        <v>0.21210000000000001</v>
      </c>
    </row>
    <row r="579" spans="10:11" x14ac:dyDescent="0.3">
      <c r="J579" s="1">
        <v>0.21210000000000001</v>
      </c>
      <c r="K579">
        <f t="shared" ref="K579:K611" si="9">IF(J579="",ROUND(AVERAGE($J$2:$J$611),4),J579)</f>
        <v>0.21210000000000001</v>
      </c>
    </row>
    <row r="580" spans="10:11" x14ac:dyDescent="0.3">
      <c r="J580" s="1">
        <v>0.21210000000000001</v>
      </c>
      <c r="K580">
        <f t="shared" si="9"/>
        <v>0.21210000000000001</v>
      </c>
    </row>
    <row r="581" spans="10:11" x14ac:dyDescent="0.3">
      <c r="J581" s="1">
        <v>0.21210000000000001</v>
      </c>
      <c r="K581">
        <f t="shared" si="9"/>
        <v>0.21210000000000001</v>
      </c>
    </row>
    <row r="582" spans="10:11" x14ac:dyDescent="0.3">
      <c r="J582" s="1">
        <v>0.19700000000000001</v>
      </c>
      <c r="K582">
        <f t="shared" si="9"/>
        <v>0.19700000000000001</v>
      </c>
    </row>
    <row r="583" spans="10:11" x14ac:dyDescent="0.3">
      <c r="J583" s="1">
        <v>0.19700000000000001</v>
      </c>
      <c r="K583">
        <f t="shared" si="9"/>
        <v>0.19700000000000001</v>
      </c>
    </row>
    <row r="584" spans="10:11" x14ac:dyDescent="0.3">
      <c r="J584" s="1">
        <v>0.19700000000000001</v>
      </c>
      <c r="K584">
        <f t="shared" si="9"/>
        <v>0.19700000000000001</v>
      </c>
    </row>
    <row r="585" spans="10:11" x14ac:dyDescent="0.3">
      <c r="J585" s="1">
        <v>0.19700000000000001</v>
      </c>
      <c r="K585">
        <f t="shared" si="9"/>
        <v>0.19700000000000001</v>
      </c>
    </row>
    <row r="586" spans="10:11" x14ac:dyDescent="0.3">
      <c r="J586" s="1">
        <v>0.18179999999999999</v>
      </c>
      <c r="K586">
        <f t="shared" si="9"/>
        <v>0.18179999999999999</v>
      </c>
    </row>
    <row r="587" spans="10:11" x14ac:dyDescent="0.3">
      <c r="J587" s="1">
        <v>0.19700000000000001</v>
      </c>
      <c r="K587">
        <f t="shared" si="9"/>
        <v>0.19700000000000001</v>
      </c>
    </row>
    <row r="588" spans="10:11" x14ac:dyDescent="0.3">
      <c r="J588" s="1">
        <v>0.18179999999999999</v>
      </c>
      <c r="K588">
        <f t="shared" si="9"/>
        <v>0.18179999999999999</v>
      </c>
    </row>
    <row r="589" spans="10:11" x14ac:dyDescent="0.3">
      <c r="J589" s="1">
        <v>0.2273</v>
      </c>
      <c r="K589">
        <f t="shared" si="9"/>
        <v>0.2273</v>
      </c>
    </row>
    <row r="590" spans="10:11" x14ac:dyDescent="0.3">
      <c r="J590" s="1">
        <v>0.2424</v>
      </c>
      <c r="K590">
        <f t="shared" si="9"/>
        <v>0.2424</v>
      </c>
    </row>
    <row r="591" spans="10:11" x14ac:dyDescent="0.3">
      <c r="J591" s="1">
        <v>0.2273</v>
      </c>
      <c r="K591">
        <f t="shared" si="9"/>
        <v>0.2273</v>
      </c>
    </row>
    <row r="592" spans="10:11" x14ac:dyDescent="0.3">
      <c r="J592" s="1">
        <v>0.2273</v>
      </c>
      <c r="K592">
        <f t="shared" si="9"/>
        <v>0.2273</v>
      </c>
    </row>
    <row r="593" spans="10:11" x14ac:dyDescent="0.3">
      <c r="J593" s="1">
        <v>0.21210000000000001</v>
      </c>
      <c r="K593">
        <f t="shared" si="9"/>
        <v>0.21210000000000001</v>
      </c>
    </row>
    <row r="594" spans="10:11" x14ac:dyDescent="0.3">
      <c r="J594" s="1">
        <v>0.21210000000000001</v>
      </c>
      <c r="K594">
        <f t="shared" si="9"/>
        <v>0.21210000000000001</v>
      </c>
    </row>
    <row r="595" spans="10:11" x14ac:dyDescent="0.3">
      <c r="J595" s="1">
        <v>0.21210000000000001</v>
      </c>
      <c r="K595">
        <f t="shared" si="9"/>
        <v>0.21210000000000001</v>
      </c>
    </row>
    <row r="596" spans="10:11" x14ac:dyDescent="0.3">
      <c r="J596" s="1">
        <v>0.19700000000000001</v>
      </c>
      <c r="K596">
        <f t="shared" si="9"/>
        <v>0.19700000000000001</v>
      </c>
    </row>
    <row r="597" spans="10:11" x14ac:dyDescent="0.3">
      <c r="J597" s="1">
        <v>0.21210000000000001</v>
      </c>
      <c r="K597">
        <f t="shared" si="9"/>
        <v>0.21210000000000001</v>
      </c>
    </row>
    <row r="598" spans="10:11" x14ac:dyDescent="0.3">
      <c r="J598" s="1">
        <v>0.21210000000000001</v>
      </c>
      <c r="K598">
        <f t="shared" si="9"/>
        <v>0.21210000000000001</v>
      </c>
    </row>
    <row r="599" spans="10:11" x14ac:dyDescent="0.3">
      <c r="J599" s="1">
        <v>0.21210000000000001</v>
      </c>
      <c r="K599">
        <f t="shared" si="9"/>
        <v>0.21210000000000001</v>
      </c>
    </row>
    <row r="600" spans="10:11" x14ac:dyDescent="0.3">
      <c r="J600" s="1">
        <v>0.2273</v>
      </c>
      <c r="K600">
        <f t="shared" si="9"/>
        <v>0.2273</v>
      </c>
    </row>
    <row r="601" spans="10:11" x14ac:dyDescent="0.3">
      <c r="J601" s="1">
        <v>0.21210000000000001</v>
      </c>
      <c r="K601">
        <f t="shared" si="9"/>
        <v>0.21210000000000001</v>
      </c>
    </row>
    <row r="602" spans="10:11" x14ac:dyDescent="0.3">
      <c r="J602" s="1">
        <v>0.19700000000000001</v>
      </c>
      <c r="K602">
        <f t="shared" si="9"/>
        <v>0.19700000000000001</v>
      </c>
    </row>
    <row r="603" spans="10:11" x14ac:dyDescent="0.3">
      <c r="J603" s="1">
        <v>0.19700000000000001</v>
      </c>
      <c r="K603">
        <f t="shared" si="9"/>
        <v>0.19700000000000001</v>
      </c>
    </row>
    <row r="604" spans="10:11" x14ac:dyDescent="0.3">
      <c r="J604" s="1">
        <v>0.19700000000000001</v>
      </c>
      <c r="K604">
        <f t="shared" si="9"/>
        <v>0.19700000000000001</v>
      </c>
    </row>
    <row r="605" spans="10:11" x14ac:dyDescent="0.3">
      <c r="J605" s="1">
        <v>0.21210000000000001</v>
      </c>
      <c r="K605">
        <f t="shared" si="9"/>
        <v>0.21210000000000001</v>
      </c>
    </row>
    <row r="606" spans="10:11" x14ac:dyDescent="0.3">
      <c r="J606" s="1">
        <v>0.21210000000000001</v>
      </c>
      <c r="K606">
        <f t="shared" si="9"/>
        <v>0.21210000000000001</v>
      </c>
    </row>
    <row r="607" spans="10:11" x14ac:dyDescent="0.3">
      <c r="J607" s="1">
        <v>0.21210000000000001</v>
      </c>
      <c r="K607">
        <f t="shared" si="9"/>
        <v>0.21210000000000001</v>
      </c>
    </row>
    <row r="608" spans="10:11" x14ac:dyDescent="0.3">
      <c r="J608" s="1">
        <v>0.21210000000000001</v>
      </c>
      <c r="K608">
        <f t="shared" si="9"/>
        <v>0.21210000000000001</v>
      </c>
    </row>
    <row r="609" spans="10:11" x14ac:dyDescent="0.3">
      <c r="J609" s="1">
        <v>0.21210000000000001</v>
      </c>
      <c r="K609">
        <f t="shared" si="9"/>
        <v>0.21210000000000001</v>
      </c>
    </row>
    <row r="610" spans="10:11" x14ac:dyDescent="0.3">
      <c r="J610" s="1">
        <v>0.2727</v>
      </c>
      <c r="K610">
        <f t="shared" si="9"/>
        <v>0.2727</v>
      </c>
    </row>
    <row r="611" spans="10:11" x14ac:dyDescent="0.3">
      <c r="J611" s="1">
        <v>0.2576</v>
      </c>
      <c r="K611">
        <f t="shared" si="9"/>
        <v>0.2576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B800-A585-40EB-8FE0-E7AB8613CF5F}">
  <dimension ref="A1:K614"/>
  <sheetViews>
    <sheetView workbookViewId="0">
      <selection activeCell="J9" sqref="J9"/>
    </sheetView>
  </sheetViews>
  <sheetFormatPr defaultRowHeight="14.4" x14ac:dyDescent="0.3"/>
  <cols>
    <col min="1" max="1" width="13.5546875" bestFit="1" customWidth="1"/>
    <col min="2" max="2" width="12.33203125" bestFit="1" customWidth="1"/>
    <col min="3" max="3" width="10.88671875" bestFit="1" customWidth="1"/>
    <col min="4" max="4" width="12.88671875" bestFit="1" customWidth="1"/>
    <col min="5" max="5" width="15" bestFit="1" customWidth="1"/>
    <col min="6" max="6" width="11.88671875" bestFit="1" customWidth="1"/>
    <col min="7" max="7" width="14.5546875" bestFit="1" customWidth="1"/>
    <col min="8" max="8" width="10.77734375" bestFit="1" customWidth="1"/>
    <col min="11" max="11" width="14.6640625" hidden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6" t="s">
        <v>19</v>
      </c>
    </row>
    <row r="2" spans="1:11" x14ac:dyDescent="0.3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  <c r="K2">
        <f>IF(Table1[[#This Row],[atemp]]="",ROUND(AVERAGE(Table1[atemp]),4),Table1[[#This Row],[atemp]])</f>
        <v>0.28789999999999999</v>
      </c>
    </row>
    <row r="3" spans="1:11" x14ac:dyDescent="0.3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  <c r="K3">
        <f>IF(Table1[[#This Row],[atemp]]="",ROUND(AVERAGE(Table1[atemp]),4),Table1[[#This Row],[atemp]])</f>
        <v>0.2727</v>
      </c>
    </row>
    <row r="4" spans="1:11" x14ac:dyDescent="0.3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  <c r="K4">
        <f>IF(Table1[[#This Row],[atemp]]="",ROUND(AVERAGE(Table1[atemp]),4),Table1[[#This Row],[atemp]])</f>
        <v>0.2727</v>
      </c>
    </row>
    <row r="5" spans="1:11" x14ac:dyDescent="0.3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  <c r="K5">
        <f>IF(Table1[[#This Row],[atemp]]="",ROUND(AVERAGE(Table1[atemp]),4),Table1[[#This Row],[atemp]])</f>
        <v>0.28789999999999999</v>
      </c>
    </row>
    <row r="6" spans="1:11" x14ac:dyDescent="0.3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  <c r="K6">
        <f>IF(Table1[[#This Row],[atemp]]="",ROUND(AVERAGE(Table1[atemp]),4),Table1[[#This Row],[atemp]])</f>
        <v>0.28789999999999999</v>
      </c>
    </row>
    <row r="7" spans="1:11" x14ac:dyDescent="0.3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  <c r="K7">
        <f>IF(Table1[[#This Row],[atemp]]="",ROUND(AVERAGE(Table1[atemp]),4),Table1[[#This Row],[atemp]])</f>
        <v>0.2576</v>
      </c>
    </row>
    <row r="8" spans="1:11" x14ac:dyDescent="0.3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  <c r="K8">
        <f>IF(Table1[[#This Row],[atemp]]="",ROUND(AVERAGE(Table1[atemp]),4),Table1[[#This Row],[atemp]])</f>
        <v>0.2727</v>
      </c>
    </row>
    <row r="9" spans="1:11" x14ac:dyDescent="0.3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  <c r="K9">
        <f>IF(Table1[[#This Row],[atemp]]="",ROUND(AVERAGE(Table1[atemp]),4),Table1[[#This Row],[atemp]])</f>
        <v>0.2576</v>
      </c>
    </row>
    <row r="10" spans="1:11" x14ac:dyDescent="0.3">
      <c r="A10" s="1">
        <v>8</v>
      </c>
      <c r="B10" s="1">
        <v>9</v>
      </c>
      <c r="C10">
        <v>0.19989999999999999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  <c r="K10">
        <f>IF(Table1[[#This Row],[atemp]]="",ROUND(AVERAGE(Table1[atemp]),4),Table1[[#This Row],[atemp]])</f>
        <v>0.19989999999999999</v>
      </c>
    </row>
    <row r="11" spans="1:11" x14ac:dyDescent="0.3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  <c r="K11">
        <f>IF(Table1[[#This Row],[atemp]]="",ROUND(AVERAGE(Table1[atemp]),4),Table1[[#This Row],[atemp]])</f>
        <v>0.34849999999999998</v>
      </c>
    </row>
    <row r="12" spans="1:11" x14ac:dyDescent="0.3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  <c r="K12">
        <f>IF(Table1[[#This Row],[atemp]]="",ROUND(AVERAGE(Table1[atemp]),4),Table1[[#This Row],[atemp]])</f>
        <v>0.39389999999999997</v>
      </c>
    </row>
    <row r="13" spans="1:11" x14ac:dyDescent="0.3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  <c r="K13">
        <f>IF(Table1[[#This Row],[atemp]]="",ROUND(AVERAGE(Table1[atemp]),4),Table1[[#This Row],[atemp]])</f>
        <v>0.33329999999999999</v>
      </c>
    </row>
    <row r="14" spans="1:11" x14ac:dyDescent="0.3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  <c r="K14">
        <f>IF(Table1[[#This Row],[atemp]]="",ROUND(AVERAGE(Table1[atemp]),4),Table1[[#This Row],[atemp]])</f>
        <v>0.42420000000000002</v>
      </c>
    </row>
    <row r="15" spans="1:11" x14ac:dyDescent="0.3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  <c r="K15">
        <f>IF(Table1[[#This Row],[atemp]]="",ROUND(AVERAGE(Table1[atemp]),4),Table1[[#This Row],[atemp]])</f>
        <v>0.45450000000000002</v>
      </c>
    </row>
    <row r="16" spans="1:11" x14ac:dyDescent="0.3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  <c r="K16">
        <f>IF(Table1[[#This Row],[atemp]]="",ROUND(AVERAGE(Table1[atemp]),4),Table1[[#This Row],[atemp]])</f>
        <v>0.45450000000000002</v>
      </c>
    </row>
    <row r="17" spans="1:11" x14ac:dyDescent="0.3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  <c r="K17">
        <f>IF(Table1[[#This Row],[atemp]]="",ROUND(AVERAGE(Table1[atemp]),4),Table1[[#This Row],[atemp]])</f>
        <v>0.43940000000000001</v>
      </c>
    </row>
    <row r="18" spans="1:11" x14ac:dyDescent="0.3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  <c r="K18">
        <f>IF(Table1[[#This Row],[atemp]]="",ROUND(AVERAGE(Table1[atemp]),4),Table1[[#This Row],[atemp]])</f>
        <v>0.42420000000000002</v>
      </c>
    </row>
    <row r="19" spans="1:11" x14ac:dyDescent="0.3">
      <c r="A19" s="1">
        <v>17</v>
      </c>
      <c r="B19" s="1">
        <v>18</v>
      </c>
      <c r="C19">
        <v>0.19989999999999999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  <c r="K19">
        <f>IF(Table1[[#This Row],[atemp]]="",ROUND(AVERAGE(Table1[atemp]),4),Table1[[#This Row],[atemp]])</f>
        <v>0.19989999999999999</v>
      </c>
    </row>
    <row r="20" spans="1:11" x14ac:dyDescent="0.3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  <c r="K20">
        <f>IF(Table1[[#This Row],[atemp]]="",ROUND(AVERAGE(Table1[atemp]),4),Table1[[#This Row],[atemp]])</f>
        <v>0.42420000000000002</v>
      </c>
    </row>
    <row r="21" spans="1:11" x14ac:dyDescent="0.3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  <c r="K21">
        <f>IF(Table1[[#This Row],[atemp]]="",ROUND(AVERAGE(Table1[atemp]),4),Table1[[#This Row],[atemp]])</f>
        <v>0.42420000000000002</v>
      </c>
    </row>
    <row r="22" spans="1:11" x14ac:dyDescent="0.3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  <c r="K22">
        <f>IF(Table1[[#This Row],[atemp]]="",ROUND(AVERAGE(Table1[atemp]),4),Table1[[#This Row],[atemp]])</f>
        <v>0.40910000000000002</v>
      </c>
    </row>
    <row r="23" spans="1:11" x14ac:dyDescent="0.3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  <c r="K23">
        <f>IF(Table1[[#This Row],[atemp]]="",ROUND(AVERAGE(Table1[atemp]),4),Table1[[#This Row],[atemp]])</f>
        <v>0.40910000000000002</v>
      </c>
    </row>
    <row r="24" spans="1:11" x14ac:dyDescent="0.3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  <c r="K24">
        <f>IF(Table1[[#This Row],[atemp]]="",ROUND(AVERAGE(Table1[atemp]),4),Table1[[#This Row],[atemp]])</f>
        <v>0.40910000000000002</v>
      </c>
    </row>
    <row r="25" spans="1:11" x14ac:dyDescent="0.3">
      <c r="A25" s="1">
        <v>23</v>
      </c>
      <c r="B25" s="1">
        <v>24</v>
      </c>
      <c r="C25">
        <v>0.19989999999999999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  <c r="K25">
        <f>IF(Table1[[#This Row],[atemp]]="",ROUND(AVERAGE(Table1[atemp]),4),Table1[[#This Row],[atemp]])</f>
        <v>0.19989999999999999</v>
      </c>
    </row>
    <row r="26" spans="1:11" x14ac:dyDescent="0.3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  <c r="K26">
        <f>IF(Table1[[#This Row],[atemp]]="",ROUND(AVERAGE(Table1[atemp]),4),Table1[[#This Row],[atemp]])</f>
        <v>0.45450000000000002</v>
      </c>
    </row>
    <row r="27" spans="1:11" x14ac:dyDescent="0.3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  <c r="K27">
        <f>IF(Table1[[#This Row],[atemp]]="",ROUND(AVERAGE(Table1[atemp]),4),Table1[[#This Row],[atemp]])</f>
        <v>0.43940000000000001</v>
      </c>
    </row>
    <row r="28" spans="1:11" x14ac:dyDescent="0.3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  <c r="K28">
        <f>IF(Table1[[#This Row],[atemp]]="",ROUND(AVERAGE(Table1[atemp]),4),Table1[[#This Row],[atemp]])</f>
        <v>0.42420000000000002</v>
      </c>
    </row>
    <row r="29" spans="1:11" x14ac:dyDescent="0.3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  <c r="K29">
        <f>IF(Table1[[#This Row],[atemp]]="",ROUND(AVERAGE(Table1[atemp]),4),Table1[[#This Row],[atemp]])</f>
        <v>0.45450000000000002</v>
      </c>
    </row>
    <row r="30" spans="1:11" x14ac:dyDescent="0.3">
      <c r="A30" s="1">
        <v>28</v>
      </c>
      <c r="B30" s="1">
        <v>29</v>
      </c>
      <c r="C30">
        <v>0.19989999999999999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  <c r="K30">
        <f>IF(Table1[[#This Row],[atemp]]="",ROUND(AVERAGE(Table1[atemp]),4),Table1[[#This Row],[atemp]])</f>
        <v>0.19989999999999999</v>
      </c>
    </row>
    <row r="31" spans="1:11" x14ac:dyDescent="0.3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  <c r="K31">
        <f>IF(Table1[[#This Row],[atemp]]="",ROUND(AVERAGE(Table1[atemp]),4),Table1[[#This Row],[atemp]])</f>
        <v>0.42420000000000002</v>
      </c>
    </row>
    <row r="32" spans="1:11" x14ac:dyDescent="0.3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  <c r="K32">
        <f>IF(Table1[[#This Row],[atemp]]="",ROUND(AVERAGE(Table1[atemp]),4),Table1[[#This Row],[atemp]])</f>
        <v>0.40910000000000002</v>
      </c>
    </row>
    <row r="33" spans="1:11" x14ac:dyDescent="0.3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  <c r="K33">
        <f>IF(Table1[[#This Row],[atemp]]="",ROUND(AVERAGE(Table1[atemp]),4),Table1[[#This Row],[atemp]])</f>
        <v>0.40910000000000002</v>
      </c>
    </row>
    <row r="34" spans="1:11" x14ac:dyDescent="0.3">
      <c r="A34" s="1">
        <v>32</v>
      </c>
      <c r="B34" s="1">
        <v>33</v>
      </c>
      <c r="C34">
        <v>0.19989999999999999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  <c r="K34">
        <f>IF(Table1[[#This Row],[atemp]]="",ROUND(AVERAGE(Table1[atemp]),4),Table1[[#This Row],[atemp]])</f>
        <v>0.19989999999999999</v>
      </c>
    </row>
    <row r="35" spans="1:11" x14ac:dyDescent="0.3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  <c r="K35">
        <f>IF(Table1[[#This Row],[atemp]]="",ROUND(AVERAGE(Table1[atemp]),4),Table1[[#This Row],[atemp]])</f>
        <v>0.34849999999999998</v>
      </c>
    </row>
    <row r="36" spans="1:11" x14ac:dyDescent="0.3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  <c r="K36">
        <f>IF(Table1[[#This Row],[atemp]]="",ROUND(AVERAGE(Table1[atemp]),4),Table1[[#This Row],[atemp]])</f>
        <v>0.33329999999999999</v>
      </c>
    </row>
    <row r="37" spans="1:11" x14ac:dyDescent="0.3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  <c r="K37">
        <f>IF(Table1[[#This Row],[atemp]]="",ROUND(AVERAGE(Table1[atemp]),4),Table1[[#This Row],[atemp]])</f>
        <v>0.33329999999999999</v>
      </c>
    </row>
    <row r="38" spans="1:11" x14ac:dyDescent="0.3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  <c r="K38">
        <f>IF(Table1[[#This Row],[atemp]]="",ROUND(AVERAGE(Table1[atemp]),4),Table1[[#This Row],[atemp]])</f>
        <v>0.34849999999999998</v>
      </c>
    </row>
    <row r="39" spans="1:11" x14ac:dyDescent="0.3">
      <c r="A39" s="1">
        <v>37</v>
      </c>
      <c r="B39" s="1">
        <v>38</v>
      </c>
      <c r="C39">
        <v>0.19989999999999999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  <c r="K39">
        <f>IF(Table1[[#This Row],[atemp]]="",ROUND(AVERAGE(Table1[atemp]),4),Table1[[#This Row],[atemp]])</f>
        <v>0.19989999999999999</v>
      </c>
    </row>
    <row r="40" spans="1:11" x14ac:dyDescent="0.3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  <c r="K40">
        <f>IF(Table1[[#This Row],[atemp]]="",ROUND(AVERAGE(Table1[atemp]),4),Table1[[#This Row],[atemp]])</f>
        <v>0.33329999999999999</v>
      </c>
    </row>
    <row r="41" spans="1:11" x14ac:dyDescent="0.3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  <c r="K41">
        <f>IF(Table1[[#This Row],[atemp]]="",ROUND(AVERAGE(Table1[atemp]),4),Table1[[#This Row],[atemp]])</f>
        <v>0.33329999999999999</v>
      </c>
    </row>
    <row r="42" spans="1:11" x14ac:dyDescent="0.3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  <c r="K42">
        <f>IF(Table1[[#This Row],[atemp]]="",ROUND(AVERAGE(Table1[atemp]),4),Table1[[#This Row],[atemp]])</f>
        <v>0.33329999999999999</v>
      </c>
    </row>
    <row r="43" spans="1:11" x14ac:dyDescent="0.3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  <c r="K43">
        <f>IF(Table1[[#This Row],[atemp]]="",ROUND(AVERAGE(Table1[atemp]),4),Table1[[#This Row],[atemp]])</f>
        <v>0.33329999999999999</v>
      </c>
    </row>
    <row r="44" spans="1:11" x14ac:dyDescent="0.3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  <c r="K44">
        <f>IF(Table1[[#This Row],[atemp]]="",ROUND(AVERAGE(Table1[atemp]),4),Table1[[#This Row],[atemp]])</f>
        <v>0.28789999999999999</v>
      </c>
    </row>
    <row r="45" spans="1:11" x14ac:dyDescent="0.3">
      <c r="A45" s="1">
        <v>43</v>
      </c>
      <c r="B45" s="1">
        <v>44</v>
      </c>
      <c r="C45">
        <v>0.19989999999999999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  <c r="K45">
        <f>IF(Table1[[#This Row],[atemp]]="",ROUND(AVERAGE(Table1[atemp]),4),Table1[[#This Row],[atemp]])</f>
        <v>0.19989999999999999</v>
      </c>
    </row>
    <row r="46" spans="1:11" x14ac:dyDescent="0.3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  <c r="K46">
        <f>IF(Table1[[#This Row],[atemp]]="",ROUND(AVERAGE(Table1[atemp]),4),Table1[[#This Row],[atemp]])</f>
        <v>0.2273</v>
      </c>
    </row>
    <row r="47" spans="1:11" x14ac:dyDescent="0.3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  <c r="K47">
        <f>IF(Table1[[#This Row],[atemp]]="",ROUND(AVERAGE(Table1[atemp]),4),Table1[[#This Row],[atemp]])</f>
        <v>0.21210000000000001</v>
      </c>
    </row>
    <row r="48" spans="1:11" x14ac:dyDescent="0.3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  <c r="K48">
        <f>IF(Table1[[#This Row],[atemp]]="",ROUND(AVERAGE(Table1[atemp]),4),Table1[[#This Row],[atemp]])</f>
        <v>0.2273</v>
      </c>
    </row>
    <row r="49" spans="1:11" x14ac:dyDescent="0.3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  <c r="K49">
        <f>IF(Table1[[#This Row],[atemp]]="",ROUND(AVERAGE(Table1[atemp]),4),Table1[[#This Row],[atemp]])</f>
        <v>0.19700000000000001</v>
      </c>
    </row>
    <row r="50" spans="1:11" x14ac:dyDescent="0.3">
      <c r="A50" s="1">
        <v>48</v>
      </c>
      <c r="B50" s="1">
        <v>49</v>
      </c>
      <c r="C50">
        <v>0.19989999999999999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  <c r="K50">
        <f>IF(Table1[[#This Row],[atemp]]="",ROUND(AVERAGE(Table1[atemp]),4),Table1[[#This Row],[atemp]])</f>
        <v>0.19989999999999999</v>
      </c>
    </row>
    <row r="51" spans="1:11" x14ac:dyDescent="0.3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  <c r="K51">
        <f>IF(Table1[[#This Row],[atemp]]="",ROUND(AVERAGE(Table1[atemp]),4),Table1[[#This Row],[atemp]])</f>
        <v>0.13639999999999999</v>
      </c>
    </row>
    <row r="52" spans="1:11" x14ac:dyDescent="0.3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  <c r="K52">
        <f>IF(Table1[[#This Row],[atemp]]="",ROUND(AVERAGE(Table1[atemp]),4),Table1[[#This Row],[atemp]])</f>
        <v>0.13639999999999999</v>
      </c>
    </row>
    <row r="53" spans="1:11" x14ac:dyDescent="0.3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  <c r="K53">
        <f>IF(Table1[[#This Row],[atemp]]="",ROUND(AVERAGE(Table1[atemp]),4),Table1[[#This Row],[atemp]])</f>
        <v>0.1061</v>
      </c>
    </row>
    <row r="54" spans="1:11" x14ac:dyDescent="0.3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  <c r="K54">
        <f>IF(Table1[[#This Row],[atemp]]="",ROUND(AVERAGE(Table1[atemp]),4),Table1[[#This Row],[atemp]])</f>
        <v>0.13639999999999999</v>
      </c>
    </row>
    <row r="55" spans="1:11" x14ac:dyDescent="0.3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  <c r="K55">
        <f>IF(Table1[[#This Row],[atemp]]="",ROUND(AVERAGE(Table1[atemp]),4),Table1[[#This Row],[atemp]])</f>
        <v>0.1212</v>
      </c>
    </row>
    <row r="56" spans="1:11" x14ac:dyDescent="0.3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  <c r="K56">
        <f>IF(Table1[[#This Row],[atemp]]="",ROUND(AVERAGE(Table1[atemp]),4),Table1[[#This Row],[atemp]])</f>
        <v>0.13639999999999999</v>
      </c>
    </row>
    <row r="57" spans="1:11" x14ac:dyDescent="0.3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  <c r="K57">
        <f>IF(Table1[[#This Row],[atemp]]="",ROUND(AVERAGE(Table1[atemp]),4),Table1[[#This Row],[atemp]])</f>
        <v>0.16669999999999999</v>
      </c>
    </row>
    <row r="58" spans="1:11" x14ac:dyDescent="0.3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  <c r="K58">
        <f>IF(Table1[[#This Row],[atemp]]="",ROUND(AVERAGE(Table1[atemp]),4),Table1[[#This Row],[atemp]])</f>
        <v>0.18179999999999999</v>
      </c>
    </row>
    <row r="59" spans="1:11" x14ac:dyDescent="0.3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  <c r="K59">
        <f>IF(Table1[[#This Row],[atemp]]="",ROUND(AVERAGE(Table1[atemp]),4),Table1[[#This Row],[atemp]])</f>
        <v>0.21210000000000001</v>
      </c>
    </row>
    <row r="60" spans="1:11" x14ac:dyDescent="0.3">
      <c r="A60" s="1">
        <v>58</v>
      </c>
      <c r="B60" s="1">
        <v>59</v>
      </c>
      <c r="C60">
        <v>0.19989999999999999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  <c r="K60">
        <f>IF(Table1[[#This Row],[atemp]]="",ROUND(AVERAGE(Table1[atemp]),4),Table1[[#This Row],[atemp]])</f>
        <v>0.19989999999999999</v>
      </c>
    </row>
    <row r="61" spans="1:11" x14ac:dyDescent="0.3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  <c r="K61">
        <f>IF(Table1[[#This Row],[atemp]]="",ROUND(AVERAGE(Table1[atemp]),4),Table1[[#This Row],[atemp]])</f>
        <v>0.2424</v>
      </c>
    </row>
    <row r="62" spans="1:11" x14ac:dyDescent="0.3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  <c r="K62">
        <f>IF(Table1[[#This Row],[atemp]]="",ROUND(AVERAGE(Table1[atemp]),4),Table1[[#This Row],[atemp]])</f>
        <v>0.2424</v>
      </c>
    </row>
    <row r="63" spans="1:11" x14ac:dyDescent="0.3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  <c r="K63">
        <f>IF(Table1[[#This Row],[atemp]]="",ROUND(AVERAGE(Table1[atemp]),4),Table1[[#This Row],[atemp]])</f>
        <v>0.2424</v>
      </c>
    </row>
    <row r="64" spans="1:11" x14ac:dyDescent="0.3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  <c r="K64">
        <f>IF(Table1[[#This Row],[atemp]]="",ROUND(AVERAGE(Table1[atemp]),4),Table1[[#This Row],[atemp]])</f>
        <v>0.2273</v>
      </c>
    </row>
    <row r="65" spans="1:11" x14ac:dyDescent="0.3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  <c r="K65">
        <f>IF(Table1[[#This Row],[atemp]]="",ROUND(AVERAGE(Table1[atemp]),4),Table1[[#This Row],[atemp]])</f>
        <v>0.2576</v>
      </c>
    </row>
    <row r="66" spans="1:11" x14ac:dyDescent="0.3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  <c r="K66">
        <f>IF(Table1[[#This Row],[atemp]]="",ROUND(AVERAGE(Table1[atemp]),4),Table1[[#This Row],[atemp]])</f>
        <v>0.2576</v>
      </c>
    </row>
    <row r="67" spans="1:11" x14ac:dyDescent="0.3">
      <c r="A67" s="1">
        <v>65</v>
      </c>
      <c r="B67" s="1">
        <v>66</v>
      </c>
      <c r="C67">
        <v>0.19989999999999999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  <c r="K67">
        <f>IF(Table1[[#This Row],[atemp]]="",ROUND(AVERAGE(Table1[atemp]),4),Table1[[#This Row],[atemp]])</f>
        <v>0.19989999999999999</v>
      </c>
    </row>
    <row r="68" spans="1:11" x14ac:dyDescent="0.3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  <c r="K68">
        <f>IF(Table1[[#This Row],[atemp]]="",ROUND(AVERAGE(Table1[atemp]),4),Table1[[#This Row],[atemp]])</f>
        <v>0.19700000000000001</v>
      </c>
    </row>
    <row r="69" spans="1:11" x14ac:dyDescent="0.3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  <c r="K69">
        <f>IF(Table1[[#This Row],[atemp]]="",ROUND(AVERAGE(Table1[atemp]),4),Table1[[#This Row],[atemp]])</f>
        <v>0.1515</v>
      </c>
    </row>
    <row r="70" spans="1:11" x14ac:dyDescent="0.3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  <c r="K70">
        <f>IF(Table1[[#This Row],[atemp]]="",ROUND(AVERAGE(Table1[atemp]),4),Table1[[#This Row],[atemp]])</f>
        <v>0.21210000000000001</v>
      </c>
    </row>
    <row r="71" spans="1:11" x14ac:dyDescent="0.3">
      <c r="A71" s="1">
        <v>69</v>
      </c>
      <c r="B71" s="1">
        <v>70</v>
      </c>
      <c r="C71">
        <v>0.19989999999999999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  <c r="K71">
        <f>IF(Table1[[#This Row],[atemp]]="",ROUND(AVERAGE(Table1[atemp]),4),Table1[[#This Row],[atemp]])</f>
        <v>0.19989999999999999</v>
      </c>
    </row>
    <row r="72" spans="1:11" x14ac:dyDescent="0.3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  <c r="K72">
        <f>IF(Table1[[#This Row],[atemp]]="",ROUND(AVERAGE(Table1[atemp]),4),Table1[[#This Row],[atemp]])</f>
        <v>0.18179999999999999</v>
      </c>
    </row>
    <row r="73" spans="1:11" x14ac:dyDescent="0.3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  <c r="K73">
        <f>IF(Table1[[#This Row],[atemp]]="",ROUND(AVERAGE(Table1[atemp]),4),Table1[[#This Row],[atemp]])</f>
        <v>0.1515</v>
      </c>
    </row>
    <row r="74" spans="1:11" x14ac:dyDescent="0.3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  <c r="K74">
        <f>IF(Table1[[#This Row],[atemp]]="",ROUND(AVERAGE(Table1[atemp]),4),Table1[[#This Row],[atemp]])</f>
        <v>0.18179999999999999</v>
      </c>
    </row>
    <row r="75" spans="1:11" x14ac:dyDescent="0.3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  <c r="K75">
        <f>IF(Table1[[#This Row],[atemp]]="",ROUND(AVERAGE(Table1[atemp]),4),Table1[[#This Row],[atemp]])</f>
        <v>0.1515</v>
      </c>
    </row>
    <row r="76" spans="1:11" x14ac:dyDescent="0.3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  <c r="K76">
        <f>IF(Table1[[#This Row],[atemp]]="",ROUND(AVERAGE(Table1[atemp]),4),Table1[[#This Row],[atemp]])</f>
        <v>0.1515</v>
      </c>
    </row>
    <row r="77" spans="1:11" x14ac:dyDescent="0.3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  <c r="K77">
        <f>IF(Table1[[#This Row],[atemp]]="",ROUND(AVERAGE(Table1[atemp]),4),Table1[[#This Row],[atemp]])</f>
        <v>0.1515</v>
      </c>
    </row>
    <row r="78" spans="1:11" x14ac:dyDescent="0.3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  <c r="K78">
        <f>IF(Table1[[#This Row],[atemp]]="",ROUND(AVERAGE(Table1[atemp]),4),Table1[[#This Row],[atemp]])</f>
        <v>0.1515</v>
      </c>
    </row>
    <row r="79" spans="1:11" x14ac:dyDescent="0.3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  <c r="K79">
        <f>IF(Table1[[#This Row],[atemp]]="",ROUND(AVERAGE(Table1[atemp]),4),Table1[[#This Row],[atemp]])</f>
        <v>0.1515</v>
      </c>
    </row>
    <row r="80" spans="1:11" x14ac:dyDescent="0.3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  <c r="K80">
        <f>IF(Table1[[#This Row],[atemp]]="",ROUND(AVERAGE(Table1[atemp]),4),Table1[[#This Row],[atemp]])</f>
        <v>0.13639999999999999</v>
      </c>
    </row>
    <row r="81" spans="1:11" x14ac:dyDescent="0.3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  <c r="K81">
        <f>IF(Table1[[#This Row],[atemp]]="",ROUND(AVERAGE(Table1[atemp]),4),Table1[[#This Row],[atemp]])</f>
        <v>0.21210000000000001</v>
      </c>
    </row>
    <row r="82" spans="1:11" x14ac:dyDescent="0.3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  <c r="K82">
        <f>IF(Table1[[#This Row],[atemp]]="",ROUND(AVERAGE(Table1[atemp]),4),Table1[[#This Row],[atemp]])</f>
        <v>0.2273</v>
      </c>
    </row>
    <row r="83" spans="1:11" x14ac:dyDescent="0.3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  <c r="K83">
        <f>IF(Table1[[#This Row],[atemp]]="",ROUND(AVERAGE(Table1[atemp]),4),Table1[[#This Row],[atemp]])</f>
        <v>0.2273</v>
      </c>
    </row>
    <row r="84" spans="1:11" x14ac:dyDescent="0.3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  <c r="K84">
        <f>IF(Table1[[#This Row],[atemp]]="",ROUND(AVERAGE(Table1[atemp]),4),Table1[[#This Row],[atemp]])</f>
        <v>0.2576</v>
      </c>
    </row>
    <row r="85" spans="1:11" x14ac:dyDescent="0.3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  <c r="K85">
        <f>IF(Table1[[#This Row],[atemp]]="",ROUND(AVERAGE(Table1[atemp]),4),Table1[[#This Row],[atemp]])</f>
        <v>0.2727</v>
      </c>
    </row>
    <row r="86" spans="1:11" x14ac:dyDescent="0.3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  <c r="K86">
        <f>IF(Table1[[#This Row],[atemp]]="",ROUND(AVERAGE(Table1[atemp]),4),Table1[[#This Row],[atemp]])</f>
        <v>0.28789999999999999</v>
      </c>
    </row>
    <row r="87" spans="1:11" x14ac:dyDescent="0.3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  <c r="K87">
        <f>IF(Table1[[#This Row],[atemp]]="",ROUND(AVERAGE(Table1[atemp]),4),Table1[[#This Row],[atemp]])</f>
        <v>0.2727</v>
      </c>
    </row>
    <row r="88" spans="1:11" x14ac:dyDescent="0.3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  <c r="K88">
        <f>IF(Table1[[#This Row],[atemp]]="",ROUND(AVERAGE(Table1[atemp]),4),Table1[[#This Row],[atemp]])</f>
        <v>0.2576</v>
      </c>
    </row>
    <row r="89" spans="1:11" x14ac:dyDescent="0.3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  <c r="K89">
        <f>IF(Table1[[#This Row],[atemp]]="",ROUND(AVERAGE(Table1[atemp]),4),Table1[[#This Row],[atemp]])</f>
        <v>0.2576</v>
      </c>
    </row>
    <row r="90" spans="1:11" x14ac:dyDescent="0.3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  <c r="K90">
        <f>IF(Table1[[#This Row],[atemp]]="",ROUND(AVERAGE(Table1[atemp]),4),Table1[[#This Row],[atemp]])</f>
        <v>0.2576</v>
      </c>
    </row>
    <row r="91" spans="1:11" x14ac:dyDescent="0.3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  <c r="K91">
        <f>IF(Table1[[#This Row],[atemp]]="",ROUND(AVERAGE(Table1[atemp]),4),Table1[[#This Row],[atemp]])</f>
        <v>0.2727</v>
      </c>
    </row>
    <row r="92" spans="1:11" x14ac:dyDescent="0.3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  <c r="K92">
        <f>IF(Table1[[#This Row],[atemp]]="",ROUND(AVERAGE(Table1[atemp]),4),Table1[[#This Row],[atemp]])</f>
        <v>0.2576</v>
      </c>
    </row>
    <row r="93" spans="1:11" x14ac:dyDescent="0.3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  <c r="K93">
        <f>IF(Table1[[#This Row],[atemp]]="",ROUND(AVERAGE(Table1[atemp]),4),Table1[[#This Row],[atemp]])</f>
        <v>0.2273</v>
      </c>
    </row>
    <row r="94" spans="1:11" x14ac:dyDescent="0.3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  <c r="K94">
        <f>IF(Table1[[#This Row],[atemp]]="",ROUND(AVERAGE(Table1[atemp]),4),Table1[[#This Row],[atemp]])</f>
        <v>0.2576</v>
      </c>
    </row>
    <row r="95" spans="1:11" x14ac:dyDescent="0.3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  <c r="K95">
        <f>IF(Table1[[#This Row],[atemp]]="",ROUND(AVERAGE(Table1[atemp]),4),Table1[[#This Row],[atemp]])</f>
        <v>0.19700000000000001</v>
      </c>
    </row>
    <row r="96" spans="1:11" x14ac:dyDescent="0.3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  <c r="K96">
        <f>IF(Table1[[#This Row],[atemp]]="",ROUND(AVERAGE(Table1[atemp]),4),Table1[[#This Row],[atemp]])</f>
        <v>0.19700000000000001</v>
      </c>
    </row>
    <row r="97" spans="1:11" x14ac:dyDescent="0.3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  <c r="K97">
        <f>IF(Table1[[#This Row],[atemp]]="",ROUND(AVERAGE(Table1[atemp]),4),Table1[[#This Row],[atemp]])</f>
        <v>0.2273</v>
      </c>
    </row>
    <row r="98" spans="1:11" x14ac:dyDescent="0.3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  <c r="K98">
        <f>IF(Table1[[#This Row],[atemp]]="",ROUND(AVERAGE(Table1[atemp]),4),Table1[[#This Row],[atemp]])</f>
        <v>0.2273</v>
      </c>
    </row>
    <row r="99" spans="1:11" x14ac:dyDescent="0.3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  <c r="K99">
        <f>IF(Table1[[#This Row],[atemp]]="",ROUND(AVERAGE(Table1[atemp]),4),Table1[[#This Row],[atemp]])</f>
        <v>0.19700000000000001</v>
      </c>
    </row>
    <row r="100" spans="1:11" x14ac:dyDescent="0.3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  <c r="K100">
        <f>IF(Table1[[#This Row],[atemp]]="",ROUND(AVERAGE(Table1[atemp]),4),Table1[[#This Row],[atemp]])</f>
        <v>0.18179999999999999</v>
      </c>
    </row>
    <row r="101" spans="1:11" x14ac:dyDescent="0.3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  <c r="K101">
        <f>IF(Table1[[#This Row],[atemp]]="",ROUND(AVERAGE(Table1[atemp]),4),Table1[[#This Row],[atemp]])</f>
        <v>0.18179999999999999</v>
      </c>
    </row>
    <row r="102" spans="1:11" x14ac:dyDescent="0.3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  <c r="K102">
        <f>IF(Table1[[#This Row],[atemp]]="",ROUND(AVERAGE(Table1[atemp]),4),Table1[[#This Row],[atemp]])</f>
        <v>0.19700000000000001</v>
      </c>
    </row>
    <row r="103" spans="1:11" x14ac:dyDescent="0.3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  <c r="K103">
        <f>IF(Table1[[#This Row],[atemp]]="",ROUND(AVERAGE(Table1[atemp]),4),Table1[[#This Row],[atemp]])</f>
        <v>0.19700000000000001</v>
      </c>
    </row>
    <row r="104" spans="1:11" x14ac:dyDescent="0.3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  <c r="K104">
        <f>IF(Table1[[#This Row],[atemp]]="",ROUND(AVERAGE(Table1[atemp]),4),Table1[[#This Row],[atemp]])</f>
        <v>0.2273</v>
      </c>
    </row>
    <row r="105" spans="1:11" x14ac:dyDescent="0.3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  <c r="K105">
        <f>IF(Table1[[#This Row],[atemp]]="",ROUND(AVERAGE(Table1[atemp]),4),Table1[[#This Row],[atemp]])</f>
        <v>0.2273</v>
      </c>
    </row>
    <row r="106" spans="1:11" x14ac:dyDescent="0.3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  <c r="K106">
        <f>IF(Table1[[#This Row],[atemp]]="",ROUND(AVERAGE(Table1[atemp]),4),Table1[[#This Row],[atemp]])</f>
        <v>0.2576</v>
      </c>
    </row>
    <row r="107" spans="1:11" x14ac:dyDescent="0.3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  <c r="K107">
        <f>IF(Table1[[#This Row],[atemp]]="",ROUND(AVERAGE(Table1[atemp]),4),Table1[[#This Row],[atemp]])</f>
        <v>0.28789999999999999</v>
      </c>
    </row>
    <row r="108" spans="1:11" x14ac:dyDescent="0.3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  <c r="K108">
        <f>IF(Table1[[#This Row],[atemp]]="",ROUND(AVERAGE(Table1[atemp]),4),Table1[[#This Row],[atemp]])</f>
        <v>0.28789999999999999</v>
      </c>
    </row>
    <row r="109" spans="1:11" x14ac:dyDescent="0.3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  <c r="K109">
        <f>IF(Table1[[#This Row],[atemp]]="",ROUND(AVERAGE(Table1[atemp]),4),Table1[[#This Row],[atemp]])</f>
        <v>0.31819999999999998</v>
      </c>
    </row>
    <row r="110" spans="1:11" x14ac:dyDescent="0.3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  <c r="K110">
        <f>IF(Table1[[#This Row],[atemp]]="",ROUND(AVERAGE(Table1[atemp]),4),Table1[[#This Row],[atemp]])</f>
        <v>0.2273</v>
      </c>
    </row>
    <row r="111" spans="1:11" x14ac:dyDescent="0.3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  <c r="K111">
        <f>IF(Table1[[#This Row],[atemp]]="",ROUND(AVERAGE(Table1[atemp]),4),Table1[[#This Row],[atemp]])</f>
        <v>0.2424</v>
      </c>
    </row>
    <row r="112" spans="1:11" x14ac:dyDescent="0.3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  <c r="K112">
        <f>IF(Table1[[#This Row],[atemp]]="",ROUND(AVERAGE(Table1[atemp]),4),Table1[[#This Row],[atemp]])</f>
        <v>0.2576</v>
      </c>
    </row>
    <row r="113" spans="1:11" x14ac:dyDescent="0.3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  <c r="K113">
        <f>IF(Table1[[#This Row],[atemp]]="",ROUND(AVERAGE(Table1[atemp]),4),Table1[[#This Row],[atemp]])</f>
        <v>0.2273</v>
      </c>
    </row>
    <row r="114" spans="1:11" x14ac:dyDescent="0.3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  <c r="K114">
        <f>IF(Table1[[#This Row],[atemp]]="",ROUND(AVERAGE(Table1[atemp]),4),Table1[[#This Row],[atemp]])</f>
        <v>0.19700000000000001</v>
      </c>
    </row>
    <row r="115" spans="1:11" x14ac:dyDescent="0.3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  <c r="K115">
        <f>IF(Table1[[#This Row],[atemp]]="",ROUND(AVERAGE(Table1[atemp]),4),Table1[[#This Row],[atemp]])</f>
        <v>0.19700000000000001</v>
      </c>
    </row>
    <row r="116" spans="1:11" x14ac:dyDescent="0.3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  <c r="K116">
        <f>IF(Table1[[#This Row],[atemp]]="",ROUND(AVERAGE(Table1[atemp]),4),Table1[[#This Row],[atemp]])</f>
        <v>0.2576</v>
      </c>
    </row>
    <row r="117" spans="1:11" x14ac:dyDescent="0.3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  <c r="K117">
        <f>IF(Table1[[#This Row],[atemp]]="",ROUND(AVERAGE(Table1[atemp]),4),Table1[[#This Row],[atemp]])</f>
        <v>0.2424</v>
      </c>
    </row>
    <row r="118" spans="1:11" x14ac:dyDescent="0.3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  <c r="K118">
        <f>IF(Table1[[#This Row],[atemp]]="",ROUND(AVERAGE(Table1[atemp]),4),Table1[[#This Row],[atemp]])</f>
        <v>0.2273</v>
      </c>
    </row>
    <row r="119" spans="1:11" x14ac:dyDescent="0.3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  <c r="K119">
        <f>IF(Table1[[#This Row],[atemp]]="",ROUND(AVERAGE(Table1[atemp]),4),Table1[[#This Row],[atemp]])</f>
        <v>0.2273</v>
      </c>
    </row>
    <row r="120" spans="1:11" x14ac:dyDescent="0.3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  <c r="K120">
        <f>IF(Table1[[#This Row],[atemp]]="",ROUND(AVERAGE(Table1[atemp]),4),Table1[[#This Row],[atemp]])</f>
        <v>0.19700000000000001</v>
      </c>
    </row>
    <row r="121" spans="1:11" x14ac:dyDescent="0.3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  <c r="K121">
        <f>IF(Table1[[#This Row],[atemp]]="",ROUND(AVERAGE(Table1[atemp]),4),Table1[[#This Row],[atemp]])</f>
        <v>0.18179999999999999</v>
      </c>
    </row>
    <row r="122" spans="1:11" x14ac:dyDescent="0.3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  <c r="K122">
        <f>IF(Table1[[#This Row],[atemp]]="",ROUND(AVERAGE(Table1[atemp]),4),Table1[[#This Row],[atemp]])</f>
        <v>0.16669999999999999</v>
      </c>
    </row>
    <row r="123" spans="1:11" x14ac:dyDescent="0.3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  <c r="K123">
        <f>IF(Table1[[#This Row],[atemp]]="",ROUND(AVERAGE(Table1[atemp]),4),Table1[[#This Row],[atemp]])</f>
        <v>0.2273</v>
      </c>
    </row>
    <row r="124" spans="1:11" x14ac:dyDescent="0.3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  <c r="K124">
        <f>IF(Table1[[#This Row],[atemp]]="",ROUND(AVERAGE(Table1[atemp]),4),Table1[[#This Row],[atemp]])</f>
        <v>0.2273</v>
      </c>
    </row>
    <row r="125" spans="1:11" x14ac:dyDescent="0.3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  <c r="K125">
        <f>IF(Table1[[#This Row],[atemp]]="",ROUND(AVERAGE(Table1[atemp]),4),Table1[[#This Row],[atemp]])</f>
        <v>0.2424</v>
      </c>
    </row>
    <row r="126" spans="1:11" x14ac:dyDescent="0.3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  <c r="K126">
        <f>IF(Table1[[#This Row],[atemp]]="",ROUND(AVERAGE(Table1[atemp]),4),Table1[[#This Row],[atemp]])</f>
        <v>0.2576</v>
      </c>
    </row>
    <row r="127" spans="1:11" x14ac:dyDescent="0.3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  <c r="K127">
        <f>IF(Table1[[#This Row],[atemp]]="",ROUND(AVERAGE(Table1[atemp]),4),Table1[[#This Row],[atemp]])</f>
        <v>0.2576</v>
      </c>
    </row>
    <row r="128" spans="1:11" x14ac:dyDescent="0.3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  <c r="K128">
        <f>IF(Table1[[#This Row],[atemp]]="",ROUND(AVERAGE(Table1[atemp]),4),Table1[[#This Row],[atemp]])</f>
        <v>0.28789999999999999</v>
      </c>
    </row>
    <row r="129" spans="1:11" x14ac:dyDescent="0.3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  <c r="K129">
        <f>IF(Table1[[#This Row],[atemp]]="",ROUND(AVERAGE(Table1[atemp]),4),Table1[[#This Row],[atemp]])</f>
        <v>0.2727</v>
      </c>
    </row>
    <row r="130" spans="1:11" x14ac:dyDescent="0.3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  <c r="K130">
        <f>IF(Table1[[#This Row],[atemp]]="",ROUND(AVERAGE(Table1[atemp]),4),Table1[[#This Row],[atemp]])</f>
        <v>0.2727</v>
      </c>
    </row>
    <row r="131" spans="1:11" x14ac:dyDescent="0.3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  <c r="K131">
        <f>IF(Table1[[#This Row],[atemp]]="",ROUND(AVERAGE(Table1[atemp]),4),Table1[[#This Row],[atemp]])</f>
        <v>0.2727</v>
      </c>
    </row>
    <row r="132" spans="1:11" x14ac:dyDescent="0.3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  <c r="K132">
        <f>IF(Table1[[#This Row],[atemp]]="",ROUND(AVERAGE(Table1[atemp]),4),Table1[[#This Row],[atemp]])</f>
        <v>0.2576</v>
      </c>
    </row>
    <row r="133" spans="1:11" x14ac:dyDescent="0.3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  <c r="K133">
        <f>IF(Table1[[#This Row],[atemp]]="",ROUND(AVERAGE(Table1[atemp]),4),Table1[[#This Row],[atemp]])</f>
        <v>0.2273</v>
      </c>
    </row>
    <row r="134" spans="1:11" x14ac:dyDescent="0.3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  <c r="K134">
        <f>IF(Table1[[#This Row],[atemp]]="",ROUND(AVERAGE(Table1[atemp]),4),Table1[[#This Row],[atemp]])</f>
        <v>0.2273</v>
      </c>
    </row>
    <row r="135" spans="1:11" x14ac:dyDescent="0.3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  <c r="K135">
        <f>IF(Table1[[#This Row],[atemp]]="",ROUND(AVERAGE(Table1[atemp]),4),Table1[[#This Row],[atemp]])</f>
        <v>0.2576</v>
      </c>
    </row>
    <row r="136" spans="1:11" x14ac:dyDescent="0.3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  <c r="K136">
        <f>IF(Table1[[#This Row],[atemp]]="",ROUND(AVERAGE(Table1[atemp]),4),Table1[[#This Row],[atemp]])</f>
        <v>0.21210000000000001</v>
      </c>
    </row>
    <row r="137" spans="1:11" x14ac:dyDescent="0.3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  <c r="K137">
        <f>IF(Table1[[#This Row],[atemp]]="",ROUND(AVERAGE(Table1[atemp]),4),Table1[[#This Row],[atemp]])</f>
        <v>0.21210000000000001</v>
      </c>
    </row>
    <row r="138" spans="1:11" x14ac:dyDescent="0.3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  <c r="K138">
        <f>IF(Table1[[#This Row],[atemp]]="",ROUND(AVERAGE(Table1[atemp]),4),Table1[[#This Row],[atemp]])</f>
        <v>0.21210000000000001</v>
      </c>
    </row>
    <row r="139" spans="1:11" x14ac:dyDescent="0.3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  <c r="K139">
        <f>IF(Table1[[#This Row],[atemp]]="",ROUND(AVERAGE(Table1[atemp]),4),Table1[[#This Row],[atemp]])</f>
        <v>0.19700000000000001</v>
      </c>
    </row>
    <row r="140" spans="1:11" x14ac:dyDescent="0.3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  <c r="K140">
        <f>IF(Table1[[#This Row],[atemp]]="",ROUND(AVERAGE(Table1[atemp]),4),Table1[[#This Row],[atemp]])</f>
        <v>0.19700000000000001</v>
      </c>
    </row>
    <row r="141" spans="1:11" x14ac:dyDescent="0.3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  <c r="K141">
        <f>IF(Table1[[#This Row],[atemp]]="",ROUND(AVERAGE(Table1[atemp]),4),Table1[[#This Row],[atemp]])</f>
        <v>0.19700000000000001</v>
      </c>
    </row>
    <row r="142" spans="1:11" x14ac:dyDescent="0.3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  <c r="K142">
        <f>IF(Table1[[#This Row],[atemp]]="",ROUND(AVERAGE(Table1[atemp]),4),Table1[[#This Row],[atemp]])</f>
        <v>0.19700000000000001</v>
      </c>
    </row>
    <row r="143" spans="1:11" x14ac:dyDescent="0.3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  <c r="K143">
        <f>IF(Table1[[#This Row],[atemp]]="",ROUND(AVERAGE(Table1[atemp]),4),Table1[[#This Row],[atemp]])</f>
        <v>0.21210000000000001</v>
      </c>
    </row>
    <row r="144" spans="1:11" x14ac:dyDescent="0.3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  <c r="K144">
        <f>IF(Table1[[#This Row],[atemp]]="",ROUND(AVERAGE(Table1[atemp]),4),Table1[[#This Row],[atemp]])</f>
        <v>0.2727</v>
      </c>
    </row>
    <row r="145" spans="1:11" x14ac:dyDescent="0.3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  <c r="K145">
        <f>IF(Table1[[#This Row],[atemp]]="",ROUND(AVERAGE(Table1[atemp]),4),Table1[[#This Row],[atemp]])</f>
        <v>0.2576</v>
      </c>
    </row>
    <row r="146" spans="1:11" x14ac:dyDescent="0.3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  <c r="K146">
        <f>IF(Table1[[#This Row],[atemp]]="",ROUND(AVERAGE(Table1[atemp]),4),Table1[[#This Row],[atemp]])</f>
        <v>0.21210000000000001</v>
      </c>
    </row>
    <row r="147" spans="1:11" x14ac:dyDescent="0.3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  <c r="K147">
        <f>IF(Table1[[#This Row],[atemp]]="",ROUND(AVERAGE(Table1[atemp]),4),Table1[[#This Row],[atemp]])</f>
        <v>0.19700000000000001</v>
      </c>
    </row>
    <row r="148" spans="1:11" x14ac:dyDescent="0.3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  <c r="K148">
        <f>IF(Table1[[#This Row],[atemp]]="",ROUND(AVERAGE(Table1[atemp]),4),Table1[[#This Row],[atemp]])</f>
        <v>0.18179999999999999</v>
      </c>
    </row>
    <row r="149" spans="1:11" x14ac:dyDescent="0.3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  <c r="K149">
        <f>IF(Table1[[#This Row],[atemp]]="",ROUND(AVERAGE(Table1[atemp]),4),Table1[[#This Row],[atemp]])</f>
        <v>0.19700000000000001</v>
      </c>
    </row>
    <row r="150" spans="1:11" x14ac:dyDescent="0.3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  <c r="K150">
        <f>IF(Table1[[#This Row],[atemp]]="",ROUND(AVERAGE(Table1[atemp]),4),Table1[[#This Row],[atemp]])</f>
        <v>0.19700000000000001</v>
      </c>
    </row>
    <row r="151" spans="1:11" x14ac:dyDescent="0.3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  <c r="K151">
        <f>IF(Table1[[#This Row],[atemp]]="",ROUND(AVERAGE(Table1[atemp]),4),Table1[[#This Row],[atemp]])</f>
        <v>0.19700000000000001</v>
      </c>
    </row>
    <row r="152" spans="1:11" x14ac:dyDescent="0.3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  <c r="K152">
        <f>IF(Table1[[#This Row],[atemp]]="",ROUND(AVERAGE(Table1[atemp]),4),Table1[[#This Row],[atemp]])</f>
        <v>0.18179999999999999</v>
      </c>
    </row>
    <row r="153" spans="1:11" x14ac:dyDescent="0.3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  <c r="K153">
        <f>IF(Table1[[#This Row],[atemp]]="",ROUND(AVERAGE(Table1[atemp]),4),Table1[[#This Row],[atemp]])</f>
        <v>0.19700000000000001</v>
      </c>
    </row>
    <row r="154" spans="1:11" x14ac:dyDescent="0.3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  <c r="K154">
        <f>IF(Table1[[#This Row],[atemp]]="",ROUND(AVERAGE(Table1[atemp]),4),Table1[[#This Row],[atemp]])</f>
        <v>0.21210000000000001</v>
      </c>
    </row>
    <row r="155" spans="1:11" x14ac:dyDescent="0.3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  <c r="K155">
        <f>IF(Table1[[#This Row],[atemp]]="",ROUND(AVERAGE(Table1[atemp]),4),Table1[[#This Row],[atemp]])</f>
        <v>0.21210000000000001</v>
      </c>
    </row>
    <row r="156" spans="1:11" x14ac:dyDescent="0.3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  <c r="K156">
        <f>IF(Table1[[#This Row],[atemp]]="",ROUND(AVERAGE(Table1[atemp]),4),Table1[[#This Row],[atemp]])</f>
        <v>0.2576</v>
      </c>
    </row>
    <row r="157" spans="1:11" x14ac:dyDescent="0.3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  <c r="K157">
        <f>IF(Table1[[#This Row],[atemp]]="",ROUND(AVERAGE(Table1[atemp]),4),Table1[[#This Row],[atemp]])</f>
        <v>0.2273</v>
      </c>
    </row>
    <row r="158" spans="1:11" x14ac:dyDescent="0.3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  <c r="K158">
        <f>IF(Table1[[#This Row],[atemp]]="",ROUND(AVERAGE(Table1[atemp]),4),Table1[[#This Row],[atemp]])</f>
        <v>0.19700000000000001</v>
      </c>
    </row>
    <row r="159" spans="1:11" x14ac:dyDescent="0.3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  <c r="K159">
        <f>IF(Table1[[#This Row],[atemp]]="",ROUND(AVERAGE(Table1[atemp]),4),Table1[[#This Row],[atemp]])</f>
        <v>0.21210000000000001</v>
      </c>
    </row>
    <row r="160" spans="1:11" x14ac:dyDescent="0.3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  <c r="K160">
        <f>IF(Table1[[#This Row],[atemp]]="",ROUND(AVERAGE(Table1[atemp]),4),Table1[[#This Row],[atemp]])</f>
        <v>0.19700000000000001</v>
      </c>
    </row>
    <row r="161" spans="1:11" x14ac:dyDescent="0.3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  <c r="K161">
        <f>IF(Table1[[#This Row],[atemp]]="",ROUND(AVERAGE(Table1[atemp]),4),Table1[[#This Row],[atemp]])</f>
        <v>0.19700000000000001</v>
      </c>
    </row>
    <row r="162" spans="1:11" x14ac:dyDescent="0.3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  <c r="K162">
        <f>IF(Table1[[#This Row],[atemp]]="",ROUND(AVERAGE(Table1[atemp]),4),Table1[[#This Row],[atemp]])</f>
        <v>0.19700000000000001</v>
      </c>
    </row>
    <row r="163" spans="1:11" x14ac:dyDescent="0.3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  <c r="K163">
        <f>IF(Table1[[#This Row],[atemp]]="",ROUND(AVERAGE(Table1[atemp]),4),Table1[[#This Row],[atemp]])</f>
        <v>0.19700000000000001</v>
      </c>
    </row>
    <row r="164" spans="1:11" x14ac:dyDescent="0.3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  <c r="K164">
        <f>IF(Table1[[#This Row],[atemp]]="",ROUND(AVERAGE(Table1[atemp]),4),Table1[[#This Row],[atemp]])</f>
        <v>0.21210000000000001</v>
      </c>
    </row>
    <row r="165" spans="1:11" x14ac:dyDescent="0.3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  <c r="K165">
        <f>IF(Table1[[#This Row],[atemp]]="",ROUND(AVERAGE(Table1[atemp]),4),Table1[[#This Row],[atemp]])</f>
        <v>0.2424</v>
      </c>
    </row>
    <row r="166" spans="1:11" x14ac:dyDescent="0.3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  <c r="K166">
        <f>IF(Table1[[#This Row],[atemp]]="",ROUND(AVERAGE(Table1[atemp]),4),Table1[[#This Row],[atemp]])</f>
        <v>0.19700000000000001</v>
      </c>
    </row>
    <row r="167" spans="1:11" x14ac:dyDescent="0.3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  <c r="K167">
        <f>IF(Table1[[#This Row],[atemp]]="",ROUND(AVERAGE(Table1[atemp]),4),Table1[[#This Row],[atemp]])</f>
        <v>0.19700000000000001</v>
      </c>
    </row>
    <row r="168" spans="1:11" x14ac:dyDescent="0.3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  <c r="K168">
        <f>IF(Table1[[#This Row],[atemp]]="",ROUND(AVERAGE(Table1[atemp]),4),Table1[[#This Row],[atemp]])</f>
        <v>0.16669999999999999</v>
      </c>
    </row>
    <row r="169" spans="1:11" x14ac:dyDescent="0.3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  <c r="K169">
        <f>IF(Table1[[#This Row],[atemp]]="",ROUND(AVERAGE(Table1[atemp]),4),Table1[[#This Row],[atemp]])</f>
        <v>0.16669999999999999</v>
      </c>
    </row>
    <row r="170" spans="1:11" x14ac:dyDescent="0.3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  <c r="K170">
        <f>IF(Table1[[#This Row],[atemp]]="",ROUND(AVERAGE(Table1[atemp]),4),Table1[[#This Row],[atemp]])</f>
        <v>0.18179999999999999</v>
      </c>
    </row>
    <row r="171" spans="1:11" x14ac:dyDescent="0.3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  <c r="K171">
        <f>IF(Table1[[#This Row],[atemp]]="",ROUND(AVERAGE(Table1[atemp]),4),Table1[[#This Row],[atemp]])</f>
        <v>0.18179999999999999</v>
      </c>
    </row>
    <row r="172" spans="1:11" x14ac:dyDescent="0.3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  <c r="K172">
        <f>IF(Table1[[#This Row],[atemp]]="",ROUND(AVERAGE(Table1[atemp]),4),Table1[[#This Row],[atemp]])</f>
        <v>0.18179999999999999</v>
      </c>
    </row>
    <row r="173" spans="1:11" x14ac:dyDescent="0.3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  <c r="K173">
        <f>IF(Table1[[#This Row],[atemp]]="",ROUND(AVERAGE(Table1[atemp]),4),Table1[[#This Row],[atemp]])</f>
        <v>0.19700000000000001</v>
      </c>
    </row>
    <row r="174" spans="1:11" x14ac:dyDescent="0.3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  <c r="K174">
        <f>IF(Table1[[#This Row],[atemp]]="",ROUND(AVERAGE(Table1[atemp]),4),Table1[[#This Row],[atemp]])</f>
        <v>0.18179999999999999</v>
      </c>
    </row>
    <row r="175" spans="1:11" x14ac:dyDescent="0.3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  <c r="K175">
        <f>IF(Table1[[#This Row],[atemp]]="",ROUND(AVERAGE(Table1[atemp]),4),Table1[[#This Row],[atemp]])</f>
        <v>0.18179999999999999</v>
      </c>
    </row>
    <row r="176" spans="1:11" x14ac:dyDescent="0.3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  <c r="K176">
        <f>IF(Table1[[#This Row],[atemp]]="",ROUND(AVERAGE(Table1[atemp]),4),Table1[[#This Row],[atemp]])</f>
        <v>0.18179999999999999</v>
      </c>
    </row>
    <row r="177" spans="1:11" x14ac:dyDescent="0.3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  <c r="K177">
        <f>IF(Table1[[#This Row],[atemp]]="",ROUND(AVERAGE(Table1[atemp]),4),Table1[[#This Row],[atemp]])</f>
        <v>0.16669999999999999</v>
      </c>
    </row>
    <row r="178" spans="1:11" x14ac:dyDescent="0.3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  <c r="K178">
        <f>IF(Table1[[#This Row],[atemp]]="",ROUND(AVERAGE(Table1[atemp]),4),Table1[[#This Row],[atemp]])</f>
        <v>0.16669999999999999</v>
      </c>
    </row>
    <row r="179" spans="1:11" x14ac:dyDescent="0.3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  <c r="K179">
        <f>IF(Table1[[#This Row],[atemp]]="",ROUND(AVERAGE(Table1[atemp]),4),Table1[[#This Row],[atemp]])</f>
        <v>0.13639999999999999</v>
      </c>
    </row>
    <row r="180" spans="1:11" x14ac:dyDescent="0.3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  <c r="K180">
        <f>IF(Table1[[#This Row],[atemp]]="",ROUND(AVERAGE(Table1[atemp]),4),Table1[[#This Row],[atemp]])</f>
        <v>0.1212</v>
      </c>
    </row>
    <row r="181" spans="1:11" x14ac:dyDescent="0.3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  <c r="K181">
        <f>IF(Table1[[#This Row],[atemp]]="",ROUND(AVERAGE(Table1[atemp]),4),Table1[[#This Row],[atemp]])</f>
        <v>0.1212</v>
      </c>
    </row>
    <row r="182" spans="1:11" x14ac:dyDescent="0.3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  <c r="K182">
        <f>IF(Table1[[#This Row],[atemp]]="",ROUND(AVERAGE(Table1[atemp]),4),Table1[[#This Row],[atemp]])</f>
        <v>0.1212</v>
      </c>
    </row>
    <row r="183" spans="1:11" x14ac:dyDescent="0.3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  <c r="K183">
        <f>IF(Table1[[#This Row],[atemp]]="",ROUND(AVERAGE(Table1[atemp]),4),Table1[[#This Row],[atemp]])</f>
        <v>0.1212</v>
      </c>
    </row>
    <row r="184" spans="1:11" x14ac:dyDescent="0.3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  <c r="K184">
        <f>IF(Table1[[#This Row],[atemp]]="",ROUND(AVERAGE(Table1[atemp]),4),Table1[[#This Row],[atemp]])</f>
        <v>0.1061</v>
      </c>
    </row>
    <row r="185" spans="1:11" x14ac:dyDescent="0.3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  <c r="K185">
        <f>IF(Table1[[#This Row],[atemp]]="",ROUND(AVERAGE(Table1[atemp]),4),Table1[[#This Row],[atemp]])</f>
        <v>0.1061</v>
      </c>
    </row>
    <row r="186" spans="1:11" x14ac:dyDescent="0.3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  <c r="K186">
        <f>IF(Table1[[#This Row],[atemp]]="",ROUND(AVERAGE(Table1[atemp]),4),Table1[[#This Row],[atemp]])</f>
        <v>6.0600000000000001E-2</v>
      </c>
    </row>
    <row r="187" spans="1:11" x14ac:dyDescent="0.3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  <c r="K187">
        <f>IF(Table1[[#This Row],[atemp]]="",ROUND(AVERAGE(Table1[atemp]),4),Table1[[#This Row],[atemp]])</f>
        <v>7.5800000000000006E-2</v>
      </c>
    </row>
    <row r="188" spans="1:11" x14ac:dyDescent="0.3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  <c r="K188">
        <f>IF(Table1[[#This Row],[atemp]]="",ROUND(AVERAGE(Table1[atemp]),4),Table1[[#This Row],[atemp]])</f>
        <v>6.0600000000000001E-2</v>
      </c>
    </row>
    <row r="189" spans="1:11" x14ac:dyDescent="0.3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  <c r="K189">
        <f>IF(Table1[[#This Row],[atemp]]="",ROUND(AVERAGE(Table1[atemp]),4),Table1[[#This Row],[atemp]])</f>
        <v>6.0600000000000001E-2</v>
      </c>
    </row>
    <row r="190" spans="1:11" x14ac:dyDescent="0.3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  <c r="K190">
        <f>IF(Table1[[#This Row],[atemp]]="",ROUND(AVERAGE(Table1[atemp]),4),Table1[[#This Row],[atemp]])</f>
        <v>7.5800000000000006E-2</v>
      </c>
    </row>
    <row r="191" spans="1:11" x14ac:dyDescent="0.3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  <c r="K191">
        <f>IF(Table1[[#This Row],[atemp]]="",ROUND(AVERAGE(Table1[atemp]),4),Table1[[#This Row],[atemp]])</f>
        <v>9.0899999999999995E-2</v>
      </c>
    </row>
    <row r="192" spans="1:11" x14ac:dyDescent="0.3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  <c r="K192">
        <f>IF(Table1[[#This Row],[atemp]]="",ROUND(AVERAGE(Table1[atemp]),4),Table1[[#This Row],[atemp]])</f>
        <v>9.0899999999999995E-2</v>
      </c>
    </row>
    <row r="193" spans="1:11" x14ac:dyDescent="0.3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  <c r="K193">
        <f>IF(Table1[[#This Row],[atemp]]="",ROUND(AVERAGE(Table1[atemp]),4),Table1[[#This Row],[atemp]])</f>
        <v>9.0899999999999995E-2</v>
      </c>
    </row>
    <row r="194" spans="1:11" x14ac:dyDescent="0.3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  <c r="K194">
        <f>IF(Table1[[#This Row],[atemp]]="",ROUND(AVERAGE(Table1[atemp]),4),Table1[[#This Row],[atemp]])</f>
        <v>9.0899999999999995E-2</v>
      </c>
    </row>
    <row r="195" spans="1:11" x14ac:dyDescent="0.3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  <c r="K195">
        <f>IF(Table1[[#This Row],[atemp]]="",ROUND(AVERAGE(Table1[atemp]),4),Table1[[#This Row],[atemp]])</f>
        <v>9.0899999999999995E-2</v>
      </c>
    </row>
    <row r="196" spans="1:11" x14ac:dyDescent="0.3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  <c r="K196">
        <f>IF(Table1[[#This Row],[atemp]]="",ROUND(AVERAGE(Table1[atemp]),4),Table1[[#This Row],[atemp]])</f>
        <v>7.5800000000000006E-2</v>
      </c>
    </row>
    <row r="197" spans="1:11" x14ac:dyDescent="0.3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  <c r="K197">
        <f>IF(Table1[[#This Row],[atemp]]="",ROUND(AVERAGE(Table1[atemp]),4),Table1[[#This Row],[atemp]])</f>
        <v>0.1061</v>
      </c>
    </row>
    <row r="198" spans="1:11" x14ac:dyDescent="0.3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  <c r="K198">
        <f>IF(Table1[[#This Row],[atemp]]="",ROUND(AVERAGE(Table1[atemp]),4),Table1[[#This Row],[atemp]])</f>
        <v>0.1212</v>
      </c>
    </row>
    <row r="199" spans="1:11" x14ac:dyDescent="0.3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  <c r="K199">
        <f>IF(Table1[[#This Row],[atemp]]="",ROUND(AVERAGE(Table1[atemp]),4),Table1[[#This Row],[atemp]])</f>
        <v>0.13639999999999999</v>
      </c>
    </row>
    <row r="200" spans="1:11" x14ac:dyDescent="0.3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  <c r="K200">
        <f>IF(Table1[[#This Row],[atemp]]="",ROUND(AVERAGE(Table1[atemp]),4),Table1[[#This Row],[atemp]])</f>
        <v>0.16669999999999999</v>
      </c>
    </row>
    <row r="201" spans="1:11" x14ac:dyDescent="0.3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  <c r="K201">
        <f>IF(Table1[[#This Row],[atemp]]="",ROUND(AVERAGE(Table1[atemp]),4),Table1[[#This Row],[atemp]])</f>
        <v>0.18179999999999999</v>
      </c>
    </row>
    <row r="202" spans="1:11" x14ac:dyDescent="0.3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  <c r="K202">
        <f>IF(Table1[[#This Row],[atemp]]="",ROUND(AVERAGE(Table1[atemp]),4),Table1[[#This Row],[atemp]])</f>
        <v>0.19700000000000001</v>
      </c>
    </row>
    <row r="203" spans="1:11" x14ac:dyDescent="0.3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  <c r="K203">
        <f>IF(Table1[[#This Row],[atemp]]="",ROUND(AVERAGE(Table1[atemp]),4),Table1[[#This Row],[atemp]])</f>
        <v>0.16669999999999999</v>
      </c>
    </row>
    <row r="204" spans="1:11" x14ac:dyDescent="0.3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  <c r="K204">
        <f>IF(Table1[[#This Row],[atemp]]="",ROUND(AVERAGE(Table1[atemp]),4),Table1[[#This Row],[atemp]])</f>
        <v>0.1515</v>
      </c>
    </row>
    <row r="205" spans="1:11" x14ac:dyDescent="0.3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  <c r="K205">
        <f>IF(Table1[[#This Row],[atemp]]="",ROUND(AVERAGE(Table1[atemp]),4),Table1[[#This Row],[atemp]])</f>
        <v>0.13639999999999999</v>
      </c>
    </row>
    <row r="206" spans="1:11" x14ac:dyDescent="0.3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  <c r="K206">
        <f>IF(Table1[[#This Row],[atemp]]="",ROUND(AVERAGE(Table1[atemp]),4),Table1[[#This Row],[atemp]])</f>
        <v>0.13639999999999999</v>
      </c>
    </row>
    <row r="207" spans="1:11" x14ac:dyDescent="0.3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  <c r="K207">
        <f>IF(Table1[[#This Row],[atemp]]="",ROUND(AVERAGE(Table1[atemp]),4),Table1[[#This Row],[atemp]])</f>
        <v>0.1212</v>
      </c>
    </row>
    <row r="208" spans="1:11" x14ac:dyDescent="0.3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  <c r="K208">
        <f>IF(Table1[[#This Row],[atemp]]="",ROUND(AVERAGE(Table1[atemp]),4),Table1[[#This Row],[atemp]])</f>
        <v>0.1061</v>
      </c>
    </row>
    <row r="209" spans="1:11" x14ac:dyDescent="0.3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  <c r="K209">
        <f>IF(Table1[[#This Row],[atemp]]="",ROUND(AVERAGE(Table1[atemp]),4),Table1[[#This Row],[atemp]])</f>
        <v>0.1212</v>
      </c>
    </row>
    <row r="210" spans="1:11" x14ac:dyDescent="0.3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  <c r="K210">
        <f>IF(Table1[[#This Row],[atemp]]="",ROUND(AVERAGE(Table1[atemp]),4),Table1[[#This Row],[atemp]])</f>
        <v>0.13639999999999999</v>
      </c>
    </row>
    <row r="211" spans="1:11" x14ac:dyDescent="0.3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  <c r="K211">
        <f>IF(Table1[[#This Row],[atemp]]="",ROUND(AVERAGE(Table1[atemp]),4),Table1[[#This Row],[atemp]])</f>
        <v>0.1212</v>
      </c>
    </row>
    <row r="212" spans="1:11" x14ac:dyDescent="0.3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  <c r="K212">
        <f>IF(Table1[[#This Row],[atemp]]="",ROUND(AVERAGE(Table1[atemp]),4),Table1[[#This Row],[atemp]])</f>
        <v>0.1212</v>
      </c>
    </row>
    <row r="213" spans="1:11" x14ac:dyDescent="0.3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  <c r="K213">
        <f>IF(Table1[[#This Row],[atemp]]="",ROUND(AVERAGE(Table1[atemp]),4),Table1[[#This Row],[atemp]])</f>
        <v>0.1212</v>
      </c>
    </row>
    <row r="214" spans="1:11" x14ac:dyDescent="0.3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  <c r="K214">
        <f>IF(Table1[[#This Row],[atemp]]="",ROUND(AVERAGE(Table1[atemp]),4),Table1[[#This Row],[atemp]])</f>
        <v>0.1212</v>
      </c>
    </row>
    <row r="215" spans="1:11" x14ac:dyDescent="0.3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  <c r="K215">
        <f>IF(Table1[[#This Row],[atemp]]="",ROUND(AVERAGE(Table1[atemp]),4),Table1[[#This Row],[atemp]])</f>
        <v>0.1212</v>
      </c>
    </row>
    <row r="216" spans="1:11" x14ac:dyDescent="0.3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  <c r="K216">
        <f>IF(Table1[[#This Row],[atemp]]="",ROUND(AVERAGE(Table1[atemp]),4),Table1[[#This Row],[atemp]])</f>
        <v>0.1061</v>
      </c>
    </row>
    <row r="217" spans="1:11" x14ac:dyDescent="0.3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  <c r="K217">
        <f>IF(Table1[[#This Row],[atemp]]="",ROUND(AVERAGE(Table1[atemp]),4),Table1[[#This Row],[atemp]])</f>
        <v>0.1212</v>
      </c>
    </row>
    <row r="218" spans="1:11" x14ac:dyDescent="0.3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  <c r="K218">
        <f>IF(Table1[[#This Row],[atemp]]="",ROUND(AVERAGE(Table1[atemp]),4),Table1[[#This Row],[atemp]])</f>
        <v>0.1212</v>
      </c>
    </row>
    <row r="219" spans="1:11" x14ac:dyDescent="0.3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  <c r="K219">
        <f>IF(Table1[[#This Row],[atemp]]="",ROUND(AVERAGE(Table1[atemp]),4),Table1[[#This Row],[atemp]])</f>
        <v>0.1212</v>
      </c>
    </row>
    <row r="220" spans="1:11" x14ac:dyDescent="0.3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  <c r="K220">
        <f>IF(Table1[[#This Row],[atemp]]="",ROUND(AVERAGE(Table1[atemp]),4),Table1[[#This Row],[atemp]])</f>
        <v>0.1212</v>
      </c>
    </row>
    <row r="221" spans="1:11" x14ac:dyDescent="0.3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  <c r="K221">
        <f>IF(Table1[[#This Row],[atemp]]="",ROUND(AVERAGE(Table1[atemp]),4),Table1[[#This Row],[atemp]])</f>
        <v>0.1212</v>
      </c>
    </row>
    <row r="222" spans="1:11" x14ac:dyDescent="0.3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  <c r="K222">
        <f>IF(Table1[[#This Row],[atemp]]="",ROUND(AVERAGE(Table1[atemp]),4),Table1[[#This Row],[atemp]])</f>
        <v>0.13639999999999999</v>
      </c>
    </row>
    <row r="223" spans="1:11" x14ac:dyDescent="0.3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  <c r="K223">
        <f>IF(Table1[[#This Row],[atemp]]="",ROUND(AVERAGE(Table1[atemp]),4),Table1[[#This Row],[atemp]])</f>
        <v>0.18179999999999999</v>
      </c>
    </row>
    <row r="224" spans="1:11" x14ac:dyDescent="0.3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  <c r="K224">
        <f>IF(Table1[[#This Row],[atemp]]="",ROUND(AVERAGE(Table1[atemp]),4),Table1[[#This Row],[atemp]])</f>
        <v>0.18179999999999999</v>
      </c>
    </row>
    <row r="225" spans="1:11" x14ac:dyDescent="0.3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  <c r="K225">
        <f>IF(Table1[[#This Row],[atemp]]="",ROUND(AVERAGE(Table1[atemp]),4),Table1[[#This Row],[atemp]])</f>
        <v>0.19700000000000001</v>
      </c>
    </row>
    <row r="226" spans="1:11" x14ac:dyDescent="0.3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  <c r="K226">
        <f>IF(Table1[[#This Row],[atemp]]="",ROUND(AVERAGE(Table1[atemp]),4),Table1[[#This Row],[atemp]])</f>
        <v>0.19700000000000001</v>
      </c>
    </row>
    <row r="227" spans="1:11" x14ac:dyDescent="0.3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  <c r="K227">
        <f>IF(Table1[[#This Row],[atemp]]="",ROUND(AVERAGE(Table1[atemp]),4),Table1[[#This Row],[atemp]])</f>
        <v>0.21210000000000001</v>
      </c>
    </row>
    <row r="228" spans="1:11" x14ac:dyDescent="0.3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  <c r="K228">
        <f>IF(Table1[[#This Row],[atemp]]="",ROUND(AVERAGE(Table1[atemp]),4),Table1[[#This Row],[atemp]])</f>
        <v>0.2273</v>
      </c>
    </row>
    <row r="229" spans="1:11" x14ac:dyDescent="0.3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  <c r="K229">
        <f>IF(Table1[[#This Row],[atemp]]="",ROUND(AVERAGE(Table1[atemp]),4),Table1[[#This Row],[atemp]])</f>
        <v>0.19700000000000001</v>
      </c>
    </row>
    <row r="230" spans="1:11" x14ac:dyDescent="0.3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  <c r="K230">
        <f>IF(Table1[[#This Row],[atemp]]="",ROUND(AVERAGE(Table1[atemp]),4),Table1[[#This Row],[atemp]])</f>
        <v>0.16669999999999999</v>
      </c>
    </row>
    <row r="231" spans="1:11" x14ac:dyDescent="0.3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  <c r="K231">
        <f>IF(Table1[[#This Row],[atemp]]="",ROUND(AVERAGE(Table1[atemp]),4),Table1[[#This Row],[atemp]])</f>
        <v>0.16669999999999999</v>
      </c>
    </row>
    <row r="232" spans="1:11" x14ac:dyDescent="0.3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  <c r="K232">
        <f>IF(Table1[[#This Row],[atemp]]="",ROUND(AVERAGE(Table1[atemp]),4),Table1[[#This Row],[atemp]])</f>
        <v>0.13639999999999999</v>
      </c>
    </row>
    <row r="233" spans="1:11" x14ac:dyDescent="0.3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  <c r="K233">
        <f>IF(Table1[[#This Row],[atemp]]="",ROUND(AVERAGE(Table1[atemp]),4),Table1[[#This Row],[atemp]])</f>
        <v>0.1515</v>
      </c>
    </row>
    <row r="234" spans="1:11" x14ac:dyDescent="0.3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  <c r="K234">
        <f>IF(Table1[[#This Row],[atemp]]="",ROUND(AVERAGE(Table1[atemp]),4),Table1[[#This Row],[atemp]])</f>
        <v>0.1515</v>
      </c>
    </row>
    <row r="235" spans="1:11" x14ac:dyDescent="0.3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  <c r="K235">
        <f>IF(Table1[[#This Row],[atemp]]="",ROUND(AVERAGE(Table1[atemp]),4),Table1[[#This Row],[atemp]])</f>
        <v>0.16669999999999999</v>
      </c>
    </row>
    <row r="236" spans="1:11" x14ac:dyDescent="0.3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  <c r="K236">
        <f>IF(Table1[[#This Row],[atemp]]="",ROUND(AVERAGE(Table1[atemp]),4),Table1[[#This Row],[atemp]])</f>
        <v>0.1515</v>
      </c>
    </row>
    <row r="237" spans="1:11" x14ac:dyDescent="0.3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  <c r="K237">
        <f>IF(Table1[[#This Row],[atemp]]="",ROUND(AVERAGE(Table1[atemp]),4),Table1[[#This Row],[atemp]])</f>
        <v>0.1515</v>
      </c>
    </row>
    <row r="238" spans="1:11" x14ac:dyDescent="0.3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  <c r="K238">
        <f>IF(Table1[[#This Row],[atemp]]="",ROUND(AVERAGE(Table1[atemp]),4),Table1[[#This Row],[atemp]])</f>
        <v>0.18179999999999999</v>
      </c>
    </row>
    <row r="239" spans="1:11" x14ac:dyDescent="0.3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  <c r="K239">
        <f>IF(Table1[[#This Row],[atemp]]="",ROUND(AVERAGE(Table1[atemp]),4),Table1[[#This Row],[atemp]])</f>
        <v>0.18179999999999999</v>
      </c>
    </row>
    <row r="240" spans="1:11" x14ac:dyDescent="0.3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  <c r="K240">
        <f>IF(Table1[[#This Row],[atemp]]="",ROUND(AVERAGE(Table1[atemp]),4),Table1[[#This Row],[atemp]])</f>
        <v>0.2273</v>
      </c>
    </row>
    <row r="241" spans="1:11" x14ac:dyDescent="0.3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  <c r="K241">
        <f>IF(Table1[[#This Row],[atemp]]="",ROUND(AVERAGE(Table1[atemp]),4),Table1[[#This Row],[atemp]])</f>
        <v>0.21210000000000001</v>
      </c>
    </row>
    <row r="242" spans="1:11" x14ac:dyDescent="0.3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  <c r="K242">
        <f>IF(Table1[[#This Row],[atemp]]="",ROUND(AVERAGE(Table1[atemp]),4),Table1[[#This Row],[atemp]])</f>
        <v>0.19700000000000001</v>
      </c>
    </row>
    <row r="243" spans="1:11" x14ac:dyDescent="0.3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  <c r="K243">
        <f>IF(Table1[[#This Row],[atemp]]="",ROUND(AVERAGE(Table1[atemp]),4),Table1[[#This Row],[atemp]])</f>
        <v>0.21210000000000001</v>
      </c>
    </row>
    <row r="244" spans="1:11" x14ac:dyDescent="0.3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  <c r="K244">
        <f>IF(Table1[[#This Row],[atemp]]="",ROUND(AVERAGE(Table1[atemp]),4),Table1[[#This Row],[atemp]])</f>
        <v>0.21210000000000001</v>
      </c>
    </row>
    <row r="245" spans="1:11" x14ac:dyDescent="0.3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  <c r="K245">
        <f>IF(Table1[[#This Row],[atemp]]="",ROUND(AVERAGE(Table1[atemp]),4),Table1[[#This Row],[atemp]])</f>
        <v>0.2273</v>
      </c>
    </row>
    <row r="246" spans="1:11" x14ac:dyDescent="0.3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  <c r="K246">
        <f>IF(Table1[[#This Row],[atemp]]="",ROUND(AVERAGE(Table1[atemp]),4),Table1[[#This Row],[atemp]])</f>
        <v>0.2273</v>
      </c>
    </row>
    <row r="247" spans="1:11" x14ac:dyDescent="0.3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  <c r="K247">
        <f>IF(Table1[[#This Row],[atemp]]="",ROUND(AVERAGE(Table1[atemp]),4),Table1[[#This Row],[atemp]])</f>
        <v>0.2273</v>
      </c>
    </row>
    <row r="248" spans="1:11" x14ac:dyDescent="0.3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  <c r="K248">
        <f>IF(Table1[[#This Row],[atemp]]="",ROUND(AVERAGE(Table1[atemp]),4),Table1[[#This Row],[atemp]])</f>
        <v>0.19700000000000001</v>
      </c>
    </row>
    <row r="249" spans="1:11" x14ac:dyDescent="0.3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  <c r="K249">
        <f>IF(Table1[[#This Row],[atemp]]="",ROUND(AVERAGE(Table1[atemp]),4),Table1[[#This Row],[atemp]])</f>
        <v>0.1515</v>
      </c>
    </row>
    <row r="250" spans="1:11" x14ac:dyDescent="0.3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  <c r="K250">
        <f>IF(Table1[[#This Row],[atemp]]="",ROUND(AVERAGE(Table1[atemp]),4),Table1[[#This Row],[atemp]])</f>
        <v>0.1515</v>
      </c>
    </row>
    <row r="251" spans="1:11" x14ac:dyDescent="0.3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  <c r="K251">
        <f>IF(Table1[[#This Row],[atemp]]="",ROUND(AVERAGE(Table1[atemp]),4),Table1[[#This Row],[atemp]])</f>
        <v>0.18179999999999999</v>
      </c>
    </row>
    <row r="252" spans="1:11" x14ac:dyDescent="0.3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  <c r="K252">
        <f>IF(Table1[[#This Row],[atemp]]="",ROUND(AVERAGE(Table1[atemp]),4),Table1[[#This Row],[atemp]])</f>
        <v>0.2273</v>
      </c>
    </row>
    <row r="253" spans="1:11" x14ac:dyDescent="0.3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  <c r="K253">
        <f>IF(Table1[[#This Row],[atemp]]="",ROUND(AVERAGE(Table1[atemp]),4),Table1[[#This Row],[atemp]])</f>
        <v>0.1515</v>
      </c>
    </row>
    <row r="254" spans="1:11" x14ac:dyDescent="0.3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  <c r="K254">
        <f>IF(Table1[[#This Row],[atemp]]="",ROUND(AVERAGE(Table1[atemp]),4),Table1[[#This Row],[atemp]])</f>
        <v>0.19700000000000001</v>
      </c>
    </row>
    <row r="255" spans="1:11" x14ac:dyDescent="0.3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  <c r="K255">
        <f>IF(Table1[[#This Row],[atemp]]="",ROUND(AVERAGE(Table1[atemp]),4),Table1[[#This Row],[atemp]])</f>
        <v>0.18179999999999999</v>
      </c>
    </row>
    <row r="256" spans="1:11" x14ac:dyDescent="0.3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  <c r="K256">
        <f>IF(Table1[[#This Row],[atemp]]="",ROUND(AVERAGE(Table1[atemp]),4),Table1[[#This Row],[atemp]])</f>
        <v>0.19700000000000001</v>
      </c>
    </row>
    <row r="257" spans="1:11" x14ac:dyDescent="0.3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  <c r="K257">
        <f>IF(Table1[[#This Row],[atemp]]="",ROUND(AVERAGE(Table1[atemp]),4),Table1[[#This Row],[atemp]])</f>
        <v>0.19700000000000001</v>
      </c>
    </row>
    <row r="258" spans="1:11" x14ac:dyDescent="0.3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  <c r="K258">
        <f>IF(Table1[[#This Row],[atemp]]="",ROUND(AVERAGE(Table1[atemp]),4),Table1[[#This Row],[atemp]])</f>
        <v>0.18179999999999999</v>
      </c>
    </row>
    <row r="259" spans="1:11" x14ac:dyDescent="0.3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  <c r="K259">
        <f>IF(Table1[[#This Row],[atemp]]="",ROUND(AVERAGE(Table1[atemp]),4),Table1[[#This Row],[atemp]])</f>
        <v>0.1515</v>
      </c>
    </row>
    <row r="260" spans="1:11" x14ac:dyDescent="0.3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  <c r="K260">
        <f>IF(Table1[[#This Row],[atemp]]="",ROUND(AVERAGE(Table1[atemp]),4),Table1[[#This Row],[atemp]])</f>
        <v>0.1515</v>
      </c>
    </row>
    <row r="261" spans="1:11" x14ac:dyDescent="0.3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  <c r="K261">
        <f>IF(Table1[[#This Row],[atemp]]="",ROUND(AVERAGE(Table1[atemp]),4),Table1[[#This Row],[atemp]])</f>
        <v>0.1515</v>
      </c>
    </row>
    <row r="262" spans="1:11" x14ac:dyDescent="0.3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  <c r="K262">
        <f>IF(Table1[[#This Row],[atemp]]="",ROUND(AVERAGE(Table1[atemp]),4),Table1[[#This Row],[atemp]])</f>
        <v>0.1515</v>
      </c>
    </row>
    <row r="263" spans="1:11" x14ac:dyDescent="0.3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  <c r="K263">
        <f>IF(Table1[[#This Row],[atemp]]="",ROUND(AVERAGE(Table1[atemp]),4),Table1[[#This Row],[atemp]])</f>
        <v>0.16669999999999999</v>
      </c>
    </row>
    <row r="264" spans="1:11" x14ac:dyDescent="0.3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  <c r="K264">
        <f>IF(Table1[[#This Row],[atemp]]="",ROUND(AVERAGE(Table1[atemp]),4),Table1[[#This Row],[atemp]])</f>
        <v>0.13639999999999999</v>
      </c>
    </row>
    <row r="265" spans="1:11" x14ac:dyDescent="0.3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  <c r="K265">
        <f>IF(Table1[[#This Row],[atemp]]="",ROUND(AVERAGE(Table1[atemp]),4),Table1[[#This Row],[atemp]])</f>
        <v>0.18179999999999999</v>
      </c>
    </row>
    <row r="266" spans="1:11" x14ac:dyDescent="0.3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  <c r="K266">
        <f>IF(Table1[[#This Row],[atemp]]="",ROUND(AVERAGE(Table1[atemp]),4),Table1[[#This Row],[atemp]])</f>
        <v>0.18179999999999999</v>
      </c>
    </row>
    <row r="267" spans="1:11" x14ac:dyDescent="0.3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  <c r="K267">
        <f>IF(Table1[[#This Row],[atemp]]="",ROUND(AVERAGE(Table1[atemp]),4),Table1[[#This Row],[atemp]])</f>
        <v>0.1515</v>
      </c>
    </row>
    <row r="268" spans="1:11" x14ac:dyDescent="0.3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  <c r="K268">
        <f>IF(Table1[[#This Row],[atemp]]="",ROUND(AVERAGE(Table1[atemp]),4),Table1[[#This Row],[atemp]])</f>
        <v>0.19700000000000001</v>
      </c>
    </row>
    <row r="269" spans="1:11" x14ac:dyDescent="0.3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  <c r="K269">
        <f>IF(Table1[[#This Row],[atemp]]="",ROUND(AVERAGE(Table1[atemp]),4),Table1[[#This Row],[atemp]])</f>
        <v>0.18179999999999999</v>
      </c>
    </row>
    <row r="270" spans="1:11" x14ac:dyDescent="0.3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  <c r="K270">
        <f>IF(Table1[[#This Row],[atemp]]="",ROUND(AVERAGE(Table1[atemp]),4),Table1[[#This Row],[atemp]])</f>
        <v>0.16669999999999999</v>
      </c>
    </row>
    <row r="271" spans="1:11" x14ac:dyDescent="0.3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  <c r="K271">
        <f>IF(Table1[[#This Row],[atemp]]="",ROUND(AVERAGE(Table1[atemp]),4),Table1[[#This Row],[atemp]])</f>
        <v>0.19700000000000001</v>
      </c>
    </row>
    <row r="272" spans="1:11" x14ac:dyDescent="0.3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  <c r="K272">
        <f>IF(Table1[[#This Row],[atemp]]="",ROUND(AVERAGE(Table1[atemp]),4),Table1[[#This Row],[atemp]])</f>
        <v>0.18179999999999999</v>
      </c>
    </row>
    <row r="273" spans="1:11" x14ac:dyDescent="0.3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  <c r="K273">
        <f>IF(Table1[[#This Row],[atemp]]="",ROUND(AVERAGE(Table1[atemp]),4),Table1[[#This Row],[atemp]])</f>
        <v>0.1515</v>
      </c>
    </row>
    <row r="274" spans="1:11" x14ac:dyDescent="0.3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  <c r="K274">
        <f>IF(Table1[[#This Row],[atemp]]="",ROUND(AVERAGE(Table1[atemp]),4),Table1[[#This Row],[atemp]])</f>
        <v>0.1515</v>
      </c>
    </row>
    <row r="275" spans="1:11" x14ac:dyDescent="0.3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  <c r="K275">
        <f>IF(Table1[[#This Row],[atemp]]="",ROUND(AVERAGE(Table1[atemp]),4),Table1[[#This Row],[atemp]])</f>
        <v>0.13639999999999999</v>
      </c>
    </row>
    <row r="276" spans="1:11" x14ac:dyDescent="0.3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  <c r="K276">
        <f>IF(Table1[[#This Row],[atemp]]="",ROUND(AVERAGE(Table1[atemp]),4),Table1[[#This Row],[atemp]])</f>
        <v>0.13639999999999999</v>
      </c>
    </row>
    <row r="277" spans="1:11" x14ac:dyDescent="0.3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  <c r="K277">
        <f>IF(Table1[[#This Row],[atemp]]="",ROUND(AVERAGE(Table1[atemp]),4),Table1[[#This Row],[atemp]])</f>
        <v>0.1212</v>
      </c>
    </row>
    <row r="278" spans="1:11" x14ac:dyDescent="0.3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  <c r="K278">
        <f>IF(Table1[[#This Row],[atemp]]="",ROUND(AVERAGE(Table1[atemp]),4),Table1[[#This Row],[atemp]])</f>
        <v>0.1061</v>
      </c>
    </row>
    <row r="279" spans="1:11" x14ac:dyDescent="0.3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  <c r="K279">
        <f>IF(Table1[[#This Row],[atemp]]="",ROUND(AVERAGE(Table1[atemp]),4),Table1[[#This Row],[atemp]])</f>
        <v>0.1212</v>
      </c>
    </row>
    <row r="280" spans="1:11" x14ac:dyDescent="0.3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  <c r="K280">
        <f>IF(Table1[[#This Row],[atemp]]="",ROUND(AVERAGE(Table1[atemp]),4),Table1[[#This Row],[atemp]])</f>
        <v>0.1212</v>
      </c>
    </row>
    <row r="281" spans="1:11" x14ac:dyDescent="0.3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  <c r="K281">
        <f>IF(Table1[[#This Row],[atemp]]="",ROUND(AVERAGE(Table1[atemp]),4),Table1[[#This Row],[atemp]])</f>
        <v>0.1212</v>
      </c>
    </row>
    <row r="282" spans="1:11" x14ac:dyDescent="0.3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  <c r="K282">
        <f>IF(Table1[[#This Row],[atemp]]="",ROUND(AVERAGE(Table1[atemp]),4),Table1[[#This Row],[atemp]])</f>
        <v>0.1212</v>
      </c>
    </row>
    <row r="283" spans="1:11" x14ac:dyDescent="0.3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  <c r="K283">
        <f>IF(Table1[[#This Row],[atemp]]="",ROUND(AVERAGE(Table1[atemp]),4),Table1[[#This Row],[atemp]])</f>
        <v>0.1212</v>
      </c>
    </row>
    <row r="284" spans="1:11" x14ac:dyDescent="0.3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  <c r="K284">
        <f>IF(Table1[[#This Row],[atemp]]="",ROUND(AVERAGE(Table1[atemp]),4),Table1[[#This Row],[atemp]])</f>
        <v>0.1212</v>
      </c>
    </row>
    <row r="285" spans="1:11" x14ac:dyDescent="0.3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  <c r="K285">
        <f>IF(Table1[[#This Row],[atemp]]="",ROUND(AVERAGE(Table1[atemp]),4),Table1[[#This Row],[atemp]])</f>
        <v>0.1515</v>
      </c>
    </row>
    <row r="286" spans="1:11" x14ac:dyDescent="0.3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  <c r="K286">
        <f>IF(Table1[[#This Row],[atemp]]="",ROUND(AVERAGE(Table1[atemp]),4),Table1[[#This Row],[atemp]])</f>
        <v>0.1515</v>
      </c>
    </row>
    <row r="287" spans="1:11" x14ac:dyDescent="0.3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  <c r="K287">
        <f>IF(Table1[[#This Row],[atemp]]="",ROUND(AVERAGE(Table1[atemp]),4),Table1[[#This Row],[atemp]])</f>
        <v>0.13639999999999999</v>
      </c>
    </row>
    <row r="288" spans="1:11" x14ac:dyDescent="0.3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  <c r="K288">
        <f>IF(Table1[[#This Row],[atemp]]="",ROUND(AVERAGE(Table1[atemp]),4),Table1[[#This Row],[atemp]])</f>
        <v>0.1212</v>
      </c>
    </row>
    <row r="289" spans="1:11" x14ac:dyDescent="0.3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  <c r="K289">
        <f>IF(Table1[[#This Row],[atemp]]="",ROUND(AVERAGE(Table1[atemp]),4),Table1[[#This Row],[atemp]])</f>
        <v>0.13639999999999999</v>
      </c>
    </row>
    <row r="290" spans="1:11" x14ac:dyDescent="0.3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  <c r="K290">
        <f>IF(Table1[[#This Row],[atemp]]="",ROUND(AVERAGE(Table1[atemp]),4),Table1[[#This Row],[atemp]])</f>
        <v>0.16669999999999999</v>
      </c>
    </row>
    <row r="291" spans="1:11" x14ac:dyDescent="0.3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  <c r="K291">
        <f>IF(Table1[[#This Row],[atemp]]="",ROUND(AVERAGE(Table1[atemp]),4),Table1[[#This Row],[atemp]])</f>
        <v>0.16669999999999999</v>
      </c>
    </row>
    <row r="292" spans="1:11" x14ac:dyDescent="0.3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  <c r="K292">
        <f>IF(Table1[[#This Row],[atemp]]="",ROUND(AVERAGE(Table1[atemp]),4),Table1[[#This Row],[atemp]])</f>
        <v>0.19700000000000001</v>
      </c>
    </row>
    <row r="293" spans="1:11" x14ac:dyDescent="0.3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  <c r="K293">
        <f>IF(Table1[[#This Row],[atemp]]="",ROUND(AVERAGE(Table1[atemp]),4),Table1[[#This Row],[atemp]])</f>
        <v>0.19700000000000001</v>
      </c>
    </row>
    <row r="294" spans="1:11" x14ac:dyDescent="0.3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  <c r="K294">
        <f>IF(Table1[[#This Row],[atemp]]="",ROUND(AVERAGE(Table1[atemp]),4),Table1[[#This Row],[atemp]])</f>
        <v>0.21210000000000001</v>
      </c>
    </row>
    <row r="295" spans="1:11" x14ac:dyDescent="0.3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  <c r="K295">
        <f>IF(Table1[[#This Row],[atemp]]="",ROUND(AVERAGE(Table1[atemp]),4),Table1[[#This Row],[atemp]])</f>
        <v>0.21210000000000001</v>
      </c>
    </row>
    <row r="296" spans="1:11" x14ac:dyDescent="0.3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  <c r="K296">
        <f>IF(Table1[[#This Row],[atemp]]="",ROUND(AVERAGE(Table1[atemp]),4),Table1[[#This Row],[atemp]])</f>
        <v>0.18179999999999999</v>
      </c>
    </row>
    <row r="297" spans="1:11" x14ac:dyDescent="0.3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  <c r="K297">
        <f>IF(Table1[[#This Row],[atemp]]="",ROUND(AVERAGE(Table1[atemp]),4),Table1[[#This Row],[atemp]])</f>
        <v>0.18179999999999999</v>
      </c>
    </row>
    <row r="298" spans="1:11" x14ac:dyDescent="0.3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  <c r="K298">
        <f>IF(Table1[[#This Row],[atemp]]="",ROUND(AVERAGE(Table1[atemp]),4),Table1[[#This Row],[atemp]])</f>
        <v>0.1515</v>
      </c>
    </row>
    <row r="299" spans="1:11" x14ac:dyDescent="0.3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  <c r="K299">
        <f>IF(Table1[[#This Row],[atemp]]="",ROUND(AVERAGE(Table1[atemp]),4),Table1[[#This Row],[atemp]])</f>
        <v>0.1515</v>
      </c>
    </row>
    <row r="300" spans="1:11" x14ac:dyDescent="0.3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  <c r="K300">
        <f>IF(Table1[[#This Row],[atemp]]="",ROUND(AVERAGE(Table1[atemp]),4),Table1[[#This Row],[atemp]])</f>
        <v>0.1212</v>
      </c>
    </row>
    <row r="301" spans="1:11" x14ac:dyDescent="0.3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  <c r="K301">
        <f>IF(Table1[[#This Row],[atemp]]="",ROUND(AVERAGE(Table1[atemp]),4),Table1[[#This Row],[atemp]])</f>
        <v>0.1212</v>
      </c>
    </row>
    <row r="302" spans="1:11" x14ac:dyDescent="0.3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  <c r="K302">
        <f>IF(Table1[[#This Row],[atemp]]="",ROUND(AVERAGE(Table1[atemp]),4),Table1[[#This Row],[atemp]])</f>
        <v>0.13639999999999999</v>
      </c>
    </row>
    <row r="303" spans="1:11" x14ac:dyDescent="0.3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  <c r="K303">
        <f>IF(Table1[[#This Row],[atemp]]="",ROUND(AVERAGE(Table1[atemp]),4),Table1[[#This Row],[atemp]])</f>
        <v>0.13639999999999999</v>
      </c>
    </row>
    <row r="304" spans="1:11" x14ac:dyDescent="0.3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  <c r="K304">
        <f>IF(Table1[[#This Row],[atemp]]="",ROUND(AVERAGE(Table1[atemp]),4),Table1[[#This Row],[atemp]])</f>
        <v>0.1212</v>
      </c>
    </row>
    <row r="305" spans="1:11" x14ac:dyDescent="0.3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  <c r="K305">
        <f>IF(Table1[[#This Row],[atemp]]="",ROUND(AVERAGE(Table1[atemp]),4),Table1[[#This Row],[atemp]])</f>
        <v>0.1212</v>
      </c>
    </row>
    <row r="306" spans="1:11" x14ac:dyDescent="0.3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  <c r="K306">
        <f>IF(Table1[[#This Row],[atemp]]="",ROUND(AVERAGE(Table1[atemp]),4),Table1[[#This Row],[atemp]])</f>
        <v>0.13639999999999999</v>
      </c>
    </row>
    <row r="307" spans="1:11" x14ac:dyDescent="0.3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  <c r="K307">
        <f>IF(Table1[[#This Row],[atemp]]="",ROUND(AVERAGE(Table1[atemp]),4),Table1[[#This Row],[atemp]])</f>
        <v>0.13639999999999999</v>
      </c>
    </row>
    <row r="308" spans="1:11" x14ac:dyDescent="0.3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  <c r="K308">
        <f>IF(Table1[[#This Row],[atemp]]="",ROUND(AVERAGE(Table1[atemp]),4),Table1[[#This Row],[atemp]])</f>
        <v>0.18179999999999999</v>
      </c>
    </row>
    <row r="309" spans="1:11" x14ac:dyDescent="0.3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  <c r="K309">
        <f>IF(Table1[[#This Row],[atemp]]="",ROUND(AVERAGE(Table1[atemp]),4),Table1[[#This Row],[atemp]])</f>
        <v>0.1212</v>
      </c>
    </row>
    <row r="310" spans="1:11" x14ac:dyDescent="0.3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  <c r="K310">
        <f>IF(Table1[[#This Row],[atemp]]="",ROUND(AVERAGE(Table1[atemp]),4),Table1[[#This Row],[atemp]])</f>
        <v>0.16669999999999999</v>
      </c>
    </row>
    <row r="311" spans="1:11" x14ac:dyDescent="0.3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  <c r="K311">
        <f>IF(Table1[[#This Row],[atemp]]="",ROUND(AVERAGE(Table1[atemp]),4),Table1[[#This Row],[atemp]])</f>
        <v>0.1515</v>
      </c>
    </row>
    <row r="312" spans="1:11" x14ac:dyDescent="0.3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  <c r="K312">
        <f>IF(Table1[[#This Row],[atemp]]="",ROUND(AVERAGE(Table1[atemp]),4),Table1[[#This Row],[atemp]])</f>
        <v>0.18179999999999999</v>
      </c>
    </row>
    <row r="313" spans="1:11" x14ac:dyDescent="0.3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  <c r="K313">
        <f>IF(Table1[[#This Row],[atemp]]="",ROUND(AVERAGE(Table1[atemp]),4),Table1[[#This Row],[atemp]])</f>
        <v>0.16669999999999999</v>
      </c>
    </row>
    <row r="314" spans="1:11" x14ac:dyDescent="0.3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  <c r="K314">
        <f>IF(Table1[[#This Row],[atemp]]="",ROUND(AVERAGE(Table1[atemp]),4),Table1[[#This Row],[atemp]])</f>
        <v>0.19700000000000001</v>
      </c>
    </row>
    <row r="315" spans="1:11" x14ac:dyDescent="0.3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  <c r="K315">
        <f>IF(Table1[[#This Row],[atemp]]="",ROUND(AVERAGE(Table1[atemp]),4),Table1[[#This Row],[atemp]])</f>
        <v>0.19700000000000001</v>
      </c>
    </row>
    <row r="316" spans="1:11" x14ac:dyDescent="0.3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  <c r="K316">
        <f>IF(Table1[[#This Row],[atemp]]="",ROUND(AVERAGE(Table1[atemp]),4),Table1[[#This Row],[atemp]])</f>
        <v>0.21210000000000001</v>
      </c>
    </row>
    <row r="317" spans="1:11" x14ac:dyDescent="0.3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  <c r="K317">
        <f>IF(Table1[[#This Row],[atemp]]="",ROUND(AVERAGE(Table1[atemp]),4),Table1[[#This Row],[atemp]])</f>
        <v>0.2424</v>
      </c>
    </row>
    <row r="318" spans="1:11" x14ac:dyDescent="0.3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  <c r="K318">
        <f>IF(Table1[[#This Row],[atemp]]="",ROUND(AVERAGE(Table1[atemp]),4),Table1[[#This Row],[atemp]])</f>
        <v>0.2424</v>
      </c>
    </row>
    <row r="319" spans="1:11" x14ac:dyDescent="0.3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  <c r="K319">
        <f>IF(Table1[[#This Row],[atemp]]="",ROUND(AVERAGE(Table1[atemp]),4),Table1[[#This Row],[atemp]])</f>
        <v>0.2273</v>
      </c>
    </row>
    <row r="320" spans="1:11" x14ac:dyDescent="0.3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  <c r="K320">
        <f>IF(Table1[[#This Row],[atemp]]="",ROUND(AVERAGE(Table1[atemp]),4),Table1[[#This Row],[atemp]])</f>
        <v>0.2576</v>
      </c>
    </row>
    <row r="321" spans="1:11" x14ac:dyDescent="0.3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  <c r="K321">
        <f>IF(Table1[[#This Row],[atemp]]="",ROUND(AVERAGE(Table1[atemp]),4),Table1[[#This Row],[atemp]])</f>
        <v>0.19700000000000001</v>
      </c>
    </row>
    <row r="322" spans="1:11" x14ac:dyDescent="0.3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  <c r="K322">
        <f>IF(Table1[[#This Row],[atemp]]="",ROUND(AVERAGE(Table1[atemp]),4),Table1[[#This Row],[atemp]])</f>
        <v>0.2424</v>
      </c>
    </row>
    <row r="323" spans="1:11" x14ac:dyDescent="0.3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  <c r="K323">
        <f>IF(Table1[[#This Row],[atemp]]="",ROUND(AVERAGE(Table1[atemp]),4),Table1[[#This Row],[atemp]])</f>
        <v>0.2273</v>
      </c>
    </row>
    <row r="324" spans="1:11" x14ac:dyDescent="0.3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  <c r="K324">
        <f>IF(Table1[[#This Row],[atemp]]="",ROUND(AVERAGE(Table1[atemp]),4),Table1[[#This Row],[atemp]])</f>
        <v>0.2273</v>
      </c>
    </row>
    <row r="325" spans="1:11" x14ac:dyDescent="0.3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  <c r="K325">
        <f>IF(Table1[[#This Row],[atemp]]="",ROUND(AVERAGE(Table1[atemp]),4),Table1[[#This Row],[atemp]])</f>
        <v>0.2424</v>
      </c>
    </row>
    <row r="326" spans="1:11" x14ac:dyDescent="0.3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  <c r="K326">
        <f>IF(Table1[[#This Row],[atemp]]="",ROUND(AVERAGE(Table1[atemp]),4),Table1[[#This Row],[atemp]])</f>
        <v>0.2424</v>
      </c>
    </row>
    <row r="327" spans="1:11" x14ac:dyDescent="0.3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  <c r="K327">
        <f>IF(Table1[[#This Row],[atemp]]="",ROUND(AVERAGE(Table1[atemp]),4),Table1[[#This Row],[atemp]])</f>
        <v>0.19700000000000001</v>
      </c>
    </row>
    <row r="328" spans="1:11" x14ac:dyDescent="0.3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  <c r="K328">
        <f>IF(Table1[[#This Row],[atemp]]="",ROUND(AVERAGE(Table1[atemp]),4),Table1[[#This Row],[atemp]])</f>
        <v>0.19700000000000001</v>
      </c>
    </row>
    <row r="329" spans="1:11" x14ac:dyDescent="0.3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  <c r="K329">
        <f>IF(Table1[[#This Row],[atemp]]="",ROUND(AVERAGE(Table1[atemp]),4),Table1[[#This Row],[atemp]])</f>
        <v>0.2273</v>
      </c>
    </row>
    <row r="330" spans="1:11" x14ac:dyDescent="0.3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  <c r="K330">
        <f>IF(Table1[[#This Row],[atemp]]="",ROUND(AVERAGE(Table1[atemp]),4),Table1[[#This Row],[atemp]])</f>
        <v>0.2273</v>
      </c>
    </row>
    <row r="331" spans="1:11" x14ac:dyDescent="0.3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  <c r="K331">
        <f>IF(Table1[[#This Row],[atemp]]="",ROUND(AVERAGE(Table1[atemp]),4),Table1[[#This Row],[atemp]])</f>
        <v>0.2273</v>
      </c>
    </row>
    <row r="332" spans="1:11" x14ac:dyDescent="0.3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  <c r="K332">
        <f>IF(Table1[[#This Row],[atemp]]="",ROUND(AVERAGE(Table1[atemp]),4),Table1[[#This Row],[atemp]])</f>
        <v>0.16669999999999999</v>
      </c>
    </row>
    <row r="333" spans="1:11" x14ac:dyDescent="0.3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  <c r="K333">
        <f>IF(Table1[[#This Row],[atemp]]="",ROUND(AVERAGE(Table1[atemp]),4),Table1[[#This Row],[atemp]])</f>
        <v>0.21210000000000001</v>
      </c>
    </row>
    <row r="334" spans="1:11" x14ac:dyDescent="0.3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  <c r="K334">
        <f>IF(Table1[[#This Row],[atemp]]="",ROUND(AVERAGE(Table1[atemp]),4),Table1[[#This Row],[atemp]])</f>
        <v>0.1515</v>
      </c>
    </row>
    <row r="335" spans="1:11" x14ac:dyDescent="0.3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  <c r="K335">
        <f>IF(Table1[[#This Row],[atemp]]="",ROUND(AVERAGE(Table1[atemp]),4),Table1[[#This Row],[atemp]])</f>
        <v>0.18179999999999999</v>
      </c>
    </row>
    <row r="336" spans="1:11" x14ac:dyDescent="0.3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  <c r="K336">
        <f>IF(Table1[[#This Row],[atemp]]="",ROUND(AVERAGE(Table1[atemp]),4),Table1[[#This Row],[atemp]])</f>
        <v>0.19700000000000001</v>
      </c>
    </row>
    <row r="337" spans="1:11" x14ac:dyDescent="0.3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  <c r="K337">
        <f>IF(Table1[[#This Row],[atemp]]="",ROUND(AVERAGE(Table1[atemp]),4),Table1[[#This Row],[atemp]])</f>
        <v>0.19700000000000001</v>
      </c>
    </row>
    <row r="338" spans="1:11" x14ac:dyDescent="0.3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  <c r="K338">
        <f>IF(Table1[[#This Row],[atemp]]="",ROUND(AVERAGE(Table1[atemp]),4),Table1[[#This Row],[atemp]])</f>
        <v>0.2273</v>
      </c>
    </row>
    <row r="339" spans="1:11" x14ac:dyDescent="0.3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  <c r="K339">
        <f>IF(Table1[[#This Row],[atemp]]="",ROUND(AVERAGE(Table1[atemp]),4),Table1[[#This Row],[atemp]])</f>
        <v>0.2576</v>
      </c>
    </row>
    <row r="340" spans="1:11" x14ac:dyDescent="0.3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  <c r="K340">
        <f>IF(Table1[[#This Row],[atemp]]="",ROUND(AVERAGE(Table1[atemp]),4),Table1[[#This Row],[atemp]])</f>
        <v>0.28789999999999999</v>
      </c>
    </row>
    <row r="341" spans="1:11" x14ac:dyDescent="0.3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  <c r="K341">
        <f>IF(Table1[[#This Row],[atemp]]="",ROUND(AVERAGE(Table1[atemp]),4),Table1[[#This Row],[atemp]])</f>
        <v>0.31819999999999998</v>
      </c>
    </row>
    <row r="342" spans="1:11" x14ac:dyDescent="0.3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  <c r="K342">
        <f>IF(Table1[[#This Row],[atemp]]="",ROUND(AVERAGE(Table1[atemp]),4),Table1[[#This Row],[atemp]])</f>
        <v>0.33329999999999999</v>
      </c>
    </row>
    <row r="343" spans="1:11" x14ac:dyDescent="0.3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  <c r="K343">
        <f>IF(Table1[[#This Row],[atemp]]="",ROUND(AVERAGE(Table1[atemp]),4),Table1[[#This Row],[atemp]])</f>
        <v>0.30299999999999999</v>
      </c>
    </row>
    <row r="344" spans="1:11" x14ac:dyDescent="0.3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  <c r="K344">
        <f>IF(Table1[[#This Row],[atemp]]="",ROUND(AVERAGE(Table1[atemp]),4),Table1[[#This Row],[atemp]])</f>
        <v>0.28789999999999999</v>
      </c>
    </row>
    <row r="345" spans="1:11" x14ac:dyDescent="0.3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  <c r="K345">
        <f>IF(Table1[[#This Row],[atemp]]="",ROUND(AVERAGE(Table1[atemp]),4),Table1[[#This Row],[atemp]])</f>
        <v>0.30299999999999999</v>
      </c>
    </row>
    <row r="346" spans="1:11" x14ac:dyDescent="0.3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  <c r="K346">
        <f>IF(Table1[[#This Row],[atemp]]="",ROUND(AVERAGE(Table1[atemp]),4),Table1[[#This Row],[atemp]])</f>
        <v>0.30299999999999999</v>
      </c>
    </row>
    <row r="347" spans="1:11" x14ac:dyDescent="0.3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  <c r="K347">
        <f>IF(Table1[[#This Row],[atemp]]="",ROUND(AVERAGE(Table1[atemp]),4),Table1[[#This Row],[atemp]])</f>
        <v>0.30299999999999999</v>
      </c>
    </row>
    <row r="348" spans="1:11" x14ac:dyDescent="0.3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  <c r="K348">
        <f>IF(Table1[[#This Row],[atemp]]="",ROUND(AVERAGE(Table1[atemp]),4),Table1[[#This Row],[atemp]])</f>
        <v>0.31819999999999998</v>
      </c>
    </row>
    <row r="349" spans="1:11" x14ac:dyDescent="0.3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  <c r="K349">
        <f>IF(Table1[[#This Row],[atemp]]="",ROUND(AVERAGE(Table1[atemp]),4),Table1[[#This Row],[atemp]])</f>
        <v>0.28789999999999999</v>
      </c>
    </row>
    <row r="350" spans="1:11" x14ac:dyDescent="0.3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  <c r="K350">
        <f>IF(Table1[[#This Row],[atemp]]="",ROUND(AVERAGE(Table1[atemp]),4),Table1[[#This Row],[atemp]])</f>
        <v>0.30299999999999999</v>
      </c>
    </row>
    <row r="351" spans="1:11" x14ac:dyDescent="0.3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  <c r="K351">
        <f>IF(Table1[[#This Row],[atemp]]="",ROUND(AVERAGE(Table1[atemp]),4),Table1[[#This Row],[atemp]])</f>
        <v>0.2727</v>
      </c>
    </row>
    <row r="352" spans="1:11" x14ac:dyDescent="0.3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  <c r="K352">
        <f>IF(Table1[[#This Row],[atemp]]="",ROUND(AVERAGE(Table1[atemp]),4),Table1[[#This Row],[atemp]])</f>
        <v>0.28789999999999999</v>
      </c>
    </row>
    <row r="353" spans="1:11" x14ac:dyDescent="0.3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  <c r="K353">
        <f>IF(Table1[[#This Row],[atemp]]="",ROUND(AVERAGE(Table1[atemp]),4),Table1[[#This Row],[atemp]])</f>
        <v>0.2727</v>
      </c>
    </row>
    <row r="354" spans="1:11" x14ac:dyDescent="0.3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  <c r="K354">
        <f>IF(Table1[[#This Row],[atemp]]="",ROUND(AVERAGE(Table1[atemp]),4),Table1[[#This Row],[atemp]])</f>
        <v>0.2576</v>
      </c>
    </row>
    <row r="355" spans="1:11" x14ac:dyDescent="0.3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  <c r="K355">
        <f>IF(Table1[[#This Row],[atemp]]="",ROUND(AVERAGE(Table1[atemp]),4),Table1[[#This Row],[atemp]])</f>
        <v>0.2576</v>
      </c>
    </row>
    <row r="356" spans="1:11" x14ac:dyDescent="0.3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  <c r="K356">
        <f>IF(Table1[[#This Row],[atemp]]="",ROUND(AVERAGE(Table1[atemp]),4),Table1[[#This Row],[atemp]])</f>
        <v>0.2576</v>
      </c>
    </row>
    <row r="357" spans="1:11" x14ac:dyDescent="0.3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  <c r="K357">
        <f>IF(Table1[[#This Row],[atemp]]="",ROUND(AVERAGE(Table1[atemp]),4),Table1[[#This Row],[atemp]])</f>
        <v>0.21210000000000001</v>
      </c>
    </row>
    <row r="358" spans="1:11" x14ac:dyDescent="0.3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  <c r="K358">
        <f>IF(Table1[[#This Row],[atemp]]="",ROUND(AVERAGE(Table1[atemp]),4),Table1[[#This Row],[atemp]])</f>
        <v>0.21210000000000001</v>
      </c>
    </row>
    <row r="359" spans="1:11" x14ac:dyDescent="0.3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  <c r="K359">
        <f>IF(Table1[[#This Row],[atemp]]="",ROUND(AVERAGE(Table1[atemp]),4),Table1[[#This Row],[atemp]])</f>
        <v>0.21210000000000001</v>
      </c>
    </row>
    <row r="360" spans="1:11" x14ac:dyDescent="0.3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  <c r="K360">
        <f>IF(Table1[[#This Row],[atemp]]="",ROUND(AVERAGE(Table1[atemp]),4),Table1[[#This Row],[atemp]])</f>
        <v>0.21210000000000001</v>
      </c>
    </row>
    <row r="361" spans="1:11" x14ac:dyDescent="0.3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  <c r="K361">
        <f>IF(Table1[[#This Row],[atemp]]="",ROUND(AVERAGE(Table1[atemp]),4),Table1[[#This Row],[atemp]])</f>
        <v>0.2273</v>
      </c>
    </row>
    <row r="362" spans="1:11" x14ac:dyDescent="0.3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  <c r="K362">
        <f>IF(Table1[[#This Row],[atemp]]="",ROUND(AVERAGE(Table1[atemp]),4),Table1[[#This Row],[atemp]])</f>
        <v>0.21210000000000001</v>
      </c>
    </row>
    <row r="363" spans="1:11" x14ac:dyDescent="0.3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  <c r="K363">
        <f>IF(Table1[[#This Row],[atemp]]="",ROUND(AVERAGE(Table1[atemp]),4),Table1[[#This Row],[atemp]])</f>
        <v>0.2273</v>
      </c>
    </row>
    <row r="364" spans="1:11" x14ac:dyDescent="0.3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  <c r="K364">
        <f>IF(Table1[[#This Row],[atemp]]="",ROUND(AVERAGE(Table1[atemp]),4),Table1[[#This Row],[atemp]])</f>
        <v>0.2727</v>
      </c>
    </row>
    <row r="365" spans="1:11" x14ac:dyDescent="0.3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  <c r="K365">
        <f>IF(Table1[[#This Row],[atemp]]="",ROUND(AVERAGE(Table1[atemp]),4),Table1[[#This Row],[atemp]])</f>
        <v>0.2424</v>
      </c>
    </row>
    <row r="366" spans="1:11" x14ac:dyDescent="0.3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  <c r="K366">
        <f>IF(Table1[[#This Row],[atemp]]="",ROUND(AVERAGE(Table1[atemp]),4),Table1[[#This Row],[atemp]])</f>
        <v>0.2273</v>
      </c>
    </row>
    <row r="367" spans="1:11" x14ac:dyDescent="0.3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  <c r="K367">
        <f>IF(Table1[[#This Row],[atemp]]="",ROUND(AVERAGE(Table1[atemp]),4),Table1[[#This Row],[atemp]])</f>
        <v>0.21210000000000001</v>
      </c>
    </row>
    <row r="368" spans="1:11" x14ac:dyDescent="0.3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  <c r="K368">
        <f>IF(Table1[[#This Row],[atemp]]="",ROUND(AVERAGE(Table1[atemp]),4),Table1[[#This Row],[atemp]])</f>
        <v>0.21210000000000001</v>
      </c>
    </row>
    <row r="369" spans="1:11" x14ac:dyDescent="0.3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  <c r="K369">
        <f>IF(Table1[[#This Row],[atemp]]="",ROUND(AVERAGE(Table1[atemp]),4),Table1[[#This Row],[atemp]])</f>
        <v>0.19700000000000001</v>
      </c>
    </row>
    <row r="370" spans="1:11" x14ac:dyDescent="0.3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  <c r="K370">
        <f>IF(Table1[[#This Row],[atemp]]="",ROUND(AVERAGE(Table1[atemp]),4),Table1[[#This Row],[atemp]])</f>
        <v>0.19700000000000001</v>
      </c>
    </row>
    <row r="371" spans="1:11" x14ac:dyDescent="0.3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  <c r="K371">
        <f>IF(Table1[[#This Row],[atemp]]="",ROUND(AVERAGE(Table1[atemp]),4),Table1[[#This Row],[atemp]])</f>
        <v>0.19700000000000001</v>
      </c>
    </row>
    <row r="372" spans="1:11" x14ac:dyDescent="0.3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  <c r="K372">
        <f>IF(Table1[[#This Row],[atemp]]="",ROUND(AVERAGE(Table1[atemp]),4),Table1[[#This Row],[atemp]])</f>
        <v>0.21210000000000001</v>
      </c>
    </row>
    <row r="373" spans="1:11" x14ac:dyDescent="0.3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  <c r="K373">
        <f>IF(Table1[[#This Row],[atemp]]="",ROUND(AVERAGE(Table1[atemp]),4),Table1[[#This Row],[atemp]])</f>
        <v>0.2273</v>
      </c>
    </row>
    <row r="374" spans="1:11" x14ac:dyDescent="0.3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  <c r="K374">
        <f>IF(Table1[[#This Row],[atemp]]="",ROUND(AVERAGE(Table1[atemp]),4),Table1[[#This Row],[atemp]])</f>
        <v>0.19700000000000001</v>
      </c>
    </row>
    <row r="375" spans="1:11" x14ac:dyDescent="0.3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  <c r="K375">
        <f>IF(Table1[[#This Row],[atemp]]="",ROUND(AVERAGE(Table1[atemp]),4),Table1[[#This Row],[atemp]])</f>
        <v>0.19700000000000001</v>
      </c>
    </row>
    <row r="376" spans="1:11" x14ac:dyDescent="0.3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  <c r="K376">
        <f>IF(Table1[[#This Row],[atemp]]="",ROUND(AVERAGE(Table1[atemp]),4),Table1[[#This Row],[atemp]])</f>
        <v>0.16669999999999999</v>
      </c>
    </row>
    <row r="377" spans="1:11" x14ac:dyDescent="0.3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  <c r="K377">
        <f>IF(Table1[[#This Row],[atemp]]="",ROUND(AVERAGE(Table1[atemp]),4),Table1[[#This Row],[atemp]])</f>
        <v>0.18179999999999999</v>
      </c>
    </row>
    <row r="378" spans="1:11" x14ac:dyDescent="0.3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  <c r="K378">
        <f>IF(Table1[[#This Row],[atemp]]="",ROUND(AVERAGE(Table1[atemp]),4),Table1[[#This Row],[atemp]])</f>
        <v>0.19700000000000001</v>
      </c>
    </row>
    <row r="379" spans="1:11" x14ac:dyDescent="0.3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  <c r="K379">
        <f>IF(Table1[[#This Row],[atemp]]="",ROUND(AVERAGE(Table1[atemp]),4),Table1[[#This Row],[atemp]])</f>
        <v>0.19700000000000001</v>
      </c>
    </row>
    <row r="380" spans="1:11" x14ac:dyDescent="0.3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  <c r="K380">
        <f>IF(Table1[[#This Row],[atemp]]="",ROUND(AVERAGE(Table1[atemp]),4),Table1[[#This Row],[atemp]])</f>
        <v>0.18179999999999999</v>
      </c>
    </row>
    <row r="381" spans="1:11" x14ac:dyDescent="0.3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  <c r="K381">
        <f>IF(Table1[[#This Row],[atemp]]="",ROUND(AVERAGE(Table1[atemp]),4),Table1[[#This Row],[atemp]])</f>
        <v>0.18179999999999999</v>
      </c>
    </row>
    <row r="382" spans="1:11" x14ac:dyDescent="0.3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  <c r="K382">
        <f>IF(Table1[[#This Row],[atemp]]="",ROUND(AVERAGE(Table1[atemp]),4),Table1[[#This Row],[atemp]])</f>
        <v>0.1515</v>
      </c>
    </row>
    <row r="383" spans="1:11" x14ac:dyDescent="0.3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  <c r="K383">
        <f>IF(Table1[[#This Row],[atemp]]="",ROUND(AVERAGE(Table1[atemp]),4),Table1[[#This Row],[atemp]])</f>
        <v>0.1515</v>
      </c>
    </row>
    <row r="384" spans="1:11" x14ac:dyDescent="0.3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  <c r="K384">
        <f>IF(Table1[[#This Row],[atemp]]="",ROUND(AVERAGE(Table1[atemp]),4),Table1[[#This Row],[atemp]])</f>
        <v>0.1515</v>
      </c>
    </row>
    <row r="385" spans="1:11" x14ac:dyDescent="0.3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  <c r="K385">
        <f>IF(Table1[[#This Row],[atemp]]="",ROUND(AVERAGE(Table1[atemp]),4),Table1[[#This Row],[atemp]])</f>
        <v>0.1515</v>
      </c>
    </row>
    <row r="386" spans="1:11" x14ac:dyDescent="0.3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  <c r="K386">
        <f>IF(Table1[[#This Row],[atemp]]="",ROUND(AVERAGE(Table1[atemp]),4),Table1[[#This Row],[atemp]])</f>
        <v>0.19700000000000001</v>
      </c>
    </row>
    <row r="387" spans="1:11" x14ac:dyDescent="0.3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  <c r="K387">
        <f>IF(Table1[[#This Row],[atemp]]="",ROUND(AVERAGE(Table1[atemp]),4),Table1[[#This Row],[atemp]])</f>
        <v>0.19700000000000001</v>
      </c>
    </row>
    <row r="388" spans="1:11" x14ac:dyDescent="0.3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  <c r="K388">
        <f>IF(Table1[[#This Row],[atemp]]="",ROUND(AVERAGE(Table1[atemp]),4),Table1[[#This Row],[atemp]])</f>
        <v>0.21210000000000001</v>
      </c>
    </row>
    <row r="389" spans="1:11" x14ac:dyDescent="0.3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  <c r="K389">
        <f>IF(Table1[[#This Row],[atemp]]="",ROUND(AVERAGE(Table1[atemp]),4),Table1[[#This Row],[atemp]])</f>
        <v>0.21210000000000001</v>
      </c>
    </row>
    <row r="390" spans="1:11" x14ac:dyDescent="0.3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  <c r="K390">
        <f>IF(Table1[[#This Row],[atemp]]="",ROUND(AVERAGE(Table1[atemp]),4),Table1[[#This Row],[atemp]])</f>
        <v>0.21210000000000001</v>
      </c>
    </row>
    <row r="391" spans="1:11" x14ac:dyDescent="0.3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  <c r="K391">
        <f>IF(Table1[[#This Row],[atemp]]="",ROUND(AVERAGE(Table1[atemp]),4),Table1[[#This Row],[atemp]])</f>
        <v>0.19700000000000001</v>
      </c>
    </row>
    <row r="392" spans="1:11" x14ac:dyDescent="0.3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  <c r="K392">
        <f>IF(Table1[[#This Row],[atemp]]="",ROUND(AVERAGE(Table1[atemp]),4),Table1[[#This Row],[atemp]])</f>
        <v>0.16669999999999999</v>
      </c>
    </row>
    <row r="393" spans="1:11" x14ac:dyDescent="0.3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  <c r="K393">
        <f>IF(Table1[[#This Row],[atemp]]="",ROUND(AVERAGE(Table1[atemp]),4),Table1[[#This Row],[atemp]])</f>
        <v>0.18179999999999999</v>
      </c>
    </row>
    <row r="394" spans="1:11" x14ac:dyDescent="0.3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  <c r="K394">
        <f>IF(Table1[[#This Row],[atemp]]="",ROUND(AVERAGE(Table1[atemp]),4),Table1[[#This Row],[atemp]])</f>
        <v>0.1515</v>
      </c>
    </row>
    <row r="395" spans="1:11" x14ac:dyDescent="0.3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  <c r="K395">
        <f>IF(Table1[[#This Row],[atemp]]="",ROUND(AVERAGE(Table1[atemp]),4),Table1[[#This Row],[atemp]])</f>
        <v>0.1515</v>
      </c>
    </row>
    <row r="396" spans="1:11" x14ac:dyDescent="0.3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  <c r="K396">
        <f>IF(Table1[[#This Row],[atemp]]="",ROUND(AVERAGE(Table1[atemp]),4),Table1[[#This Row],[atemp]])</f>
        <v>0.1212</v>
      </c>
    </row>
    <row r="397" spans="1:11" x14ac:dyDescent="0.3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  <c r="K397">
        <f>IF(Table1[[#This Row],[atemp]]="",ROUND(AVERAGE(Table1[atemp]),4),Table1[[#This Row],[atemp]])</f>
        <v>0.13639999999999999</v>
      </c>
    </row>
    <row r="398" spans="1:11" x14ac:dyDescent="0.3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  <c r="K398">
        <f>IF(Table1[[#This Row],[atemp]]="",ROUND(AVERAGE(Table1[atemp]),4),Table1[[#This Row],[atemp]])</f>
        <v>0.18179999999999999</v>
      </c>
    </row>
    <row r="399" spans="1:11" x14ac:dyDescent="0.3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  <c r="K399">
        <f>IF(Table1[[#This Row],[atemp]]="",ROUND(AVERAGE(Table1[atemp]),4),Table1[[#This Row],[atemp]])</f>
        <v>0.19700000000000001</v>
      </c>
    </row>
    <row r="400" spans="1:11" x14ac:dyDescent="0.3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  <c r="K400">
        <f>IF(Table1[[#This Row],[atemp]]="",ROUND(AVERAGE(Table1[atemp]),4),Table1[[#This Row],[atemp]])</f>
        <v>0.2273</v>
      </c>
    </row>
    <row r="401" spans="1:11" x14ac:dyDescent="0.3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  <c r="K401">
        <f>IF(Table1[[#This Row],[atemp]]="",ROUND(AVERAGE(Table1[atemp]),4),Table1[[#This Row],[atemp]])</f>
        <v>0.2273</v>
      </c>
    </row>
    <row r="402" spans="1:11" x14ac:dyDescent="0.3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  <c r="K402">
        <f>IF(Table1[[#This Row],[atemp]]="",ROUND(AVERAGE(Table1[atemp]),4),Table1[[#This Row],[atemp]])</f>
        <v>0.2273</v>
      </c>
    </row>
    <row r="403" spans="1:11" x14ac:dyDescent="0.3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  <c r="K403">
        <f>IF(Table1[[#This Row],[atemp]]="",ROUND(AVERAGE(Table1[atemp]),4),Table1[[#This Row],[atemp]])</f>
        <v>0.2273</v>
      </c>
    </row>
    <row r="404" spans="1:11" x14ac:dyDescent="0.3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  <c r="K404">
        <f>IF(Table1[[#This Row],[atemp]]="",ROUND(AVERAGE(Table1[atemp]),4),Table1[[#This Row],[atemp]])</f>
        <v>0.2273</v>
      </c>
    </row>
    <row r="405" spans="1:11" x14ac:dyDescent="0.3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  <c r="K405">
        <f>IF(Table1[[#This Row],[atemp]]="",ROUND(AVERAGE(Table1[atemp]),4),Table1[[#This Row],[atemp]])</f>
        <v>0.2273</v>
      </c>
    </row>
    <row r="406" spans="1:11" x14ac:dyDescent="0.3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  <c r="K406">
        <f>IF(Table1[[#This Row],[atemp]]="",ROUND(AVERAGE(Table1[atemp]),4),Table1[[#This Row],[atemp]])</f>
        <v>0.2727</v>
      </c>
    </row>
    <row r="407" spans="1:11" x14ac:dyDescent="0.3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  <c r="K407">
        <f>IF(Table1[[#This Row],[atemp]]="",ROUND(AVERAGE(Table1[atemp]),4),Table1[[#This Row],[atemp]])</f>
        <v>0.2424</v>
      </c>
    </row>
    <row r="408" spans="1:11" x14ac:dyDescent="0.3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  <c r="K408">
        <f>IF(Table1[[#This Row],[atemp]]="",ROUND(AVERAGE(Table1[atemp]),4),Table1[[#This Row],[atemp]])</f>
        <v>0.2576</v>
      </c>
    </row>
    <row r="409" spans="1:11" x14ac:dyDescent="0.3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  <c r="K409">
        <f>IF(Table1[[#This Row],[atemp]]="",ROUND(AVERAGE(Table1[atemp]),4),Table1[[#This Row],[atemp]])</f>
        <v>0.2727</v>
      </c>
    </row>
    <row r="410" spans="1:11" x14ac:dyDescent="0.3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  <c r="K410">
        <f>IF(Table1[[#This Row],[atemp]]="",ROUND(AVERAGE(Table1[atemp]),4),Table1[[#This Row],[atemp]])</f>
        <v>0.2727</v>
      </c>
    </row>
    <row r="411" spans="1:11" x14ac:dyDescent="0.3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  <c r="K411">
        <f>IF(Table1[[#This Row],[atemp]]="",ROUND(AVERAGE(Table1[atemp]),4),Table1[[#This Row],[atemp]])</f>
        <v>0.2273</v>
      </c>
    </row>
    <row r="412" spans="1:11" x14ac:dyDescent="0.3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  <c r="K412">
        <f>IF(Table1[[#This Row],[atemp]]="",ROUND(AVERAGE(Table1[atemp]),4),Table1[[#This Row],[atemp]])</f>
        <v>0.2273</v>
      </c>
    </row>
    <row r="413" spans="1:11" x14ac:dyDescent="0.3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  <c r="K413">
        <f>IF(Table1[[#This Row],[atemp]]="",ROUND(AVERAGE(Table1[atemp]),4),Table1[[#This Row],[atemp]])</f>
        <v>0.2273</v>
      </c>
    </row>
    <row r="414" spans="1:11" x14ac:dyDescent="0.3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  <c r="K414">
        <f>IF(Table1[[#This Row],[atemp]]="",ROUND(AVERAGE(Table1[atemp]),4),Table1[[#This Row],[atemp]])</f>
        <v>0.2576</v>
      </c>
    </row>
    <row r="415" spans="1:11" x14ac:dyDescent="0.3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  <c r="K415">
        <f>IF(Table1[[#This Row],[atemp]]="",ROUND(AVERAGE(Table1[atemp]),4),Table1[[#This Row],[atemp]])</f>
        <v>0.2576</v>
      </c>
    </row>
    <row r="416" spans="1:11" x14ac:dyDescent="0.3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  <c r="K416">
        <f>IF(Table1[[#This Row],[atemp]]="",ROUND(AVERAGE(Table1[atemp]),4),Table1[[#This Row],[atemp]])</f>
        <v>0.2576</v>
      </c>
    </row>
    <row r="417" spans="1:11" x14ac:dyDescent="0.3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  <c r="K417">
        <f>IF(Table1[[#This Row],[atemp]]="",ROUND(AVERAGE(Table1[atemp]),4),Table1[[#This Row],[atemp]])</f>
        <v>0.2576</v>
      </c>
    </row>
    <row r="418" spans="1:11" x14ac:dyDescent="0.3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  <c r="K418">
        <f>IF(Table1[[#This Row],[atemp]]="",ROUND(AVERAGE(Table1[atemp]),4),Table1[[#This Row],[atemp]])</f>
        <v>0.2576</v>
      </c>
    </row>
    <row r="419" spans="1:11" x14ac:dyDescent="0.3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  <c r="K419">
        <f>IF(Table1[[#This Row],[atemp]]="",ROUND(AVERAGE(Table1[atemp]),4),Table1[[#This Row],[atemp]])</f>
        <v>0.2727</v>
      </c>
    </row>
    <row r="420" spans="1:11" x14ac:dyDescent="0.3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  <c r="K420">
        <f>IF(Table1[[#This Row],[atemp]]="",ROUND(AVERAGE(Table1[atemp]),4),Table1[[#This Row],[atemp]])</f>
        <v>0.30299999999999999</v>
      </c>
    </row>
    <row r="421" spans="1:11" x14ac:dyDescent="0.3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  <c r="K421">
        <f>IF(Table1[[#This Row],[atemp]]="",ROUND(AVERAGE(Table1[atemp]),4),Table1[[#This Row],[atemp]])</f>
        <v>0.31819999999999998</v>
      </c>
    </row>
    <row r="422" spans="1:11" x14ac:dyDescent="0.3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  <c r="K422">
        <f>IF(Table1[[#This Row],[atemp]]="",ROUND(AVERAGE(Table1[atemp]),4),Table1[[#This Row],[atemp]])</f>
        <v>0.40910000000000002</v>
      </c>
    </row>
    <row r="423" spans="1:11" x14ac:dyDescent="0.3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  <c r="K423">
        <f>IF(Table1[[#This Row],[atemp]]="",ROUND(AVERAGE(Table1[atemp]),4),Table1[[#This Row],[atemp]])</f>
        <v>0.40910000000000002</v>
      </c>
    </row>
    <row r="424" spans="1:11" x14ac:dyDescent="0.3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  <c r="K424">
        <f>IF(Table1[[#This Row],[atemp]]="",ROUND(AVERAGE(Table1[atemp]),4),Table1[[#This Row],[atemp]])</f>
        <v>0.40910000000000002</v>
      </c>
    </row>
    <row r="425" spans="1:11" x14ac:dyDescent="0.3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  <c r="K425">
        <f>IF(Table1[[#This Row],[atemp]]="",ROUND(AVERAGE(Table1[atemp]),4),Table1[[#This Row],[atemp]])</f>
        <v>0.39389999999999997</v>
      </c>
    </row>
    <row r="426" spans="1:11" x14ac:dyDescent="0.3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  <c r="K426">
        <f>IF(Table1[[#This Row],[atemp]]="",ROUND(AVERAGE(Table1[atemp]),4),Table1[[#This Row],[atemp]])</f>
        <v>0.33329999999999999</v>
      </c>
    </row>
    <row r="427" spans="1:11" x14ac:dyDescent="0.3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  <c r="K427">
        <f>IF(Table1[[#This Row],[atemp]]="",ROUND(AVERAGE(Table1[atemp]),4),Table1[[#This Row],[atemp]])</f>
        <v>0.31819999999999998</v>
      </c>
    </row>
    <row r="428" spans="1:11" x14ac:dyDescent="0.3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  <c r="K428">
        <f>IF(Table1[[#This Row],[atemp]]="",ROUND(AVERAGE(Table1[atemp]),4),Table1[[#This Row],[atemp]])</f>
        <v>0.28789999999999999</v>
      </c>
    </row>
    <row r="429" spans="1:11" x14ac:dyDescent="0.3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  <c r="K429">
        <f>IF(Table1[[#This Row],[atemp]]="",ROUND(AVERAGE(Table1[atemp]),4),Table1[[#This Row],[atemp]])</f>
        <v>0.30299999999999999</v>
      </c>
    </row>
    <row r="430" spans="1:11" x14ac:dyDescent="0.3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  <c r="K430">
        <f>IF(Table1[[#This Row],[atemp]]="",ROUND(AVERAGE(Table1[atemp]),4),Table1[[#This Row],[atemp]])</f>
        <v>0.28789999999999999</v>
      </c>
    </row>
    <row r="431" spans="1:11" x14ac:dyDescent="0.3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  <c r="K431">
        <f>IF(Table1[[#This Row],[atemp]]="",ROUND(AVERAGE(Table1[atemp]),4),Table1[[#This Row],[atemp]])</f>
        <v>0.30299999999999999</v>
      </c>
    </row>
    <row r="432" spans="1:11" x14ac:dyDescent="0.3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  <c r="K432">
        <f>IF(Table1[[#This Row],[atemp]]="",ROUND(AVERAGE(Table1[atemp]),4),Table1[[#This Row],[atemp]])</f>
        <v>0.2727</v>
      </c>
    </row>
    <row r="433" spans="1:11" x14ac:dyDescent="0.3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  <c r="K433">
        <f>IF(Table1[[#This Row],[atemp]]="",ROUND(AVERAGE(Table1[atemp]),4),Table1[[#This Row],[atemp]])</f>
        <v>0.2273</v>
      </c>
    </row>
    <row r="434" spans="1:11" x14ac:dyDescent="0.3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  <c r="K434">
        <f>IF(Table1[[#This Row],[atemp]]="",ROUND(AVERAGE(Table1[atemp]),4),Table1[[#This Row],[atemp]])</f>
        <v>0.2727</v>
      </c>
    </row>
    <row r="435" spans="1:11" x14ac:dyDescent="0.3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  <c r="K435">
        <f>IF(Table1[[#This Row],[atemp]]="",ROUND(AVERAGE(Table1[atemp]),4),Table1[[#This Row],[atemp]])</f>
        <v>0.2727</v>
      </c>
    </row>
    <row r="436" spans="1:11" x14ac:dyDescent="0.3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  <c r="K436">
        <f>IF(Table1[[#This Row],[atemp]]="",ROUND(AVERAGE(Table1[atemp]),4),Table1[[#This Row],[atemp]])</f>
        <v>0.2576</v>
      </c>
    </row>
    <row r="437" spans="1:11" x14ac:dyDescent="0.3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  <c r="K437">
        <f>IF(Table1[[#This Row],[atemp]]="",ROUND(AVERAGE(Table1[atemp]),4),Table1[[#This Row],[atemp]])</f>
        <v>0.2576</v>
      </c>
    </row>
    <row r="438" spans="1:11" x14ac:dyDescent="0.3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  <c r="K438">
        <f>IF(Table1[[#This Row],[atemp]]="",ROUND(AVERAGE(Table1[atemp]),4),Table1[[#This Row],[atemp]])</f>
        <v>0.2273</v>
      </c>
    </row>
    <row r="439" spans="1:11" x14ac:dyDescent="0.3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  <c r="K439">
        <f>IF(Table1[[#This Row],[atemp]]="",ROUND(AVERAGE(Table1[atemp]),4),Table1[[#This Row],[atemp]])</f>
        <v>0.21210000000000001</v>
      </c>
    </row>
    <row r="440" spans="1:11" x14ac:dyDescent="0.3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  <c r="K440">
        <f>IF(Table1[[#This Row],[atemp]]="",ROUND(AVERAGE(Table1[atemp]),4),Table1[[#This Row],[atemp]])</f>
        <v>0.21210000000000001</v>
      </c>
    </row>
    <row r="441" spans="1:11" x14ac:dyDescent="0.3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  <c r="K441">
        <f>IF(Table1[[#This Row],[atemp]]="",ROUND(AVERAGE(Table1[atemp]),4),Table1[[#This Row],[atemp]])</f>
        <v>0.21210000000000001</v>
      </c>
    </row>
    <row r="442" spans="1:11" x14ac:dyDescent="0.3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  <c r="K442">
        <f>IF(Table1[[#This Row],[atemp]]="",ROUND(AVERAGE(Table1[atemp]),4),Table1[[#This Row],[atemp]])</f>
        <v>0.2273</v>
      </c>
    </row>
    <row r="443" spans="1:11" x14ac:dyDescent="0.3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  <c r="K443">
        <f>IF(Table1[[#This Row],[atemp]]="",ROUND(AVERAGE(Table1[atemp]),4),Table1[[#This Row],[atemp]])</f>
        <v>0.2273</v>
      </c>
    </row>
    <row r="444" spans="1:11" x14ac:dyDescent="0.3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  <c r="K444">
        <f>IF(Table1[[#This Row],[atemp]]="",ROUND(AVERAGE(Table1[atemp]),4),Table1[[#This Row],[atemp]])</f>
        <v>0.2727</v>
      </c>
    </row>
    <row r="445" spans="1:11" x14ac:dyDescent="0.3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  <c r="K445">
        <f>IF(Table1[[#This Row],[atemp]]="",ROUND(AVERAGE(Table1[atemp]),4),Table1[[#This Row],[atemp]])</f>
        <v>0.33329999999999999</v>
      </c>
    </row>
    <row r="446" spans="1:11" x14ac:dyDescent="0.3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  <c r="K446">
        <f>IF(Table1[[#This Row],[atemp]]="",ROUND(AVERAGE(Table1[atemp]),4),Table1[[#This Row],[atemp]])</f>
        <v>0.28789999999999999</v>
      </c>
    </row>
    <row r="447" spans="1:11" x14ac:dyDescent="0.3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  <c r="K447">
        <f>IF(Table1[[#This Row],[atemp]]="",ROUND(AVERAGE(Table1[atemp]),4),Table1[[#This Row],[atemp]])</f>
        <v>0.30299999999999999</v>
      </c>
    </row>
    <row r="448" spans="1:11" x14ac:dyDescent="0.3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  <c r="K448">
        <f>IF(Table1[[#This Row],[atemp]]="",ROUND(AVERAGE(Table1[atemp]),4),Table1[[#This Row],[atemp]])</f>
        <v>0.31819999999999998</v>
      </c>
    </row>
    <row r="449" spans="1:11" x14ac:dyDescent="0.3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  <c r="K449">
        <f>IF(Table1[[#This Row],[atemp]]="",ROUND(AVERAGE(Table1[atemp]),4),Table1[[#This Row],[atemp]])</f>
        <v>0.30299999999999999</v>
      </c>
    </row>
    <row r="450" spans="1:11" x14ac:dyDescent="0.3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  <c r="K450">
        <f>IF(Table1[[#This Row],[atemp]]="",ROUND(AVERAGE(Table1[atemp]),4),Table1[[#This Row],[atemp]])</f>
        <v>0.31819999999999998</v>
      </c>
    </row>
    <row r="451" spans="1:11" x14ac:dyDescent="0.3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  <c r="K451">
        <f>IF(Table1[[#This Row],[atemp]]="",ROUND(AVERAGE(Table1[atemp]),4),Table1[[#This Row],[atemp]])</f>
        <v>0.2576</v>
      </c>
    </row>
    <row r="452" spans="1:11" x14ac:dyDescent="0.3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  <c r="K452">
        <f>IF(Table1[[#This Row],[atemp]]="",ROUND(AVERAGE(Table1[atemp]),4),Table1[[#This Row],[atemp]])</f>
        <v>0.2273</v>
      </c>
    </row>
    <row r="453" spans="1:11" x14ac:dyDescent="0.3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  <c r="K453">
        <f>IF(Table1[[#This Row],[atemp]]="",ROUND(AVERAGE(Table1[atemp]),4),Table1[[#This Row],[atemp]])</f>
        <v>0.2424</v>
      </c>
    </row>
    <row r="454" spans="1:11" x14ac:dyDescent="0.3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  <c r="K454">
        <f>IF(Table1[[#This Row],[atemp]]="",ROUND(AVERAGE(Table1[atemp]),4),Table1[[#This Row],[atemp]])</f>
        <v>0.2273</v>
      </c>
    </row>
    <row r="455" spans="1:11" x14ac:dyDescent="0.3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  <c r="K455">
        <f>IF(Table1[[#This Row],[atemp]]="",ROUND(AVERAGE(Table1[atemp]),4),Table1[[#This Row],[atemp]])</f>
        <v>0.21210000000000001</v>
      </c>
    </row>
    <row r="456" spans="1:11" x14ac:dyDescent="0.3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  <c r="K456">
        <f>IF(Table1[[#This Row],[atemp]]="",ROUND(AVERAGE(Table1[atemp]),4),Table1[[#This Row],[atemp]])</f>
        <v>0.21210000000000001</v>
      </c>
    </row>
    <row r="457" spans="1:11" x14ac:dyDescent="0.3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  <c r="K457">
        <f>IF(Table1[[#This Row],[atemp]]="",ROUND(AVERAGE(Table1[atemp]),4),Table1[[#This Row],[atemp]])</f>
        <v>0.2273</v>
      </c>
    </row>
    <row r="458" spans="1:11" x14ac:dyDescent="0.3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  <c r="K458">
        <f>IF(Table1[[#This Row],[atemp]]="",ROUND(AVERAGE(Table1[atemp]),4),Table1[[#This Row],[atemp]])</f>
        <v>0.2273</v>
      </c>
    </row>
    <row r="459" spans="1:11" x14ac:dyDescent="0.3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  <c r="K459">
        <f>IF(Table1[[#This Row],[atemp]]="",ROUND(AVERAGE(Table1[atemp]),4),Table1[[#This Row],[atemp]])</f>
        <v>0.2424</v>
      </c>
    </row>
    <row r="460" spans="1:11" x14ac:dyDescent="0.3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  <c r="K460">
        <f>IF(Table1[[#This Row],[atemp]]="",ROUND(AVERAGE(Table1[atemp]),4),Table1[[#This Row],[atemp]])</f>
        <v>0.21210000000000001</v>
      </c>
    </row>
    <row r="461" spans="1:11" x14ac:dyDescent="0.3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  <c r="K461">
        <f>IF(Table1[[#This Row],[atemp]]="",ROUND(AVERAGE(Table1[atemp]),4),Table1[[#This Row],[atemp]])</f>
        <v>0.2576</v>
      </c>
    </row>
    <row r="462" spans="1:11" x14ac:dyDescent="0.3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  <c r="K462">
        <f>IF(Table1[[#This Row],[atemp]]="",ROUND(AVERAGE(Table1[atemp]),4),Table1[[#This Row],[atemp]])</f>
        <v>0.19700000000000001</v>
      </c>
    </row>
    <row r="463" spans="1:11" x14ac:dyDescent="0.3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  <c r="K463">
        <f>IF(Table1[[#This Row],[atemp]]="",ROUND(AVERAGE(Table1[atemp]),4),Table1[[#This Row],[atemp]])</f>
        <v>0.21210000000000001</v>
      </c>
    </row>
    <row r="464" spans="1:11" x14ac:dyDescent="0.3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  <c r="K464">
        <f>IF(Table1[[#This Row],[atemp]]="",ROUND(AVERAGE(Table1[atemp]),4),Table1[[#This Row],[atemp]])</f>
        <v>0.18179999999999999</v>
      </c>
    </row>
    <row r="465" spans="1:11" x14ac:dyDescent="0.3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  <c r="K465">
        <f>IF(Table1[[#This Row],[atemp]]="",ROUND(AVERAGE(Table1[atemp]),4),Table1[[#This Row],[atemp]])</f>
        <v>0.18179999999999999</v>
      </c>
    </row>
    <row r="466" spans="1:11" x14ac:dyDescent="0.3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  <c r="K466">
        <f>IF(Table1[[#This Row],[atemp]]="",ROUND(AVERAGE(Table1[atemp]),4),Table1[[#This Row],[atemp]])</f>
        <v>0.18179999999999999</v>
      </c>
    </row>
    <row r="467" spans="1:11" x14ac:dyDescent="0.3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  <c r="K467">
        <f>IF(Table1[[#This Row],[atemp]]="",ROUND(AVERAGE(Table1[atemp]),4),Table1[[#This Row],[atemp]])</f>
        <v>0.16669999999999999</v>
      </c>
    </row>
    <row r="468" spans="1:11" x14ac:dyDescent="0.3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  <c r="K468">
        <f>IF(Table1[[#This Row],[atemp]]="",ROUND(AVERAGE(Table1[atemp]),4),Table1[[#This Row],[atemp]])</f>
        <v>0.18179999999999999</v>
      </c>
    </row>
    <row r="469" spans="1:11" x14ac:dyDescent="0.3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  <c r="K469">
        <f>IF(Table1[[#This Row],[atemp]]="",ROUND(AVERAGE(Table1[atemp]),4),Table1[[#This Row],[atemp]])</f>
        <v>0.18179999999999999</v>
      </c>
    </row>
    <row r="470" spans="1:11" x14ac:dyDescent="0.3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  <c r="K470">
        <f>IF(Table1[[#This Row],[atemp]]="",ROUND(AVERAGE(Table1[atemp]),4),Table1[[#This Row],[atemp]])</f>
        <v>0.1515</v>
      </c>
    </row>
    <row r="471" spans="1:11" x14ac:dyDescent="0.3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  <c r="K471">
        <f>IF(Table1[[#This Row],[atemp]]="",ROUND(AVERAGE(Table1[atemp]),4),Table1[[#This Row],[atemp]])</f>
        <v>0.1515</v>
      </c>
    </row>
    <row r="472" spans="1:11" x14ac:dyDescent="0.3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  <c r="K472">
        <f>IF(Table1[[#This Row],[atemp]]="",ROUND(AVERAGE(Table1[atemp]),4),Table1[[#This Row],[atemp]])</f>
        <v>0.1212</v>
      </c>
    </row>
    <row r="473" spans="1:11" x14ac:dyDescent="0.3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  <c r="K473">
        <f>IF(Table1[[#This Row],[atemp]]="",ROUND(AVERAGE(Table1[atemp]),4),Table1[[#This Row],[atemp]])</f>
        <v>0.13639999999999999</v>
      </c>
    </row>
    <row r="474" spans="1:11" x14ac:dyDescent="0.3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  <c r="K474">
        <f>IF(Table1[[#This Row],[atemp]]="",ROUND(AVERAGE(Table1[atemp]),4),Table1[[#This Row],[atemp]])</f>
        <v>0.1212</v>
      </c>
    </row>
    <row r="475" spans="1:11" x14ac:dyDescent="0.3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  <c r="K475">
        <f>IF(Table1[[#This Row],[atemp]]="",ROUND(AVERAGE(Table1[atemp]),4),Table1[[#This Row],[atemp]])</f>
        <v>0.1212</v>
      </c>
    </row>
    <row r="476" spans="1:11" x14ac:dyDescent="0.3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  <c r="K476">
        <f>IF(Table1[[#This Row],[atemp]]="",ROUND(AVERAGE(Table1[atemp]),4),Table1[[#This Row],[atemp]])</f>
        <v>0.1061</v>
      </c>
    </row>
    <row r="477" spans="1:11" x14ac:dyDescent="0.3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  <c r="K477">
        <f>IF(Table1[[#This Row],[atemp]]="",ROUND(AVERAGE(Table1[atemp]),4),Table1[[#This Row],[atemp]])</f>
        <v>7.5800000000000006E-2</v>
      </c>
    </row>
    <row r="478" spans="1:11" x14ac:dyDescent="0.3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  <c r="K478">
        <f>IF(Table1[[#This Row],[atemp]]="",ROUND(AVERAGE(Table1[atemp]),4),Table1[[#This Row],[atemp]])</f>
        <v>7.5800000000000006E-2</v>
      </c>
    </row>
    <row r="479" spans="1:11" x14ac:dyDescent="0.3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  <c r="K479">
        <f>IF(Table1[[#This Row],[atemp]]="",ROUND(AVERAGE(Table1[atemp]),4),Table1[[#This Row],[atemp]])</f>
        <v>3.0300000000000001E-2</v>
      </c>
    </row>
    <row r="480" spans="1:11" x14ac:dyDescent="0.3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  <c r="K480">
        <f>IF(Table1[[#This Row],[atemp]]="",ROUND(AVERAGE(Table1[atemp]),4),Table1[[#This Row],[atemp]])</f>
        <v>4.5499999999999999E-2</v>
      </c>
    </row>
    <row r="481" spans="1:11" x14ac:dyDescent="0.3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  <c r="K481">
        <f>IF(Table1[[#This Row],[atemp]]="",ROUND(AVERAGE(Table1[atemp]),4),Table1[[#This Row],[atemp]])</f>
        <v>3.0300000000000001E-2</v>
      </c>
    </row>
    <row r="482" spans="1:11" x14ac:dyDescent="0.3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  <c r="K482">
        <f>IF(Table1[[#This Row],[atemp]]="",ROUND(AVERAGE(Table1[atemp]),4),Table1[[#This Row],[atemp]])</f>
        <v>0</v>
      </c>
    </row>
    <row r="483" spans="1:11" x14ac:dyDescent="0.3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  <c r="K483">
        <f>IF(Table1[[#This Row],[atemp]]="",ROUND(AVERAGE(Table1[atemp]),4),Table1[[#This Row],[atemp]])</f>
        <v>3.0300000000000001E-2</v>
      </c>
    </row>
    <row r="484" spans="1:11" x14ac:dyDescent="0.3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  <c r="K484">
        <f>IF(Table1[[#This Row],[atemp]]="",ROUND(AVERAGE(Table1[atemp]),4),Table1[[#This Row],[atemp]])</f>
        <v>3.0300000000000001E-2</v>
      </c>
    </row>
    <row r="485" spans="1:11" x14ac:dyDescent="0.3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  <c r="K485">
        <f>IF(Table1[[#This Row],[atemp]]="",ROUND(AVERAGE(Table1[atemp]),4),Table1[[#This Row],[atemp]])</f>
        <v>1.52E-2</v>
      </c>
    </row>
    <row r="486" spans="1:11" x14ac:dyDescent="0.3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  <c r="K486">
        <f>IF(Table1[[#This Row],[atemp]]="",ROUND(AVERAGE(Table1[atemp]),4),Table1[[#This Row],[atemp]])</f>
        <v>3.0300000000000001E-2</v>
      </c>
    </row>
    <row r="487" spans="1:11" x14ac:dyDescent="0.3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  <c r="K487">
        <f>IF(Table1[[#This Row],[atemp]]="",ROUND(AVERAGE(Table1[atemp]),4),Table1[[#This Row],[atemp]])</f>
        <v>1.52E-2</v>
      </c>
    </row>
    <row r="488" spans="1:11" x14ac:dyDescent="0.3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  <c r="K488">
        <f>IF(Table1[[#This Row],[atemp]]="",ROUND(AVERAGE(Table1[atemp]),4),Table1[[#This Row],[atemp]])</f>
        <v>0</v>
      </c>
    </row>
    <row r="489" spans="1:11" x14ac:dyDescent="0.3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  <c r="K489">
        <f>IF(Table1[[#This Row],[atemp]]="",ROUND(AVERAGE(Table1[atemp]),4),Table1[[#This Row],[atemp]])</f>
        <v>3.0300000000000001E-2</v>
      </c>
    </row>
    <row r="490" spans="1:11" x14ac:dyDescent="0.3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  <c r="K490">
        <f>IF(Table1[[#This Row],[atemp]]="",ROUND(AVERAGE(Table1[atemp]),4),Table1[[#This Row],[atemp]])</f>
        <v>6.0600000000000001E-2</v>
      </c>
    </row>
    <row r="491" spans="1:11" x14ac:dyDescent="0.3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  <c r="K491">
        <f>IF(Table1[[#This Row],[atemp]]="",ROUND(AVERAGE(Table1[atemp]),4),Table1[[#This Row],[atemp]])</f>
        <v>7.5800000000000006E-2</v>
      </c>
    </row>
    <row r="492" spans="1:11" x14ac:dyDescent="0.3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  <c r="K492">
        <f>IF(Table1[[#This Row],[atemp]]="",ROUND(AVERAGE(Table1[atemp]),4),Table1[[#This Row],[atemp]])</f>
        <v>0.1061</v>
      </c>
    </row>
    <row r="493" spans="1:11" x14ac:dyDescent="0.3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  <c r="K493">
        <f>IF(Table1[[#This Row],[atemp]]="",ROUND(AVERAGE(Table1[atemp]),4),Table1[[#This Row],[atemp]])</f>
        <v>0.16669999999999999</v>
      </c>
    </row>
    <row r="494" spans="1:11" x14ac:dyDescent="0.3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  <c r="K494">
        <f>IF(Table1[[#This Row],[atemp]]="",ROUND(AVERAGE(Table1[atemp]),4),Table1[[#This Row],[atemp]])</f>
        <v>0.13639999999999999</v>
      </c>
    </row>
    <row r="495" spans="1:11" x14ac:dyDescent="0.3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  <c r="K495">
        <f>IF(Table1[[#This Row],[atemp]]="",ROUND(AVERAGE(Table1[atemp]),4),Table1[[#This Row],[atemp]])</f>
        <v>0.1515</v>
      </c>
    </row>
    <row r="496" spans="1:11" x14ac:dyDescent="0.3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  <c r="K496">
        <f>IF(Table1[[#This Row],[atemp]]="",ROUND(AVERAGE(Table1[atemp]),4),Table1[[#This Row],[atemp]])</f>
        <v>0.13639999999999999</v>
      </c>
    </row>
    <row r="497" spans="1:11" x14ac:dyDescent="0.3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  <c r="K497">
        <f>IF(Table1[[#This Row],[atemp]]="",ROUND(AVERAGE(Table1[atemp]),4),Table1[[#This Row],[atemp]])</f>
        <v>0.19700000000000001</v>
      </c>
    </row>
    <row r="498" spans="1:11" x14ac:dyDescent="0.3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  <c r="K498">
        <f>IF(Table1[[#This Row],[atemp]]="",ROUND(AVERAGE(Table1[atemp]),4),Table1[[#This Row],[atemp]])</f>
        <v>9.0899999999999995E-2</v>
      </c>
    </row>
    <row r="499" spans="1:11" x14ac:dyDescent="0.3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  <c r="K499">
        <f>IF(Table1[[#This Row],[atemp]]="",ROUND(AVERAGE(Table1[atemp]),4),Table1[[#This Row],[atemp]])</f>
        <v>0.1061</v>
      </c>
    </row>
    <row r="500" spans="1:11" x14ac:dyDescent="0.3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  <c r="K500">
        <f>IF(Table1[[#This Row],[atemp]]="",ROUND(AVERAGE(Table1[atemp]),4),Table1[[#This Row],[atemp]])</f>
        <v>7.5800000000000006E-2</v>
      </c>
    </row>
    <row r="501" spans="1:11" x14ac:dyDescent="0.3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  <c r="K501">
        <f>IF(Table1[[#This Row],[atemp]]="",ROUND(AVERAGE(Table1[atemp]),4),Table1[[#This Row],[atemp]])</f>
        <v>0.1061</v>
      </c>
    </row>
    <row r="502" spans="1:11" x14ac:dyDescent="0.3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  <c r="K502">
        <f>IF(Table1[[#This Row],[atemp]]="",ROUND(AVERAGE(Table1[atemp]),4),Table1[[#This Row],[atemp]])</f>
        <v>0.1515</v>
      </c>
    </row>
    <row r="503" spans="1:11" x14ac:dyDescent="0.3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  <c r="K503">
        <f>IF(Table1[[#This Row],[atemp]]="",ROUND(AVERAGE(Table1[atemp]),4),Table1[[#This Row],[atemp]])</f>
        <v>7.5800000000000006E-2</v>
      </c>
    </row>
    <row r="504" spans="1:11" x14ac:dyDescent="0.3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  <c r="K504">
        <f>IF(Table1[[#This Row],[atemp]]="",ROUND(AVERAGE(Table1[atemp]),4),Table1[[#This Row],[atemp]])</f>
        <v>7.5800000000000006E-2</v>
      </c>
    </row>
    <row r="505" spans="1:11" x14ac:dyDescent="0.3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  <c r="K505">
        <f>IF(Table1[[#This Row],[atemp]]="",ROUND(AVERAGE(Table1[atemp]),4),Table1[[#This Row],[atemp]])</f>
        <v>7.5800000000000006E-2</v>
      </c>
    </row>
    <row r="506" spans="1:11" x14ac:dyDescent="0.3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  <c r="K506">
        <f>IF(Table1[[#This Row],[atemp]]="",ROUND(AVERAGE(Table1[atemp]),4),Table1[[#This Row],[atemp]])</f>
        <v>6.0600000000000001E-2</v>
      </c>
    </row>
    <row r="507" spans="1:11" x14ac:dyDescent="0.3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  <c r="K507">
        <f>IF(Table1[[#This Row],[atemp]]="",ROUND(AVERAGE(Table1[atemp]),4),Table1[[#This Row],[atemp]])</f>
        <v>6.0600000000000001E-2</v>
      </c>
    </row>
    <row r="508" spans="1:11" x14ac:dyDescent="0.3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  <c r="K508">
        <f>IF(Table1[[#This Row],[atemp]]="",ROUND(AVERAGE(Table1[atemp]),4),Table1[[#This Row],[atemp]])</f>
        <v>7.5800000000000006E-2</v>
      </c>
    </row>
    <row r="509" spans="1:11" x14ac:dyDescent="0.3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  <c r="K509">
        <f>IF(Table1[[#This Row],[atemp]]="",ROUND(AVERAGE(Table1[atemp]),4),Table1[[#This Row],[atemp]])</f>
        <v>7.5800000000000006E-2</v>
      </c>
    </row>
    <row r="510" spans="1:11" x14ac:dyDescent="0.3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  <c r="K510">
        <f>IF(Table1[[#This Row],[atemp]]="",ROUND(AVERAGE(Table1[atemp]),4),Table1[[#This Row],[atemp]])</f>
        <v>0.1061</v>
      </c>
    </row>
    <row r="511" spans="1:11" x14ac:dyDescent="0.3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  <c r="K511">
        <f>IF(Table1[[#This Row],[atemp]]="",ROUND(AVERAGE(Table1[atemp]),4),Table1[[#This Row],[atemp]])</f>
        <v>7.5800000000000006E-2</v>
      </c>
    </row>
    <row r="512" spans="1:11" x14ac:dyDescent="0.3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  <c r="K512">
        <f>IF(Table1[[#This Row],[atemp]]="",ROUND(AVERAGE(Table1[atemp]),4),Table1[[#This Row],[atemp]])</f>
        <v>7.5800000000000006E-2</v>
      </c>
    </row>
    <row r="513" spans="1:11" x14ac:dyDescent="0.3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  <c r="K513">
        <f>IF(Table1[[#This Row],[atemp]]="",ROUND(AVERAGE(Table1[atemp]),4),Table1[[#This Row],[atemp]])</f>
        <v>0.1061</v>
      </c>
    </row>
    <row r="514" spans="1:11" x14ac:dyDescent="0.3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  <c r="K514">
        <f>IF(Table1[[#This Row],[atemp]]="",ROUND(AVERAGE(Table1[atemp]),4),Table1[[#This Row],[atemp]])</f>
        <v>0.13639999999999999</v>
      </c>
    </row>
    <row r="515" spans="1:11" x14ac:dyDescent="0.3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  <c r="K515">
        <f>IF(Table1[[#This Row],[atemp]]="",ROUND(AVERAGE(Table1[atemp]),4),Table1[[#This Row],[atemp]])</f>
        <v>0.1212</v>
      </c>
    </row>
    <row r="516" spans="1:11" x14ac:dyDescent="0.3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  <c r="K516">
        <f>IF(Table1[[#This Row],[atemp]]="",ROUND(AVERAGE(Table1[atemp]),4),Table1[[#This Row],[atemp]])</f>
        <v>0.1061</v>
      </c>
    </row>
    <row r="517" spans="1:11" x14ac:dyDescent="0.3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  <c r="K517">
        <f>IF(Table1[[#This Row],[atemp]]="",ROUND(AVERAGE(Table1[atemp]),4),Table1[[#This Row],[atemp]])</f>
        <v>0.13639999999999999</v>
      </c>
    </row>
    <row r="518" spans="1:11" x14ac:dyDescent="0.3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  <c r="K518">
        <f>IF(Table1[[#This Row],[atemp]]="",ROUND(AVERAGE(Table1[atemp]),4),Table1[[#This Row],[atemp]])</f>
        <v>0.13639999999999999</v>
      </c>
    </row>
    <row r="519" spans="1:11" x14ac:dyDescent="0.3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  <c r="K519">
        <f>IF(Table1[[#This Row],[atemp]]="",ROUND(AVERAGE(Table1[atemp]),4),Table1[[#This Row],[atemp]])</f>
        <v>0.13639999999999999</v>
      </c>
    </row>
    <row r="520" spans="1:11" x14ac:dyDescent="0.3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  <c r="K520">
        <f>IF(Table1[[#This Row],[atemp]]="",ROUND(AVERAGE(Table1[atemp]),4),Table1[[#This Row],[atemp]])</f>
        <v>0.1061</v>
      </c>
    </row>
    <row r="521" spans="1:11" x14ac:dyDescent="0.3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  <c r="K521">
        <f>IF(Table1[[#This Row],[atemp]]="",ROUND(AVERAGE(Table1[atemp]),4),Table1[[#This Row],[atemp]])</f>
        <v>0.1212</v>
      </c>
    </row>
    <row r="522" spans="1:11" x14ac:dyDescent="0.3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  <c r="K522">
        <f>IF(Table1[[#This Row],[atemp]]="",ROUND(AVERAGE(Table1[atemp]),4),Table1[[#This Row],[atemp]])</f>
        <v>0.1212</v>
      </c>
    </row>
    <row r="523" spans="1:11" x14ac:dyDescent="0.3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  <c r="K523">
        <f>IF(Table1[[#This Row],[atemp]]="",ROUND(AVERAGE(Table1[atemp]),4),Table1[[#This Row],[atemp]])</f>
        <v>0.1061</v>
      </c>
    </row>
    <row r="524" spans="1:11" x14ac:dyDescent="0.3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  <c r="K524">
        <f>IF(Table1[[#This Row],[atemp]]="",ROUND(AVERAGE(Table1[atemp]),4),Table1[[#This Row],[atemp]])</f>
        <v>0.1061</v>
      </c>
    </row>
    <row r="525" spans="1:11" x14ac:dyDescent="0.3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  <c r="K525">
        <f>IF(Table1[[#This Row],[atemp]]="",ROUND(AVERAGE(Table1[atemp]),4),Table1[[#This Row],[atemp]])</f>
        <v>9.0899999999999995E-2</v>
      </c>
    </row>
    <row r="526" spans="1:11" x14ac:dyDescent="0.3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  <c r="K526">
        <f>IF(Table1[[#This Row],[atemp]]="",ROUND(AVERAGE(Table1[atemp]),4),Table1[[#This Row],[atemp]])</f>
        <v>6.0600000000000001E-2</v>
      </c>
    </row>
    <row r="527" spans="1:11" x14ac:dyDescent="0.3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  <c r="K527">
        <f>IF(Table1[[#This Row],[atemp]]="",ROUND(AVERAGE(Table1[atemp]),4),Table1[[#This Row],[atemp]])</f>
        <v>6.0600000000000001E-2</v>
      </c>
    </row>
    <row r="528" spans="1:11" x14ac:dyDescent="0.3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  <c r="K528">
        <f>IF(Table1[[#This Row],[atemp]]="",ROUND(AVERAGE(Table1[atemp]),4),Table1[[#This Row],[atemp]])</f>
        <v>4.5499999999999999E-2</v>
      </c>
    </row>
    <row r="529" spans="1:11" x14ac:dyDescent="0.3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  <c r="K529">
        <f>IF(Table1[[#This Row],[atemp]]="",ROUND(AVERAGE(Table1[atemp]),4),Table1[[#This Row],[atemp]])</f>
        <v>3.0300000000000001E-2</v>
      </c>
    </row>
    <row r="530" spans="1:11" x14ac:dyDescent="0.3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  <c r="K530">
        <f>IF(Table1[[#This Row],[atemp]]="",ROUND(AVERAGE(Table1[atemp]),4),Table1[[#This Row],[atemp]])</f>
        <v>6.0600000000000001E-2</v>
      </c>
    </row>
    <row r="531" spans="1:11" x14ac:dyDescent="0.3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  <c r="K531">
        <f>IF(Table1[[#This Row],[atemp]]="",ROUND(AVERAGE(Table1[atemp]),4),Table1[[#This Row],[atemp]])</f>
        <v>6.0600000000000001E-2</v>
      </c>
    </row>
    <row r="532" spans="1:11" x14ac:dyDescent="0.3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  <c r="K532">
        <f>IF(Table1[[#This Row],[atemp]]="",ROUND(AVERAGE(Table1[atemp]),4),Table1[[#This Row],[atemp]])</f>
        <v>7.5800000000000006E-2</v>
      </c>
    </row>
    <row r="533" spans="1:11" x14ac:dyDescent="0.3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  <c r="K533">
        <f>IF(Table1[[#This Row],[atemp]]="",ROUND(AVERAGE(Table1[atemp]),4),Table1[[#This Row],[atemp]])</f>
        <v>0.1212</v>
      </c>
    </row>
    <row r="534" spans="1:11" x14ac:dyDescent="0.3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  <c r="K534">
        <f>IF(Table1[[#This Row],[atemp]]="",ROUND(AVERAGE(Table1[atemp]),4),Table1[[#This Row],[atemp]])</f>
        <v>0.13639999999999999</v>
      </c>
    </row>
    <row r="535" spans="1:11" x14ac:dyDescent="0.3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  <c r="K535">
        <f>IF(Table1[[#This Row],[atemp]]="",ROUND(AVERAGE(Table1[atemp]),4),Table1[[#This Row],[atemp]])</f>
        <v>0.1515</v>
      </c>
    </row>
    <row r="536" spans="1:11" x14ac:dyDescent="0.3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  <c r="K536">
        <f>IF(Table1[[#This Row],[atemp]]="",ROUND(AVERAGE(Table1[atemp]),4),Table1[[#This Row],[atemp]])</f>
        <v>0.13639999999999999</v>
      </c>
    </row>
    <row r="537" spans="1:11" x14ac:dyDescent="0.3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  <c r="K537">
        <f>IF(Table1[[#This Row],[atemp]]="",ROUND(AVERAGE(Table1[atemp]),4),Table1[[#This Row],[atemp]])</f>
        <v>0.1212</v>
      </c>
    </row>
    <row r="538" spans="1:11" x14ac:dyDescent="0.3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  <c r="K538">
        <f>IF(Table1[[#This Row],[atemp]]="",ROUND(AVERAGE(Table1[atemp]),4),Table1[[#This Row],[atemp]])</f>
        <v>0.13639999999999999</v>
      </c>
    </row>
    <row r="539" spans="1:11" x14ac:dyDescent="0.3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  <c r="K539">
        <f>IF(Table1[[#This Row],[atemp]]="",ROUND(AVERAGE(Table1[atemp]),4),Table1[[#This Row],[atemp]])</f>
        <v>0.13639999999999999</v>
      </c>
    </row>
    <row r="540" spans="1:11" x14ac:dyDescent="0.3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  <c r="K540">
        <f>IF(Table1[[#This Row],[atemp]]="",ROUND(AVERAGE(Table1[atemp]),4),Table1[[#This Row],[atemp]])</f>
        <v>0.13639999999999999</v>
      </c>
    </row>
    <row r="541" spans="1:11" x14ac:dyDescent="0.3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  <c r="K541">
        <f>IF(Table1[[#This Row],[atemp]]="",ROUND(AVERAGE(Table1[atemp]),4),Table1[[#This Row],[atemp]])</f>
        <v>0.16669999999999999</v>
      </c>
    </row>
    <row r="542" spans="1:11" x14ac:dyDescent="0.3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  <c r="K542">
        <f>IF(Table1[[#This Row],[atemp]]="",ROUND(AVERAGE(Table1[atemp]),4),Table1[[#This Row],[atemp]])</f>
        <v>0.1515</v>
      </c>
    </row>
    <row r="543" spans="1:11" x14ac:dyDescent="0.3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  <c r="K543">
        <f>IF(Table1[[#This Row],[atemp]]="",ROUND(AVERAGE(Table1[atemp]),4),Table1[[#This Row],[atemp]])</f>
        <v>0.1212</v>
      </c>
    </row>
    <row r="544" spans="1:11" x14ac:dyDescent="0.3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  <c r="K544">
        <f>IF(Table1[[#This Row],[atemp]]="",ROUND(AVERAGE(Table1[atemp]),4),Table1[[#This Row],[atemp]])</f>
        <v>0.13639999999999999</v>
      </c>
    </row>
    <row r="545" spans="1:11" x14ac:dyDescent="0.3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  <c r="K545">
        <f>IF(Table1[[#This Row],[atemp]]="",ROUND(AVERAGE(Table1[atemp]),4),Table1[[#This Row],[atemp]])</f>
        <v>0.1515</v>
      </c>
    </row>
    <row r="546" spans="1:11" x14ac:dyDescent="0.3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  <c r="K546">
        <f>IF(Table1[[#This Row],[atemp]]="",ROUND(AVERAGE(Table1[atemp]),4),Table1[[#This Row],[atemp]])</f>
        <v>0.13639999999999999</v>
      </c>
    </row>
    <row r="547" spans="1:11" x14ac:dyDescent="0.3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  <c r="K547">
        <f>IF(Table1[[#This Row],[atemp]]="",ROUND(AVERAGE(Table1[atemp]),4),Table1[[#This Row],[atemp]])</f>
        <v>0.1515</v>
      </c>
    </row>
    <row r="548" spans="1:11" x14ac:dyDescent="0.3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  <c r="K548">
        <f>IF(Table1[[#This Row],[atemp]]="",ROUND(AVERAGE(Table1[atemp]),4),Table1[[#This Row],[atemp]])</f>
        <v>0.13639999999999999</v>
      </c>
    </row>
    <row r="549" spans="1:11" x14ac:dyDescent="0.3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  <c r="K549">
        <f>IF(Table1[[#This Row],[atemp]]="",ROUND(AVERAGE(Table1[atemp]),4),Table1[[#This Row],[atemp]])</f>
        <v>0.1515</v>
      </c>
    </row>
    <row r="550" spans="1:11" x14ac:dyDescent="0.3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  <c r="K550">
        <f>IF(Table1[[#This Row],[atemp]]="",ROUND(AVERAGE(Table1[atemp]),4),Table1[[#This Row],[atemp]])</f>
        <v>0.13639999999999999</v>
      </c>
    </row>
    <row r="551" spans="1:11" x14ac:dyDescent="0.3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  <c r="K551">
        <f>IF(Table1[[#This Row],[atemp]]="",ROUND(AVERAGE(Table1[atemp]),4),Table1[[#This Row],[atemp]])</f>
        <v>0.16669999999999999</v>
      </c>
    </row>
    <row r="552" spans="1:11" x14ac:dyDescent="0.3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  <c r="K552">
        <f>IF(Table1[[#This Row],[atemp]]="",ROUND(AVERAGE(Table1[atemp]),4),Table1[[#This Row],[atemp]])</f>
        <v>0.1515</v>
      </c>
    </row>
    <row r="553" spans="1:11" x14ac:dyDescent="0.3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  <c r="K553">
        <f>IF(Table1[[#This Row],[atemp]]="",ROUND(AVERAGE(Table1[atemp]),4),Table1[[#This Row],[atemp]])</f>
        <v>0.16669999999999999</v>
      </c>
    </row>
    <row r="554" spans="1:11" x14ac:dyDescent="0.3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  <c r="K554">
        <f>IF(Table1[[#This Row],[atemp]]="",ROUND(AVERAGE(Table1[atemp]),4),Table1[[#This Row],[atemp]])</f>
        <v>0.13639999999999999</v>
      </c>
    </row>
    <row r="555" spans="1:11" x14ac:dyDescent="0.3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  <c r="K555">
        <f>IF(Table1[[#This Row],[atemp]]="",ROUND(AVERAGE(Table1[atemp]),4),Table1[[#This Row],[atemp]])</f>
        <v>0.18179999999999999</v>
      </c>
    </row>
    <row r="556" spans="1:11" x14ac:dyDescent="0.3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  <c r="K556">
        <f>IF(Table1[[#This Row],[atemp]]="",ROUND(AVERAGE(Table1[atemp]),4),Table1[[#This Row],[atemp]])</f>
        <v>0.1515</v>
      </c>
    </row>
    <row r="557" spans="1:11" x14ac:dyDescent="0.3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  <c r="K557">
        <f>IF(Table1[[#This Row],[atemp]]="",ROUND(AVERAGE(Table1[atemp]),4),Table1[[#This Row],[atemp]])</f>
        <v>0.18179999999999999</v>
      </c>
    </row>
    <row r="558" spans="1:11" x14ac:dyDescent="0.3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  <c r="K558">
        <f>IF(Table1[[#This Row],[atemp]]="",ROUND(AVERAGE(Table1[atemp]),4),Table1[[#This Row],[atemp]])</f>
        <v>0.2273</v>
      </c>
    </row>
    <row r="559" spans="1:11" x14ac:dyDescent="0.3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  <c r="K559">
        <f>IF(Table1[[#This Row],[atemp]]="",ROUND(AVERAGE(Table1[atemp]),4),Table1[[#This Row],[atemp]])</f>
        <v>0.2424</v>
      </c>
    </row>
    <row r="560" spans="1:11" x14ac:dyDescent="0.3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  <c r="K560">
        <f>IF(Table1[[#This Row],[atemp]]="",ROUND(AVERAGE(Table1[atemp]),4),Table1[[#This Row],[atemp]])</f>
        <v>0.2424</v>
      </c>
    </row>
    <row r="561" spans="1:11" x14ac:dyDescent="0.3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  <c r="K561">
        <f>IF(Table1[[#This Row],[atemp]]="",ROUND(AVERAGE(Table1[atemp]),4),Table1[[#This Row],[atemp]])</f>
        <v>0.28789999999999999</v>
      </c>
    </row>
    <row r="562" spans="1:11" x14ac:dyDescent="0.3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  <c r="K562">
        <f>IF(Table1[[#This Row],[atemp]]="",ROUND(AVERAGE(Table1[atemp]),4),Table1[[#This Row],[atemp]])</f>
        <v>0.2727</v>
      </c>
    </row>
    <row r="563" spans="1:11" x14ac:dyDescent="0.3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  <c r="K563">
        <f>IF(Table1[[#This Row],[atemp]]="",ROUND(AVERAGE(Table1[atemp]),4),Table1[[#This Row],[atemp]])</f>
        <v>0.33329999999999999</v>
      </c>
    </row>
    <row r="564" spans="1:11" x14ac:dyDescent="0.3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  <c r="K564">
        <f>IF(Table1[[#This Row],[atemp]]="",ROUND(AVERAGE(Table1[atemp]),4),Table1[[#This Row],[atemp]])</f>
        <v>0.34849999999999998</v>
      </c>
    </row>
    <row r="565" spans="1:11" x14ac:dyDescent="0.3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  <c r="K565">
        <f>IF(Table1[[#This Row],[atemp]]="",ROUND(AVERAGE(Table1[atemp]),4),Table1[[#This Row],[atemp]])</f>
        <v>0.34849999999999998</v>
      </c>
    </row>
    <row r="566" spans="1:11" x14ac:dyDescent="0.3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  <c r="K566">
        <f>IF(Table1[[#This Row],[atemp]]="",ROUND(AVERAGE(Table1[atemp]),4),Table1[[#This Row],[atemp]])</f>
        <v>0.33329999999999999</v>
      </c>
    </row>
    <row r="567" spans="1:11" x14ac:dyDescent="0.3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  <c r="K567">
        <f>IF(Table1[[#This Row],[atemp]]="",ROUND(AVERAGE(Table1[atemp]),4),Table1[[#This Row],[atemp]])</f>
        <v>0.31819999999999998</v>
      </c>
    </row>
    <row r="568" spans="1:11" x14ac:dyDescent="0.3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  <c r="K568">
        <f>IF(Table1[[#This Row],[atemp]]="",ROUND(AVERAGE(Table1[atemp]),4),Table1[[#This Row],[atemp]])</f>
        <v>0.2576</v>
      </c>
    </row>
    <row r="569" spans="1:11" x14ac:dyDescent="0.3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  <c r="K569">
        <f>IF(Table1[[#This Row],[atemp]]="",ROUND(AVERAGE(Table1[atemp]),4),Table1[[#This Row],[atemp]])</f>
        <v>0.2273</v>
      </c>
    </row>
    <row r="570" spans="1:11" x14ac:dyDescent="0.3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  <c r="K570">
        <f>IF(Table1[[#This Row],[atemp]]="",ROUND(AVERAGE(Table1[atemp]),4),Table1[[#This Row],[atemp]])</f>
        <v>0.2273</v>
      </c>
    </row>
    <row r="571" spans="1:11" x14ac:dyDescent="0.3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  <c r="K571">
        <f>IF(Table1[[#This Row],[atemp]]="",ROUND(AVERAGE(Table1[atemp]),4),Table1[[#This Row],[atemp]])</f>
        <v>0.2273</v>
      </c>
    </row>
    <row r="572" spans="1:11" x14ac:dyDescent="0.3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  <c r="K572">
        <f>IF(Table1[[#This Row],[atemp]]="",ROUND(AVERAGE(Table1[atemp]),4),Table1[[#This Row],[atemp]])</f>
        <v>0.2273</v>
      </c>
    </row>
    <row r="573" spans="1:11" x14ac:dyDescent="0.3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  <c r="K573">
        <f>IF(Table1[[#This Row],[atemp]]="",ROUND(AVERAGE(Table1[atemp]),4),Table1[[#This Row],[atemp]])</f>
        <v>0.2273</v>
      </c>
    </row>
    <row r="574" spans="1:11" x14ac:dyDescent="0.3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  <c r="K574">
        <f>IF(Table1[[#This Row],[atemp]]="",ROUND(AVERAGE(Table1[atemp]),4),Table1[[#This Row],[atemp]])</f>
        <v>0.2424</v>
      </c>
    </row>
    <row r="575" spans="1:11" x14ac:dyDescent="0.3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  <c r="K575">
        <f>IF(Table1[[#This Row],[atemp]]="",ROUND(AVERAGE(Table1[atemp]),4),Table1[[#This Row],[atemp]])</f>
        <v>0.2273</v>
      </c>
    </row>
    <row r="576" spans="1:11" x14ac:dyDescent="0.3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  <c r="K576">
        <f>IF(Table1[[#This Row],[atemp]]="",ROUND(AVERAGE(Table1[atemp]),4),Table1[[#This Row],[atemp]])</f>
        <v>0.18179999999999999</v>
      </c>
    </row>
    <row r="577" spans="1:11" x14ac:dyDescent="0.3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  <c r="K577">
        <f>IF(Table1[[#This Row],[atemp]]="",ROUND(AVERAGE(Table1[atemp]),4),Table1[[#This Row],[atemp]])</f>
        <v>0.18179999999999999</v>
      </c>
    </row>
    <row r="578" spans="1:11" x14ac:dyDescent="0.3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  <c r="K578">
        <f>IF(Table1[[#This Row],[atemp]]="",ROUND(AVERAGE(Table1[atemp]),4),Table1[[#This Row],[atemp]])</f>
        <v>0.21210000000000001</v>
      </c>
    </row>
    <row r="579" spans="1:11" x14ac:dyDescent="0.3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  <c r="K579">
        <f>IF(Table1[[#This Row],[atemp]]="",ROUND(AVERAGE(Table1[atemp]),4),Table1[[#This Row],[atemp]])</f>
        <v>0.21210000000000001</v>
      </c>
    </row>
    <row r="580" spans="1:11" x14ac:dyDescent="0.3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  <c r="K580">
        <f>IF(Table1[[#This Row],[atemp]]="",ROUND(AVERAGE(Table1[atemp]),4),Table1[[#This Row],[atemp]])</f>
        <v>0.21210000000000001</v>
      </c>
    </row>
    <row r="581" spans="1:11" x14ac:dyDescent="0.3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  <c r="K581">
        <f>IF(Table1[[#This Row],[atemp]]="",ROUND(AVERAGE(Table1[atemp]),4),Table1[[#This Row],[atemp]])</f>
        <v>0.21210000000000001</v>
      </c>
    </row>
    <row r="582" spans="1:11" x14ac:dyDescent="0.3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  <c r="K582">
        <f>IF(Table1[[#This Row],[atemp]]="",ROUND(AVERAGE(Table1[atemp]),4),Table1[[#This Row],[atemp]])</f>
        <v>0.19700000000000001</v>
      </c>
    </row>
    <row r="583" spans="1:11" x14ac:dyDescent="0.3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  <c r="K583">
        <f>IF(Table1[[#This Row],[atemp]]="",ROUND(AVERAGE(Table1[atemp]),4),Table1[[#This Row],[atemp]])</f>
        <v>0.19700000000000001</v>
      </c>
    </row>
    <row r="584" spans="1:11" x14ac:dyDescent="0.3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  <c r="K584">
        <f>IF(Table1[[#This Row],[atemp]]="",ROUND(AVERAGE(Table1[atemp]),4),Table1[[#This Row],[atemp]])</f>
        <v>0.19700000000000001</v>
      </c>
    </row>
    <row r="585" spans="1:11" x14ac:dyDescent="0.3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  <c r="K585">
        <f>IF(Table1[[#This Row],[atemp]]="",ROUND(AVERAGE(Table1[atemp]),4),Table1[[#This Row],[atemp]])</f>
        <v>0.19700000000000001</v>
      </c>
    </row>
    <row r="586" spans="1:11" x14ac:dyDescent="0.3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  <c r="K586">
        <f>IF(Table1[[#This Row],[atemp]]="",ROUND(AVERAGE(Table1[atemp]),4),Table1[[#This Row],[atemp]])</f>
        <v>0.18179999999999999</v>
      </c>
    </row>
    <row r="587" spans="1:11" x14ac:dyDescent="0.3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  <c r="K587">
        <f>IF(Table1[[#This Row],[atemp]]="",ROUND(AVERAGE(Table1[atemp]),4),Table1[[#This Row],[atemp]])</f>
        <v>0.19700000000000001</v>
      </c>
    </row>
    <row r="588" spans="1:11" x14ac:dyDescent="0.3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  <c r="K588">
        <f>IF(Table1[[#This Row],[atemp]]="",ROUND(AVERAGE(Table1[atemp]),4),Table1[[#This Row],[atemp]])</f>
        <v>0.18179999999999999</v>
      </c>
    </row>
    <row r="589" spans="1:11" x14ac:dyDescent="0.3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  <c r="K589">
        <f>IF(Table1[[#This Row],[atemp]]="",ROUND(AVERAGE(Table1[atemp]),4),Table1[[#This Row],[atemp]])</f>
        <v>0.2273</v>
      </c>
    </row>
    <row r="590" spans="1:11" x14ac:dyDescent="0.3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  <c r="K590">
        <f>IF(Table1[[#This Row],[atemp]]="",ROUND(AVERAGE(Table1[atemp]),4),Table1[[#This Row],[atemp]])</f>
        <v>0.2424</v>
      </c>
    </row>
    <row r="591" spans="1:11" x14ac:dyDescent="0.3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  <c r="K591">
        <f>IF(Table1[[#This Row],[atemp]]="",ROUND(AVERAGE(Table1[atemp]),4),Table1[[#This Row],[atemp]])</f>
        <v>0.2273</v>
      </c>
    </row>
    <row r="592" spans="1:11" x14ac:dyDescent="0.3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  <c r="K592">
        <f>IF(Table1[[#This Row],[atemp]]="",ROUND(AVERAGE(Table1[atemp]),4),Table1[[#This Row],[atemp]])</f>
        <v>0.2273</v>
      </c>
    </row>
    <row r="593" spans="1:11" x14ac:dyDescent="0.3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  <c r="K593">
        <f>IF(Table1[[#This Row],[atemp]]="",ROUND(AVERAGE(Table1[atemp]),4),Table1[[#This Row],[atemp]])</f>
        <v>0.21210000000000001</v>
      </c>
    </row>
    <row r="594" spans="1:11" x14ac:dyDescent="0.3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  <c r="K594">
        <f>IF(Table1[[#This Row],[atemp]]="",ROUND(AVERAGE(Table1[atemp]),4),Table1[[#This Row],[atemp]])</f>
        <v>0.21210000000000001</v>
      </c>
    </row>
    <row r="595" spans="1:11" x14ac:dyDescent="0.3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  <c r="K595">
        <f>IF(Table1[[#This Row],[atemp]]="",ROUND(AVERAGE(Table1[atemp]),4),Table1[[#This Row],[atemp]])</f>
        <v>0.21210000000000001</v>
      </c>
    </row>
    <row r="596" spans="1:11" x14ac:dyDescent="0.3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  <c r="K596">
        <f>IF(Table1[[#This Row],[atemp]]="",ROUND(AVERAGE(Table1[atemp]),4),Table1[[#This Row],[atemp]])</f>
        <v>0.19700000000000001</v>
      </c>
    </row>
    <row r="597" spans="1:11" x14ac:dyDescent="0.3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  <c r="K597">
        <f>IF(Table1[[#This Row],[atemp]]="",ROUND(AVERAGE(Table1[atemp]),4),Table1[[#This Row],[atemp]])</f>
        <v>0.21210000000000001</v>
      </c>
    </row>
    <row r="598" spans="1:11" x14ac:dyDescent="0.3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  <c r="K598">
        <f>IF(Table1[[#This Row],[atemp]]="",ROUND(AVERAGE(Table1[atemp]),4),Table1[[#This Row],[atemp]])</f>
        <v>0.21210000000000001</v>
      </c>
    </row>
    <row r="599" spans="1:11" x14ac:dyDescent="0.3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  <c r="K599">
        <f>IF(Table1[[#This Row],[atemp]]="",ROUND(AVERAGE(Table1[atemp]),4),Table1[[#This Row],[atemp]])</f>
        <v>0.21210000000000001</v>
      </c>
    </row>
    <row r="600" spans="1:11" x14ac:dyDescent="0.3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  <c r="K600">
        <f>IF(Table1[[#This Row],[atemp]]="",ROUND(AVERAGE(Table1[atemp]),4),Table1[[#This Row],[atemp]])</f>
        <v>0.2273</v>
      </c>
    </row>
    <row r="601" spans="1:11" x14ac:dyDescent="0.3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  <c r="K601">
        <f>IF(Table1[[#This Row],[atemp]]="",ROUND(AVERAGE(Table1[atemp]),4),Table1[[#This Row],[atemp]])</f>
        <v>0.21210000000000001</v>
      </c>
    </row>
    <row r="602" spans="1:11" x14ac:dyDescent="0.3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  <c r="K602">
        <f>IF(Table1[[#This Row],[atemp]]="",ROUND(AVERAGE(Table1[atemp]),4),Table1[[#This Row],[atemp]])</f>
        <v>0.19700000000000001</v>
      </c>
    </row>
    <row r="603" spans="1:11" x14ac:dyDescent="0.3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  <c r="K603">
        <f>IF(Table1[[#This Row],[atemp]]="",ROUND(AVERAGE(Table1[atemp]),4),Table1[[#This Row],[atemp]])</f>
        <v>0.19700000000000001</v>
      </c>
    </row>
    <row r="604" spans="1:11" x14ac:dyDescent="0.3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  <c r="K604">
        <f>IF(Table1[[#This Row],[atemp]]="",ROUND(AVERAGE(Table1[atemp]),4),Table1[[#This Row],[atemp]])</f>
        <v>0.19700000000000001</v>
      </c>
    </row>
    <row r="605" spans="1:11" x14ac:dyDescent="0.3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  <c r="K605">
        <f>IF(Table1[[#This Row],[atemp]]="",ROUND(AVERAGE(Table1[atemp]),4),Table1[[#This Row],[atemp]])</f>
        <v>0.21210000000000001</v>
      </c>
    </row>
    <row r="606" spans="1:11" x14ac:dyDescent="0.3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  <c r="K606">
        <f>IF(Table1[[#This Row],[atemp]]="",ROUND(AVERAGE(Table1[atemp]),4),Table1[[#This Row],[atemp]])</f>
        <v>0.21210000000000001</v>
      </c>
    </row>
    <row r="607" spans="1:11" x14ac:dyDescent="0.3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  <c r="K607">
        <f>IF(Table1[[#This Row],[atemp]]="",ROUND(AVERAGE(Table1[atemp]),4),Table1[[#This Row],[atemp]])</f>
        <v>0.21210000000000001</v>
      </c>
    </row>
    <row r="608" spans="1:11" x14ac:dyDescent="0.3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  <c r="K608">
        <f>IF(Table1[[#This Row],[atemp]]="",ROUND(AVERAGE(Table1[atemp]),4),Table1[[#This Row],[atemp]])</f>
        <v>0.21210000000000001</v>
      </c>
    </row>
    <row r="609" spans="1:11" x14ac:dyDescent="0.3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  <c r="K609">
        <f>IF(Table1[[#This Row],[atemp]]="",ROUND(AVERAGE(Table1[atemp]),4),Table1[[#This Row],[atemp]])</f>
        <v>0.21210000000000001</v>
      </c>
    </row>
    <row r="610" spans="1:11" x14ac:dyDescent="0.3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  <c r="K610">
        <f>IF(Table1[[#This Row],[atemp]]="",ROUND(AVERAGE(Table1[atemp]),4),Table1[[#This Row],[atemp]])</f>
        <v>0.2727</v>
      </c>
    </row>
    <row r="611" spans="1:11" x14ac:dyDescent="0.3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  <c r="K611">
        <f>IF(Table1[[#This Row],[atemp]]="",ROUND(AVERAGE(Table1[atemp]),4),Table1[[#This Row],[atemp]])</f>
        <v>0.2576</v>
      </c>
    </row>
    <row r="612" spans="1:11" ht="15" thickBot="1" x14ac:dyDescent="0.35"/>
    <row r="613" spans="1:11" x14ac:dyDescent="0.3">
      <c r="B613" s="7" t="s">
        <v>22</v>
      </c>
      <c r="C613" s="7" t="s">
        <v>23</v>
      </c>
      <c r="D613" s="7" t="s">
        <v>24</v>
      </c>
      <c r="E613" s="7" t="s">
        <v>25</v>
      </c>
      <c r="F613" s="7" t="s">
        <v>26</v>
      </c>
      <c r="G613" s="7" t="s">
        <v>27</v>
      </c>
      <c r="H613" s="7" t="s">
        <v>28</v>
      </c>
    </row>
    <row r="614" spans="1:11" ht="15" thickBot="1" x14ac:dyDescent="0.35">
      <c r="B614" s="8">
        <f>COUNT(B2:B611)</f>
        <v>610</v>
      </c>
      <c r="C614" s="8">
        <f>ROUND(AVERAGE(C2:C611),3)</f>
        <v>0.2</v>
      </c>
      <c r="D614" s="8">
        <f>ROUND(AVERAGE(D2:D611),3)</f>
        <v>0.56200000000000006</v>
      </c>
      <c r="E614" s="8">
        <f>ROUND(AVERAGE(E2:E611),3)</f>
        <v>0.20499999999999999</v>
      </c>
      <c r="F614" s="8">
        <f>SUBTOTAL(9,F2:F611)</f>
        <v>2746</v>
      </c>
      <c r="G614" s="8">
        <f>SUM(G2:G611)</f>
        <v>31152</v>
      </c>
      <c r="H614" s="8">
        <f>SUM(F614,G614)</f>
        <v>33898</v>
      </c>
    </row>
  </sheetData>
  <conditionalFormatting sqref="D2:D611">
    <cfRule type="colorScale" priority="2">
      <colorScale>
        <cfvo type="num" val="0.2"/>
        <cfvo type="num" val="0.7"/>
        <cfvo type="num" val="1"/>
        <color theme="2"/>
        <color theme="9"/>
        <color rgb="FFC00000"/>
      </colorScale>
    </cfRule>
  </conditionalFormatting>
  <conditionalFormatting sqref="E2:E611">
    <cfRule type="colorScale" priority="1">
      <colorScale>
        <cfvo type="num" val="0"/>
        <cfvo type="num" val="0.3"/>
        <cfvo type="num" val="0.6"/>
        <color theme="0" tint="-4.9989318521683403E-2"/>
        <color theme="8" tint="0.59999389629810485"/>
        <color theme="4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54CA-1038-426C-9D85-1C122411C7C6}">
  <dimension ref="A3:B33"/>
  <sheetViews>
    <sheetView tabSelected="1" workbookViewId="0">
      <selection activeCell="P15" sqref="P15"/>
    </sheetView>
  </sheetViews>
  <sheetFormatPr defaultRowHeight="14.4" x14ac:dyDescent="0.3"/>
  <cols>
    <col min="1" max="1" width="8.88671875" bestFit="1" customWidth="1"/>
    <col min="2" max="2" width="11.77734375" bestFit="1" customWidth="1"/>
  </cols>
  <sheetData>
    <row r="3" spans="1:2" x14ac:dyDescent="0.3">
      <c r="A3" s="9" t="s">
        <v>35</v>
      </c>
      <c r="B3" t="s">
        <v>34</v>
      </c>
    </row>
    <row r="4" spans="1:2" x14ac:dyDescent="0.3">
      <c r="A4" s="12">
        <v>0</v>
      </c>
      <c r="B4" s="11">
        <v>39</v>
      </c>
    </row>
    <row r="5" spans="1:2" x14ac:dyDescent="0.3">
      <c r="A5" s="12">
        <v>1.52E-2</v>
      </c>
      <c r="B5" s="11">
        <v>11</v>
      </c>
    </row>
    <row r="6" spans="1:2" x14ac:dyDescent="0.3">
      <c r="A6" s="12">
        <v>3.0300000000000001E-2</v>
      </c>
      <c r="B6" s="11">
        <v>108</v>
      </c>
    </row>
    <row r="7" spans="1:2" x14ac:dyDescent="0.3">
      <c r="A7" s="12">
        <v>4.5499999999999999E-2</v>
      </c>
      <c r="B7" s="11">
        <v>28</v>
      </c>
    </row>
    <row r="8" spans="1:2" x14ac:dyDescent="0.3">
      <c r="A8" s="12">
        <v>6.0600000000000001E-2</v>
      </c>
      <c r="B8" s="11">
        <v>155</v>
      </c>
    </row>
    <row r="9" spans="1:2" x14ac:dyDescent="0.3">
      <c r="A9" s="12">
        <v>7.5800000000000006E-2</v>
      </c>
      <c r="B9" s="11">
        <v>384</v>
      </c>
    </row>
    <row r="10" spans="1:2" x14ac:dyDescent="0.3">
      <c r="A10" s="12">
        <v>9.0899999999999995E-2</v>
      </c>
      <c r="B10" s="11">
        <v>101</v>
      </c>
    </row>
    <row r="11" spans="1:2" x14ac:dyDescent="0.3">
      <c r="A11" s="12">
        <v>0.1061</v>
      </c>
      <c r="B11" s="11">
        <v>719</v>
      </c>
    </row>
    <row r="12" spans="1:2" x14ac:dyDescent="0.3">
      <c r="A12" s="12">
        <v>0.1212</v>
      </c>
      <c r="B12" s="11">
        <v>2099</v>
      </c>
    </row>
    <row r="13" spans="1:2" x14ac:dyDescent="0.3">
      <c r="A13" s="12">
        <v>0.13639999999999999</v>
      </c>
      <c r="B13" s="11">
        <v>2274</v>
      </c>
    </row>
    <row r="14" spans="1:2" x14ac:dyDescent="0.3">
      <c r="A14" s="12">
        <v>0.1515</v>
      </c>
      <c r="B14" s="11">
        <v>2542</v>
      </c>
    </row>
    <row r="15" spans="1:2" x14ac:dyDescent="0.3">
      <c r="A15" s="12">
        <v>0.16669999999999999</v>
      </c>
      <c r="B15" s="11">
        <v>1394</v>
      </c>
    </row>
    <row r="16" spans="1:2" x14ac:dyDescent="0.3">
      <c r="A16" s="12">
        <v>0.18179999999999999</v>
      </c>
      <c r="B16" s="11">
        <v>2876</v>
      </c>
    </row>
    <row r="17" spans="1:2" x14ac:dyDescent="0.3">
      <c r="A17" s="12">
        <v>0.19700000000000001</v>
      </c>
      <c r="B17" s="11">
        <v>3297</v>
      </c>
    </row>
    <row r="18" spans="1:2" x14ac:dyDescent="0.3">
      <c r="A18" s="12">
        <v>0.19989999999999999</v>
      </c>
      <c r="B18" s="11">
        <v>338</v>
      </c>
    </row>
    <row r="19" spans="1:2" x14ac:dyDescent="0.3">
      <c r="A19" s="12">
        <v>0.21210000000000001</v>
      </c>
      <c r="B19" s="11">
        <v>2971</v>
      </c>
    </row>
    <row r="20" spans="1:2" x14ac:dyDescent="0.3">
      <c r="A20" s="12">
        <v>0.2273</v>
      </c>
      <c r="B20" s="11">
        <v>4331</v>
      </c>
    </row>
    <row r="21" spans="1:2" x14ac:dyDescent="0.3">
      <c r="A21" s="12">
        <v>0.2424</v>
      </c>
      <c r="B21" s="11">
        <v>1311</v>
      </c>
    </row>
    <row r="22" spans="1:2" x14ac:dyDescent="0.3">
      <c r="A22" s="12">
        <v>0.2576</v>
      </c>
      <c r="B22" s="11">
        <v>2555</v>
      </c>
    </row>
    <row r="23" spans="1:2" x14ac:dyDescent="0.3">
      <c r="A23" s="12">
        <v>0.2727</v>
      </c>
      <c r="B23" s="11">
        <v>1119</v>
      </c>
    </row>
    <row r="24" spans="1:2" x14ac:dyDescent="0.3">
      <c r="A24" s="12">
        <v>0.28789999999999999</v>
      </c>
      <c r="B24" s="11">
        <v>988</v>
      </c>
    </row>
    <row r="25" spans="1:2" x14ac:dyDescent="0.3">
      <c r="A25" s="12">
        <v>0.30299999999999999</v>
      </c>
      <c r="B25" s="11">
        <v>653</v>
      </c>
    </row>
    <row r="26" spans="1:2" x14ac:dyDescent="0.3">
      <c r="A26" s="12">
        <v>0.31819999999999998</v>
      </c>
      <c r="B26" s="11">
        <v>985</v>
      </c>
    </row>
    <row r="27" spans="1:2" x14ac:dyDescent="0.3">
      <c r="A27" s="12">
        <v>0.33329999999999999</v>
      </c>
      <c r="B27" s="11">
        <v>1186</v>
      </c>
    </row>
    <row r="28" spans="1:2" x14ac:dyDescent="0.3">
      <c r="A28" s="12">
        <v>0.34849999999999998</v>
      </c>
      <c r="B28" s="11">
        <v>342</v>
      </c>
    </row>
    <row r="29" spans="1:2" x14ac:dyDescent="0.3">
      <c r="A29" s="12">
        <v>0.39389999999999997</v>
      </c>
      <c r="B29" s="11">
        <v>140</v>
      </c>
    </row>
    <row r="30" spans="1:2" x14ac:dyDescent="0.3">
      <c r="A30" s="12">
        <v>0.40910000000000002</v>
      </c>
      <c r="B30" s="11">
        <v>342</v>
      </c>
    </row>
    <row r="31" spans="1:2" x14ac:dyDescent="0.3">
      <c r="A31" s="12">
        <v>0.42420000000000002</v>
      </c>
      <c r="B31" s="11">
        <v>260</v>
      </c>
    </row>
    <row r="32" spans="1:2" x14ac:dyDescent="0.3">
      <c r="A32" s="12">
        <v>0.43940000000000001</v>
      </c>
      <c r="B32" s="11">
        <v>127</v>
      </c>
    </row>
    <row r="33" spans="1:2" x14ac:dyDescent="0.3">
      <c r="A33" s="12">
        <v>0.45450000000000002</v>
      </c>
      <c r="B33" s="11">
        <v>223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00CE-C34C-4361-BAB3-B9786D0007EA}">
  <dimension ref="A3:N64"/>
  <sheetViews>
    <sheetView workbookViewId="0">
      <selection activeCell="M65" sqref="M65"/>
    </sheetView>
  </sheetViews>
  <sheetFormatPr defaultRowHeight="14.4" x14ac:dyDescent="0.3"/>
  <cols>
    <col min="1" max="1" width="10.88671875" bestFit="1" customWidth="1"/>
    <col min="2" max="2" width="11.109375" bestFit="1" customWidth="1"/>
    <col min="3" max="3" width="14.5546875" bestFit="1" customWidth="1"/>
    <col min="13" max="13" width="12.5546875" bestFit="1" customWidth="1"/>
    <col min="14" max="14" width="11.77734375" bestFit="1" customWidth="1"/>
  </cols>
  <sheetData>
    <row r="3" spans="1:14" x14ac:dyDescent="0.3">
      <c r="A3" s="9" t="s">
        <v>33</v>
      </c>
      <c r="B3" t="s">
        <v>32</v>
      </c>
      <c r="C3" t="s">
        <v>27</v>
      </c>
      <c r="M3" s="9" t="s">
        <v>31</v>
      </c>
      <c r="N3" t="s">
        <v>34</v>
      </c>
    </row>
    <row r="4" spans="1:14" x14ac:dyDescent="0.3">
      <c r="A4" s="10">
        <v>0.21</v>
      </c>
      <c r="B4" s="11">
        <v>8</v>
      </c>
      <c r="C4" s="11">
        <v>65</v>
      </c>
      <c r="M4" s="10">
        <v>0.21</v>
      </c>
      <c r="N4" s="11">
        <v>73</v>
      </c>
    </row>
    <row r="5" spans="1:14" x14ac:dyDescent="0.3">
      <c r="A5" s="10">
        <v>0.25</v>
      </c>
      <c r="B5" s="11">
        <v>6</v>
      </c>
      <c r="C5" s="11">
        <v>56</v>
      </c>
      <c r="M5" s="10">
        <v>0.25</v>
      </c>
      <c r="N5" s="11">
        <v>62</v>
      </c>
    </row>
    <row r="6" spans="1:14" x14ac:dyDescent="0.3">
      <c r="A6" s="10">
        <v>0.26</v>
      </c>
      <c r="B6" s="11">
        <v>18</v>
      </c>
      <c r="C6" s="11">
        <v>264</v>
      </c>
      <c r="M6" s="10">
        <v>0.26</v>
      </c>
      <c r="N6" s="11">
        <v>282</v>
      </c>
    </row>
    <row r="7" spans="1:14" x14ac:dyDescent="0.3">
      <c r="A7" s="10">
        <v>0.27</v>
      </c>
      <c r="B7" s="11">
        <v>11</v>
      </c>
      <c r="C7" s="11">
        <v>67</v>
      </c>
      <c r="M7" s="10">
        <v>0.27</v>
      </c>
      <c r="N7" s="11">
        <v>78</v>
      </c>
    </row>
    <row r="8" spans="1:14" x14ac:dyDescent="0.3">
      <c r="A8" s="10">
        <v>0.28000000000000003</v>
      </c>
      <c r="B8" s="11">
        <v>90</v>
      </c>
      <c r="C8" s="11">
        <v>724</v>
      </c>
      <c r="M8" s="10">
        <v>0.28000000000000003</v>
      </c>
      <c r="N8" s="11">
        <v>814</v>
      </c>
    </row>
    <row r="9" spans="1:14" x14ac:dyDescent="0.3">
      <c r="A9" s="10">
        <v>0.28999999999999998</v>
      </c>
      <c r="B9" s="11">
        <v>8</v>
      </c>
      <c r="C9" s="11">
        <v>68</v>
      </c>
      <c r="M9" s="10">
        <v>0.28999999999999998</v>
      </c>
      <c r="N9" s="11">
        <v>76</v>
      </c>
    </row>
    <row r="10" spans="1:14" x14ac:dyDescent="0.3">
      <c r="A10" s="10">
        <v>0.3</v>
      </c>
      <c r="B10" s="11">
        <v>65</v>
      </c>
      <c r="C10" s="11">
        <v>703</v>
      </c>
      <c r="M10" s="10">
        <v>0.3</v>
      </c>
      <c r="N10" s="11">
        <v>768</v>
      </c>
    </row>
    <row r="11" spans="1:14" x14ac:dyDescent="0.3">
      <c r="A11" s="10">
        <v>0.32</v>
      </c>
      <c r="B11" s="11">
        <v>34</v>
      </c>
      <c r="C11" s="11">
        <v>364</v>
      </c>
      <c r="M11" s="10">
        <v>0.32</v>
      </c>
      <c r="N11" s="11">
        <v>398</v>
      </c>
    </row>
    <row r="12" spans="1:14" x14ac:dyDescent="0.3">
      <c r="A12" s="10">
        <v>0.33</v>
      </c>
      <c r="B12" s="11">
        <v>41</v>
      </c>
      <c r="C12" s="11">
        <v>299</v>
      </c>
      <c r="M12" s="10">
        <v>0.33</v>
      </c>
      <c r="N12" s="11">
        <v>340</v>
      </c>
    </row>
    <row r="13" spans="1:14" x14ac:dyDescent="0.3">
      <c r="A13" s="10">
        <v>0.34</v>
      </c>
      <c r="B13" s="11">
        <v>52</v>
      </c>
      <c r="C13" s="11">
        <v>243</v>
      </c>
      <c r="M13" s="10">
        <v>0.34</v>
      </c>
      <c r="N13" s="11">
        <v>295</v>
      </c>
    </row>
    <row r="14" spans="1:14" x14ac:dyDescent="0.3">
      <c r="A14" s="10">
        <v>0.35</v>
      </c>
      <c r="B14" s="11">
        <v>85</v>
      </c>
      <c r="C14" s="11">
        <v>585</v>
      </c>
      <c r="M14" s="10">
        <v>0.35</v>
      </c>
      <c r="N14" s="11">
        <v>670</v>
      </c>
    </row>
    <row r="15" spans="1:14" x14ac:dyDescent="0.3">
      <c r="A15" s="10">
        <v>0.36</v>
      </c>
      <c r="B15" s="11">
        <v>105</v>
      </c>
      <c r="C15" s="11">
        <v>482</v>
      </c>
      <c r="M15" s="10">
        <v>0.36</v>
      </c>
      <c r="N15" s="11">
        <v>587</v>
      </c>
    </row>
    <row r="16" spans="1:14" x14ac:dyDescent="0.3">
      <c r="A16" s="10">
        <v>0.37</v>
      </c>
      <c r="B16" s="11">
        <v>130</v>
      </c>
      <c r="C16" s="11">
        <v>1095</v>
      </c>
      <c r="M16" s="10">
        <v>0.37</v>
      </c>
      <c r="N16" s="11">
        <v>1225</v>
      </c>
    </row>
    <row r="17" spans="1:14" x14ac:dyDescent="0.3">
      <c r="A17" s="10">
        <v>0.38</v>
      </c>
      <c r="B17" s="11">
        <v>137</v>
      </c>
      <c r="C17" s="11">
        <v>1188</v>
      </c>
      <c r="M17" s="10">
        <v>0.38</v>
      </c>
      <c r="N17" s="11">
        <v>1325</v>
      </c>
    </row>
    <row r="18" spans="1:14" x14ac:dyDescent="0.3">
      <c r="A18" s="10">
        <v>0.39</v>
      </c>
      <c r="B18" s="11">
        <v>62</v>
      </c>
      <c r="C18" s="11">
        <v>364</v>
      </c>
      <c r="M18" s="10">
        <v>0.39</v>
      </c>
      <c r="N18" s="11">
        <v>426</v>
      </c>
    </row>
    <row r="19" spans="1:14" x14ac:dyDescent="0.3">
      <c r="A19" s="10">
        <v>0.4</v>
      </c>
      <c r="B19" s="11">
        <v>97</v>
      </c>
      <c r="C19" s="11">
        <v>1539</v>
      </c>
      <c r="M19" s="10">
        <v>0.4</v>
      </c>
      <c r="N19" s="11">
        <v>1636</v>
      </c>
    </row>
    <row r="20" spans="1:14" x14ac:dyDescent="0.3">
      <c r="A20" s="10">
        <v>0.41</v>
      </c>
      <c r="B20" s="11">
        <v>71</v>
      </c>
      <c r="C20" s="11">
        <v>856</v>
      </c>
      <c r="M20" s="10">
        <v>0.41</v>
      </c>
      <c r="N20" s="11">
        <v>927</v>
      </c>
    </row>
    <row r="21" spans="1:14" x14ac:dyDescent="0.3">
      <c r="A21" s="10">
        <v>0.42</v>
      </c>
      <c r="B21" s="11">
        <v>61</v>
      </c>
      <c r="C21" s="11">
        <v>419</v>
      </c>
      <c r="M21" s="10">
        <v>0.42</v>
      </c>
      <c r="N21" s="11">
        <v>480</v>
      </c>
    </row>
    <row r="22" spans="1:14" x14ac:dyDescent="0.3">
      <c r="A22" s="10">
        <v>0.43</v>
      </c>
      <c r="B22" s="11">
        <v>63</v>
      </c>
      <c r="C22" s="11">
        <v>547</v>
      </c>
      <c r="M22" s="10">
        <v>0.43</v>
      </c>
      <c r="N22" s="11">
        <v>610</v>
      </c>
    </row>
    <row r="23" spans="1:14" x14ac:dyDescent="0.3">
      <c r="A23" s="10">
        <v>0.44</v>
      </c>
      <c r="B23" s="11">
        <v>59</v>
      </c>
      <c r="C23" s="11">
        <v>562</v>
      </c>
      <c r="M23" s="10">
        <v>0.44</v>
      </c>
      <c r="N23" s="11">
        <v>621</v>
      </c>
    </row>
    <row r="24" spans="1:14" x14ac:dyDescent="0.3">
      <c r="A24" s="10">
        <v>0.45</v>
      </c>
      <c r="B24" s="11">
        <v>77</v>
      </c>
      <c r="C24" s="11">
        <v>718</v>
      </c>
      <c r="M24" s="10">
        <v>0.45</v>
      </c>
      <c r="N24" s="11">
        <v>795</v>
      </c>
    </row>
    <row r="25" spans="1:14" x14ac:dyDescent="0.3">
      <c r="A25" s="10">
        <v>0.46</v>
      </c>
      <c r="B25" s="11">
        <v>28</v>
      </c>
      <c r="C25" s="11">
        <v>351</v>
      </c>
      <c r="M25" s="10">
        <v>0.46</v>
      </c>
      <c r="N25" s="11">
        <v>379</v>
      </c>
    </row>
    <row r="26" spans="1:14" x14ac:dyDescent="0.3">
      <c r="A26" s="10">
        <v>0.47</v>
      </c>
      <c r="B26" s="11">
        <v>154</v>
      </c>
      <c r="C26" s="11">
        <v>2315</v>
      </c>
      <c r="M26" s="10">
        <v>0.47</v>
      </c>
      <c r="N26" s="11">
        <v>2469</v>
      </c>
    </row>
    <row r="27" spans="1:14" x14ac:dyDescent="0.3">
      <c r="A27" s="10">
        <v>0.48</v>
      </c>
      <c r="B27" s="11">
        <v>37</v>
      </c>
      <c r="C27" s="11">
        <v>779</v>
      </c>
      <c r="M27" s="10">
        <v>0.48</v>
      </c>
      <c r="N27" s="11">
        <v>816</v>
      </c>
    </row>
    <row r="28" spans="1:14" x14ac:dyDescent="0.3">
      <c r="A28" s="10">
        <v>0.49</v>
      </c>
      <c r="B28" s="11">
        <v>59</v>
      </c>
      <c r="C28" s="11">
        <v>929</v>
      </c>
      <c r="M28" s="10">
        <v>0.49</v>
      </c>
      <c r="N28" s="11">
        <v>988</v>
      </c>
    </row>
    <row r="29" spans="1:14" x14ac:dyDescent="0.3">
      <c r="A29" s="10">
        <v>0.5</v>
      </c>
      <c r="B29" s="11">
        <v>43</v>
      </c>
      <c r="C29" s="11">
        <v>1448</v>
      </c>
      <c r="M29" s="10">
        <v>0.5</v>
      </c>
      <c r="N29" s="11">
        <v>1491</v>
      </c>
    </row>
    <row r="30" spans="1:14" x14ac:dyDescent="0.3">
      <c r="A30" s="10">
        <v>0.51</v>
      </c>
      <c r="B30" s="11">
        <v>118</v>
      </c>
      <c r="C30" s="11">
        <v>1878</v>
      </c>
      <c r="M30" s="10">
        <v>0.51</v>
      </c>
      <c r="N30" s="11">
        <v>1996</v>
      </c>
    </row>
    <row r="31" spans="1:14" x14ac:dyDescent="0.3">
      <c r="A31" s="10">
        <v>0.52</v>
      </c>
      <c r="B31" s="11">
        <v>36</v>
      </c>
      <c r="C31" s="11">
        <v>322</v>
      </c>
      <c r="M31" s="10">
        <v>0.52</v>
      </c>
      <c r="N31" s="11">
        <v>358</v>
      </c>
    </row>
    <row r="32" spans="1:14" x14ac:dyDescent="0.3">
      <c r="A32" s="10">
        <v>0.53</v>
      </c>
      <c r="B32" s="11">
        <v>1</v>
      </c>
      <c r="C32" s="11">
        <v>7</v>
      </c>
      <c r="M32" s="10">
        <v>0.53</v>
      </c>
      <c r="N32" s="11">
        <v>8</v>
      </c>
    </row>
    <row r="33" spans="1:14" x14ac:dyDescent="0.3">
      <c r="A33" s="10">
        <v>0.54</v>
      </c>
      <c r="B33" s="11">
        <v>13</v>
      </c>
      <c r="C33" s="11">
        <v>341</v>
      </c>
      <c r="M33" s="10">
        <v>0.54</v>
      </c>
      <c r="N33" s="11">
        <v>354</v>
      </c>
    </row>
    <row r="34" spans="1:14" x14ac:dyDescent="0.3">
      <c r="A34" s="10">
        <v>0.55000000000000004</v>
      </c>
      <c r="B34" s="11">
        <v>63</v>
      </c>
      <c r="C34" s="11">
        <v>1401</v>
      </c>
      <c r="M34" s="10">
        <v>0.55000000000000004</v>
      </c>
      <c r="N34" s="11">
        <v>1464</v>
      </c>
    </row>
    <row r="35" spans="1:14" x14ac:dyDescent="0.3">
      <c r="A35" s="10">
        <v>0.56000000000000005</v>
      </c>
      <c r="B35" s="11">
        <v>88</v>
      </c>
      <c r="C35" s="11">
        <v>652</v>
      </c>
      <c r="M35" s="10">
        <v>0.56000000000000005</v>
      </c>
      <c r="N35" s="11">
        <v>740</v>
      </c>
    </row>
    <row r="36" spans="1:14" x14ac:dyDescent="0.3">
      <c r="A36" s="10">
        <v>0.56999999999999995</v>
      </c>
      <c r="B36" s="11">
        <v>23</v>
      </c>
      <c r="C36" s="11">
        <v>423</v>
      </c>
      <c r="M36" s="10">
        <v>0.56999999999999995</v>
      </c>
      <c r="N36" s="11">
        <v>446</v>
      </c>
    </row>
    <row r="37" spans="1:14" x14ac:dyDescent="0.3">
      <c r="A37" s="10">
        <v>0.57999999999999996</v>
      </c>
      <c r="B37" s="11">
        <v>18</v>
      </c>
      <c r="C37" s="11">
        <v>163</v>
      </c>
      <c r="M37" s="10">
        <v>0.57999999999999996</v>
      </c>
      <c r="N37" s="11">
        <v>181</v>
      </c>
    </row>
    <row r="38" spans="1:14" x14ac:dyDescent="0.3">
      <c r="A38" s="10">
        <v>0.59</v>
      </c>
      <c r="B38" s="11">
        <v>56</v>
      </c>
      <c r="C38" s="11">
        <v>1386</v>
      </c>
      <c r="M38" s="10">
        <v>0.59</v>
      </c>
      <c r="N38" s="11">
        <v>1442</v>
      </c>
    </row>
    <row r="39" spans="1:14" x14ac:dyDescent="0.3">
      <c r="A39" s="10">
        <v>0.6</v>
      </c>
      <c r="B39" s="11">
        <v>18</v>
      </c>
      <c r="C39" s="11">
        <v>327</v>
      </c>
      <c r="M39" s="10">
        <v>0.6</v>
      </c>
      <c r="N39" s="11">
        <v>345</v>
      </c>
    </row>
    <row r="40" spans="1:14" x14ac:dyDescent="0.3">
      <c r="A40" s="10">
        <v>0.61</v>
      </c>
      <c r="B40" s="11">
        <v>5</v>
      </c>
      <c r="C40" s="11">
        <v>156</v>
      </c>
      <c r="M40" s="10">
        <v>0.61</v>
      </c>
      <c r="N40" s="11">
        <v>161</v>
      </c>
    </row>
    <row r="41" spans="1:14" x14ac:dyDescent="0.3">
      <c r="A41" s="10">
        <v>0.62</v>
      </c>
      <c r="B41" s="11">
        <v>17</v>
      </c>
      <c r="C41" s="11">
        <v>103</v>
      </c>
      <c r="M41" s="10">
        <v>0.62</v>
      </c>
      <c r="N41" s="11">
        <v>120</v>
      </c>
    </row>
    <row r="42" spans="1:14" x14ac:dyDescent="0.3">
      <c r="A42" s="10">
        <v>0.63</v>
      </c>
      <c r="B42" s="11">
        <v>12</v>
      </c>
      <c r="C42" s="11">
        <v>157</v>
      </c>
      <c r="M42" s="10">
        <v>0.63</v>
      </c>
      <c r="N42" s="11">
        <v>169</v>
      </c>
    </row>
    <row r="43" spans="1:14" x14ac:dyDescent="0.3">
      <c r="A43" s="10">
        <v>0.64</v>
      </c>
      <c r="B43" s="11">
        <v>32</v>
      </c>
      <c r="C43" s="11">
        <v>527</v>
      </c>
      <c r="M43" s="10">
        <v>0.64</v>
      </c>
      <c r="N43" s="11">
        <v>559</v>
      </c>
    </row>
    <row r="44" spans="1:14" x14ac:dyDescent="0.3">
      <c r="A44" s="10">
        <v>0.65</v>
      </c>
      <c r="B44" s="11">
        <v>37</v>
      </c>
      <c r="C44" s="11">
        <v>365</v>
      </c>
      <c r="M44" s="10">
        <v>0.65</v>
      </c>
      <c r="N44" s="11">
        <v>402</v>
      </c>
    </row>
    <row r="45" spans="1:14" x14ac:dyDescent="0.3">
      <c r="A45" s="10">
        <v>0.66</v>
      </c>
      <c r="B45" s="11">
        <v>31</v>
      </c>
      <c r="C45" s="11">
        <v>137</v>
      </c>
      <c r="M45" s="10">
        <v>0.66</v>
      </c>
      <c r="N45" s="11">
        <v>168</v>
      </c>
    </row>
    <row r="46" spans="1:14" x14ac:dyDescent="0.3">
      <c r="A46" s="10">
        <v>0.68</v>
      </c>
      <c r="B46" s="11">
        <v>2</v>
      </c>
      <c r="C46" s="11">
        <v>160</v>
      </c>
      <c r="M46" s="10">
        <v>0.68</v>
      </c>
      <c r="N46" s="11">
        <v>162</v>
      </c>
    </row>
    <row r="47" spans="1:14" x14ac:dyDescent="0.3">
      <c r="A47" s="10">
        <v>0.69</v>
      </c>
      <c r="B47" s="11">
        <v>59</v>
      </c>
      <c r="C47" s="11">
        <v>886</v>
      </c>
      <c r="M47" s="10">
        <v>0.69</v>
      </c>
      <c r="N47" s="11">
        <v>945</v>
      </c>
    </row>
    <row r="48" spans="1:14" x14ac:dyDescent="0.3">
      <c r="A48" s="10">
        <v>0.7</v>
      </c>
      <c r="B48" s="11">
        <v>1</v>
      </c>
      <c r="C48" s="11">
        <v>26</v>
      </c>
      <c r="M48" s="10">
        <v>0.7</v>
      </c>
      <c r="N48" s="11">
        <v>27</v>
      </c>
    </row>
    <row r="49" spans="1:14" x14ac:dyDescent="0.3">
      <c r="A49" s="10">
        <v>0.71</v>
      </c>
      <c r="B49" s="11">
        <v>25</v>
      </c>
      <c r="C49" s="11">
        <v>129</v>
      </c>
      <c r="M49" s="10">
        <v>0.71</v>
      </c>
      <c r="N49" s="11">
        <v>154</v>
      </c>
    </row>
    <row r="50" spans="1:14" x14ac:dyDescent="0.3">
      <c r="A50" s="10">
        <v>0.72</v>
      </c>
      <c r="B50" s="11">
        <v>82</v>
      </c>
      <c r="C50" s="11">
        <v>118</v>
      </c>
      <c r="M50" s="10">
        <v>0.72</v>
      </c>
      <c r="N50" s="11">
        <v>200</v>
      </c>
    </row>
    <row r="51" spans="1:14" x14ac:dyDescent="0.3">
      <c r="A51" s="10">
        <v>0.74</v>
      </c>
      <c r="B51" s="11">
        <v>20</v>
      </c>
      <c r="C51" s="11">
        <v>720</v>
      </c>
      <c r="M51" s="10">
        <v>0.74</v>
      </c>
      <c r="N51" s="11">
        <v>740</v>
      </c>
    </row>
    <row r="52" spans="1:14" x14ac:dyDescent="0.3">
      <c r="A52" s="10">
        <v>0.75</v>
      </c>
      <c r="B52" s="11">
        <v>6</v>
      </c>
      <c r="C52" s="11">
        <v>34</v>
      </c>
      <c r="M52" s="10">
        <v>0.75</v>
      </c>
      <c r="N52" s="11">
        <v>40</v>
      </c>
    </row>
    <row r="53" spans="1:14" x14ac:dyDescent="0.3">
      <c r="A53" s="10">
        <v>0.76</v>
      </c>
      <c r="B53" s="11">
        <v>25</v>
      </c>
      <c r="C53" s="11">
        <v>105</v>
      </c>
      <c r="M53" s="10">
        <v>0.76</v>
      </c>
      <c r="N53" s="11">
        <v>130</v>
      </c>
    </row>
    <row r="54" spans="1:14" x14ac:dyDescent="0.3">
      <c r="A54" s="10">
        <v>0.77</v>
      </c>
      <c r="B54" s="11">
        <v>69</v>
      </c>
      <c r="C54" s="11">
        <v>127</v>
      </c>
      <c r="M54" s="10">
        <v>0.77</v>
      </c>
      <c r="N54" s="11">
        <v>196</v>
      </c>
    </row>
    <row r="55" spans="1:14" x14ac:dyDescent="0.3">
      <c r="A55" s="10">
        <v>0.8</v>
      </c>
      <c r="B55" s="11">
        <v>35</v>
      </c>
      <c r="C55" s="11">
        <v>542</v>
      </c>
      <c r="M55" s="10">
        <v>0.8</v>
      </c>
      <c r="N55" s="11">
        <v>577</v>
      </c>
    </row>
    <row r="56" spans="1:14" x14ac:dyDescent="0.3">
      <c r="A56" s="10">
        <v>0.81</v>
      </c>
      <c r="B56" s="11">
        <v>60</v>
      </c>
      <c r="C56" s="11">
        <v>209</v>
      </c>
      <c r="M56" s="10">
        <v>0.81</v>
      </c>
      <c r="N56" s="11">
        <v>269</v>
      </c>
    </row>
    <row r="57" spans="1:14" x14ac:dyDescent="0.3">
      <c r="A57" s="10">
        <v>0.82</v>
      </c>
      <c r="B57" s="11">
        <v>57</v>
      </c>
      <c r="C57" s="11">
        <v>228</v>
      </c>
      <c r="M57" s="10">
        <v>0.82</v>
      </c>
      <c r="N57" s="11">
        <v>285</v>
      </c>
    </row>
    <row r="58" spans="1:14" x14ac:dyDescent="0.3">
      <c r="A58" s="10">
        <v>0.86</v>
      </c>
      <c r="B58" s="11">
        <v>23</v>
      </c>
      <c r="C58" s="11">
        <v>677</v>
      </c>
      <c r="M58" s="10">
        <v>0.86</v>
      </c>
      <c r="N58" s="11">
        <v>700</v>
      </c>
    </row>
    <row r="59" spans="1:14" x14ac:dyDescent="0.3">
      <c r="A59" s="10">
        <v>0.87</v>
      </c>
      <c r="B59" s="11">
        <v>29</v>
      </c>
      <c r="C59" s="11">
        <v>433</v>
      </c>
      <c r="M59" s="10">
        <v>0.87</v>
      </c>
      <c r="N59" s="11">
        <v>462</v>
      </c>
    </row>
    <row r="60" spans="1:14" x14ac:dyDescent="0.3">
      <c r="A60" s="10">
        <v>0.88</v>
      </c>
      <c r="B60" s="11">
        <v>34</v>
      </c>
      <c r="C60" s="11">
        <v>94</v>
      </c>
      <c r="M60" s="10">
        <v>0.88</v>
      </c>
      <c r="N60" s="11">
        <v>128</v>
      </c>
    </row>
    <row r="61" spans="1:14" x14ac:dyDescent="0.3">
      <c r="A61" s="10">
        <v>0.92</v>
      </c>
      <c r="B61" s="11">
        <v>1</v>
      </c>
      <c r="C61" s="11">
        <v>89</v>
      </c>
      <c r="M61" s="10">
        <v>0.92</v>
      </c>
      <c r="N61" s="11">
        <v>90</v>
      </c>
    </row>
    <row r="62" spans="1:14" x14ac:dyDescent="0.3">
      <c r="A62" s="10">
        <v>0.93</v>
      </c>
      <c r="B62" s="11">
        <v>32</v>
      </c>
      <c r="C62" s="11">
        <v>1154</v>
      </c>
      <c r="M62" s="10">
        <v>0.93</v>
      </c>
      <c r="N62" s="11">
        <v>1186</v>
      </c>
    </row>
    <row r="63" spans="1:14" x14ac:dyDescent="0.3">
      <c r="A63" s="10">
        <v>0.94</v>
      </c>
      <c r="B63" s="11">
        <v>16</v>
      </c>
      <c r="C63" s="11">
        <v>38</v>
      </c>
      <c r="M63" s="10">
        <v>0.94</v>
      </c>
      <c r="N63" s="11">
        <v>54</v>
      </c>
    </row>
    <row r="64" spans="1:14" x14ac:dyDescent="0.3">
      <c r="A64" s="10">
        <v>1</v>
      </c>
      <c r="B64" s="11">
        <v>1</v>
      </c>
      <c r="C64" s="11">
        <v>8</v>
      </c>
      <c r="M64" s="10">
        <v>1</v>
      </c>
      <c r="N64" s="11">
        <v>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7493-3894-47F2-A842-E45AEC548C32}">
  <dimension ref="A3:B23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11.77734375" bestFit="1" customWidth="1"/>
  </cols>
  <sheetData>
    <row r="3" spans="1:2" x14ac:dyDescent="0.3">
      <c r="A3" s="9" t="s">
        <v>36</v>
      </c>
      <c r="B3" t="s">
        <v>34</v>
      </c>
    </row>
    <row r="4" spans="1:2" x14ac:dyDescent="0.3">
      <c r="A4" s="10">
        <v>0</v>
      </c>
      <c r="B4" s="11">
        <v>3404</v>
      </c>
    </row>
    <row r="5" spans="1:2" x14ac:dyDescent="0.3">
      <c r="A5" s="10">
        <v>8.9599999999999999E-2</v>
      </c>
      <c r="B5" s="11">
        <v>2478</v>
      </c>
    </row>
    <row r="6" spans="1:2" x14ac:dyDescent="0.3">
      <c r="A6" s="10">
        <v>0.1045</v>
      </c>
      <c r="B6" s="11">
        <v>2652</v>
      </c>
    </row>
    <row r="7" spans="1:2" x14ac:dyDescent="0.3">
      <c r="A7" s="10">
        <v>0.1343</v>
      </c>
      <c r="B7" s="11">
        <v>2493</v>
      </c>
    </row>
    <row r="8" spans="1:2" x14ac:dyDescent="0.3">
      <c r="A8" s="10">
        <v>0.16420000000000001</v>
      </c>
      <c r="B8" s="11">
        <v>3369</v>
      </c>
    </row>
    <row r="9" spans="1:2" x14ac:dyDescent="0.3">
      <c r="A9" s="10">
        <v>0.19400000000000001</v>
      </c>
      <c r="B9" s="11">
        <v>3027</v>
      </c>
    </row>
    <row r="10" spans="1:2" x14ac:dyDescent="0.3">
      <c r="A10" s="10">
        <v>0.22389999999999999</v>
      </c>
      <c r="B10" s="11">
        <v>2544</v>
      </c>
    </row>
    <row r="11" spans="1:2" x14ac:dyDescent="0.3">
      <c r="A11" s="10">
        <v>0.25369999999999998</v>
      </c>
      <c r="B11" s="11">
        <v>2783</v>
      </c>
    </row>
    <row r="12" spans="1:2" x14ac:dyDescent="0.3">
      <c r="A12" s="10">
        <v>0.28360000000000002</v>
      </c>
      <c r="B12" s="11">
        <v>2824</v>
      </c>
    </row>
    <row r="13" spans="1:2" x14ac:dyDescent="0.3">
      <c r="A13" s="10">
        <v>0.29849999999999999</v>
      </c>
      <c r="B13" s="11">
        <v>1698</v>
      </c>
    </row>
    <row r="14" spans="1:2" x14ac:dyDescent="0.3">
      <c r="A14" s="10">
        <v>0.32840000000000003</v>
      </c>
      <c r="B14" s="11">
        <v>2337</v>
      </c>
    </row>
    <row r="15" spans="1:2" x14ac:dyDescent="0.3">
      <c r="A15" s="10">
        <v>0.35820000000000002</v>
      </c>
      <c r="B15" s="11">
        <v>1251</v>
      </c>
    </row>
    <row r="16" spans="1:2" x14ac:dyDescent="0.3">
      <c r="A16" s="10">
        <v>0.3881</v>
      </c>
      <c r="B16" s="11">
        <v>868</v>
      </c>
    </row>
    <row r="17" spans="1:2" x14ac:dyDescent="0.3">
      <c r="A17" s="10">
        <v>0.41789999999999999</v>
      </c>
      <c r="B17" s="11">
        <v>459</v>
      </c>
    </row>
    <row r="18" spans="1:2" x14ac:dyDescent="0.3">
      <c r="A18" s="10">
        <v>0.44779999999999998</v>
      </c>
      <c r="B18" s="11">
        <v>670</v>
      </c>
    </row>
    <row r="19" spans="1:2" x14ac:dyDescent="0.3">
      <c r="A19" s="10">
        <v>0.4627</v>
      </c>
      <c r="B19" s="11">
        <v>404</v>
      </c>
    </row>
    <row r="20" spans="1:2" x14ac:dyDescent="0.3">
      <c r="A20" s="10">
        <v>0.49249999999999999</v>
      </c>
      <c r="B20" s="11">
        <v>95</v>
      </c>
    </row>
    <row r="21" spans="1:2" x14ac:dyDescent="0.3">
      <c r="A21" s="10">
        <v>0.52239999999999998</v>
      </c>
      <c r="B21" s="11">
        <v>267</v>
      </c>
    </row>
    <row r="22" spans="1:2" x14ac:dyDescent="0.3">
      <c r="A22" s="10">
        <v>0.55220000000000002</v>
      </c>
      <c r="B22" s="11">
        <v>69</v>
      </c>
    </row>
    <row r="23" spans="1:2" x14ac:dyDescent="0.3">
      <c r="A23" s="10">
        <v>0.58209999999999995</v>
      </c>
      <c r="B23" s="11">
        <v>206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Given_Dataset</vt:lpstr>
      <vt:lpstr>atemp_blanks</vt:lpstr>
      <vt:lpstr>Dataset_2</vt:lpstr>
      <vt:lpstr>AtempBasedRentals</vt:lpstr>
      <vt:lpstr>HumidityBasedRentals</vt:lpstr>
      <vt:lpstr>WindspeedBasedRentals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Yousuf Sakkaf</cp:lastModifiedBy>
  <dcterms:created xsi:type="dcterms:W3CDTF">2020-08-27T08:45:53Z</dcterms:created>
  <dcterms:modified xsi:type="dcterms:W3CDTF">2026-03-25T12:39:34Z</dcterms:modified>
</cp:coreProperties>
</file>