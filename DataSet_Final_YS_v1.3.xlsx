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timelines/timeline1.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MyStuff\TechStuffs\DigicromeAcademy\Internship\Project 1\"/>
    </mc:Choice>
  </mc:AlternateContent>
  <xr:revisionPtr revIDLastSave="0" documentId="8_{CAC0AA13-04E7-47DD-88ED-1576D686D320}" xr6:coauthVersionLast="47" xr6:coauthVersionMax="47" xr10:uidLastSave="{00000000-0000-0000-0000-000000000000}"/>
  <bookViews>
    <workbookView xWindow="-108" yWindow="-108" windowWidth="23256" windowHeight="12456" firstSheet="23" activeTab="26" xr2:uid="{00000000-000D-0000-FFFF-FFFF00000000}"/>
  </bookViews>
  <sheets>
    <sheet name="Notes" sheetId="7" r:id="rId1"/>
    <sheet name="DataSet_3" sheetId="4" r:id="rId2"/>
    <sheet name="DataSet_A" sheetId="3" r:id="rId3"/>
    <sheet name="DataSet_Final" sheetId="1" r:id="rId4"/>
    <sheet name="Mappings" sheetId="5" r:id="rId5"/>
    <sheet name="DS_Final_Reformed" sheetId="2" r:id="rId6"/>
    <sheet name="Rentals_Usage" sheetId="47" r:id="rId7"/>
    <sheet name="DailyTrend" sheetId="39" r:id="rId8"/>
    <sheet name="Forecast_Input" sheetId="50" r:id="rId9"/>
    <sheet name="Forecast_Output" sheetId="52" r:id="rId10"/>
    <sheet name="WeekdayTrend" sheetId="40" r:id="rId11"/>
    <sheet name="TimeSlotBased" sheetId="30" r:id="rId12"/>
    <sheet name="WeatherTypeBased" sheetId="31" r:id="rId13"/>
    <sheet name="Weekends&amp;Holidays" sheetId="29" r:id="rId14"/>
    <sheet name="TimeSlot+Days HeatMap" sheetId="54" r:id="rId15"/>
    <sheet name="Weather+Time HeatMap&amp;Chart" sheetId="32" r:id="rId16"/>
    <sheet name="Weather+Temp Rentals" sheetId="33" r:id="rId17"/>
    <sheet name="Humidy+TimeSlot_Rentals" sheetId="36" r:id="rId18"/>
    <sheet name="ScatterPlots" sheetId="38" r:id="rId19"/>
    <sheet name="Peak Identification" sheetId="26" r:id="rId20"/>
    <sheet name="KPIs" sheetId="34" r:id="rId21"/>
    <sheet name="Correlation_Data" sheetId="41" r:id="rId22"/>
    <sheet name="Correlation_Matrix" sheetId="42" r:id="rId23"/>
    <sheet name="Descriptive_Data" sheetId="43" r:id="rId24"/>
    <sheet name="Descriptive_Analysis" sheetId="45" r:id="rId25"/>
    <sheet name="Refined_Stats" sheetId="46" r:id="rId26"/>
    <sheet name="INTERACTIVE_DASHBOARD" sheetId="53" r:id="rId27"/>
  </sheets>
  <definedNames>
    <definedName name="_xlnm._FilterDatabase" localSheetId="18" hidden="1">ScatterPlots!$A$1:$E$1</definedName>
    <definedName name="ExternalData_1" localSheetId="2" hidden="1">DataSet_A!$A$1:$P$611</definedName>
    <definedName name="ExternalData_1" localSheetId="3" hidden="1">DataSet_Final!$A$1:$P$1001</definedName>
    <definedName name="ExternalData_1" localSheetId="5" hidden="1">DS_Final_Reformed!$A$1:$S$1001</definedName>
    <definedName name="ExternalData_2" localSheetId="1" hidden="1">DataSet_3!$A$1:$P$391</definedName>
    <definedName name="NativeTimeline_Date">#N/A</definedName>
    <definedName name="Slicer_Day_Type">#N/A</definedName>
    <definedName name="Slicer_Time_Slot">#N/A</definedName>
    <definedName name="Slicer_Weather_Type">#N/A</definedName>
  </definedNames>
  <calcPr calcId="191029"/>
  <pivotCaches>
    <pivotCache cacheId="0" r:id="rId28"/>
  </pivotCaches>
  <extLst>
    <ext xmlns:x14="http://schemas.microsoft.com/office/spreadsheetml/2009/9/main" uri="{BBE1A952-AA13-448e-AADC-164F8A28A991}">
      <x14:slicerCaches>
        <x14:slicerCache r:id="rId29"/>
        <x14:slicerCache r:id="rId30"/>
        <x14:slicerCache r:id="rId3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34" l="1"/>
  <c r="C11" i="34"/>
  <c r="C10" i="34"/>
  <c r="C48" i="52"/>
  <c r="C60" i="52"/>
  <c r="C72" i="52"/>
  <c r="C76" i="52"/>
  <c r="C47" i="52"/>
  <c r="C49" i="52"/>
  <c r="C61" i="52"/>
  <c r="C73" i="52"/>
  <c r="C64" i="52"/>
  <c r="C59" i="52"/>
  <c r="C50" i="52"/>
  <c r="C62" i="52"/>
  <c r="C74" i="52"/>
  <c r="C51" i="52"/>
  <c r="C63" i="52"/>
  <c r="C75" i="52"/>
  <c r="C52" i="52"/>
  <c r="C71" i="52"/>
  <c r="C53" i="52"/>
  <c r="C65" i="52"/>
  <c r="C77" i="52"/>
  <c r="C58" i="52"/>
  <c r="C54" i="52"/>
  <c r="C66" i="52"/>
  <c r="C78" i="52"/>
  <c r="C70" i="52"/>
  <c r="C55" i="52"/>
  <c r="C67" i="52"/>
  <c r="C69" i="52"/>
  <c r="C56" i="52"/>
  <c r="C68" i="52"/>
  <c r="C57" i="52"/>
  <c r="B4" i="47"/>
  <c r="B5" i="47"/>
  <c r="E57" i="52" l="1"/>
  <c r="E70" i="52"/>
  <c r="D65" i="52"/>
  <c r="D51" i="52"/>
  <c r="E73" i="52"/>
  <c r="E60" i="52"/>
  <c r="E59" i="52"/>
  <c r="D59" i="52"/>
  <c r="E72" i="52"/>
  <c r="E64" i="52"/>
  <c r="D57" i="52"/>
  <c r="D70" i="52"/>
  <c r="E65" i="52"/>
  <c r="E51" i="52"/>
  <c r="D73" i="52"/>
  <c r="D60" i="52"/>
  <c r="D66" i="52"/>
  <c r="E66" i="52"/>
  <c r="D49" i="52"/>
  <c r="D52" i="52"/>
  <c r="E47" i="52"/>
  <c r="D47" i="52"/>
  <c r="E75" i="52"/>
  <c r="D75" i="52"/>
  <c r="D63" i="52"/>
  <c r="E63" i="52"/>
  <c r="E68" i="52"/>
  <c r="D78" i="52"/>
  <c r="D53" i="52"/>
  <c r="E74" i="52"/>
  <c r="E61" i="52"/>
  <c r="E48" i="52"/>
  <c r="E71" i="52"/>
  <c r="E49" i="52"/>
  <c r="D71" i="52"/>
  <c r="D62" i="52"/>
  <c r="D54" i="52"/>
  <c r="D50" i="52"/>
  <c r="D58" i="52"/>
  <c r="E76" i="52"/>
  <c r="E55" i="52"/>
  <c r="D68" i="52"/>
  <c r="E78" i="52"/>
  <c r="E53" i="52"/>
  <c r="D74" i="52"/>
  <c r="D61" i="52"/>
  <c r="D48" i="52"/>
  <c r="E56" i="52"/>
  <c r="E62" i="52"/>
  <c r="D56" i="52"/>
  <c r="E50" i="52"/>
  <c r="E54" i="52"/>
  <c r="E67" i="52"/>
  <c r="D55" i="52"/>
  <c r="D72" i="52"/>
  <c r="E77" i="52"/>
  <c r="E69" i="52"/>
  <c r="D77" i="52"/>
  <c r="D69" i="52"/>
  <c r="E52" i="52"/>
  <c r="D64" i="52"/>
  <c r="D67" i="52"/>
  <c r="E58" i="52"/>
  <c r="D76" i="52"/>
  <c r="C7" i="34" l="1"/>
  <c r="C6" i="34"/>
  <c r="C5" i="34"/>
  <c r="C4" i="34"/>
  <c r="C3" i="34"/>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2170B9-B292-4DEC-9ADD-8F1726D2DC59}"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25E0181C-3EFC-460C-B642-8A190E2936CA}" keepAlive="1" name="Query - Append1 (2)" description="Connection to the 'Append1 (2)' query in the workbook." type="5" refreshedVersion="8" background="1" saveData="1">
    <dbPr connection="Provider=Microsoft.Mashup.OleDb.1;Data Source=$Workbook$;Location=&quot;Append1 (2)&quot;;Extended Properties=&quot;&quot;" command="SELECT * FROM [Append1 (2)]"/>
  </connection>
  <connection id="3" xr16:uid="{83E3AF5F-D30F-4FE1-96A0-8D16705AF4C6}"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4" xr16:uid="{60F2BD83-6197-4055-B367-5532BEC8850E}" keepAlive="1" name="Query - DataSet_A" description="Connection to the 'DataSet_A' query in the workbook." type="5" refreshedVersion="8" background="1" saveData="1">
    <dbPr connection="Provider=Microsoft.Mashup.OleDb.1;Data Source=$Workbook$;Location=DataSet_A;Extended Properties=&quot;&quot;" command="SELECT * FROM [DataSet_A]"/>
  </connection>
</connections>
</file>

<file path=xl/sharedStrings.xml><?xml version="1.0" encoding="utf-8"?>
<sst xmlns="http://schemas.openxmlformats.org/spreadsheetml/2006/main" count="511" uniqueCount="172">
  <si>
    <t>instant</t>
  </si>
  <si>
    <t>dteday</t>
  </si>
  <si>
    <t>season</t>
  </si>
  <si>
    <t>yr</t>
  </si>
  <si>
    <t>mnth</t>
  </si>
  <si>
    <t>hr</t>
  </si>
  <si>
    <t>holiday</t>
  </si>
  <si>
    <t>weekday</t>
  </si>
  <si>
    <t>weathersit</t>
  </si>
  <si>
    <t>temp</t>
  </si>
  <si>
    <t>atemp</t>
  </si>
  <si>
    <t>hum</t>
  </si>
  <si>
    <t>windspeed</t>
  </si>
  <si>
    <t>casual</t>
  </si>
  <si>
    <t>registered</t>
  </si>
  <si>
    <t>cnt</t>
  </si>
  <si>
    <t>Impoted using GetData</t>
  </si>
  <si>
    <t>Instant</t>
  </si>
  <si>
    <t>Date</t>
  </si>
  <si>
    <t>Month</t>
  </si>
  <si>
    <t>Hour</t>
  </si>
  <si>
    <t>Holiday</t>
  </si>
  <si>
    <t>Weekday</t>
  </si>
  <si>
    <t>WeatherSituation</t>
  </si>
  <si>
    <t>Days</t>
  </si>
  <si>
    <t>Weather_Type</t>
  </si>
  <si>
    <t>Clear Sky</t>
  </si>
  <si>
    <t>Mist/Cloudy</t>
  </si>
  <si>
    <t>Heavy Rain/Snow</t>
  </si>
  <si>
    <t>Light Rain</t>
  </si>
  <si>
    <t>Sunday</t>
  </si>
  <si>
    <t>Monday</t>
  </si>
  <si>
    <t>Tuesday</t>
  </si>
  <si>
    <t>Wednesday</t>
  </si>
  <si>
    <t>Thursday</t>
  </si>
  <si>
    <t>Friday</t>
  </si>
  <si>
    <t>Saturday</t>
  </si>
  <si>
    <t>Temp</t>
  </si>
  <si>
    <t>ATemp</t>
  </si>
  <si>
    <t>Humidity</t>
  </si>
  <si>
    <t>WindSpeed</t>
  </si>
  <si>
    <t>Casuals</t>
  </si>
  <si>
    <t>Registered</t>
  </si>
  <si>
    <t>Total_Rentals</t>
  </si>
  <si>
    <t>First Import DataSet3 using GetData</t>
  </si>
  <si>
    <t>Next Import DataSet_A using Get Data</t>
  </si>
  <si>
    <t>Then Append both DataSet_3 and DataSet_A to get a Final Sheet</t>
  </si>
  <si>
    <t>Now copy the DataSet_Final into a new worksheet so as you can add further columns, rename column headers, remove certain columns as well as do conditional formatting</t>
  </si>
  <si>
    <t>Time_Slot</t>
  </si>
  <si>
    <t>Row Labels</t>
  </si>
  <si>
    <t>AfterNoon</t>
  </si>
  <si>
    <t>Evening</t>
  </si>
  <si>
    <t>Morning</t>
  </si>
  <si>
    <t>Night</t>
  </si>
  <si>
    <t>Grand Total</t>
  </si>
  <si>
    <t>Total Rentals</t>
  </si>
  <si>
    <t>Avg Rentals/Hr</t>
  </si>
  <si>
    <t>Time Slot</t>
  </si>
  <si>
    <t>FALSE</t>
  </si>
  <si>
    <t>TRUE</t>
  </si>
  <si>
    <t>Week day</t>
  </si>
  <si>
    <t>Day_Type</t>
  </si>
  <si>
    <t>Weekend</t>
  </si>
  <si>
    <t>Total Casuals</t>
  </si>
  <si>
    <t>Total Registered</t>
  </si>
  <si>
    <t>Avg Casuals</t>
  </si>
  <si>
    <t>Avg Registered</t>
  </si>
  <si>
    <t>Days Type</t>
  </si>
  <si>
    <t>Avg Rentals</t>
  </si>
  <si>
    <t>Weather Situation</t>
  </si>
  <si>
    <t>Time</t>
  </si>
  <si>
    <t>5 PM</t>
  </si>
  <si>
    <t xml:space="preserve"> </t>
  </si>
  <si>
    <t>Imported using GetData</t>
  </si>
  <si>
    <t>Avg Casuals%</t>
  </si>
  <si>
    <t>Avg Registered%</t>
  </si>
  <si>
    <t>Holidays</t>
  </si>
  <si>
    <t>Casuals%</t>
  </si>
  <si>
    <t>Registered%</t>
  </si>
  <si>
    <t>Temp Category</t>
  </si>
  <si>
    <t>LOW</t>
  </si>
  <si>
    <t>0.02-0.17</t>
  </si>
  <si>
    <t>0.17-0.32</t>
  </si>
  <si>
    <t>0.32-0.47</t>
  </si>
  <si>
    <t>MEDIUM</t>
  </si>
  <si>
    <t>HIGH</t>
  </si>
  <si>
    <t>(All)</t>
  </si>
  <si>
    <t>KPI</t>
  </si>
  <si>
    <t>Values</t>
  </si>
  <si>
    <t>🚲 Total Rentals</t>
  </si>
  <si>
    <t>⏰ Peak Hour</t>
  </si>
  <si>
    <t>📊 Average Rentals/Hr</t>
  </si>
  <si>
    <t>☀️ Best Weather</t>
  </si>
  <si>
    <t>🌆 Peak Time Slot</t>
  </si>
  <si>
    <t>0.21-0.51</t>
  </si>
  <si>
    <t>0.51-0.81</t>
  </si>
  <si>
    <t>0.81-1.11</t>
  </si>
  <si>
    <t>Humidity Level</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</si>
  <si>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</si>
  <si>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</si>
  <si>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</si>
  <si>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</si>
  <si>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</si>
  <si>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</si>
  <si>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</si>
  <si>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</si>
  <si>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</si>
  <si>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</si>
  <si>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</si>
  <si>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</si>
  <si>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</si>
  <si>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</si>
  <si>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</si>
  <si>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</si>
  <si>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</si>
  <si>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</si>
  <si>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</si>
  <si>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</si>
  <si>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</si>
  <si>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</si>
  <si>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</si>
  <si>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</si>
  <si>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</si>
  <si>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</si>
  <si>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</si>
  <si>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</si>
  <si>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</si>
  <si>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</si>
  <si>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</si>
  <si>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</si>
  <si>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</si>
  <si>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</si>
  <si>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</si>
  <si>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</si>
  <si>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</si>
  <si>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</si>
  <si>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</si>
  <si>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</si>
  <si>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</si>
  <si>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</si>
  <si>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</si>
  <si>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</si>
  <si>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</si>
  <si>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Mean</t>
  </si>
  <si>
    <t>Standard Error</t>
  </si>
  <si>
    <t>Median</t>
  </si>
  <si>
    <t>Mode</t>
  </si>
  <si>
    <t>Standard Deviation</t>
  </si>
  <si>
    <t>Sample Variance</t>
  </si>
  <si>
    <t>Kurtosis</t>
  </si>
  <si>
    <t>Skewness</t>
  </si>
  <si>
    <t>Range</t>
  </si>
  <si>
    <t>Minimum</t>
  </si>
  <si>
    <t>Maximum</t>
  </si>
  <si>
    <t>Sum</t>
  </si>
  <si>
    <t>Count</t>
  </si>
  <si>
    <t>Rename it as DS_Final_Reformed</t>
  </si>
  <si>
    <t>Now prepare various tables, charts , correlations as well as Descriptive Stats</t>
  </si>
  <si>
    <t>User Type</t>
  </si>
  <si>
    <t>Rentals</t>
  </si>
  <si>
    <t>Total Holiday Records</t>
  </si>
  <si>
    <t>Total rentals in clear weather</t>
  </si>
  <si>
    <t>Avg rentals during evening</t>
  </si>
  <si>
    <t>Dates</t>
  </si>
  <si>
    <t>Forecast(Total Rentals)</t>
  </si>
  <si>
    <t>Lower Confidence Bound(Total Rentals)</t>
  </si>
  <si>
    <t>Upper Confidence Bound(Total Rentals)</t>
  </si>
  <si>
    <t>Peak Time</t>
  </si>
  <si>
    <t>Peak Slot</t>
  </si>
  <si>
    <t xml:space="preserve">Best Weather </t>
  </si>
  <si>
    <t>Now prepare Forecast Sheet</t>
  </si>
  <si>
    <t>Finally Prepare the Interactive Dashboard with added Slicers and Timeline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</si>
</sst>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4" x14ac:knownFonts="1">
    <font>
      <sz val="11"/>
      <color theme="1"/>
      <name val="Calibri"/>
      <family val="2"/>
      <scheme val="minor"/>
    </font>
    <font>
      <b/>
      <sz val="11"/>
      <color theme="1"/>
      <name val="Calibri"/>
      <family val="2"/>
      <scheme val="minor"/>
    </font>
    <font>
      <b/>
      <sz val="10"/>
      <color rgb="FF000000"/>
      <name val="Arial"/>
      <family val="2"/>
    </font>
    <font>
      <sz val="8"/>
      <name val="Calibri"/>
      <family val="2"/>
      <scheme val="minor"/>
    </font>
    <font>
      <sz val="24"/>
      <color theme="1"/>
      <name val="Calibri"/>
      <family val="2"/>
      <scheme val="minor"/>
    </font>
    <font>
      <b/>
      <sz val="26"/>
      <color theme="0"/>
      <name val="Calibri"/>
      <family val="2"/>
      <scheme val="minor"/>
    </font>
    <font>
      <i/>
      <sz val="11"/>
      <color theme="1"/>
      <name val="Calibri"/>
      <family val="2"/>
      <scheme val="minor"/>
    </font>
    <font>
      <i/>
      <sz val="26"/>
      <color theme="1"/>
      <name val="Calibri"/>
      <family val="2"/>
      <scheme val="minor"/>
    </font>
    <font>
      <sz val="20"/>
      <color theme="0"/>
      <name val="Calibri"/>
      <family val="2"/>
      <scheme val="minor"/>
    </font>
    <font>
      <sz val="20"/>
      <color theme="1"/>
      <name val="Calibri"/>
      <family val="2"/>
      <scheme val="minor"/>
    </font>
    <font>
      <sz val="26"/>
      <color theme="1"/>
      <name val="Calibri"/>
      <family val="2"/>
      <scheme val="minor"/>
    </font>
    <font>
      <sz val="16"/>
      <color theme="1"/>
      <name val="Calibri"/>
      <family val="2"/>
      <scheme val="minor"/>
    </font>
    <font>
      <b/>
      <sz val="20"/>
      <color theme="0"/>
      <name val="Calibri"/>
      <family val="2"/>
      <scheme val="minor"/>
    </font>
    <font>
      <b/>
      <i/>
      <sz val="11"/>
      <color theme="1"/>
      <name val="Calibri"/>
      <family val="2"/>
      <scheme val="minor"/>
    </font>
  </fonts>
  <fills count="17">
    <fill>
      <patternFill patternType="none"/>
    </fill>
    <fill>
      <patternFill patternType="gray125"/>
    </fill>
    <fill>
      <patternFill patternType="solid">
        <fgColor rgb="FFFBBC04"/>
        <bgColor rgb="FFFBBC04"/>
      </patternFill>
    </fill>
    <fill>
      <patternFill patternType="solid">
        <fgColor theme="9" tint="0.39997558519241921"/>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9"/>
        <bgColor indexed="64"/>
      </patternFill>
    </fill>
    <fill>
      <patternFill patternType="solid">
        <fgColor rgb="FFFFC000"/>
        <bgColor indexed="64"/>
      </patternFill>
    </fill>
    <fill>
      <patternFill patternType="solid">
        <fgColor rgb="FFFF0000"/>
        <bgColor indexed="64"/>
      </patternFill>
    </fill>
    <fill>
      <patternFill patternType="solid">
        <fgColor theme="8" tint="-0.249977111117893"/>
        <bgColor indexed="64"/>
      </patternFill>
    </fill>
    <fill>
      <patternFill patternType="solid">
        <fgColor theme="7" tint="0.79998168889431442"/>
        <bgColor indexed="64"/>
      </patternFill>
    </fill>
    <fill>
      <patternFill patternType="solid">
        <fgColor rgb="FF6DC9C9"/>
        <bgColor indexed="64"/>
      </patternFill>
    </fill>
    <fill>
      <patternFill patternType="solid">
        <fgColor theme="9"/>
        <bgColor rgb="FFFBBC04"/>
      </patternFill>
    </fill>
    <fill>
      <patternFill patternType="solid">
        <fgColor theme="4" tint="0.39997558519241921"/>
        <bgColor indexed="64"/>
      </patternFill>
    </fill>
    <fill>
      <patternFill patternType="solid">
        <fgColor rgb="FF3A9CBA"/>
        <bgColor indexed="64"/>
      </patternFill>
    </fill>
    <fill>
      <patternFill patternType="solid">
        <fgColor theme="0" tint="-4.9989318521683403E-2"/>
        <bgColor indexed="64"/>
      </patternFill>
    </fill>
    <fill>
      <patternFill patternType="solid">
        <fgColor rgb="FF3A9CBA"/>
        <bgColor rgb="FF3A9CBA"/>
      </patternFill>
    </fill>
  </fills>
  <borders count="37">
    <border>
      <left/>
      <right/>
      <top/>
      <bottom/>
      <diagonal/>
    </border>
    <border>
      <left style="thin">
        <color rgb="FFFBBC04"/>
      </left>
      <right/>
      <top style="thin">
        <color rgb="FFFBBC04"/>
      </top>
      <bottom/>
      <diagonal/>
    </border>
    <border>
      <left/>
      <right/>
      <top style="thin">
        <color rgb="FFFBBC04"/>
      </top>
      <bottom/>
      <diagonal/>
    </border>
    <border>
      <left/>
      <right style="thin">
        <color rgb="FFFBBC04"/>
      </right>
      <top style="thin">
        <color rgb="FFFBBC0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top/>
      <bottom style="thin">
        <color theme="4" tint="0.39997558519241921"/>
      </bottom>
      <diagonal/>
    </border>
    <border>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s>
  <cellStyleXfs count="1">
    <xf numFmtId="0" fontId="0" fillId="0" borderId="0"/>
  </cellStyleXfs>
  <cellXfs count="138">
    <xf numFmtId="0" fontId="0" fillId="0" borderId="0" xfId="0"/>
    <xf numFmtId="0" fontId="2" fillId="2" borderId="1" xfId="0" applyFont="1" applyFill="1" applyBorder="1"/>
    <xf numFmtId="0" fontId="2" fillId="2" borderId="2" xfId="0" applyFont="1" applyFill="1" applyBorder="1"/>
    <xf numFmtId="0" fontId="2" fillId="2" borderId="3" xfId="0" applyFont="1" applyFill="1" applyBorder="1"/>
    <xf numFmtId="14" fontId="0" fillId="0" borderId="0" xfId="0" applyNumberFormat="1"/>
    <xf numFmtId="0" fontId="1" fillId="0" borderId="0" xfId="0" applyFont="1"/>
    <xf numFmtId="0" fontId="0" fillId="0" borderId="5" xfId="0" applyBorder="1" applyAlignment="1">
      <alignment horizontal="center"/>
    </xf>
    <xf numFmtId="0" fontId="0" fillId="0" borderId="16" xfId="0" applyBorder="1" applyAlignment="1">
      <alignment horizontal="left"/>
    </xf>
    <xf numFmtId="0" fontId="0" fillId="0" borderId="6" xfId="0" applyBorder="1" applyAlignment="1">
      <alignment horizontal="center"/>
    </xf>
    <xf numFmtId="0" fontId="0" fillId="0" borderId="17" xfId="0" applyBorder="1" applyAlignment="1">
      <alignment horizontal="left"/>
    </xf>
    <xf numFmtId="0" fontId="0" fillId="0" borderId="0" xfId="0" applyAlignment="1">
      <alignment horizontal="left"/>
    </xf>
    <xf numFmtId="0" fontId="0" fillId="0" borderId="14" xfId="0" applyBorder="1" applyAlignment="1">
      <alignment horizontal="left"/>
    </xf>
    <xf numFmtId="0" fontId="1" fillId="3" borderId="4" xfId="0" applyFont="1" applyFill="1" applyBorder="1" applyAlignment="1">
      <alignment horizontal="center"/>
    </xf>
    <xf numFmtId="0" fontId="1" fillId="3" borderId="15" xfId="0" applyFont="1" applyFill="1" applyBorder="1" applyAlignment="1">
      <alignment horizontal="center"/>
    </xf>
    <xf numFmtId="0" fontId="0" fillId="0" borderId="0" xfId="0" pivotButton="1"/>
    <xf numFmtId="1" fontId="0" fillId="0" borderId="0" xfId="0" applyNumberFormat="1"/>
    <xf numFmtId="10" fontId="0" fillId="0" borderId="0" xfId="0" applyNumberFormat="1"/>
    <xf numFmtId="1" fontId="0" fillId="0" borderId="11" xfId="0" applyNumberFormat="1" applyBorder="1"/>
    <xf numFmtId="1" fontId="0" fillId="0" borderId="20" xfId="0" applyNumberFormat="1" applyBorder="1"/>
    <xf numFmtId="1" fontId="0" fillId="0" borderId="13" xfId="0" applyNumberFormat="1" applyBorder="1"/>
    <xf numFmtId="1" fontId="0" fillId="0" borderId="8" xfId="0" applyNumberFormat="1" applyBorder="1"/>
    <xf numFmtId="1" fontId="0" fillId="0" borderId="19" xfId="0" applyNumberFormat="1" applyBorder="1"/>
    <xf numFmtId="1" fontId="0" fillId="0" borderId="9" xfId="0" applyNumberFormat="1" applyBorder="1"/>
    <xf numFmtId="1" fontId="0" fillId="0" borderId="10" xfId="0" applyNumberFormat="1" applyBorder="1"/>
    <xf numFmtId="1" fontId="0" fillId="0" borderId="12" xfId="0" applyNumberFormat="1" applyBorder="1"/>
    <xf numFmtId="0" fontId="0" fillId="0" borderId="7" xfId="0" pivotButton="1" applyBorder="1"/>
    <xf numFmtId="0" fontId="0" fillId="0" borderId="24" xfId="0" applyBorder="1"/>
    <xf numFmtId="0" fontId="0" fillId="0" borderId="25" xfId="0" applyBorder="1"/>
    <xf numFmtId="0" fontId="0" fillId="0" borderId="26" xfId="0" applyBorder="1"/>
    <xf numFmtId="0" fontId="0" fillId="0" borderId="21"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0" fillId="0" borderId="14" xfId="0" pivotButton="1" applyBorder="1"/>
    <xf numFmtId="0" fontId="0" fillId="0" borderId="14" xfId="0" applyBorder="1"/>
    <xf numFmtId="0" fontId="1" fillId="5" borderId="14" xfId="0" applyFont="1" applyFill="1" applyBorder="1"/>
    <xf numFmtId="1" fontId="0" fillId="0" borderId="14" xfId="0" applyNumberFormat="1" applyBorder="1"/>
    <xf numFmtId="0" fontId="0" fillId="4" borderId="14" xfId="0" applyFill="1" applyBorder="1"/>
    <xf numFmtId="0" fontId="0" fillId="7" borderId="14" xfId="0" applyFill="1" applyBorder="1"/>
    <xf numFmtId="0" fontId="0" fillId="8" borderId="14" xfId="0" applyFill="1" applyBorder="1"/>
    <xf numFmtId="0" fontId="1" fillId="5" borderId="15" xfId="0" applyFont="1" applyFill="1" applyBorder="1"/>
    <xf numFmtId="1" fontId="0" fillId="0" borderId="18" xfId="0" applyNumberFormat="1" applyBorder="1"/>
    <xf numFmtId="1" fontId="0" fillId="0" borderId="16" xfId="0" applyNumberFormat="1" applyBorder="1"/>
    <xf numFmtId="1" fontId="0" fillId="0" borderId="17" xfId="0" applyNumberFormat="1" applyBorder="1"/>
    <xf numFmtId="0" fontId="0" fillId="0" borderId="27" xfId="0" applyBorder="1"/>
    <xf numFmtId="0" fontId="0" fillId="0" borderId="28" xfId="0" applyBorder="1"/>
    <xf numFmtId="1" fontId="0" fillId="0" borderId="29" xfId="0" applyNumberFormat="1" applyBorder="1"/>
    <xf numFmtId="1" fontId="0" fillId="0" borderId="15" xfId="0" applyNumberFormat="1" applyBorder="1"/>
    <xf numFmtId="0" fontId="4" fillId="10" borderId="5" xfId="0" applyFont="1" applyFill="1" applyBorder="1"/>
    <xf numFmtId="0" fontId="4" fillId="10" borderId="16" xfId="0" applyFont="1" applyFill="1" applyBorder="1" applyAlignment="1">
      <alignment horizontal="left"/>
    </xf>
    <xf numFmtId="0" fontId="4" fillId="10" borderId="6" xfId="0" applyFont="1" applyFill="1" applyBorder="1"/>
    <xf numFmtId="0" fontId="4" fillId="10" borderId="17" xfId="0" applyFont="1" applyFill="1" applyBorder="1" applyAlignment="1">
      <alignment horizontal="left"/>
    </xf>
    <xf numFmtId="0" fontId="1" fillId="5" borderId="30" xfId="0" applyFont="1" applyFill="1" applyBorder="1"/>
    <xf numFmtId="0" fontId="0" fillId="0" borderId="8" xfId="0" pivotButton="1" applyBorder="1"/>
    <xf numFmtId="0" fontId="0" fillId="0" borderId="19" xfId="0" applyBorder="1"/>
    <xf numFmtId="0" fontId="0" fillId="0" borderId="9" xfId="0" applyBorder="1"/>
    <xf numFmtId="0" fontId="0" fillId="0" borderId="16" xfId="0" applyBorder="1"/>
    <xf numFmtId="0" fontId="0" fillId="0" borderId="8" xfId="0" applyBorder="1"/>
    <xf numFmtId="0" fontId="0" fillId="4" borderId="16" xfId="0" applyFill="1" applyBorder="1"/>
    <xf numFmtId="0" fontId="0" fillId="7" borderId="16" xfId="0" applyFill="1" applyBorder="1"/>
    <xf numFmtId="0" fontId="0" fillId="8" borderId="17" xfId="0" applyFill="1" applyBorder="1"/>
    <xf numFmtId="0" fontId="0" fillId="0" borderId="21" xfId="0" pivotButton="1" applyBorder="1"/>
    <xf numFmtId="0" fontId="2" fillId="12" borderId="14" xfId="0" applyFont="1" applyFill="1" applyBorder="1"/>
    <xf numFmtId="14" fontId="0" fillId="0" borderId="0" xfId="0" applyNumberFormat="1" applyAlignment="1">
      <alignment horizontal="left"/>
    </xf>
    <xf numFmtId="0" fontId="1" fillId="6" borderId="14" xfId="0" applyFont="1" applyFill="1" applyBorder="1"/>
    <xf numFmtId="0" fontId="0" fillId="0" borderId="20" xfId="0" applyBorder="1"/>
    <xf numFmtId="0" fontId="6" fillId="0" borderId="31" xfId="0" applyFont="1" applyBorder="1" applyAlignment="1">
      <alignment horizontal="center"/>
    </xf>
    <xf numFmtId="0" fontId="6" fillId="0" borderId="0" xfId="0" applyFont="1" applyAlignment="1">
      <alignment horizontal="center" vertical="center"/>
    </xf>
    <xf numFmtId="164" fontId="0" fillId="0" borderId="14" xfId="0" applyNumberFormat="1" applyBorder="1"/>
    <xf numFmtId="165" fontId="0" fillId="0" borderId="14" xfId="0" applyNumberFormat="1" applyBorder="1"/>
    <xf numFmtId="0" fontId="1" fillId="13" borderId="14" xfId="0" applyFont="1" applyFill="1" applyBorder="1"/>
    <xf numFmtId="164" fontId="0" fillId="0" borderId="0" xfId="0" applyNumberFormat="1"/>
    <xf numFmtId="2" fontId="0" fillId="0" borderId="0" xfId="0" applyNumberFormat="1"/>
    <xf numFmtId="0" fontId="9" fillId="0" borderId="0" xfId="0" applyFont="1"/>
    <xf numFmtId="0" fontId="10" fillId="0" borderId="0" xfId="0" applyFont="1"/>
    <xf numFmtId="0" fontId="0" fillId="0" borderId="12" xfId="0" pivotButton="1" applyBorder="1"/>
    <xf numFmtId="0" fontId="11" fillId="0" borderId="7" xfId="0" pivotButton="1" applyFont="1" applyBorder="1"/>
    <xf numFmtId="0" fontId="11" fillId="0" borderId="24" xfId="0" applyFont="1" applyBorder="1"/>
    <xf numFmtId="0" fontId="11" fillId="0" borderId="25" xfId="0" applyFont="1" applyBorder="1"/>
    <xf numFmtId="0" fontId="11" fillId="0" borderId="26" xfId="0" applyFont="1" applyBorder="1"/>
    <xf numFmtId="0" fontId="11" fillId="0" borderId="21" xfId="0" applyFont="1" applyBorder="1" applyAlignment="1">
      <alignment horizontal="left"/>
    </xf>
    <xf numFmtId="1" fontId="11" fillId="0" borderId="8" xfId="0" applyNumberFormat="1" applyFont="1" applyBorder="1"/>
    <xf numFmtId="1" fontId="11" fillId="0" borderId="19" xfId="0" applyNumberFormat="1" applyFont="1" applyBorder="1"/>
    <xf numFmtId="1" fontId="11" fillId="0" borderId="9" xfId="0" applyNumberFormat="1" applyFont="1" applyBorder="1"/>
    <xf numFmtId="0" fontId="11" fillId="0" borderId="22" xfId="0" applyFont="1" applyBorder="1" applyAlignment="1">
      <alignment horizontal="left"/>
    </xf>
    <xf numFmtId="1" fontId="11" fillId="0" borderId="10" xfId="0" applyNumberFormat="1" applyFont="1" applyBorder="1"/>
    <xf numFmtId="1" fontId="11" fillId="0" borderId="11" xfId="0" applyNumberFormat="1" applyFont="1" applyBorder="1"/>
    <xf numFmtId="0" fontId="11" fillId="0" borderId="23" xfId="0" applyFont="1" applyBorder="1" applyAlignment="1">
      <alignment horizontal="left"/>
    </xf>
    <xf numFmtId="1" fontId="11" fillId="0" borderId="12" xfId="0" applyNumberFormat="1" applyFont="1" applyBorder="1"/>
    <xf numFmtId="1" fontId="11" fillId="0" borderId="20" xfId="0" applyNumberFormat="1" applyFont="1" applyBorder="1"/>
    <xf numFmtId="1" fontId="11" fillId="0" borderId="13" xfId="0" applyNumberFormat="1" applyFont="1" applyBorder="1"/>
    <xf numFmtId="0" fontId="11" fillId="0" borderId="12" xfId="0" pivotButton="1" applyFont="1" applyBorder="1"/>
    <xf numFmtId="0" fontId="11" fillId="0" borderId="14" xfId="0" applyFont="1" applyBorder="1"/>
    <xf numFmtId="0" fontId="11" fillId="0" borderId="16" xfId="0" applyFont="1" applyBorder="1"/>
    <xf numFmtId="0" fontId="0" fillId="0" borderId="10" xfId="0" applyBorder="1" applyAlignment="1">
      <alignment horizontal="left"/>
    </xf>
    <xf numFmtId="0" fontId="0" fillId="0" borderId="12" xfId="0" applyBorder="1" applyAlignment="1">
      <alignment horizontal="left"/>
    </xf>
    <xf numFmtId="0" fontId="0" fillId="0" borderId="24" xfId="0" pivotButton="1" applyBorder="1"/>
    <xf numFmtId="0" fontId="0" fillId="0" borderId="25" xfId="0" pivotButton="1" applyBorder="1"/>
    <xf numFmtId="0" fontId="11" fillId="0" borderId="24" xfId="0" pivotButton="1" applyFont="1" applyBorder="1"/>
    <xf numFmtId="0" fontId="11" fillId="0" borderId="25" xfId="0" pivotButton="1" applyFont="1" applyBorder="1"/>
    <xf numFmtId="0" fontId="11" fillId="0" borderId="10" xfId="0" applyFont="1" applyBorder="1" applyAlignment="1">
      <alignment horizontal="left"/>
    </xf>
    <xf numFmtId="0" fontId="11" fillId="0" borderId="12" xfId="0" applyFont="1" applyBorder="1" applyAlignment="1">
      <alignment horizontal="left"/>
    </xf>
    <xf numFmtId="0" fontId="10" fillId="15" borderId="0" xfId="0" applyFont="1" applyFill="1"/>
    <xf numFmtId="0" fontId="8" fillId="14" borderId="7" xfId="0" applyFont="1" applyFill="1" applyBorder="1" applyAlignment="1">
      <alignment horizontal="center" vertical="center"/>
    </xf>
    <xf numFmtId="0" fontId="12" fillId="14" borderId="7" xfId="0" applyFont="1" applyFill="1" applyBorder="1" applyAlignment="1">
      <alignment horizontal="center" vertical="center"/>
    </xf>
    <xf numFmtId="0" fontId="10" fillId="15" borderId="7" xfId="0" applyFont="1" applyFill="1" applyBorder="1"/>
    <xf numFmtId="1" fontId="10" fillId="15" borderId="7" xfId="0" applyNumberFormat="1" applyFont="1" applyFill="1" applyBorder="1"/>
    <xf numFmtId="0" fontId="8" fillId="16" borderId="7" xfId="0" applyFont="1" applyFill="1" applyBorder="1" applyAlignment="1">
      <alignment horizontal="center" vertical="center"/>
    </xf>
    <xf numFmtId="0" fontId="12" fillId="14" borderId="14" xfId="0" applyFont="1" applyFill="1" applyBorder="1"/>
    <xf numFmtId="0" fontId="8" fillId="14" borderId="7" xfId="0" applyFont="1" applyFill="1" applyBorder="1"/>
    <xf numFmtId="0" fontId="8" fillId="14" borderId="0" xfId="0" applyFont="1" applyFill="1"/>
    <xf numFmtId="0" fontId="7" fillId="15" borderId="14" xfId="0" applyFont="1" applyFill="1" applyBorder="1" applyAlignment="1">
      <alignment horizontal="left"/>
    </xf>
    <xf numFmtId="1" fontId="7" fillId="15" borderId="14" xfId="0" applyNumberFormat="1" applyFont="1" applyFill="1" applyBorder="1"/>
    <xf numFmtId="1" fontId="10" fillId="15" borderId="0" xfId="0" applyNumberFormat="1" applyFont="1" applyFill="1"/>
    <xf numFmtId="0" fontId="7" fillId="15" borderId="14" xfId="0" applyFont="1" applyFill="1" applyBorder="1" applyAlignment="1">
      <alignment horizontal="right"/>
    </xf>
    <xf numFmtId="1" fontId="7" fillId="15" borderId="14" xfId="0" applyNumberFormat="1" applyFont="1" applyFill="1" applyBorder="1" applyAlignment="1">
      <alignment horizontal="right"/>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6" fillId="0" borderId="36" xfId="0" applyFont="1" applyBorder="1" applyAlignment="1">
      <alignment horizontal="center"/>
    </xf>
    <xf numFmtId="0" fontId="0" fillId="0" borderId="14" xfId="0" applyBorder="1" applyAlignment="1">
      <alignment horizontal="center"/>
    </xf>
    <xf numFmtId="0" fontId="0" fillId="0" borderId="16" xfId="0" applyBorder="1" applyAlignment="1">
      <alignment horizontal="center"/>
    </xf>
    <xf numFmtId="165" fontId="0" fillId="0" borderId="14" xfId="0" applyNumberFormat="1" applyBorder="1" applyAlignment="1">
      <alignment horizontal="center"/>
    </xf>
    <xf numFmtId="165" fontId="0" fillId="0" borderId="18" xfId="0" applyNumberFormat="1" applyBorder="1" applyAlignment="1">
      <alignment horizontal="center"/>
    </xf>
    <xf numFmtId="0" fontId="0" fillId="0" borderId="17" xfId="0" applyBorder="1" applyAlignment="1">
      <alignment horizontal="center"/>
    </xf>
    <xf numFmtId="0" fontId="1" fillId="6" borderId="5" xfId="0" applyFont="1" applyFill="1" applyBorder="1" applyAlignment="1">
      <alignment horizontal="left"/>
    </xf>
    <xf numFmtId="0" fontId="1" fillId="6" borderId="6" xfId="0" applyFont="1" applyFill="1" applyBorder="1" applyAlignment="1">
      <alignment horizontal="left"/>
    </xf>
    <xf numFmtId="0" fontId="13" fillId="6" borderId="29" xfId="0" applyFont="1" applyFill="1" applyBorder="1" applyAlignment="1">
      <alignment horizontal="left"/>
    </xf>
    <xf numFmtId="0" fontId="13" fillId="6" borderId="15" xfId="0" applyFont="1" applyFill="1" applyBorder="1" applyAlignment="1">
      <alignment horizontal="left"/>
    </xf>
    <xf numFmtId="0" fontId="5" fillId="9" borderId="4" xfId="0" applyFont="1" applyFill="1" applyBorder="1" applyAlignment="1">
      <alignment horizontal="center"/>
    </xf>
    <xf numFmtId="0" fontId="5" fillId="9" borderId="15" xfId="0" applyFont="1" applyFill="1" applyBorder="1" applyAlignment="1">
      <alignment horizontal="center"/>
    </xf>
    <xf numFmtId="0" fontId="0" fillId="0" borderId="10" xfId="0" applyBorder="1"/>
    <xf numFmtId="0" fontId="0" fillId="0" borderId="12" xfId="0" applyBorder="1"/>
    <xf numFmtId="1" fontId="11" fillId="0" borderId="0" xfId="0" applyNumberFormat="1" applyFont="1"/>
    <xf numFmtId="0" fontId="6" fillId="11" borderId="32" xfId="0" applyFont="1" applyFill="1" applyBorder="1" applyAlignment="1">
      <alignment horizontal="center" vertical="center"/>
    </xf>
    <xf numFmtId="0" fontId="6" fillId="11" borderId="33" xfId="0" applyFont="1" applyFill="1" applyBorder="1" applyAlignment="1">
      <alignment horizontal="center" vertical="center"/>
    </xf>
    <xf numFmtId="0" fontId="6" fillId="11" borderId="34" xfId="0" applyFont="1" applyFill="1" applyBorder="1" applyAlignment="1">
      <alignment horizontal="center" vertical="center"/>
    </xf>
    <xf numFmtId="0" fontId="6" fillId="11" borderId="35" xfId="0" applyFont="1" applyFill="1" applyBorder="1" applyAlignment="1">
      <alignment horizontal="center" vertical="center"/>
    </xf>
    <xf numFmtId="0" fontId="6" fillId="11" borderId="14" xfId="0" applyFont="1" applyFill="1" applyBorder="1" applyAlignment="1">
      <alignment horizontal="center" vertical="center"/>
    </xf>
  </cellXfs>
  <cellStyles count="1">
    <cellStyle name="Normal" xfId="0" builtinId="0"/>
  </cellStyles>
  <dxfs count="344">
    <dxf>
      <font>
        <color theme="0"/>
      </font>
      <fill>
        <patternFill>
          <bgColor rgb="FF3E6CC0"/>
        </patternFill>
      </fill>
    </dxf>
    <dxf>
      <fill>
        <patternFill>
          <bgColor theme="6" tint="0.39994506668294322"/>
        </patternFill>
      </fill>
    </dxf>
    <dxf>
      <fill>
        <patternFill>
          <bgColor rgb="FF6DC9C9"/>
        </patternFill>
      </fill>
    </dxf>
    <dxf>
      <font>
        <color theme="0"/>
      </font>
      <fill>
        <patternFill>
          <bgColor theme="2" tint="-0.499984740745262"/>
        </patternFill>
      </fill>
    </dxf>
    <dxf>
      <fill>
        <patternFill>
          <bgColor rgb="FF92D050"/>
        </patternFill>
      </fill>
    </dxf>
    <dxf>
      <fill>
        <patternFill>
          <bgColor rgb="FFE77575"/>
        </patternFill>
      </fill>
    </dxf>
    <dxf>
      <fill>
        <patternFill>
          <bgColor rgb="FFFFCC99"/>
        </patternFill>
      </fill>
    </dxf>
    <dxf>
      <fill>
        <patternFill>
          <bgColor rgb="FFFFFF00"/>
        </patternFill>
      </fill>
    </dxf>
    <dxf>
      <fill>
        <patternFill>
          <bgColor rgb="FF9999FF"/>
        </patternFill>
      </fill>
    </dxf>
    <dxf>
      <font>
        <color theme="0"/>
      </font>
      <fill>
        <patternFill>
          <bgColor rgb="FF000066"/>
        </patternFill>
      </fill>
    </dxf>
    <dxf>
      <font>
        <sz val="26"/>
      </font>
    </dxf>
    <dxf>
      <font>
        <color theme="0"/>
      </font>
    </dxf>
    <dxf>
      <font>
        <color theme="0"/>
      </font>
    </dxf>
    <dxf>
      <font>
        <sz val="20"/>
      </font>
    </dxf>
    <dxf>
      <font>
        <sz val="2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rgb="FF3A9CBA"/>
        </patternFill>
      </fill>
    </dxf>
    <dxf>
      <fill>
        <patternFill>
          <bgColor rgb="FF3A9CB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59999389629810485"/>
        </patternFill>
      </fill>
    </dxf>
    <dxf>
      <fill>
        <patternFill patternType="solid">
          <bgColor theme="9"/>
        </patternFill>
      </fill>
    </dxf>
    <dxf>
      <fill>
        <patternFill patternType="solid">
          <bgColor theme="9"/>
        </patternFill>
      </fill>
    </dxf>
    <dxf>
      <font>
        <i/>
      </font>
    </dxf>
    <dxf>
      <font>
        <b/>
      </font>
    </dxf>
    <dxf>
      <font>
        <b/>
      </font>
    </dxf>
    <dxf>
      <font>
        <sz val="22"/>
      </font>
    </dxf>
    <dxf>
      <font>
        <sz val="22"/>
      </font>
    </dxf>
    <dxf>
      <font>
        <sz val="22"/>
      </font>
    </dxf>
    <dxf>
      <font>
        <sz val="22"/>
      </font>
    </dxf>
    <dxf>
      <font>
        <sz val="22"/>
      </font>
    </dxf>
    <dxf>
      <font>
        <b val="0"/>
      </font>
    </dxf>
    <dxf>
      <font>
        <b val="0"/>
      </font>
    </dxf>
    <dxf>
      <font>
        <b val="0"/>
      </font>
    </dxf>
    <dxf>
      <font>
        <sz val="26"/>
      </font>
    </dxf>
    <dxf>
      <font>
        <sz val="26"/>
      </font>
    </dxf>
    <dxf>
      <font>
        <color theme="0"/>
      </font>
    </dxf>
    <dxf>
      <font>
        <color theme="0"/>
      </font>
    </dxf>
    <dxf>
      <font>
        <sz val="20"/>
      </font>
    </dxf>
    <dxf>
      <font>
        <sz val="20"/>
      </font>
    </dxf>
    <dxf>
      <fill>
        <patternFill>
          <bgColor theme="0" tint="-4.9989318521683403E-2"/>
        </patternFill>
      </fill>
    </dxf>
    <dxf>
      <fill>
        <patternFill>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3A9CBA"/>
        </patternFill>
      </fill>
    </dxf>
    <dxf>
      <fill>
        <patternFill>
          <bgColor rgb="FF3A9CBA"/>
        </patternFill>
      </fill>
    </dxf>
    <dxf>
      <font>
        <i/>
      </font>
    </dxf>
    <dxf>
      <font>
        <i/>
      </font>
    </dxf>
    <dxf>
      <font>
        <sz val="22"/>
      </font>
    </dxf>
    <dxf>
      <font>
        <sz val="22"/>
      </font>
    </dxf>
    <dxf>
      <font>
        <sz val="22"/>
      </font>
    </dxf>
    <dxf>
      <font>
        <sz val="22"/>
      </font>
    </dxf>
    <dxf>
      <font>
        <sz val="2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39997558519241921"/>
        </patternFill>
      </fill>
    </dxf>
    <dxf>
      <fill>
        <patternFill patternType="solid">
          <bgColor theme="9" tint="0.39997558519241921"/>
        </patternFill>
      </fill>
    </dxf>
    <dxf>
      <fill>
        <patternFill patternType="solid">
          <bgColor theme="9"/>
        </patternFill>
      </fill>
    </dxf>
    <dxf>
      <fill>
        <patternFill patternType="solid">
          <bgColor theme="9"/>
        </patternFill>
      </fill>
    </dxf>
    <dxf>
      <font>
        <sz val="26"/>
      </font>
    </dxf>
    <dxf>
      <font>
        <color theme="0"/>
      </font>
    </dxf>
    <dxf>
      <font>
        <color theme="0"/>
      </font>
    </dxf>
    <dxf>
      <font>
        <sz val="20"/>
      </font>
    </dxf>
    <dxf>
      <font>
        <sz val="20"/>
      </font>
    </dxf>
    <dxf>
      <fill>
        <patternFill>
          <bgColor theme="0" tint="-4.9989318521683403E-2"/>
        </patternFill>
      </fill>
    </dxf>
    <dxf>
      <fill>
        <patternFill>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3A9CBA"/>
        </patternFill>
      </fill>
    </dxf>
    <dxf>
      <fill>
        <patternFill>
          <bgColor rgb="FF3A9CBA"/>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i/>
      </font>
    </dxf>
    <dxf>
      <font>
        <i/>
      </font>
    </dxf>
    <dxf>
      <font>
        <sz val="22"/>
      </font>
    </dxf>
    <dxf>
      <font>
        <sz val="22"/>
      </font>
    </dxf>
    <dxf>
      <fill>
        <patternFill patternType="solid">
          <bgColor theme="9" tint="0.39997558519241921"/>
        </patternFill>
      </fill>
    </dxf>
    <dxf>
      <fill>
        <patternFill patternType="solid">
          <bgColor theme="9" tint="0.39997558519241921"/>
        </patternFill>
      </fill>
    </dxf>
    <dxf>
      <font>
        <sz val="22"/>
      </font>
    </dxf>
    <dxf>
      <font>
        <sz val="22"/>
      </font>
    </dxf>
    <dxf>
      <fill>
        <patternFill patternType="solid">
          <bgColor theme="9"/>
        </patternFill>
      </fill>
    </dxf>
    <dxf>
      <fill>
        <patternFill patternType="solid">
          <bgColor theme="9"/>
        </patternFill>
      </fill>
    </dxf>
    <dxf>
      <font>
        <sz val="26"/>
      </font>
    </dxf>
    <dxf>
      <font>
        <sz val="20"/>
      </font>
    </dxf>
    <dxf>
      <font>
        <color theme="0"/>
      </font>
    </dxf>
    <dxf>
      <fill>
        <patternFill>
          <bgColor theme="0" tint="-4.9989318521683403E-2"/>
        </patternFill>
      </fill>
    </dxf>
    <dxf>
      <fill>
        <patternFill>
          <bgColor rgb="FF3A9CBA"/>
        </patternFill>
      </fill>
    </dxf>
    <dxf>
      <font>
        <sz val="22"/>
      </font>
      <fill>
        <patternFill patternType="solid">
          <fgColor indexed="64"/>
          <bgColor theme="9"/>
        </patternFill>
      </fill>
    </dxf>
    <dxf>
      <font>
        <sz val="22"/>
      </font>
      <fill>
        <patternFill patternType="solid">
          <fgColor indexed="64"/>
          <bgColor theme="9"/>
        </patternFill>
      </fill>
    </dxf>
    <dxf>
      <font>
        <sz val="22"/>
      </font>
      <fill>
        <patternFill patternType="solid">
          <fgColor indexed="64"/>
          <bgColor theme="9"/>
        </patternFill>
      </fill>
    </dxf>
    <dxf>
      <font>
        <sz val="26"/>
      </font>
    </dxf>
    <dxf>
      <font>
        <sz val="20"/>
      </font>
    </dxf>
    <dxf>
      <font>
        <color theme="0"/>
      </font>
    </dxf>
    <dxf>
      <fill>
        <patternFill>
          <bgColor theme="0" tint="-4.9989318521683403E-2"/>
        </patternFill>
      </fill>
    </dxf>
    <dxf>
      <fill>
        <patternFill>
          <bgColor rgb="FF3A9CBA"/>
        </patternFill>
      </fill>
    </dxf>
    <dxf>
      <font>
        <sz val="22"/>
      </font>
      <fill>
        <patternFill patternType="solid">
          <fgColor indexed="64"/>
          <bgColor theme="9"/>
        </patternFill>
      </fill>
    </dxf>
    <dxf>
      <font>
        <sz val="22"/>
      </font>
      <fill>
        <patternFill patternType="solid">
          <fgColor indexed="64"/>
          <bgColor theme="9"/>
        </patternFill>
      </fill>
    </dxf>
    <dxf>
      <font>
        <sz val="22"/>
      </font>
      <fill>
        <patternFill patternType="solid">
          <fgColor indexed="64"/>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font>
        <b/>
        <i val="0"/>
        <strike val="0"/>
        <condense val="0"/>
        <extend val="0"/>
        <outline val="0"/>
        <shadow val="0"/>
        <u val="none"/>
        <vertAlign val="baseline"/>
        <sz val="10"/>
        <color rgb="FF000000"/>
        <name val="Arial"/>
        <family val="2"/>
        <scheme val="none"/>
      </font>
      <fill>
        <patternFill patternType="solid">
          <fgColor rgb="FFFBBC04"/>
          <bgColor rgb="FFFBBC04"/>
        </patternFill>
      </fill>
    </dxf>
    <dxf>
      <numFmt numFmtId="19" formatCode="dd/mm/yyyy"/>
    </dxf>
    <dxf>
      <font>
        <b/>
        <i val="0"/>
        <strike val="0"/>
        <condense val="0"/>
        <extend val="0"/>
        <outline val="0"/>
        <shadow val="0"/>
        <u val="none"/>
        <vertAlign val="baseline"/>
        <sz val="10"/>
        <color rgb="FF000000"/>
        <name val="Arial"/>
        <family val="2"/>
        <scheme val="none"/>
      </font>
      <fill>
        <patternFill patternType="solid">
          <fgColor rgb="FFFBBC04"/>
          <bgColor rgb="FFFBBC04"/>
        </patternFill>
      </fill>
    </dxf>
    <dxf>
      <numFmt numFmtId="19" formatCode="dd/mm/yyyy"/>
    </dxf>
    <dxf>
      <numFmt numFmtId="19" formatCode="dd/mm/yyyy"/>
    </dxf>
    <dxf>
      <fill>
        <patternFill>
          <bgColor theme="0" tint="-4.9989318521683403E-2"/>
        </patternFill>
      </fill>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fgColor indexed="64"/>
          <bgColor rgb="FF3A9CBA"/>
        </patternFill>
      </fill>
    </dxf>
    <dxf>
      <font>
        <sz val="26"/>
      </font>
    </dxf>
    <dxf>
      <font>
        <sz val="20"/>
      </font>
    </dxf>
    <dxf>
      <font>
        <color theme="0"/>
      </font>
    </dxf>
    <dxf>
      <fill>
        <patternFill>
          <fgColor rgb="FF3A9CBA"/>
        </patternFill>
      </fill>
      <alignment horizontal="center" vertical="center"/>
    </dxf>
    <dxf>
      <font>
        <sz val="22"/>
      </font>
      <fill>
        <patternFill patternType="solid">
          <fgColor indexed="64"/>
          <bgColor theme="9"/>
        </patternFill>
      </fill>
    </dxf>
    <dxf>
      <font>
        <sz val="22"/>
      </font>
      <fill>
        <patternFill patternType="solid">
          <fgColor indexed="64"/>
          <bgColor theme="9"/>
        </patternFill>
      </fill>
    </dxf>
    <dxf>
      <font>
        <sz val="22"/>
      </font>
      <fill>
        <patternFill patternType="solid">
          <fgColor indexed="64"/>
          <bgColor theme="9"/>
        </patternFill>
      </fill>
    </dxf>
    <dxf>
      <alignment horizontal="righ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rgb="FF3A9CBA"/>
        </patternFill>
      </fill>
    </dxf>
    <dxf>
      <fill>
        <patternFill>
          <bgColor theme="0" tint="-4.9989318521683403E-2"/>
        </patternFill>
      </fill>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fill>
        <patternFill>
          <fgColor rgb="FF3A9CBA"/>
        </patternFill>
      </fill>
      <alignment horizontal="center" vertical="center"/>
    </dxf>
    <dxf>
      <fill>
        <patternFill>
          <fgColor indexed="64"/>
          <bgColor rgb="FF3A9CBA"/>
        </patternFill>
      </fill>
    </dxf>
    <dxf>
      <font>
        <sz val="26"/>
      </font>
    </dxf>
    <dxf>
      <font>
        <sz val="26"/>
      </font>
    </dxf>
    <dxf>
      <font>
        <sz val="20"/>
      </font>
    </dxf>
    <dxf>
      <font>
        <sz val="20"/>
      </font>
    </dxf>
    <dxf>
      <font>
        <color theme="0"/>
      </font>
      <fill>
        <patternFill>
          <fgColor rgb="FF3A9CBA"/>
        </patternFill>
      </fill>
      <alignment horizontal="center"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i/>
      </font>
    </dxf>
    <dxf>
      <font>
        <i/>
      </font>
    </dxf>
    <dxf>
      <font>
        <sz val="22"/>
      </font>
    </dxf>
    <dxf>
      <font>
        <sz val="22"/>
      </font>
    </dxf>
    <dxf>
      <fill>
        <patternFill patternType="solid">
          <bgColor theme="9" tint="0.39997558519241921"/>
        </patternFill>
      </fill>
    </dxf>
    <dxf>
      <fill>
        <patternFill patternType="solid">
          <bgColor theme="9" tint="0.39997558519241921"/>
        </patternFill>
      </fill>
    </dxf>
    <dxf>
      <font>
        <sz val="22"/>
      </font>
    </dxf>
    <dxf>
      <font>
        <sz val="22"/>
      </font>
    </dxf>
    <dxf>
      <fill>
        <patternFill patternType="solid">
          <bgColor theme="9"/>
        </patternFill>
      </fill>
    </dxf>
    <dxf>
      <fill>
        <patternFill patternType="solid">
          <bgColor theme="9"/>
        </patternFill>
      </fill>
    </dxf>
    <dxf>
      <font>
        <sz val="16"/>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fgColor indexed="64"/>
          <bgColor rgb="FF3A9CBA"/>
        </patternFill>
      </fill>
    </dxf>
    <dxf>
      <fill>
        <patternFill>
          <fgColor indexed="64"/>
          <bgColor rgb="FF3A9CBA"/>
        </patternFill>
      </fill>
    </dxf>
    <dxf>
      <font>
        <sz val="26"/>
      </font>
    </dxf>
    <dxf>
      <font>
        <sz val="26"/>
      </font>
    </dxf>
    <dxf>
      <font>
        <sz val="20"/>
      </font>
    </dxf>
    <dxf>
      <font>
        <sz val="20"/>
      </font>
    </dxf>
    <dxf>
      <font>
        <color theme="0"/>
      </font>
    </dxf>
    <dxf>
      <font>
        <color theme="0"/>
      </font>
    </dxf>
    <dxf>
      <fill>
        <patternFill>
          <fgColor rgb="FF3A9CBA"/>
        </patternFill>
      </fill>
      <alignment horizontal="center" vertical="center"/>
    </dxf>
    <dxf>
      <fill>
        <patternFill>
          <fgColor rgb="FF3A9CBA"/>
        </patternFill>
      </fill>
      <alignment horizontal="center" vertical="center"/>
    </dxf>
    <dxf>
      <fill>
        <patternFill>
          <bgColor theme="9" tint="0.59999389629810485"/>
        </patternFill>
      </fill>
    </dxf>
    <dxf>
      <fill>
        <patternFill>
          <bgColor theme="9"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59999389629810485"/>
        </patternFill>
      </fill>
    </dxf>
    <dxf>
      <fill>
        <patternFill patternType="solid">
          <bgColor theme="9"/>
        </patternFill>
      </fill>
    </dxf>
    <dxf>
      <fill>
        <patternFill patternType="solid">
          <bgColor theme="9"/>
        </patternFill>
      </fill>
    </dxf>
    <dxf>
      <font>
        <i/>
      </font>
    </dxf>
    <dxf>
      <font>
        <b/>
      </font>
    </dxf>
    <dxf>
      <font>
        <b/>
      </font>
    </dxf>
    <dxf>
      <font>
        <sz val="22"/>
      </font>
    </dxf>
    <dxf>
      <font>
        <sz val="22"/>
      </font>
    </dxf>
    <dxf>
      <font>
        <sz val="22"/>
      </font>
    </dxf>
    <dxf>
      <font>
        <sz val="22"/>
      </font>
    </dxf>
    <dxf>
      <font>
        <sz val="22"/>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26"/>
      </font>
    </dxf>
    <dxf>
      <font>
        <sz val="20"/>
      </font>
    </dxf>
    <dxf>
      <font>
        <color theme="0"/>
      </font>
    </dxf>
    <dxf>
      <alignment horizontal="center"/>
    </dxf>
    <dxf>
      <alignment vertical="center"/>
    </dxf>
    <dxf>
      <fill>
        <patternFill>
          <bgColor theme="0" tint="-4.9989318521683403E-2"/>
        </patternFill>
      </fill>
    </dxf>
    <dxf>
      <fill>
        <patternFill>
          <bgColor rgb="FF3A9CBA"/>
        </patternFill>
      </fill>
    </dxf>
    <dxf>
      <font>
        <sz val="22"/>
      </font>
      <fill>
        <patternFill patternType="solid">
          <fgColor indexed="64"/>
          <bgColor theme="9"/>
        </patternFill>
      </fill>
    </dxf>
    <dxf>
      <font>
        <sz val="22"/>
      </font>
      <fill>
        <patternFill patternType="solid">
          <fgColor indexed="64"/>
          <bgColor theme="9"/>
        </patternFill>
      </fill>
    </dxf>
    <dxf>
      <font>
        <sz val="22"/>
      </font>
      <fill>
        <patternFill patternType="solid">
          <fgColor indexed="64"/>
          <bgColor theme="9"/>
        </patternFill>
      </fill>
    </dxf>
    <dxf>
      <alignment horizontal="righ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rgb="FF3A9CBA"/>
        </patternFill>
      </fill>
    </dxf>
    <dxf>
      <fill>
        <patternFill>
          <bgColor theme="0" tint="-4.9989318521683403E-2"/>
        </patternFill>
      </fill>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fgColor indexed="64"/>
          <bgColor rgb="FF3A9CBA"/>
        </patternFill>
      </fill>
    </dxf>
    <dxf>
      <font>
        <color theme="0"/>
      </font>
      <fill>
        <patternFill>
          <fgColor rgb="FF3A9CBA"/>
        </patternFill>
      </fill>
      <alignment horizontal="center" vertical="center"/>
    </dxf>
    <dxf>
      <font>
        <sz val="26"/>
      </font>
    </dxf>
    <dxf>
      <font>
        <sz val="26"/>
      </font>
    </dxf>
    <dxf>
      <font>
        <sz val="20"/>
      </font>
    </dxf>
    <dxf>
      <font>
        <sz val="20"/>
      </font>
    </dxf>
    <dxf>
      <font>
        <color theme="0"/>
      </font>
      <fill>
        <patternFill>
          <fgColor rgb="FF3A9CBA"/>
        </patternFill>
      </fill>
      <alignment horizontal="center" vertical="center"/>
    </dxf>
    <dxf>
      <font>
        <i/>
      </font>
    </dxf>
    <dxf>
      <font>
        <i/>
      </font>
    </dxf>
    <dxf>
      <font>
        <sz val="22"/>
      </font>
    </dxf>
    <dxf>
      <font>
        <sz val="22"/>
      </font>
    </dxf>
    <dxf>
      <font>
        <sz val="2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39997558519241921"/>
        </patternFill>
      </fill>
    </dxf>
    <dxf>
      <fill>
        <patternFill patternType="solid">
          <bgColor theme="9" tint="0.39997558519241921"/>
        </patternFill>
      </fill>
    </dxf>
    <dxf>
      <fill>
        <patternFill patternType="solid">
          <bgColor theme="9"/>
        </patternFill>
      </fill>
    </dxf>
    <dxf>
      <fill>
        <patternFill patternType="solid">
          <bgColor theme="9"/>
        </patternFill>
      </fill>
    </dxf>
    <dxf>
      <font>
        <sz val="16"/>
      </font>
    </dxf>
    <dxf>
      <border>
        <right style="medium">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3A9CBA"/>
      <color rgb="FF6DC9C9"/>
      <color rgb="FF000066"/>
      <color rgb="FFFFCC99"/>
      <color rgb="FFEAEAEA"/>
      <color rgb="FFB2B2B2"/>
      <color rgb="FF3E6CC0"/>
      <color rgb="FFCC8D00"/>
      <color rgb="FFFDD34D"/>
      <color rgb="FFFDE3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1/relationships/timelineCache" Target="timelineCaches/timelineCach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microsoft.com/office/2007/relationships/slicerCache" Target="slicerCaches/slicerCache2.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Users</a:t>
            </a:r>
            <a:r>
              <a:rPr lang="en-US" baseline="0"/>
              <a:t> based </a:t>
            </a:r>
            <a:r>
              <a:rPr lang="en-US"/>
              <a:t>Rentals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Rentals_Usage!$B$3</c:f>
              <c:strCache>
                <c:ptCount val="1"/>
                <c:pt idx="0">
                  <c:v>Rentals</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697-4850-801F-AB5C96ADBC03}"/>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8697-4850-801F-AB5C96ADBC03}"/>
              </c:ext>
            </c:extLst>
          </c:dPt>
          <c:dLbls>
            <c:dLbl>
              <c:idx val="0"/>
              <c:layout>
                <c:manualLayout>
                  <c:x val="8.611111111111111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697-4850-801F-AB5C96ADBC03}"/>
                </c:ext>
              </c:extLst>
            </c:dLbl>
            <c:dLbl>
              <c:idx val="1"/>
              <c:layout>
                <c:manualLayout>
                  <c:x val="-7.7777777777777807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697-4850-801F-AB5C96ADBC03}"/>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Rentals_Usage!$A$4:$A$5</c:f>
              <c:strCache>
                <c:ptCount val="2"/>
                <c:pt idx="0">
                  <c:v>Casuals</c:v>
                </c:pt>
                <c:pt idx="1">
                  <c:v>Registered</c:v>
                </c:pt>
              </c:strCache>
            </c:strRef>
          </c:cat>
          <c:val>
            <c:numRef>
              <c:f>Rentals_Usage!$B$4:$B$5</c:f>
              <c:numCache>
                <c:formatCode>General</c:formatCode>
                <c:ptCount val="2"/>
                <c:pt idx="0">
                  <c:v>4921</c:v>
                </c:pt>
                <c:pt idx="1">
                  <c:v>53383</c:v>
                </c:pt>
              </c:numCache>
            </c:numRef>
          </c:val>
          <c:extLst>
            <c:ext xmlns:c16="http://schemas.microsoft.com/office/drawing/2014/chart" uri="{C3380CC4-5D6E-409C-BE32-E72D297353CC}">
              <c16:uniqueId val="{00000000-8697-4850-801F-AB5C96ADBC03}"/>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[DataSet_Final_YS_v1.3.xlsx]DailyTrend!PivotTable5</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Daily</a:t>
            </a:r>
            <a:r>
              <a:rPr lang="en-US" baseline="0"/>
              <a:t> Rentals (2011)</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DailyTrend!$B$3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rgbClr val="FFFF00">
                    <a:alpha val="50000"/>
                  </a:srgbClr>
                </a:solidFill>
              </a:ln>
              <a:effectLst/>
            </c:spPr>
            <c:trendlineType val="linear"/>
            <c:dispRSqr val="0"/>
            <c:dispEq val="0"/>
          </c:trendline>
          <c:cat>
            <c:strRef>
              <c:f>DailyTrend!$A$4:$A$49</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DailyTrend!$B$4:$B$49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808A-41EC-864F-9D9E1CB859A4}"/>
            </c:ext>
          </c:extLst>
        </c:ser>
        <c:dLbls>
          <c:showLegendKey val="0"/>
          <c:showVal val="0"/>
          <c:showCatName val="0"/>
          <c:showSerName val="0"/>
          <c:showPercent val="0"/>
          <c:showBubbleSize val="0"/>
        </c:dLbls>
        <c:marker val="1"/>
        <c:smooth val="0"/>
        <c:axId val="29284911"/>
        <c:axId val="29283951"/>
      </c:lineChart>
      <c:catAx>
        <c:axId val="292849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283951"/>
        <c:crosses val="autoZero"/>
        <c:auto val="1"/>
        <c:lblAlgn val="ctr"/>
        <c:lblOffset val="100"/>
        <c:noMultiLvlLbl val="0"/>
      </c:catAx>
      <c:valAx>
        <c:axId val="29283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28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Daily Rentals and Forecast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Forecast_Output!$B$1</c:f>
              <c:strCache>
                <c:ptCount val="1"/>
                <c:pt idx="0">
                  <c:v>Total Rentals</c:v>
                </c:pt>
              </c:strCache>
            </c:strRef>
          </c:tx>
          <c:spPr>
            <a:ln w="22225" cap="rnd">
              <a:solidFill>
                <a:schemeClr val="accent1"/>
              </a:solidFill>
            </a:ln>
            <a:effectLst>
              <a:glow rad="139700">
                <a:schemeClr val="accent1">
                  <a:satMod val="175000"/>
                  <a:alpha val="14000"/>
                </a:schemeClr>
              </a:glow>
            </a:effectLst>
          </c:spPr>
          <c:marker>
            <c:symbol val="none"/>
          </c:marker>
          <c:val>
            <c:numRef>
              <c:f>Forecast_Output!$B$2:$B$78</c:f>
              <c:numCache>
                <c:formatCode>General</c:formatCode>
                <c:ptCount val="77"/>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49AB-49A2-9DC8-17ED323DA343}"/>
            </c:ext>
          </c:extLst>
        </c:ser>
        <c:ser>
          <c:idx val="1"/>
          <c:order val="1"/>
          <c:tx>
            <c:strRef>
              <c:f>Forecast_Output!$C$1</c:f>
              <c:strCache>
                <c:ptCount val="1"/>
                <c:pt idx="0">
                  <c:v>Forecast(Total Rentals)</c:v>
                </c:pt>
              </c:strCache>
            </c:strRef>
          </c:tx>
          <c:spPr>
            <a:ln w="22225" cap="rnd">
              <a:solidFill>
                <a:schemeClr val="accent2"/>
              </a:solidFill>
            </a:ln>
            <a:effectLst>
              <a:glow rad="139700">
                <a:schemeClr val="accent2">
                  <a:satMod val="175000"/>
                  <a:alpha val="14000"/>
                </a:schemeClr>
              </a:glow>
            </a:effectLst>
          </c:spPr>
          <c:marker>
            <c:symbol val="none"/>
          </c:marker>
          <c:trendline>
            <c:spPr>
              <a:ln w="25400" cap="rnd">
                <a:solidFill>
                  <a:srgbClr val="00B050">
                    <a:alpha val="50000"/>
                  </a:srgbClr>
                </a:solidFill>
              </a:ln>
              <a:effectLst/>
            </c:spPr>
            <c:trendlineType val="linear"/>
            <c:dispRSqr val="0"/>
            <c:dispEq val="0"/>
          </c:trendline>
          <c:cat>
            <c:numRef>
              <c:f>Forecast_Output!$A$2:$A$78</c:f>
              <c:numCache>
                <c:formatCode>m/d/yyyy</c:formatCode>
                <c:ptCount val="7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numCache>
            </c:numRef>
          </c:cat>
          <c:val>
            <c:numRef>
              <c:f>Forecast_Output!$C$2:$C$78</c:f>
              <c:numCache>
                <c:formatCode>General</c:formatCode>
                <c:ptCount val="77"/>
                <c:pt idx="44">
                  <c:v>151</c:v>
                </c:pt>
                <c:pt idx="45" formatCode="0">
                  <c:v>1383.1712615983563</c:v>
                </c:pt>
                <c:pt idx="46" formatCode="0">
                  <c:v>1476.9531321122211</c:v>
                </c:pt>
                <c:pt idx="47" formatCode="0">
                  <c:v>1583.4753172185776</c:v>
                </c:pt>
                <c:pt idx="48" formatCode="0">
                  <c:v>1586.874011940861</c:v>
                </c:pt>
                <c:pt idx="49" formatCode="0">
                  <c:v>1191.1960289133265</c:v>
                </c:pt>
                <c:pt idx="50" formatCode="0">
                  <c:v>1239.3928033916209</c:v>
                </c:pt>
                <c:pt idx="51" formatCode="0">
                  <c:v>1275.5273519845941</c:v>
                </c:pt>
                <c:pt idx="52" formatCode="0">
                  <c:v>1408.0181176777637</c:v>
                </c:pt>
                <c:pt idx="53" formatCode="0">
                  <c:v>1501.7999881916287</c:v>
                </c:pt>
                <c:pt idx="54" formatCode="0">
                  <c:v>1608.322173297985</c:v>
                </c:pt>
                <c:pt idx="55" formatCode="0">
                  <c:v>1611.7208680202687</c:v>
                </c:pt>
                <c:pt idx="56" formatCode="0">
                  <c:v>1216.0428849927339</c:v>
                </c:pt>
                <c:pt idx="57" formatCode="0">
                  <c:v>1264.2396594710285</c:v>
                </c:pt>
                <c:pt idx="58" formatCode="0">
                  <c:v>1300.3742080640016</c:v>
                </c:pt>
                <c:pt idx="59" formatCode="0">
                  <c:v>1432.8649737571714</c:v>
                </c:pt>
                <c:pt idx="60" formatCode="0">
                  <c:v>1526.6468442710361</c:v>
                </c:pt>
                <c:pt idx="61" formatCode="0">
                  <c:v>1633.1690293773927</c:v>
                </c:pt>
                <c:pt idx="62" formatCode="0">
                  <c:v>1636.5677240996761</c:v>
                </c:pt>
                <c:pt idx="63" formatCode="0">
                  <c:v>1240.8897410721415</c:v>
                </c:pt>
                <c:pt idx="64" formatCode="0">
                  <c:v>1289.0865155504359</c:v>
                </c:pt>
                <c:pt idx="65" formatCode="0">
                  <c:v>1325.2210641434092</c:v>
                </c:pt>
                <c:pt idx="66" formatCode="0">
                  <c:v>1457.7118298365788</c:v>
                </c:pt>
                <c:pt idx="67" formatCode="0">
                  <c:v>1551.4937003504438</c:v>
                </c:pt>
                <c:pt idx="68" formatCode="0">
                  <c:v>1658.0158854568001</c:v>
                </c:pt>
                <c:pt idx="69" formatCode="0">
                  <c:v>1661.4145801790837</c:v>
                </c:pt>
                <c:pt idx="70" formatCode="0">
                  <c:v>1265.7365971515489</c:v>
                </c:pt>
                <c:pt idx="71" formatCode="0">
                  <c:v>1313.9333716298436</c:v>
                </c:pt>
                <c:pt idx="72" formatCode="0">
                  <c:v>1350.0679202228166</c:v>
                </c:pt>
                <c:pt idx="73" formatCode="0">
                  <c:v>1482.5586859159864</c:v>
                </c:pt>
                <c:pt idx="74" formatCode="0">
                  <c:v>1576.3405564298512</c:v>
                </c:pt>
                <c:pt idx="75" formatCode="0">
                  <c:v>1682.8627415362077</c:v>
                </c:pt>
                <c:pt idx="76" formatCode="0">
                  <c:v>1686.2614362584911</c:v>
                </c:pt>
              </c:numCache>
            </c:numRef>
          </c:val>
          <c:smooth val="0"/>
          <c:extLst>
            <c:ext xmlns:c16="http://schemas.microsoft.com/office/drawing/2014/chart" uri="{C3380CC4-5D6E-409C-BE32-E72D297353CC}">
              <c16:uniqueId val="{00000001-49AB-49A2-9DC8-17ED323DA343}"/>
            </c:ext>
          </c:extLst>
        </c:ser>
        <c:ser>
          <c:idx val="2"/>
          <c:order val="2"/>
          <c:tx>
            <c:strRef>
              <c:f>Forecast_Output!$D$1</c:f>
              <c:strCache>
                <c:ptCount val="1"/>
                <c:pt idx="0">
                  <c:v>Lower Confidence Bound(Total Rentals)</c:v>
                </c:pt>
              </c:strCache>
            </c:strRef>
          </c:tx>
          <c:spPr>
            <a:ln w="22225" cap="rnd">
              <a:solidFill>
                <a:schemeClr val="accent3"/>
              </a:solidFill>
            </a:ln>
            <a:effectLst>
              <a:glow rad="139700">
                <a:schemeClr val="accent3">
                  <a:satMod val="175000"/>
                  <a:alpha val="14000"/>
                </a:schemeClr>
              </a:glow>
            </a:effectLst>
          </c:spPr>
          <c:marker>
            <c:symbol val="none"/>
          </c:marker>
          <c:cat>
            <c:numRef>
              <c:f>Forecast_Output!$A$2:$A$78</c:f>
              <c:numCache>
                <c:formatCode>m/d/yyyy</c:formatCode>
                <c:ptCount val="7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numCache>
            </c:numRef>
          </c:cat>
          <c:val>
            <c:numRef>
              <c:f>Forecast_Output!$D$2:$D$78</c:f>
              <c:numCache>
                <c:formatCode>General</c:formatCode>
                <c:ptCount val="77"/>
                <c:pt idx="44" formatCode="0.00">
                  <c:v>151</c:v>
                </c:pt>
                <c:pt idx="45" formatCode="0">
                  <c:v>608.8914389892002</c:v>
                </c:pt>
                <c:pt idx="46" formatCode="0">
                  <c:v>702.66982525170283</c:v>
                </c:pt>
                <c:pt idx="47" formatCode="0">
                  <c:v>809.18581617212874</c:v>
                </c:pt>
                <c:pt idx="48" formatCode="0">
                  <c:v>812.57483257809611</c:v>
                </c:pt>
                <c:pt idx="49" formatCode="0">
                  <c:v>416.88291298758907</c:v>
                </c:pt>
                <c:pt idx="50" formatCode="0">
                  <c:v>465.06071865822582</c:v>
                </c:pt>
                <c:pt idx="51" formatCode="0">
                  <c:v>501.17049236548894</c:v>
                </c:pt>
                <c:pt idx="52" formatCode="0">
                  <c:v>626.74138436297096</c:v>
                </c:pt>
                <c:pt idx="53" formatCode="0">
                  <c:v>720.48488854014772</c:v>
                </c:pt>
                <c:pt idx="54" formatCode="0">
                  <c:v>826.96065289792637</c:v>
                </c:pt>
                <c:pt idx="55" formatCode="0">
                  <c:v>830.3041066867379</c:v>
                </c:pt>
                <c:pt idx="56" formatCode="0">
                  <c:v>434.56129726646543</c:v>
                </c:pt>
                <c:pt idx="57" formatCode="0">
                  <c:v>482.68289520695112</c:v>
                </c:pt>
                <c:pt idx="58" formatCode="0">
                  <c:v>518.73115311707306</c:v>
                </c:pt>
                <c:pt idx="59" formatCode="0">
                  <c:v>643.63452032752832</c:v>
                </c:pt>
                <c:pt idx="60" formatCode="0">
                  <c:v>737.30663448048631</c:v>
                </c:pt>
                <c:pt idx="61" formatCode="0">
                  <c:v>843.7057890760168</c:v>
                </c:pt>
                <c:pt idx="62" formatCode="0">
                  <c:v>846.9674260854697</c:v>
                </c:pt>
                <c:pt idx="63" formatCode="0">
                  <c:v>451.13760633517029</c:v>
                </c:pt>
                <c:pt idx="64" formatCode="0">
                  <c:v>499.16701465298695</c:v>
                </c:pt>
                <c:pt idx="65" formatCode="0">
                  <c:v>535.11791874274343</c:v>
                </c:pt>
                <c:pt idx="66" formatCode="0">
                  <c:v>659.34184615356037</c:v>
                </c:pt>
                <c:pt idx="67" formatCode="0">
                  <c:v>752.90748198050846</c:v>
                </c:pt>
                <c:pt idx="68" formatCode="0">
                  <c:v>859.1951036491995</c:v>
                </c:pt>
                <c:pt idx="69" formatCode="0">
                  <c:v>862.34017206902081</c:v>
                </c:pt>
                <c:pt idx="70" formatCode="0">
                  <c:v>466.38876802138589</c:v>
                </c:pt>
                <c:pt idx="71" formatCode="0">
                  <c:v>514.29159734452969</c:v>
                </c:pt>
                <c:pt idx="72" formatCode="0">
                  <c:v>550.11094984496162</c:v>
                </c:pt>
                <c:pt idx="73" formatCode="0">
                  <c:v>673.64931890630669</c:v>
                </c:pt>
                <c:pt idx="74" formatCode="0">
                  <c:v>767.07515347529761</c:v>
                </c:pt>
                <c:pt idx="75" formatCode="0">
                  <c:v>873.21813438764855</c:v>
                </c:pt>
                <c:pt idx="76" formatCode="0">
                  <c:v>876.21374911215185</c:v>
                </c:pt>
              </c:numCache>
            </c:numRef>
          </c:val>
          <c:smooth val="0"/>
          <c:extLst>
            <c:ext xmlns:c16="http://schemas.microsoft.com/office/drawing/2014/chart" uri="{C3380CC4-5D6E-409C-BE32-E72D297353CC}">
              <c16:uniqueId val="{00000002-49AB-49A2-9DC8-17ED323DA343}"/>
            </c:ext>
          </c:extLst>
        </c:ser>
        <c:ser>
          <c:idx val="3"/>
          <c:order val="3"/>
          <c:tx>
            <c:strRef>
              <c:f>Forecast_Output!$E$1</c:f>
              <c:strCache>
                <c:ptCount val="1"/>
                <c:pt idx="0">
                  <c:v>Upper Confidence Bound(Total Rentals)</c:v>
                </c:pt>
              </c:strCache>
            </c:strRef>
          </c:tx>
          <c:spPr>
            <a:ln w="22225" cap="rnd">
              <a:solidFill>
                <a:schemeClr val="accent4"/>
              </a:solidFill>
            </a:ln>
            <a:effectLst>
              <a:glow rad="139700">
                <a:schemeClr val="accent4">
                  <a:satMod val="175000"/>
                  <a:alpha val="14000"/>
                </a:schemeClr>
              </a:glow>
            </a:effectLst>
          </c:spPr>
          <c:marker>
            <c:symbol val="none"/>
          </c:marker>
          <c:cat>
            <c:numRef>
              <c:f>Forecast_Output!$A$2:$A$78</c:f>
              <c:numCache>
                <c:formatCode>m/d/yyyy</c:formatCode>
                <c:ptCount val="7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numCache>
            </c:numRef>
          </c:cat>
          <c:val>
            <c:numRef>
              <c:f>Forecast_Output!$E$2:$E$78</c:f>
              <c:numCache>
                <c:formatCode>General</c:formatCode>
                <c:ptCount val="77"/>
                <c:pt idx="44" formatCode="0.00">
                  <c:v>151</c:v>
                </c:pt>
                <c:pt idx="45" formatCode="0">
                  <c:v>2157.4510842075124</c:v>
                </c:pt>
                <c:pt idx="46" formatCode="0">
                  <c:v>2251.2364389727391</c:v>
                </c:pt>
                <c:pt idx="47" formatCode="0">
                  <c:v>2357.7648182650264</c:v>
                </c:pt>
                <c:pt idx="48" formatCode="0">
                  <c:v>2361.173191303626</c:v>
                </c:pt>
                <c:pt idx="49" formatCode="0">
                  <c:v>1965.509144839064</c:v>
                </c:pt>
                <c:pt idx="50" formatCode="0">
                  <c:v>2013.7248881250159</c:v>
                </c:pt>
                <c:pt idx="51" formatCode="0">
                  <c:v>2049.8842116036994</c:v>
                </c:pt>
                <c:pt idx="52" formatCode="0">
                  <c:v>2189.2948509925563</c:v>
                </c:pt>
                <c:pt idx="53" formatCode="0">
                  <c:v>2283.1150878431099</c:v>
                </c:pt>
                <c:pt idx="54" formatCode="0">
                  <c:v>2389.6836936980435</c:v>
                </c:pt>
                <c:pt idx="55" formatCode="0">
                  <c:v>2393.1376293537996</c:v>
                </c:pt>
                <c:pt idx="56" formatCode="0">
                  <c:v>1997.5244727190025</c:v>
                </c:pt>
                <c:pt idx="57" formatCode="0">
                  <c:v>2045.7964237351059</c:v>
                </c:pt>
                <c:pt idx="58" formatCode="0">
                  <c:v>2082.01726301093</c:v>
                </c:pt>
                <c:pt idx="59" formatCode="0">
                  <c:v>2222.0954271868145</c:v>
                </c:pt>
                <c:pt idx="60" formatCode="0">
                  <c:v>2315.9870540615857</c:v>
                </c:pt>
                <c:pt idx="61" formatCode="0">
                  <c:v>2422.6322696787684</c:v>
                </c:pt>
                <c:pt idx="62" formatCode="0">
                  <c:v>2426.1680221138822</c:v>
                </c:pt>
                <c:pt idx="63" formatCode="0">
                  <c:v>2030.6418758091127</c:v>
                </c:pt>
                <c:pt idx="64" formatCode="0">
                  <c:v>2079.006016447885</c:v>
                </c:pt>
                <c:pt idx="65" formatCode="0">
                  <c:v>2115.3242095440751</c:v>
                </c:pt>
                <c:pt idx="66" formatCode="0">
                  <c:v>2256.0818135195973</c:v>
                </c:pt>
                <c:pt idx="67" formatCode="0">
                  <c:v>2350.0799187203793</c:v>
                </c:pt>
                <c:pt idx="68" formatCode="0">
                  <c:v>2456.8366672644006</c:v>
                </c:pt>
                <c:pt idx="69" formatCode="0">
                  <c:v>2460.4889882891466</c:v>
                </c:pt>
                <c:pt idx="70" formatCode="0">
                  <c:v>2065.0844262817118</c:v>
                </c:pt>
                <c:pt idx="71" formatCode="0">
                  <c:v>2113.5751459151575</c:v>
                </c:pt>
                <c:pt idx="72" formatCode="0">
                  <c:v>2150.0248906006718</c:v>
                </c:pt>
                <c:pt idx="73" formatCode="0">
                  <c:v>2291.4680529256661</c:v>
                </c:pt>
                <c:pt idx="74" formatCode="0">
                  <c:v>2385.6059593844047</c:v>
                </c:pt>
                <c:pt idx="75" formatCode="0">
                  <c:v>2492.5073486847668</c:v>
                </c:pt>
                <c:pt idx="76" formatCode="0">
                  <c:v>2496.3091234048306</c:v>
                </c:pt>
              </c:numCache>
            </c:numRef>
          </c:val>
          <c:smooth val="0"/>
          <c:extLst>
            <c:ext xmlns:c16="http://schemas.microsoft.com/office/drawing/2014/chart" uri="{C3380CC4-5D6E-409C-BE32-E72D297353CC}">
              <c16:uniqueId val="{00000003-49AB-49A2-9DC8-17ED323DA343}"/>
            </c:ext>
          </c:extLst>
        </c:ser>
        <c:dLbls>
          <c:showLegendKey val="0"/>
          <c:showVal val="0"/>
          <c:showCatName val="0"/>
          <c:showSerName val="0"/>
          <c:showPercent val="0"/>
          <c:showBubbleSize val="0"/>
        </c:dLbls>
        <c:smooth val="0"/>
        <c:axId val="1212375487"/>
        <c:axId val="1212375967"/>
      </c:lineChart>
      <c:catAx>
        <c:axId val="12123754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b="1"/>
                  <a:t>Dates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2375967"/>
        <c:crosses val="autoZero"/>
        <c:auto val="1"/>
        <c:lblAlgn val="ctr"/>
        <c:lblOffset val="100"/>
        <c:noMultiLvlLbl val="0"/>
      </c:catAx>
      <c:valAx>
        <c:axId val="12123759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a:t>
                </a:r>
                <a:r>
                  <a:rPr lang="en-IN" baseline="0"/>
                  <a:t> Rentals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23754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[DataSet_Final_YS_v1.3.xlsx]WeekdayTrend!PivotTable6</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Weekday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WeekdayTrend!$B$3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WeekdayTrend!$A$4:$A$10</c:f>
              <c:strCache>
                <c:ptCount val="7"/>
                <c:pt idx="0">
                  <c:v>Sunday</c:v>
                </c:pt>
                <c:pt idx="1">
                  <c:v>Monday</c:v>
                </c:pt>
                <c:pt idx="2">
                  <c:v>Tuesday</c:v>
                </c:pt>
                <c:pt idx="3">
                  <c:v>Wednesday</c:v>
                </c:pt>
                <c:pt idx="4">
                  <c:v>Thursday</c:v>
                </c:pt>
                <c:pt idx="5">
                  <c:v>Friday</c:v>
                </c:pt>
                <c:pt idx="6">
                  <c:v>Saturday</c:v>
                </c:pt>
              </c:strCache>
            </c:strRef>
          </c:cat>
          <c:val>
            <c:numRef>
              <c:f>WeekdayTrend!$B$4:$B$10</c:f>
              <c:numCache>
                <c:formatCode>0</c:formatCode>
                <c:ptCount val="7"/>
                <c:pt idx="0">
                  <c:v>49.518292682926827</c:v>
                </c:pt>
                <c:pt idx="1">
                  <c:v>56.711409395973156</c:v>
                </c:pt>
                <c:pt idx="2">
                  <c:v>66.00787401574803</c:v>
                </c:pt>
                <c:pt idx="3">
                  <c:v>61.44274809160305</c:v>
                </c:pt>
                <c:pt idx="4">
                  <c:v>67.664000000000001</c:v>
                </c:pt>
                <c:pt idx="5">
                  <c:v>65.905797101449281</c:v>
                </c:pt>
                <c:pt idx="6">
                  <c:v>46.674698795180724</c:v>
                </c:pt>
              </c:numCache>
            </c:numRef>
          </c:val>
          <c:smooth val="0"/>
          <c:extLst>
            <c:ext xmlns:c16="http://schemas.microsoft.com/office/drawing/2014/chart" uri="{C3380CC4-5D6E-409C-BE32-E72D297353CC}">
              <c16:uniqueId val="{00000000-3CE9-4C0F-BBA8-0C829F64FB6C}"/>
            </c:ext>
          </c:extLst>
        </c:ser>
        <c:dLbls>
          <c:showLegendKey val="0"/>
          <c:showVal val="0"/>
          <c:showCatName val="0"/>
          <c:showSerName val="0"/>
          <c:showPercent val="0"/>
          <c:showBubbleSize val="0"/>
        </c:dLbls>
        <c:marker val="1"/>
        <c:smooth val="0"/>
        <c:axId val="1377351567"/>
        <c:axId val="1377348687"/>
      </c:lineChart>
      <c:catAx>
        <c:axId val="13773515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7348687"/>
        <c:crosses val="autoZero"/>
        <c:auto val="1"/>
        <c:lblAlgn val="ctr"/>
        <c:lblOffset val="100"/>
        <c:noMultiLvlLbl val="0"/>
      </c:catAx>
      <c:valAx>
        <c:axId val="13773486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735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[DataSet_Final_YS_v1.3.xlsx]TimeSlotBased!PivotTable26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TimeSlot</a:t>
            </a:r>
            <a:r>
              <a:rPr lang="en-IN" baseline="0"/>
              <a:t> based Avg. Rentals</a:t>
            </a:r>
            <a:endParaRPr lang="en-IN"/>
          </a:p>
        </c:rich>
      </c:tx>
      <c:layout>
        <c:manualLayout>
          <c:xMode val="edge"/>
          <c:yMode val="edge"/>
          <c:x val="7.9062335958005256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TimeSlotBased!$J$3</c:f>
              <c:strCache>
                <c:ptCount val="1"/>
                <c:pt idx="0">
                  <c:v>Avg Casuals</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TimeSlotBased!$I$4:$I$7</c:f>
              <c:strCache>
                <c:ptCount val="4"/>
                <c:pt idx="0">
                  <c:v>Morning</c:v>
                </c:pt>
                <c:pt idx="1">
                  <c:v>AfterNoon</c:v>
                </c:pt>
                <c:pt idx="2">
                  <c:v>Evening</c:v>
                </c:pt>
                <c:pt idx="3">
                  <c:v>Night</c:v>
                </c:pt>
              </c:strCache>
            </c:strRef>
          </c:cat>
          <c:val>
            <c:numRef>
              <c:f>TimeSlotBased!$J$4:$J$7</c:f>
              <c:numCache>
                <c:formatCode>0</c:formatCode>
                <c:ptCount val="4"/>
                <c:pt idx="0">
                  <c:v>3.3219178082191783</c:v>
                </c:pt>
                <c:pt idx="1">
                  <c:v>11.61046511627907</c:v>
                </c:pt>
                <c:pt idx="2">
                  <c:v>7.4540229885057467</c:v>
                </c:pt>
                <c:pt idx="3">
                  <c:v>1.8149171270718232</c:v>
                </c:pt>
              </c:numCache>
            </c:numRef>
          </c:val>
          <c:smooth val="0"/>
          <c:extLst>
            <c:ext xmlns:c16="http://schemas.microsoft.com/office/drawing/2014/chart" uri="{C3380CC4-5D6E-409C-BE32-E72D297353CC}">
              <c16:uniqueId val="{00000000-949F-440A-87D9-2D148D282101}"/>
            </c:ext>
          </c:extLst>
        </c:ser>
        <c:ser>
          <c:idx val="1"/>
          <c:order val="1"/>
          <c:tx>
            <c:strRef>
              <c:f>TimeSlotBased!$K$3</c:f>
              <c:strCache>
                <c:ptCount val="1"/>
                <c:pt idx="0">
                  <c:v>Avg Registered</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TimeSlotBased!$I$4:$I$7</c:f>
              <c:strCache>
                <c:ptCount val="4"/>
                <c:pt idx="0">
                  <c:v>Morning</c:v>
                </c:pt>
                <c:pt idx="1">
                  <c:v>AfterNoon</c:v>
                </c:pt>
                <c:pt idx="2">
                  <c:v>Evening</c:v>
                </c:pt>
                <c:pt idx="3">
                  <c:v>Night</c:v>
                </c:pt>
              </c:strCache>
            </c:strRef>
          </c:cat>
          <c:val>
            <c:numRef>
              <c:f>TimeSlotBased!$K$4:$K$7</c:f>
              <c:numCache>
                <c:formatCode>0</c:formatCode>
                <c:ptCount val="4"/>
                <c:pt idx="0">
                  <c:v>55.349315068493148</c:v>
                </c:pt>
                <c:pt idx="1">
                  <c:v>65.197674418604649</c:v>
                </c:pt>
                <c:pt idx="2">
                  <c:v>101.97701149425288</c:v>
                </c:pt>
                <c:pt idx="3">
                  <c:v>22.825966850828728</c:v>
                </c:pt>
              </c:numCache>
            </c:numRef>
          </c:val>
          <c:smooth val="0"/>
          <c:extLst>
            <c:ext xmlns:c16="http://schemas.microsoft.com/office/drawing/2014/chart" uri="{C3380CC4-5D6E-409C-BE32-E72D297353CC}">
              <c16:uniqueId val="{00000001-949F-440A-87D9-2D148D282101}"/>
            </c:ext>
          </c:extLst>
        </c:ser>
        <c:dLbls>
          <c:showLegendKey val="0"/>
          <c:showVal val="0"/>
          <c:showCatName val="0"/>
          <c:showSerName val="0"/>
          <c:showPercent val="0"/>
          <c:showBubbleSize val="0"/>
        </c:dLbls>
        <c:marker val="1"/>
        <c:smooth val="0"/>
        <c:axId val="2026607264"/>
        <c:axId val="2026608704"/>
      </c:lineChart>
      <c:catAx>
        <c:axId val="2026607264"/>
        <c:scaling>
          <c:orientation val="minMax"/>
        </c:scaling>
        <c:delete val="0"/>
        <c:axPos val="b"/>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6608704"/>
        <c:crosses val="autoZero"/>
        <c:auto val="1"/>
        <c:lblAlgn val="ctr"/>
        <c:lblOffset val="100"/>
        <c:noMultiLvlLbl val="0"/>
      </c:catAx>
      <c:valAx>
        <c:axId val="20266087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660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[DataSet_Final_YS_v1.3.xlsx]TimeSlotBased!PivotTable25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TimeSlot</a:t>
            </a:r>
            <a:r>
              <a:rPr lang="en-US" baseline="0"/>
              <a:t> based Total Rentals</a:t>
            </a:r>
            <a:endParaRPr lang="en-US"/>
          </a:p>
        </c:rich>
      </c:tx>
      <c:layout>
        <c:manualLayout>
          <c:xMode val="edge"/>
          <c:yMode val="edge"/>
          <c:x val="7.7583333333333351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TimeSlotBased!$B$3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TimeSlotBased!$A$4:$A$8</c:f>
              <c:strCache>
                <c:ptCount val="4"/>
                <c:pt idx="0">
                  <c:v>Morning</c:v>
                </c:pt>
                <c:pt idx="1">
                  <c:v>AfterNoon</c:v>
                </c:pt>
                <c:pt idx="2">
                  <c:v>Evening</c:v>
                </c:pt>
                <c:pt idx="3">
                  <c:v>Night</c:v>
                </c:pt>
              </c:strCache>
            </c:strRef>
          </c:cat>
          <c:val>
            <c:numRef>
              <c:f>TimeSlotBased!$B$4:$B$8</c:f>
              <c:numCache>
                <c:formatCode>General</c:formatCode>
                <c:ptCount val="4"/>
                <c:pt idx="0">
                  <c:v>17132</c:v>
                </c:pt>
                <c:pt idx="1">
                  <c:v>13211</c:v>
                </c:pt>
                <c:pt idx="2">
                  <c:v>19041</c:v>
                </c:pt>
                <c:pt idx="3">
                  <c:v>8920</c:v>
                </c:pt>
              </c:numCache>
            </c:numRef>
          </c:val>
          <c:extLst>
            <c:ext xmlns:c16="http://schemas.microsoft.com/office/drawing/2014/chart" uri="{C3380CC4-5D6E-409C-BE32-E72D297353CC}">
              <c16:uniqueId val="{00000000-C4A5-4937-BEFA-C771B1631408}"/>
            </c:ext>
          </c:extLst>
        </c:ser>
        <c:dLbls>
          <c:showLegendKey val="0"/>
          <c:showVal val="0"/>
          <c:showCatName val="0"/>
          <c:showSerName val="0"/>
          <c:showPercent val="0"/>
          <c:showBubbleSize val="0"/>
        </c:dLbls>
        <c:gapWidth val="150"/>
        <c:shape val="box"/>
        <c:axId val="1038470095"/>
        <c:axId val="1038468175"/>
        <c:axId val="0"/>
      </c:bar3DChart>
      <c:catAx>
        <c:axId val="10384700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8468175"/>
        <c:crosses val="autoZero"/>
        <c:auto val="1"/>
        <c:lblAlgn val="ctr"/>
        <c:lblOffset val="100"/>
        <c:noMultiLvlLbl val="0"/>
      </c:catAx>
      <c:valAx>
        <c:axId val="1038468175"/>
        <c:scaling>
          <c:orientation val="minMax"/>
        </c:scaling>
        <c:delete val="0"/>
        <c:axPos val="l"/>
        <c:majorGridlines>
          <c:spPr>
            <a:ln w="9525" cap="flat" cmpd="sng" algn="ctr">
              <a:solidFill>
                <a:schemeClr val="dk1">
                  <a:lumMod val="50000"/>
                  <a:lumOff val="50000"/>
                </a:schemeClr>
              </a:solidFill>
              <a:round/>
            </a:ln>
            <a:effectLst/>
          </c:spPr>
        </c:majorGridlines>
        <c:minorGridlines>
          <c:spPr>
            <a:ln>
              <a:solidFill>
                <a:schemeClr val="dk1">
                  <a:lumMod val="60000"/>
                  <a:lumOff val="40000"/>
                </a:schemeClr>
              </a:solidFill>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847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[DataSet_Final_YS_v1.3.xlsx]WeatherTypeBased!PivotTable27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Weather</a:t>
            </a:r>
            <a:r>
              <a:rPr lang="en-IN" baseline="0"/>
              <a:t> Type based Rentals</a:t>
            </a:r>
            <a:endParaRPr lang="en-IN"/>
          </a:p>
        </c:rich>
      </c:tx>
      <c:layout>
        <c:manualLayout>
          <c:xMode val="edge"/>
          <c:yMode val="edge"/>
          <c:x val="9.656233595800523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WeatherTypeBased!$B$3</c:f>
              <c:strCache>
                <c:ptCount val="1"/>
                <c:pt idx="0">
                  <c:v>Total Rentals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WeatherTypeBased!$A$4:$A$8</c:f>
              <c:strCache>
                <c:ptCount val="4"/>
                <c:pt idx="0">
                  <c:v>Clear Sky</c:v>
                </c:pt>
                <c:pt idx="1">
                  <c:v>Mist/Cloudy</c:v>
                </c:pt>
                <c:pt idx="2">
                  <c:v>Light Rain</c:v>
                </c:pt>
                <c:pt idx="3">
                  <c:v>Heavy Rain/Snow</c:v>
                </c:pt>
              </c:strCache>
            </c:strRef>
          </c:cat>
          <c:val>
            <c:numRef>
              <c:f>WeatherTypeBased!$B$4:$B$8</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0-59B5-4899-B2EB-E3A441F3798C}"/>
            </c:ext>
          </c:extLst>
        </c:ser>
        <c:dLbls>
          <c:showLegendKey val="0"/>
          <c:showVal val="0"/>
          <c:showCatName val="0"/>
          <c:showSerName val="0"/>
          <c:showPercent val="0"/>
          <c:showBubbleSize val="0"/>
        </c:dLbls>
        <c:gapWidth val="219"/>
        <c:overlap val="-27"/>
        <c:axId val="269317664"/>
        <c:axId val="269314784"/>
      </c:barChart>
      <c:lineChart>
        <c:grouping val="standard"/>
        <c:varyColors val="0"/>
        <c:ser>
          <c:idx val="1"/>
          <c:order val="1"/>
          <c:tx>
            <c:strRef>
              <c:f>WeatherTypeBased!$C$3</c:f>
              <c:strCache>
                <c:ptCount val="1"/>
                <c:pt idx="0">
                  <c:v>Avg Rentals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WeatherTypeBased!$A$4:$A$8</c:f>
              <c:strCache>
                <c:ptCount val="4"/>
                <c:pt idx="0">
                  <c:v>Clear Sky</c:v>
                </c:pt>
                <c:pt idx="1">
                  <c:v>Mist/Cloudy</c:v>
                </c:pt>
                <c:pt idx="2">
                  <c:v>Light Rain</c:v>
                </c:pt>
                <c:pt idx="3">
                  <c:v>Heavy Rain/Snow</c:v>
                </c:pt>
              </c:strCache>
            </c:strRef>
          </c:cat>
          <c:val>
            <c:numRef>
              <c:f>WeatherTypeBased!$C$4:$C$8</c:f>
              <c:numCache>
                <c:formatCode>0</c:formatCode>
                <c:ptCount val="4"/>
                <c:pt idx="0">
                  <c:v>61.671617161716171</c:v>
                </c:pt>
                <c:pt idx="1">
                  <c:v>58.595469255663431</c:v>
                </c:pt>
                <c:pt idx="2">
                  <c:v>33.202380952380949</c:v>
                </c:pt>
                <c:pt idx="3">
                  <c:v>36</c:v>
                </c:pt>
              </c:numCache>
            </c:numRef>
          </c:val>
          <c:smooth val="0"/>
          <c:extLst>
            <c:ext xmlns:c16="http://schemas.microsoft.com/office/drawing/2014/chart" uri="{C3380CC4-5D6E-409C-BE32-E72D297353CC}">
              <c16:uniqueId val="{00000001-59B5-4899-B2EB-E3A441F3798C}"/>
            </c:ext>
          </c:extLst>
        </c:ser>
        <c:dLbls>
          <c:showLegendKey val="0"/>
          <c:showVal val="0"/>
          <c:showCatName val="0"/>
          <c:showSerName val="0"/>
          <c:showPercent val="0"/>
          <c:showBubbleSize val="0"/>
        </c:dLbls>
        <c:marker val="1"/>
        <c:smooth val="0"/>
        <c:axId val="851850864"/>
        <c:axId val="2018650672"/>
      </c:lineChart>
      <c:catAx>
        <c:axId val="269317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9314784"/>
        <c:crosses val="autoZero"/>
        <c:auto val="1"/>
        <c:lblAlgn val="ctr"/>
        <c:lblOffset val="100"/>
        <c:noMultiLvlLbl val="0"/>
      </c:catAx>
      <c:valAx>
        <c:axId val="2693147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9317664"/>
        <c:crosses val="autoZero"/>
        <c:crossBetween val="between"/>
      </c:valAx>
      <c:valAx>
        <c:axId val="201865067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850864"/>
        <c:crosses val="max"/>
        <c:crossBetween val="between"/>
      </c:valAx>
      <c:catAx>
        <c:axId val="851850864"/>
        <c:scaling>
          <c:orientation val="minMax"/>
        </c:scaling>
        <c:delete val="1"/>
        <c:axPos val="b"/>
        <c:minorGridlines>
          <c:spPr>
            <a:ln>
              <a:solidFill>
                <a:schemeClr val="lt1">
                  <a:lumMod val="95000"/>
                  <a:alpha val="5000"/>
                </a:schemeClr>
              </a:solidFill>
            </a:ln>
            <a:effectLst/>
          </c:spPr>
        </c:minorGridlines>
        <c:numFmt formatCode="General" sourceLinked="1"/>
        <c:majorTickMark val="none"/>
        <c:minorTickMark val="none"/>
        <c:tickLblPos val="nextTo"/>
        <c:crossAx val="2018650672"/>
        <c:crosses val="autoZero"/>
        <c:auto val="1"/>
        <c:lblAlgn val="ctr"/>
        <c:lblOffset val="100"/>
        <c:noMultiLvlLbl val="0"/>
      </c:catAx>
      <c:spPr>
        <a:noFill/>
        <a:ln>
          <a:noFill/>
        </a:ln>
        <a:effectLst/>
      </c:spPr>
    </c:plotArea>
    <c:legend>
      <c:legendPos val="r"/>
      <c:layout>
        <c:manualLayout>
          <c:xMode val="edge"/>
          <c:yMode val="edge"/>
          <c:x val="0.77622134733158354"/>
          <c:y val="0.18113371245261012"/>
          <c:w val="0.2237786654405425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[DataSet_Final_YS_v1.3.xlsx]Weekends&amp;Holidays!PivotTable22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Weekday</a:t>
            </a:r>
            <a:r>
              <a:rPr lang="en-IN" baseline="0"/>
              <a:t> Vs Weekend Total Rentals</a:t>
            </a:r>
            <a:endParaRPr lang="en-IN"/>
          </a:p>
        </c:rich>
      </c:tx>
      <c:layout>
        <c:manualLayout>
          <c:xMode val="edge"/>
          <c:yMode val="edge"/>
          <c:x val="8.819444444444445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'Weekends&amp;Holidays'!$B$3</c:f>
              <c:strCache>
                <c:ptCount val="1"/>
                <c:pt idx="0">
                  <c:v>Total Casuals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'Weekends&amp;Holidays'!$A$4:$A$6</c:f>
              <c:strCache>
                <c:ptCount val="2"/>
                <c:pt idx="0">
                  <c:v>Weekday</c:v>
                </c:pt>
                <c:pt idx="1">
                  <c:v>Weekend</c:v>
                </c:pt>
              </c:strCache>
            </c:strRef>
          </c:cat>
          <c:val>
            <c:numRef>
              <c:f>'Weekends&amp;Holidays'!$B$4:$B$6</c:f>
              <c:numCache>
                <c:formatCode>General</c:formatCode>
                <c:ptCount val="2"/>
                <c:pt idx="0">
                  <c:v>2219</c:v>
                </c:pt>
                <c:pt idx="1">
                  <c:v>2702</c:v>
                </c:pt>
              </c:numCache>
            </c:numRef>
          </c:val>
          <c:extLst>
            <c:ext xmlns:c16="http://schemas.microsoft.com/office/drawing/2014/chart" uri="{C3380CC4-5D6E-409C-BE32-E72D297353CC}">
              <c16:uniqueId val="{00000000-1BB8-4465-BC5D-1435D44D339C}"/>
            </c:ext>
          </c:extLst>
        </c:ser>
        <c:ser>
          <c:idx val="1"/>
          <c:order val="1"/>
          <c:tx>
            <c:strRef>
              <c:f>'Weekends&amp;Holidays'!$C$3</c:f>
              <c:strCache>
                <c:ptCount val="1"/>
                <c:pt idx="0">
                  <c:v>Total Registered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'Weekends&amp;Holidays'!$A$4:$A$6</c:f>
              <c:strCache>
                <c:ptCount val="2"/>
                <c:pt idx="0">
                  <c:v>Weekday</c:v>
                </c:pt>
                <c:pt idx="1">
                  <c:v>Weekend</c:v>
                </c:pt>
              </c:strCache>
            </c:strRef>
          </c:cat>
          <c:val>
            <c:numRef>
              <c:f>'Weekends&amp;Holidays'!$C$4:$C$6</c:f>
              <c:numCache>
                <c:formatCode>General</c:formatCode>
                <c:ptCount val="2"/>
                <c:pt idx="0">
                  <c:v>40216</c:v>
                </c:pt>
                <c:pt idx="1">
                  <c:v>13167</c:v>
                </c:pt>
              </c:numCache>
            </c:numRef>
          </c:val>
          <c:extLst>
            <c:ext xmlns:c16="http://schemas.microsoft.com/office/drawing/2014/chart" uri="{C3380CC4-5D6E-409C-BE32-E72D297353CC}">
              <c16:uniqueId val="{00000001-1BB8-4465-BC5D-1435D44D339C}"/>
            </c:ext>
          </c:extLst>
        </c:ser>
        <c:dLbls>
          <c:showLegendKey val="0"/>
          <c:showVal val="0"/>
          <c:showCatName val="0"/>
          <c:showSerName val="0"/>
          <c:showPercent val="0"/>
          <c:showBubbleSize val="0"/>
        </c:dLbls>
        <c:gapWidth val="150"/>
        <c:shape val="box"/>
        <c:axId val="354990783"/>
        <c:axId val="354991263"/>
        <c:axId val="0"/>
      </c:bar3DChart>
      <c:catAx>
        <c:axId val="354990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4991263"/>
        <c:crosses val="autoZero"/>
        <c:auto val="1"/>
        <c:lblAlgn val="ctr"/>
        <c:lblOffset val="100"/>
        <c:noMultiLvlLbl val="0"/>
      </c:catAx>
      <c:valAx>
        <c:axId val="354991263"/>
        <c:scaling>
          <c:orientation val="minMax"/>
        </c:scaling>
        <c:delete val="0"/>
        <c:axPos val="l"/>
        <c:majorGridlines>
          <c:spPr>
            <a:ln w="9525" cap="flat" cmpd="sng" algn="ctr">
              <a:solidFill>
                <a:schemeClr val="dk1">
                  <a:lumMod val="50000"/>
                  <a:lumOff val="50000"/>
                </a:schemeClr>
              </a:solidFill>
              <a:round/>
            </a:ln>
            <a:effectLst/>
          </c:spPr>
        </c:majorGridlines>
        <c:minorGridlines>
          <c:spPr>
            <a:ln>
              <a:solidFill>
                <a:schemeClr val="dk1">
                  <a:lumMod val="60000"/>
                  <a:lumOff val="40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4990783"/>
        <c:crosses val="autoZero"/>
        <c:crossBetween val="between"/>
      </c:valAx>
      <c:spPr>
        <a:noFill/>
        <a:ln>
          <a:noFill/>
        </a:ln>
        <a:effectLst/>
      </c:spPr>
    </c:plotArea>
    <c:legend>
      <c:legendPos val="r"/>
      <c:layout>
        <c:manualLayout>
          <c:xMode val="edge"/>
          <c:yMode val="edge"/>
          <c:x val="0.7653558617672791"/>
          <c:y val="0.1626151939340916"/>
          <c:w val="0.20353799828419505"/>
          <c:h val="0.159575584966772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[DataSet_Final_YS_v1.3.xlsx]Weekends&amp;Holidays!PivotTable24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Weekday</a:t>
            </a:r>
            <a:r>
              <a:rPr lang="en-IN" baseline="0"/>
              <a:t> Vs Weekend Avg Rentals</a:t>
            </a:r>
            <a:endParaRPr lang="en-IN"/>
          </a:p>
        </c:rich>
      </c:tx>
      <c:layout>
        <c:manualLayout>
          <c:xMode val="edge"/>
          <c:yMode val="edge"/>
          <c:x val="7.7187445319335093E-2"/>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'Weekends&amp;Holidays'!$J$4</c:f>
              <c:strCache>
                <c:ptCount val="1"/>
                <c:pt idx="0">
                  <c:v>Avg Casuals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'Weekends&amp;Holidays'!$I$5:$I$6</c:f>
              <c:strCache>
                <c:ptCount val="2"/>
                <c:pt idx="0">
                  <c:v>Weekday</c:v>
                </c:pt>
                <c:pt idx="1">
                  <c:v>Weekend</c:v>
                </c:pt>
              </c:strCache>
            </c:strRef>
          </c:cat>
          <c:val>
            <c:numRef>
              <c:f>'Weekends&amp;Holidays'!$J$5:$J$6</c:f>
              <c:numCache>
                <c:formatCode>0</c:formatCode>
                <c:ptCount val="2"/>
                <c:pt idx="0">
                  <c:v>3.3119402985074626</c:v>
                </c:pt>
                <c:pt idx="1">
                  <c:v>8.1878787878787875</c:v>
                </c:pt>
              </c:numCache>
            </c:numRef>
          </c:val>
          <c:extLst>
            <c:ext xmlns:c16="http://schemas.microsoft.com/office/drawing/2014/chart" uri="{C3380CC4-5D6E-409C-BE32-E72D297353CC}">
              <c16:uniqueId val="{00000000-799D-4DF6-B743-8F8D595B3C3C}"/>
            </c:ext>
          </c:extLst>
        </c:ser>
        <c:ser>
          <c:idx val="1"/>
          <c:order val="1"/>
          <c:tx>
            <c:strRef>
              <c:f>'Weekends&amp;Holidays'!$K$4</c:f>
              <c:strCache>
                <c:ptCount val="1"/>
                <c:pt idx="0">
                  <c:v>Avg Registered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'Weekends&amp;Holidays'!$I$5:$I$6</c:f>
              <c:strCache>
                <c:ptCount val="2"/>
                <c:pt idx="0">
                  <c:v>Weekday</c:v>
                </c:pt>
                <c:pt idx="1">
                  <c:v>Weekend</c:v>
                </c:pt>
              </c:strCache>
            </c:strRef>
          </c:cat>
          <c:val>
            <c:numRef>
              <c:f>'Weekends&amp;Holidays'!$K$5:$K$6</c:f>
              <c:numCache>
                <c:formatCode>0</c:formatCode>
                <c:ptCount val="2"/>
                <c:pt idx="0">
                  <c:v>60.023880597014923</c:v>
                </c:pt>
                <c:pt idx="1">
                  <c:v>39.9</c:v>
                </c:pt>
              </c:numCache>
            </c:numRef>
          </c:val>
          <c:extLst>
            <c:ext xmlns:c16="http://schemas.microsoft.com/office/drawing/2014/chart" uri="{C3380CC4-5D6E-409C-BE32-E72D297353CC}">
              <c16:uniqueId val="{00000001-799D-4DF6-B743-8F8D595B3C3C}"/>
            </c:ext>
          </c:extLst>
        </c:ser>
        <c:dLbls>
          <c:showLegendKey val="0"/>
          <c:showVal val="0"/>
          <c:showCatName val="0"/>
          <c:showSerName val="0"/>
          <c:showPercent val="0"/>
          <c:showBubbleSize val="0"/>
        </c:dLbls>
        <c:gapWidth val="150"/>
        <c:shape val="box"/>
        <c:axId val="1178400384"/>
        <c:axId val="1178398944"/>
        <c:axId val="0"/>
      </c:bar3DChart>
      <c:catAx>
        <c:axId val="1178400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398944"/>
        <c:crosses val="autoZero"/>
        <c:auto val="1"/>
        <c:lblAlgn val="ctr"/>
        <c:lblOffset val="100"/>
        <c:noMultiLvlLbl val="0"/>
      </c:catAx>
      <c:valAx>
        <c:axId val="1178398944"/>
        <c:scaling>
          <c:orientation val="minMax"/>
        </c:scaling>
        <c:delete val="0"/>
        <c:axPos val="l"/>
        <c:majorGridlines>
          <c:spPr>
            <a:ln w="9525" cap="flat" cmpd="sng" algn="ctr">
              <a:solidFill>
                <a:schemeClr val="dk1">
                  <a:lumMod val="50000"/>
                  <a:lumOff val="50000"/>
                </a:schemeClr>
              </a:solidFill>
              <a:round/>
            </a:ln>
            <a:effectLst/>
          </c:spPr>
        </c:majorGridlines>
        <c:minorGridlines>
          <c:spPr>
            <a:ln>
              <a:solidFill>
                <a:schemeClr val="dk1">
                  <a:lumMod val="60000"/>
                  <a:lumOff val="40000"/>
                </a:schemeClr>
              </a:solidFill>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400384"/>
        <c:crosses val="autoZero"/>
        <c:crossBetween val="between"/>
      </c:valAx>
      <c:spPr>
        <a:noFill/>
        <a:ln>
          <a:noFill/>
        </a:ln>
        <a:effectLst/>
      </c:spPr>
    </c:plotArea>
    <c:legend>
      <c:legendPos val="r"/>
      <c:layout>
        <c:manualLayout>
          <c:xMode val="edge"/>
          <c:yMode val="edge"/>
          <c:x val="0.77927274715660555"/>
          <c:y val="0.20428186060075823"/>
          <c:w val="0.21274701396021151"/>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[DataSet_Final_YS_v1.3.xlsx]Weekends&amp;Holidays!PivotTable30</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Holidays</a:t>
            </a:r>
            <a:r>
              <a:rPr lang="en-IN" baseline="0"/>
              <a:t> based Rentals%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'Weekends&amp;Holidays'!$C$25</c:f>
              <c:strCache>
                <c:ptCount val="1"/>
                <c:pt idx="0">
                  <c:v>Casuals%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'Weekends&amp;Holidays'!$B$26:$B$27</c:f>
              <c:strCache>
                <c:ptCount val="2"/>
                <c:pt idx="0">
                  <c:v>FALSE</c:v>
                </c:pt>
                <c:pt idx="1">
                  <c:v>TRUE</c:v>
                </c:pt>
              </c:strCache>
            </c:strRef>
          </c:cat>
          <c:val>
            <c:numRef>
              <c:f>'Weekends&amp;Holidays'!$C$26:$C$27</c:f>
              <c:numCache>
                <c:formatCode>0.00%</c:formatCode>
                <c:ptCount val="2"/>
                <c:pt idx="0">
                  <c:v>8.3833589278235379E-2</c:v>
                </c:pt>
                <c:pt idx="1">
                  <c:v>0.11700000000000001</c:v>
                </c:pt>
              </c:numCache>
            </c:numRef>
          </c:val>
          <c:extLst>
            <c:ext xmlns:c16="http://schemas.microsoft.com/office/drawing/2014/chart" uri="{C3380CC4-5D6E-409C-BE32-E72D297353CC}">
              <c16:uniqueId val="{00000000-3780-4083-8940-8FF56CC2D76E}"/>
            </c:ext>
          </c:extLst>
        </c:ser>
        <c:ser>
          <c:idx val="1"/>
          <c:order val="1"/>
          <c:tx>
            <c:strRef>
              <c:f>'Weekends&amp;Holidays'!$D$25</c:f>
              <c:strCache>
                <c:ptCount val="1"/>
                <c:pt idx="0">
                  <c:v>Registered%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'Weekends&amp;Holidays'!$B$26:$B$27</c:f>
              <c:strCache>
                <c:ptCount val="2"/>
                <c:pt idx="0">
                  <c:v>FALSE</c:v>
                </c:pt>
                <c:pt idx="1">
                  <c:v>TRUE</c:v>
                </c:pt>
              </c:strCache>
            </c:strRef>
          </c:cat>
          <c:val>
            <c:numRef>
              <c:f>'Weekends&amp;Holidays'!$D$26:$D$27</c:f>
              <c:numCache>
                <c:formatCode>0.00%</c:formatCode>
                <c:ptCount val="2"/>
                <c:pt idx="0">
                  <c:v>0.91616641072176463</c:v>
                </c:pt>
                <c:pt idx="1">
                  <c:v>0.88300000000000001</c:v>
                </c:pt>
              </c:numCache>
            </c:numRef>
          </c:val>
          <c:extLst>
            <c:ext xmlns:c16="http://schemas.microsoft.com/office/drawing/2014/chart" uri="{C3380CC4-5D6E-409C-BE32-E72D297353CC}">
              <c16:uniqueId val="{00000001-3780-4083-8940-8FF56CC2D76E}"/>
            </c:ext>
          </c:extLst>
        </c:ser>
        <c:dLbls>
          <c:showLegendKey val="0"/>
          <c:showVal val="0"/>
          <c:showCatName val="0"/>
          <c:showSerName val="0"/>
          <c:showPercent val="0"/>
          <c:showBubbleSize val="0"/>
        </c:dLbls>
        <c:gapWidth val="150"/>
        <c:overlap val="100"/>
        <c:axId val="1799705104"/>
        <c:axId val="1799709904"/>
      </c:barChart>
      <c:catAx>
        <c:axId val="1799705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9709904"/>
        <c:crosses val="autoZero"/>
        <c:auto val="1"/>
        <c:lblAlgn val="ctr"/>
        <c:lblOffset val="100"/>
        <c:noMultiLvlLbl val="0"/>
      </c:catAx>
      <c:valAx>
        <c:axId val="1799709904"/>
        <c:scaling>
          <c:orientation val="minMax"/>
        </c:scaling>
        <c:delete val="0"/>
        <c:axPos val="l"/>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9705104"/>
        <c:crosses val="autoZero"/>
        <c:crossBetween val="between"/>
      </c:valAx>
      <c:spPr>
        <a:noFill/>
        <a:ln>
          <a:noFill/>
        </a:ln>
        <a:effectLst/>
      </c:spPr>
    </c:plotArea>
    <c:legend>
      <c:legendPos val="r"/>
      <c:layout>
        <c:manualLayout>
          <c:xMode val="edge"/>
          <c:yMode val="edge"/>
          <c:x val="0.8018007436570429"/>
          <c:y val="0.15798556430446195"/>
          <c:w val="0.1537637400588084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[DataSet_Final_YS_v1.3.xlsx]Weekends&amp;Holidays!PivotTable31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Rentals - Holidaysbased</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'Weekends&amp;Holidays'!$I$25</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'Weekends&amp;Holidays'!$H$26:$H$27</c:f>
              <c:strCache>
                <c:ptCount val="2"/>
                <c:pt idx="0">
                  <c:v>FALSE</c:v>
                </c:pt>
                <c:pt idx="1">
                  <c:v>TRUE</c:v>
                </c:pt>
              </c:strCache>
            </c:strRef>
          </c:cat>
          <c:val>
            <c:numRef>
              <c:f>'Weekends&amp;Holidays'!$I$26:$I$27</c:f>
              <c:numCache>
                <c:formatCode>0</c:formatCode>
                <c:ptCount val="2"/>
                <c:pt idx="0">
                  <c:v>58.713114754098363</c:v>
                </c:pt>
                <c:pt idx="1">
                  <c:v>41.666666666666664</c:v>
                </c:pt>
              </c:numCache>
            </c:numRef>
          </c:val>
          <c:extLst>
            <c:ext xmlns:c16="http://schemas.microsoft.com/office/drawing/2014/chart" uri="{C3380CC4-5D6E-409C-BE32-E72D297353CC}">
              <c16:uniqueId val="{00000000-64FC-4978-9B3A-3BB1C5216EAE}"/>
            </c:ext>
          </c:extLst>
        </c:ser>
        <c:dLbls>
          <c:showLegendKey val="0"/>
          <c:showVal val="0"/>
          <c:showCatName val="0"/>
          <c:showSerName val="0"/>
          <c:showPercent val="0"/>
          <c:showBubbleSize val="0"/>
        </c:dLbls>
        <c:gapWidth val="115"/>
        <c:overlap val="-20"/>
        <c:axId val="1915670735"/>
        <c:axId val="889009439"/>
      </c:barChart>
      <c:catAx>
        <c:axId val="19156707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889009439"/>
        <c:crosses val="autoZero"/>
        <c:auto val="1"/>
        <c:lblAlgn val="ctr"/>
        <c:lblOffset val="100"/>
        <c:noMultiLvlLbl val="0"/>
      </c:catAx>
      <c:valAx>
        <c:axId val="889009439"/>
        <c:scaling>
          <c:orientation val="minMax"/>
        </c:scaling>
        <c:delete val="0"/>
        <c:axPos val="b"/>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91567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[DataSet_Final_YS_v1.3.xlsx]Weather+Time HeatMap&amp;Chart!PivotTable29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Weather-Time</a:t>
            </a:r>
            <a:r>
              <a:rPr lang="en-IN" baseline="0"/>
              <a:t> based Rentals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'Weather+Time HeatMap&amp;Chart'!$B$14:$B$15</c:f>
              <c:strCache>
                <c:ptCount val="1"/>
                <c:pt idx="0">
                  <c:v>Clear Sky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'Weather+Time HeatMap&amp;Chart'!$A$16:$A$20</c:f>
              <c:strCache>
                <c:ptCount val="4"/>
                <c:pt idx="0">
                  <c:v>Morning</c:v>
                </c:pt>
                <c:pt idx="1">
                  <c:v>AfterNoon</c:v>
                </c:pt>
                <c:pt idx="2">
                  <c:v>Evening</c:v>
                </c:pt>
                <c:pt idx="3">
                  <c:v>Night</c:v>
                </c:pt>
              </c:strCache>
            </c:strRef>
          </c:cat>
          <c:val>
            <c:numRef>
              <c:f>'Weather+Time HeatMap&amp;Chart'!$B$16:$B$20</c:f>
              <c:numCache>
                <c:formatCode>General</c:formatCode>
                <c:ptCount val="4"/>
                <c:pt idx="0">
                  <c:v>10849</c:v>
                </c:pt>
                <c:pt idx="1">
                  <c:v>7860</c:v>
                </c:pt>
                <c:pt idx="2">
                  <c:v>12773</c:v>
                </c:pt>
                <c:pt idx="3">
                  <c:v>5891</c:v>
                </c:pt>
              </c:numCache>
            </c:numRef>
          </c:val>
          <c:extLst>
            <c:ext xmlns:c16="http://schemas.microsoft.com/office/drawing/2014/chart" uri="{C3380CC4-5D6E-409C-BE32-E72D297353CC}">
              <c16:uniqueId val="{00000000-BA23-43B4-AAA0-A110C4C1AA6D}"/>
            </c:ext>
          </c:extLst>
        </c:ser>
        <c:ser>
          <c:idx val="1"/>
          <c:order val="1"/>
          <c:tx>
            <c:strRef>
              <c:f>'Weather+Time HeatMap&amp;Chart'!$C$14:$C$15</c:f>
              <c:strCache>
                <c:ptCount val="1"/>
                <c:pt idx="0">
                  <c:v>Mist/Cloudy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'Weather+Time HeatMap&amp;Chart'!$A$16:$A$20</c:f>
              <c:strCache>
                <c:ptCount val="4"/>
                <c:pt idx="0">
                  <c:v>Morning</c:v>
                </c:pt>
                <c:pt idx="1">
                  <c:v>AfterNoon</c:v>
                </c:pt>
                <c:pt idx="2">
                  <c:v>Evening</c:v>
                </c:pt>
                <c:pt idx="3">
                  <c:v>Night</c:v>
                </c:pt>
              </c:strCache>
            </c:strRef>
          </c:cat>
          <c:val>
            <c:numRef>
              <c:f>'Weather+Time HeatMap&amp;Chart'!$C$16:$C$20</c:f>
              <c:numCache>
                <c:formatCode>General</c:formatCode>
                <c:ptCount val="4"/>
                <c:pt idx="0">
                  <c:v>5250</c:v>
                </c:pt>
                <c:pt idx="1">
                  <c:v>4707</c:v>
                </c:pt>
                <c:pt idx="2">
                  <c:v>5693</c:v>
                </c:pt>
                <c:pt idx="3">
                  <c:v>2456</c:v>
                </c:pt>
              </c:numCache>
            </c:numRef>
          </c:val>
          <c:extLst>
            <c:ext xmlns:c16="http://schemas.microsoft.com/office/drawing/2014/chart" uri="{C3380CC4-5D6E-409C-BE32-E72D297353CC}">
              <c16:uniqueId val="{00000005-F45D-46B3-980A-E23FAA75A1B2}"/>
            </c:ext>
          </c:extLst>
        </c:ser>
        <c:ser>
          <c:idx val="2"/>
          <c:order val="2"/>
          <c:tx>
            <c:strRef>
              <c:f>'Weather+Time HeatMap&amp;Chart'!$D$14:$D$15</c:f>
              <c:strCache>
                <c:ptCount val="1"/>
                <c:pt idx="0">
                  <c:v>Light Rain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'Weather+Time HeatMap&amp;Chart'!$A$16:$A$20</c:f>
              <c:strCache>
                <c:ptCount val="4"/>
                <c:pt idx="0">
                  <c:v>Morning</c:v>
                </c:pt>
                <c:pt idx="1">
                  <c:v>AfterNoon</c:v>
                </c:pt>
                <c:pt idx="2">
                  <c:v>Evening</c:v>
                </c:pt>
                <c:pt idx="3">
                  <c:v>Night</c:v>
                </c:pt>
              </c:strCache>
            </c:strRef>
          </c:cat>
          <c:val>
            <c:numRef>
              <c:f>'Weather+Time HeatMap&amp;Chart'!$D$16:$D$20</c:f>
              <c:numCache>
                <c:formatCode>General</c:formatCode>
                <c:ptCount val="4"/>
                <c:pt idx="0">
                  <c:v>1033</c:v>
                </c:pt>
                <c:pt idx="1">
                  <c:v>644</c:v>
                </c:pt>
                <c:pt idx="2">
                  <c:v>539</c:v>
                </c:pt>
                <c:pt idx="3">
                  <c:v>573</c:v>
                </c:pt>
              </c:numCache>
            </c:numRef>
          </c:val>
          <c:extLst>
            <c:ext xmlns:c16="http://schemas.microsoft.com/office/drawing/2014/chart" uri="{C3380CC4-5D6E-409C-BE32-E72D297353CC}">
              <c16:uniqueId val="{00000006-F45D-46B3-980A-E23FAA75A1B2}"/>
            </c:ext>
          </c:extLst>
        </c:ser>
        <c:ser>
          <c:idx val="3"/>
          <c:order val="3"/>
          <c:tx>
            <c:strRef>
              <c:f>'Weather+Time HeatMap&amp;Chart'!$E$14:$E$15</c:f>
              <c:strCache>
                <c:ptCount val="1"/>
                <c:pt idx="0">
                  <c:v>Heavy Rain/Snow</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'Weather+Time HeatMap&amp;Chart'!$A$16:$A$20</c:f>
              <c:strCache>
                <c:ptCount val="4"/>
                <c:pt idx="0">
                  <c:v>Morning</c:v>
                </c:pt>
                <c:pt idx="1">
                  <c:v>AfterNoon</c:v>
                </c:pt>
                <c:pt idx="2">
                  <c:v>Evening</c:v>
                </c:pt>
                <c:pt idx="3">
                  <c:v>Night</c:v>
                </c:pt>
              </c:strCache>
            </c:strRef>
          </c:cat>
          <c:val>
            <c:numRef>
              <c:f>'Weather+Time HeatMap&amp;Chart'!$E$16:$E$20</c:f>
              <c:numCache>
                <c:formatCode>General</c:formatCode>
                <c:ptCount val="4"/>
                <c:pt idx="2">
                  <c:v>36</c:v>
                </c:pt>
              </c:numCache>
            </c:numRef>
          </c:val>
          <c:extLst>
            <c:ext xmlns:c16="http://schemas.microsoft.com/office/drawing/2014/chart" uri="{C3380CC4-5D6E-409C-BE32-E72D297353CC}">
              <c16:uniqueId val="{00000007-F45D-46B3-980A-E23FAA75A1B2}"/>
            </c:ext>
          </c:extLst>
        </c:ser>
        <c:dLbls>
          <c:showLegendKey val="0"/>
          <c:showVal val="0"/>
          <c:showCatName val="0"/>
          <c:showSerName val="0"/>
          <c:showPercent val="0"/>
          <c:showBubbleSize val="0"/>
        </c:dLbls>
        <c:gapWidth val="150"/>
        <c:shape val="box"/>
        <c:axId val="352931503"/>
        <c:axId val="352927183"/>
        <c:axId val="0"/>
      </c:bar3DChart>
      <c:catAx>
        <c:axId val="352931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2927183"/>
        <c:crosses val="autoZero"/>
        <c:auto val="1"/>
        <c:lblAlgn val="ctr"/>
        <c:lblOffset val="100"/>
        <c:noMultiLvlLbl val="0"/>
      </c:catAx>
      <c:valAx>
        <c:axId val="352927183"/>
        <c:scaling>
          <c:orientation val="minMax"/>
        </c:scaling>
        <c:delete val="0"/>
        <c:axPos val="l"/>
        <c:majorGridlines>
          <c:spPr>
            <a:ln w="9525" cap="flat" cmpd="sng" algn="ctr">
              <a:solidFill>
                <a:schemeClr val="dk1">
                  <a:lumMod val="50000"/>
                  <a:lumOff val="50000"/>
                </a:schemeClr>
              </a:solidFill>
              <a:round/>
            </a:ln>
            <a:effectLst/>
          </c:spPr>
        </c:majorGridlines>
        <c:minorGridlines>
          <c:spPr>
            <a:ln>
              <a:solidFill>
                <a:schemeClr val="dk1">
                  <a:lumMod val="60000"/>
                  <a:lumOff val="40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293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Temp</a:t>
            </a:r>
            <a:r>
              <a:rPr lang="en-US" b="1" baseline="0"/>
              <a:t> Vs Rentals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ScatterPlots!$E$1</c:f>
              <c:strCache>
                <c:ptCount val="1"/>
                <c:pt idx="0">
                  <c:v>Total_Rentals</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0"/>
            <c:dispEq val="0"/>
          </c:trendline>
          <c:trendline>
            <c:spPr>
              <a:ln w="19050" cap="rnd">
                <a:solidFill>
                  <a:srgbClr val="000066"/>
                </a:solidFill>
                <a:prstDash val="solid"/>
              </a:ln>
              <a:effectLst/>
            </c:spPr>
            <c:trendlineType val="linear"/>
            <c:dispRSqr val="0"/>
            <c:dispEq val="0"/>
          </c:trendline>
          <c:xVal>
            <c:numRef>
              <c:f>ScatterPlots!$B$2:$B$1001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ScatterPlots!$E$2:$E$1001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47E7-4AB6-9FE9-92AF06A12423}"/>
            </c:ext>
          </c:extLst>
        </c:ser>
        <c:dLbls>
          <c:showLegendKey val="0"/>
          <c:showVal val="0"/>
          <c:showCatName val="0"/>
          <c:showSerName val="0"/>
          <c:showPercent val="0"/>
          <c:showBubbleSize val="0"/>
        </c:dLbls>
        <c:axId val="876617519"/>
        <c:axId val="876617999"/>
      </c:scatterChart>
      <c:valAx>
        <c:axId val="876617519"/>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Temp</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617999"/>
        <c:crosses val="autoZero"/>
        <c:crossBetween val="midCat"/>
      </c:valAx>
      <c:valAx>
        <c:axId val="87661799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Total</a:t>
                </a:r>
                <a:r>
                  <a:rPr lang="en-IN" b="1" baseline="0"/>
                  <a:t> Rentals</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61751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Humidity</a:t>
            </a:r>
            <a:r>
              <a:rPr lang="en-US" b="1" baseline="0"/>
              <a:t> Vs </a:t>
            </a:r>
            <a:r>
              <a:rPr lang="en-US" b="1"/>
              <a:t>Rentals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ScatterPlots!$E$1</c:f>
              <c:strCache>
                <c:ptCount val="1"/>
                <c:pt idx="0">
                  <c:v>Total_Rentals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olid"/>
              </a:ln>
              <a:effectLst/>
            </c:spPr>
            <c:trendlineType val="linear"/>
            <c:dispRSqr val="0"/>
            <c:dispEq val="0"/>
          </c:trendline>
          <c:xVal>
            <c:numRef>
              <c:f>ScatterPlots!$C$2:$C$1001</c:f>
              <c:numCache>
                <c:formatCode>General</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0.8</c:v>
                </c:pt>
                <c:pt idx="611">
                  <c:v>0.75</c:v>
                </c:pt>
                <c:pt idx="612">
                  <c:v>0.75</c:v>
                </c:pt>
                <c:pt idx="613">
                  <c:v>0.75</c:v>
                </c:pt>
                <c:pt idx="614">
                  <c:v>0.7</c:v>
                </c:pt>
                <c:pt idx="615">
                  <c:v>0.75</c:v>
                </c:pt>
                <c:pt idx="616">
                  <c:v>0.65</c:v>
                </c:pt>
                <c:pt idx="617">
                  <c:v>0.6</c:v>
                </c:pt>
                <c:pt idx="618">
                  <c:v>0.64</c:v>
                </c:pt>
                <c:pt idx="619">
                  <c:v>0.64</c:v>
                </c:pt>
                <c:pt idx="620">
                  <c:v>0.64</c:v>
                </c:pt>
                <c:pt idx="621">
                  <c:v>0.64</c:v>
                </c:pt>
                <c:pt idx="622">
                  <c:v>0.69</c:v>
                </c:pt>
                <c:pt idx="623">
                  <c:v>0.64</c:v>
                </c:pt>
                <c:pt idx="624">
                  <c:v>0.59</c:v>
                </c:pt>
                <c:pt idx="625">
                  <c:v>0.55000000000000004</c:v>
                </c:pt>
                <c:pt idx="626">
                  <c:v>0.59</c:v>
                </c:pt>
                <c:pt idx="627">
                  <c:v>0.64</c:v>
                </c:pt>
                <c:pt idx="628">
                  <c:v>0.64</c:v>
                </c:pt>
                <c:pt idx="629">
                  <c:v>0.59</c:v>
                </c:pt>
                <c:pt idx="630">
                  <c:v>0.55000000000000004</c:v>
                </c:pt>
                <c:pt idx="631">
                  <c:v>0.6</c:v>
                </c:pt>
                <c:pt idx="632">
                  <c:v>0.69</c:v>
                </c:pt>
                <c:pt idx="633">
                  <c:v>0.6</c:v>
                </c:pt>
                <c:pt idx="634">
                  <c:v>0.6</c:v>
                </c:pt>
                <c:pt idx="635">
                  <c:v>0.69</c:v>
                </c:pt>
                <c:pt idx="636">
                  <c:v>0.69</c:v>
                </c:pt>
                <c:pt idx="637">
                  <c:v>0.74</c:v>
                </c:pt>
                <c:pt idx="638">
                  <c:v>0.74</c:v>
                </c:pt>
                <c:pt idx="639">
                  <c:v>0.8</c:v>
                </c:pt>
                <c:pt idx="640">
                  <c:v>0.8</c:v>
                </c:pt>
                <c:pt idx="641">
                  <c:v>0.8</c:v>
                </c:pt>
                <c:pt idx="642">
                  <c:v>0.8</c:v>
                </c:pt>
                <c:pt idx="643">
                  <c:v>0.8</c:v>
                </c:pt>
                <c:pt idx="644">
                  <c:v>0.93</c:v>
                </c:pt>
                <c:pt idx="645">
                  <c:v>0.93</c:v>
                </c:pt>
                <c:pt idx="646">
                  <c:v>0.86</c:v>
                </c:pt>
                <c:pt idx="647">
                  <c:v>0.86</c:v>
                </c:pt>
                <c:pt idx="648">
                  <c:v>0.86</c:v>
                </c:pt>
                <c:pt idx="649">
                  <c:v>0.8</c:v>
                </c:pt>
                <c:pt idx="650">
                  <c:v>0.8</c:v>
                </c:pt>
                <c:pt idx="651">
                  <c:v>0.75</c:v>
                </c:pt>
                <c:pt idx="652">
                  <c:v>0.52</c:v>
                </c:pt>
                <c:pt idx="653">
                  <c:v>0.61</c:v>
                </c:pt>
                <c:pt idx="654">
                  <c:v>0.61</c:v>
                </c:pt>
                <c:pt idx="655">
                  <c:v>0.56000000000000005</c:v>
                </c:pt>
                <c:pt idx="656">
                  <c:v>0.56000000000000005</c:v>
                </c:pt>
                <c:pt idx="657">
                  <c:v>0.56000000000000005</c:v>
                </c:pt>
                <c:pt idx="658">
                  <c:v>0.65</c:v>
                </c:pt>
                <c:pt idx="659">
                  <c:v>0.65</c:v>
                </c:pt>
                <c:pt idx="660">
                  <c:v>0.65</c:v>
                </c:pt>
                <c:pt idx="661">
                  <c:v>0.7</c:v>
                </c:pt>
                <c:pt idx="662">
                  <c:v>0.7</c:v>
                </c:pt>
                <c:pt idx="663">
                  <c:v>0.65</c:v>
                </c:pt>
                <c:pt idx="664">
                  <c:v>0.65</c:v>
                </c:pt>
                <c:pt idx="665">
                  <c:v>0.64</c:v>
                </c:pt>
                <c:pt idx="666">
                  <c:v>0.64</c:v>
                </c:pt>
                <c:pt idx="667">
                  <c:v>0.64</c:v>
                </c:pt>
                <c:pt idx="668">
                  <c:v>0.59</c:v>
                </c:pt>
                <c:pt idx="669">
                  <c:v>0.64</c:v>
                </c:pt>
                <c:pt idx="670">
                  <c:v>0.69</c:v>
                </c:pt>
                <c:pt idx="671">
                  <c:v>0.64</c:v>
                </c:pt>
                <c:pt idx="672">
                  <c:v>0.59</c:v>
                </c:pt>
                <c:pt idx="673">
                  <c:v>0.59</c:v>
                </c:pt>
                <c:pt idx="674">
                  <c:v>0.59</c:v>
                </c:pt>
                <c:pt idx="675">
                  <c:v>0.59</c:v>
                </c:pt>
                <c:pt idx="676">
                  <c:v>0.55000000000000004</c:v>
                </c:pt>
                <c:pt idx="677">
                  <c:v>0.59</c:v>
                </c:pt>
                <c:pt idx="678">
                  <c:v>0.55000000000000004</c:v>
                </c:pt>
                <c:pt idx="679">
                  <c:v>0.59</c:v>
                </c:pt>
                <c:pt idx="680">
                  <c:v>0.56000000000000005</c:v>
                </c:pt>
                <c:pt idx="681">
                  <c:v>0.59</c:v>
                </c:pt>
                <c:pt idx="682">
                  <c:v>0.55000000000000004</c:v>
                </c:pt>
                <c:pt idx="683">
                  <c:v>0.61</c:v>
                </c:pt>
                <c:pt idx="684">
                  <c:v>0.59</c:v>
                </c:pt>
                <c:pt idx="685">
                  <c:v>0.59</c:v>
                </c:pt>
                <c:pt idx="686">
                  <c:v>0.59</c:v>
                </c:pt>
                <c:pt idx="687">
                  <c:v>0.64</c:v>
                </c:pt>
                <c:pt idx="688">
                  <c:v>0.64</c:v>
                </c:pt>
                <c:pt idx="689">
                  <c:v>0.69</c:v>
                </c:pt>
                <c:pt idx="690">
                  <c:v>0.69</c:v>
                </c:pt>
                <c:pt idx="691">
                  <c:v>0.69</c:v>
                </c:pt>
                <c:pt idx="692">
                  <c:v>0.93</c:v>
                </c:pt>
                <c:pt idx="693">
                  <c:v>0.93</c:v>
                </c:pt>
                <c:pt idx="694">
                  <c:v>0.93</c:v>
                </c:pt>
                <c:pt idx="695">
                  <c:v>0.93</c:v>
                </c:pt>
                <c:pt idx="696">
                  <c:v>0.93</c:v>
                </c:pt>
                <c:pt idx="697">
                  <c:v>0.93</c:v>
                </c:pt>
                <c:pt idx="698">
                  <c:v>0.86</c:v>
                </c:pt>
                <c:pt idx="699">
                  <c:v>0.86</c:v>
                </c:pt>
                <c:pt idx="700">
                  <c:v>0.86</c:v>
                </c:pt>
                <c:pt idx="701">
                  <c:v>0.8</c:v>
                </c:pt>
                <c:pt idx="702">
                  <c:v>0.75</c:v>
                </c:pt>
                <c:pt idx="703">
                  <c:v>0.75</c:v>
                </c:pt>
                <c:pt idx="704">
                  <c:v>0.75</c:v>
                </c:pt>
                <c:pt idx="705">
                  <c:v>0.81</c:v>
                </c:pt>
                <c:pt idx="706">
                  <c:v>0.81</c:v>
                </c:pt>
                <c:pt idx="707">
                  <c:v>0.87</c:v>
                </c:pt>
                <c:pt idx="708">
                  <c:v>0.87</c:v>
                </c:pt>
                <c:pt idx="709">
                  <c:v>0.87</c:v>
                </c:pt>
                <c:pt idx="710">
                  <c:v>0.93</c:v>
                </c:pt>
                <c:pt idx="711">
                  <c:v>0.93</c:v>
                </c:pt>
                <c:pt idx="712">
                  <c:v>0.93</c:v>
                </c:pt>
                <c:pt idx="713">
                  <c:v>0.93</c:v>
                </c:pt>
                <c:pt idx="714">
                  <c:v>0.93</c:v>
                </c:pt>
                <c:pt idx="715">
                  <c:v>0.93</c:v>
                </c:pt>
                <c:pt idx="716">
                  <c:v>0.93</c:v>
                </c:pt>
                <c:pt idx="717">
                  <c:v>0.93</c:v>
                </c:pt>
                <c:pt idx="718">
                  <c:v>0.93</c:v>
                </c:pt>
                <c:pt idx="719">
                  <c:v>0.93</c:v>
                </c:pt>
                <c:pt idx="720">
                  <c:v>0.93</c:v>
                </c:pt>
                <c:pt idx="721">
                  <c:v>1</c:v>
                </c:pt>
                <c:pt idx="722">
                  <c:v>0.93</c:v>
                </c:pt>
                <c:pt idx="723">
                  <c:v>0.93</c:v>
                </c:pt>
                <c:pt idx="724">
                  <c:v>0.93</c:v>
                </c:pt>
                <c:pt idx="725">
                  <c:v>0.82</c:v>
                </c:pt>
                <c:pt idx="726">
                  <c:v>0.76</c:v>
                </c:pt>
                <c:pt idx="727">
                  <c:v>0.71</c:v>
                </c:pt>
                <c:pt idx="728">
                  <c:v>0.53</c:v>
                </c:pt>
                <c:pt idx="729">
                  <c:v>0.42</c:v>
                </c:pt>
                <c:pt idx="730">
                  <c:v>0.45</c:v>
                </c:pt>
                <c:pt idx="731">
                  <c:v>0.48</c:v>
                </c:pt>
                <c:pt idx="732">
                  <c:v>0.47</c:v>
                </c:pt>
                <c:pt idx="733">
                  <c:v>0.44</c:v>
                </c:pt>
                <c:pt idx="734">
                  <c:v>0.44</c:v>
                </c:pt>
                <c:pt idx="735">
                  <c:v>0.4</c:v>
                </c:pt>
                <c:pt idx="736">
                  <c:v>0.44</c:v>
                </c:pt>
                <c:pt idx="737">
                  <c:v>0.43</c:v>
                </c:pt>
                <c:pt idx="738">
                  <c:v>0.43</c:v>
                </c:pt>
                <c:pt idx="739">
                  <c:v>0.5</c:v>
                </c:pt>
                <c:pt idx="740">
                  <c:v>0.43</c:v>
                </c:pt>
                <c:pt idx="741">
                  <c:v>0.5</c:v>
                </c:pt>
                <c:pt idx="742">
                  <c:v>0.5</c:v>
                </c:pt>
                <c:pt idx="743">
                  <c:v>0.47</c:v>
                </c:pt>
                <c:pt idx="744">
                  <c:v>0.43</c:v>
                </c:pt>
                <c:pt idx="745">
                  <c:v>0.43</c:v>
                </c:pt>
                <c:pt idx="746">
                  <c:v>0.4</c:v>
                </c:pt>
                <c:pt idx="747">
                  <c:v>0.4</c:v>
                </c:pt>
                <c:pt idx="748">
                  <c:v>0.37</c:v>
                </c:pt>
                <c:pt idx="749">
                  <c:v>0.37</c:v>
                </c:pt>
                <c:pt idx="750">
                  <c:v>0.37</c:v>
                </c:pt>
                <c:pt idx="751">
                  <c:v>0.4</c:v>
                </c:pt>
                <c:pt idx="752">
                  <c:v>0.4</c:v>
                </c:pt>
                <c:pt idx="753">
                  <c:v>0.4</c:v>
                </c:pt>
                <c:pt idx="754">
                  <c:v>0.47</c:v>
                </c:pt>
                <c:pt idx="755">
                  <c:v>0.55000000000000004</c:v>
                </c:pt>
                <c:pt idx="756">
                  <c:v>0.51</c:v>
                </c:pt>
                <c:pt idx="757">
                  <c:v>0.47</c:v>
                </c:pt>
                <c:pt idx="758">
                  <c:v>0.44</c:v>
                </c:pt>
                <c:pt idx="759">
                  <c:v>0.59</c:v>
                </c:pt>
                <c:pt idx="760">
                  <c:v>0.63</c:v>
                </c:pt>
                <c:pt idx="761">
                  <c:v>0.63</c:v>
                </c:pt>
                <c:pt idx="762">
                  <c:v>0.63</c:v>
                </c:pt>
                <c:pt idx="763">
                  <c:v>0.55000000000000004</c:v>
                </c:pt>
                <c:pt idx="764">
                  <c:v>0.59</c:v>
                </c:pt>
                <c:pt idx="765">
                  <c:v>0.74</c:v>
                </c:pt>
                <c:pt idx="766">
                  <c:v>0.8</c:v>
                </c:pt>
                <c:pt idx="767">
                  <c:v>0.51</c:v>
                </c:pt>
                <c:pt idx="768">
                  <c:v>0.51</c:v>
                </c:pt>
                <c:pt idx="769">
                  <c:v>0.48</c:v>
                </c:pt>
                <c:pt idx="770">
                  <c:v>0.5</c:v>
                </c:pt>
                <c:pt idx="771">
                  <c:v>0.45</c:v>
                </c:pt>
                <c:pt idx="772">
                  <c:v>0.48</c:v>
                </c:pt>
                <c:pt idx="773">
                  <c:v>0.42</c:v>
                </c:pt>
                <c:pt idx="774">
                  <c:v>0.56000000000000005</c:v>
                </c:pt>
                <c:pt idx="775">
                  <c:v>0.6</c:v>
                </c:pt>
                <c:pt idx="776">
                  <c:v>0.65</c:v>
                </c:pt>
                <c:pt idx="777">
                  <c:v>0.65</c:v>
                </c:pt>
                <c:pt idx="778">
                  <c:v>0.7</c:v>
                </c:pt>
                <c:pt idx="779">
                  <c:v>0.65</c:v>
                </c:pt>
                <c:pt idx="780">
                  <c:v>0.7</c:v>
                </c:pt>
                <c:pt idx="781">
                  <c:v>0.7</c:v>
                </c:pt>
                <c:pt idx="782">
                  <c:v>0.65</c:v>
                </c:pt>
                <c:pt idx="783">
                  <c:v>0.75</c:v>
                </c:pt>
                <c:pt idx="784">
                  <c:v>0.75</c:v>
                </c:pt>
                <c:pt idx="785">
                  <c:v>0.93</c:v>
                </c:pt>
                <c:pt idx="786">
                  <c:v>1</c:v>
                </c:pt>
                <c:pt idx="787">
                  <c:v>1</c:v>
                </c:pt>
                <c:pt idx="788">
                  <c:v>0.93</c:v>
                </c:pt>
                <c:pt idx="789">
                  <c:v>1</c:v>
                </c:pt>
                <c:pt idx="790">
                  <c:v>1</c:v>
                </c:pt>
                <c:pt idx="791">
                  <c:v>1</c:v>
                </c:pt>
                <c:pt idx="792">
                  <c:v>1</c:v>
                </c:pt>
                <c:pt idx="793">
                  <c:v>1</c:v>
                </c:pt>
                <c:pt idx="794">
                  <c:v>1</c:v>
                </c:pt>
                <c:pt idx="795">
                  <c:v>1</c:v>
                </c:pt>
                <c:pt idx="796">
                  <c:v>1</c:v>
                </c:pt>
                <c:pt idx="797">
                  <c:v>1</c:v>
                </c:pt>
                <c:pt idx="798">
                  <c:v>1</c:v>
                </c:pt>
                <c:pt idx="799">
                  <c:v>0.93</c:v>
                </c:pt>
                <c:pt idx="800">
                  <c:v>0.93</c:v>
                </c:pt>
                <c:pt idx="801">
                  <c:v>0.87</c:v>
                </c:pt>
                <c:pt idx="802">
                  <c:v>1</c:v>
                </c:pt>
                <c:pt idx="803">
                  <c:v>0.93</c:v>
                </c:pt>
                <c:pt idx="804">
                  <c:v>0.93</c:v>
                </c:pt>
                <c:pt idx="805">
                  <c:v>0.7</c:v>
                </c:pt>
                <c:pt idx="806">
                  <c:v>0.65</c:v>
                </c:pt>
                <c:pt idx="807">
                  <c:v>0.6</c:v>
                </c:pt>
                <c:pt idx="808">
                  <c:v>0.6</c:v>
                </c:pt>
                <c:pt idx="809">
                  <c:v>0.6</c:v>
                </c:pt>
                <c:pt idx="810">
                  <c:v>0.6</c:v>
                </c:pt>
                <c:pt idx="811">
                  <c:v>0.6</c:v>
                </c:pt>
                <c:pt idx="812">
                  <c:v>0.65</c:v>
                </c:pt>
                <c:pt idx="813">
                  <c:v>0.65</c:v>
                </c:pt>
                <c:pt idx="814">
                  <c:v>0.56000000000000005</c:v>
                </c:pt>
                <c:pt idx="815">
                  <c:v>0.52</c:v>
                </c:pt>
                <c:pt idx="816">
                  <c:v>0.49</c:v>
                </c:pt>
                <c:pt idx="817">
                  <c:v>0.46</c:v>
                </c:pt>
                <c:pt idx="818">
                  <c:v>0.46</c:v>
                </c:pt>
                <c:pt idx="819">
                  <c:v>0.46</c:v>
                </c:pt>
                <c:pt idx="820">
                  <c:v>0.46</c:v>
                </c:pt>
                <c:pt idx="821">
                  <c:v>0.49</c:v>
                </c:pt>
                <c:pt idx="822">
                  <c:v>0.46</c:v>
                </c:pt>
                <c:pt idx="823">
                  <c:v>0.56000000000000005</c:v>
                </c:pt>
                <c:pt idx="824">
                  <c:v>0.61</c:v>
                </c:pt>
                <c:pt idx="825">
                  <c:v>0.61</c:v>
                </c:pt>
                <c:pt idx="826">
                  <c:v>0.6</c:v>
                </c:pt>
                <c:pt idx="827">
                  <c:v>0.6</c:v>
                </c:pt>
                <c:pt idx="828">
                  <c:v>0.65</c:v>
                </c:pt>
                <c:pt idx="829">
                  <c:v>0.65</c:v>
                </c:pt>
                <c:pt idx="830">
                  <c:v>0.75</c:v>
                </c:pt>
                <c:pt idx="831">
                  <c:v>0.8</c:v>
                </c:pt>
                <c:pt idx="832">
                  <c:v>0.86</c:v>
                </c:pt>
                <c:pt idx="833">
                  <c:v>0.86</c:v>
                </c:pt>
                <c:pt idx="834">
                  <c:v>0.86</c:v>
                </c:pt>
                <c:pt idx="835">
                  <c:v>0.93</c:v>
                </c:pt>
                <c:pt idx="836">
                  <c:v>0.86</c:v>
                </c:pt>
                <c:pt idx="837">
                  <c:v>1</c:v>
                </c:pt>
                <c:pt idx="838">
                  <c:v>0.8</c:v>
                </c:pt>
                <c:pt idx="839">
                  <c:v>0.75</c:v>
                </c:pt>
                <c:pt idx="840">
                  <c:v>0.65</c:v>
                </c:pt>
                <c:pt idx="841">
                  <c:v>0.62</c:v>
                </c:pt>
                <c:pt idx="842">
                  <c:v>0.56999999999999995</c:v>
                </c:pt>
                <c:pt idx="843">
                  <c:v>0.56999999999999995</c:v>
                </c:pt>
                <c:pt idx="844">
                  <c:v>0.54</c:v>
                </c:pt>
                <c:pt idx="845">
                  <c:v>0.56999999999999995</c:v>
                </c:pt>
                <c:pt idx="846">
                  <c:v>0.7</c:v>
                </c:pt>
                <c:pt idx="847">
                  <c:v>0.66</c:v>
                </c:pt>
                <c:pt idx="848">
                  <c:v>0.7</c:v>
                </c:pt>
                <c:pt idx="849">
                  <c:v>0.7</c:v>
                </c:pt>
                <c:pt idx="850">
                  <c:v>0.7</c:v>
                </c:pt>
                <c:pt idx="851">
                  <c:v>0.81</c:v>
                </c:pt>
                <c:pt idx="852">
                  <c:v>0.81</c:v>
                </c:pt>
                <c:pt idx="853">
                  <c:v>0.87</c:v>
                </c:pt>
                <c:pt idx="854">
                  <c:v>0.87</c:v>
                </c:pt>
                <c:pt idx="855">
                  <c:v>0.93</c:v>
                </c:pt>
                <c:pt idx="856">
                  <c:v>0.93</c:v>
                </c:pt>
                <c:pt idx="857">
                  <c:v>0.93</c:v>
                </c:pt>
                <c:pt idx="858">
                  <c:v>0.81</c:v>
                </c:pt>
                <c:pt idx="859">
                  <c:v>0.7</c:v>
                </c:pt>
                <c:pt idx="860">
                  <c:v>0.65</c:v>
                </c:pt>
                <c:pt idx="861">
                  <c:v>0.56000000000000005</c:v>
                </c:pt>
                <c:pt idx="862">
                  <c:v>0.52</c:v>
                </c:pt>
                <c:pt idx="863">
                  <c:v>0.47</c:v>
                </c:pt>
                <c:pt idx="864">
                  <c:v>0.47</c:v>
                </c:pt>
                <c:pt idx="865">
                  <c:v>0.38</c:v>
                </c:pt>
                <c:pt idx="866">
                  <c:v>0.32</c:v>
                </c:pt>
                <c:pt idx="867">
                  <c:v>0.37</c:v>
                </c:pt>
                <c:pt idx="868">
                  <c:v>0.35</c:v>
                </c:pt>
                <c:pt idx="869">
                  <c:v>0.35</c:v>
                </c:pt>
                <c:pt idx="870">
                  <c:v>0.32</c:v>
                </c:pt>
                <c:pt idx="871">
                  <c:v>0.32</c:v>
                </c:pt>
                <c:pt idx="872">
                  <c:v>0.4</c:v>
                </c:pt>
                <c:pt idx="873">
                  <c:v>0.4</c:v>
                </c:pt>
                <c:pt idx="874">
                  <c:v>0.33</c:v>
                </c:pt>
                <c:pt idx="875">
                  <c:v>0.33</c:v>
                </c:pt>
                <c:pt idx="876">
                  <c:v>0.33</c:v>
                </c:pt>
                <c:pt idx="877">
                  <c:v>0.36</c:v>
                </c:pt>
                <c:pt idx="878">
                  <c:v>0.36</c:v>
                </c:pt>
                <c:pt idx="879">
                  <c:v>0.38</c:v>
                </c:pt>
                <c:pt idx="880">
                  <c:v>0.45</c:v>
                </c:pt>
                <c:pt idx="881">
                  <c:v>0.45</c:v>
                </c:pt>
                <c:pt idx="882">
                  <c:v>0.45</c:v>
                </c:pt>
                <c:pt idx="883">
                  <c:v>0.49</c:v>
                </c:pt>
                <c:pt idx="884">
                  <c:v>0.42</c:v>
                </c:pt>
                <c:pt idx="885">
                  <c:v>0.39</c:v>
                </c:pt>
                <c:pt idx="886">
                  <c:v>0.36</c:v>
                </c:pt>
                <c:pt idx="887">
                  <c:v>0.43</c:v>
                </c:pt>
                <c:pt idx="888">
                  <c:v>0.4</c:v>
                </c:pt>
                <c:pt idx="889">
                  <c:v>0.4</c:v>
                </c:pt>
                <c:pt idx="890">
                  <c:v>0.34</c:v>
                </c:pt>
                <c:pt idx="891">
                  <c:v>0.34</c:v>
                </c:pt>
                <c:pt idx="892">
                  <c:v>0.37</c:v>
                </c:pt>
                <c:pt idx="893">
                  <c:v>0.34</c:v>
                </c:pt>
                <c:pt idx="894">
                  <c:v>0.47</c:v>
                </c:pt>
                <c:pt idx="895">
                  <c:v>0.86</c:v>
                </c:pt>
                <c:pt idx="896">
                  <c:v>0.86</c:v>
                </c:pt>
                <c:pt idx="897">
                  <c:v>0.86</c:v>
                </c:pt>
                <c:pt idx="898">
                  <c:v>0.8</c:v>
                </c:pt>
                <c:pt idx="899">
                  <c:v>0.8</c:v>
                </c:pt>
                <c:pt idx="900">
                  <c:v>0.86</c:v>
                </c:pt>
                <c:pt idx="901">
                  <c:v>0.8</c:v>
                </c:pt>
                <c:pt idx="902">
                  <c:v>0.8</c:v>
                </c:pt>
                <c:pt idx="903">
                  <c:v>0.59</c:v>
                </c:pt>
                <c:pt idx="904">
                  <c:v>0.5</c:v>
                </c:pt>
                <c:pt idx="905">
                  <c:v>0.54</c:v>
                </c:pt>
                <c:pt idx="906">
                  <c:v>0.5</c:v>
                </c:pt>
                <c:pt idx="907">
                  <c:v>0.49</c:v>
                </c:pt>
                <c:pt idx="908">
                  <c:v>0.42</c:v>
                </c:pt>
                <c:pt idx="909">
                  <c:v>0.42</c:v>
                </c:pt>
                <c:pt idx="910">
                  <c:v>0.39</c:v>
                </c:pt>
                <c:pt idx="911">
                  <c:v>0.34</c:v>
                </c:pt>
                <c:pt idx="912">
                  <c:v>0.28999999999999998</c:v>
                </c:pt>
                <c:pt idx="913">
                  <c:v>0.27</c:v>
                </c:pt>
                <c:pt idx="914">
                  <c:v>0.25</c:v>
                </c:pt>
                <c:pt idx="915">
                  <c:v>0.27</c:v>
                </c:pt>
                <c:pt idx="916">
                  <c:v>0.26</c:v>
                </c:pt>
                <c:pt idx="917">
                  <c:v>0.28000000000000003</c:v>
                </c:pt>
                <c:pt idx="918">
                  <c:v>0.28000000000000003</c:v>
                </c:pt>
                <c:pt idx="919">
                  <c:v>0.31</c:v>
                </c:pt>
                <c:pt idx="920">
                  <c:v>0.39</c:v>
                </c:pt>
                <c:pt idx="921">
                  <c:v>0.39</c:v>
                </c:pt>
                <c:pt idx="922">
                  <c:v>0.42</c:v>
                </c:pt>
                <c:pt idx="923">
                  <c:v>0.49</c:v>
                </c:pt>
                <c:pt idx="924">
                  <c:v>0.54</c:v>
                </c:pt>
                <c:pt idx="925">
                  <c:v>0.54</c:v>
                </c:pt>
                <c:pt idx="926">
                  <c:v>0.63</c:v>
                </c:pt>
                <c:pt idx="927">
                  <c:v>0.68</c:v>
                </c:pt>
                <c:pt idx="928">
                  <c:v>0.73</c:v>
                </c:pt>
                <c:pt idx="929">
                  <c:v>0.74</c:v>
                </c:pt>
                <c:pt idx="930">
                  <c:v>0.74</c:v>
                </c:pt>
                <c:pt idx="931">
                  <c:v>0.69</c:v>
                </c:pt>
                <c:pt idx="932">
                  <c:v>0.47</c:v>
                </c:pt>
                <c:pt idx="933">
                  <c:v>0.47</c:v>
                </c:pt>
                <c:pt idx="934">
                  <c:v>0.35</c:v>
                </c:pt>
                <c:pt idx="935">
                  <c:v>0.26</c:v>
                </c:pt>
                <c:pt idx="936">
                  <c:v>0.21</c:v>
                </c:pt>
                <c:pt idx="937">
                  <c:v>0.28000000000000003</c:v>
                </c:pt>
                <c:pt idx="938">
                  <c:v>0.24</c:v>
                </c:pt>
                <c:pt idx="939">
                  <c:v>0.28000000000000003</c:v>
                </c:pt>
                <c:pt idx="940">
                  <c:v>0.33</c:v>
                </c:pt>
                <c:pt idx="941">
                  <c:v>0.55000000000000004</c:v>
                </c:pt>
                <c:pt idx="942">
                  <c:v>0.59</c:v>
                </c:pt>
                <c:pt idx="943">
                  <c:v>0.64</c:v>
                </c:pt>
                <c:pt idx="944">
                  <c:v>0.69</c:v>
                </c:pt>
                <c:pt idx="945">
                  <c:v>0.69</c:v>
                </c:pt>
                <c:pt idx="946">
                  <c:v>0.86</c:v>
                </c:pt>
                <c:pt idx="947">
                  <c:v>0.8</c:v>
                </c:pt>
                <c:pt idx="948">
                  <c:v>0.8</c:v>
                </c:pt>
                <c:pt idx="949">
                  <c:v>0.74</c:v>
                </c:pt>
                <c:pt idx="950">
                  <c:v>0.74</c:v>
                </c:pt>
                <c:pt idx="951">
                  <c:v>0.93</c:v>
                </c:pt>
                <c:pt idx="952">
                  <c:v>0.8</c:v>
                </c:pt>
                <c:pt idx="953">
                  <c:v>0.86</c:v>
                </c:pt>
                <c:pt idx="954">
                  <c:v>0.64</c:v>
                </c:pt>
                <c:pt idx="955">
                  <c:v>0.41</c:v>
                </c:pt>
                <c:pt idx="956">
                  <c:v>0.28000000000000003</c:v>
                </c:pt>
                <c:pt idx="957">
                  <c:v>0.39</c:v>
                </c:pt>
                <c:pt idx="958">
                  <c:v>0.39</c:v>
                </c:pt>
                <c:pt idx="959">
                  <c:v>0.31</c:v>
                </c:pt>
                <c:pt idx="960">
                  <c:v>0.28999999999999998</c:v>
                </c:pt>
                <c:pt idx="961">
                  <c:v>0.28999999999999998</c:v>
                </c:pt>
                <c:pt idx="962">
                  <c:v>0.31</c:v>
                </c:pt>
                <c:pt idx="963">
                  <c:v>0.38</c:v>
                </c:pt>
                <c:pt idx="964">
                  <c:v>0.38</c:v>
                </c:pt>
                <c:pt idx="965">
                  <c:v>0.41</c:v>
                </c:pt>
                <c:pt idx="966">
                  <c:v>0.41</c:v>
                </c:pt>
                <c:pt idx="967">
                  <c:v>0.44</c:v>
                </c:pt>
                <c:pt idx="968">
                  <c:v>0.51</c:v>
                </c:pt>
                <c:pt idx="969">
                  <c:v>0.64</c:v>
                </c:pt>
                <c:pt idx="970">
                  <c:v>0.59</c:v>
                </c:pt>
                <c:pt idx="971">
                  <c:v>0.75</c:v>
                </c:pt>
                <c:pt idx="972">
                  <c:v>0.69</c:v>
                </c:pt>
                <c:pt idx="973">
                  <c:v>0.69</c:v>
                </c:pt>
                <c:pt idx="974">
                  <c:v>0.69</c:v>
                </c:pt>
                <c:pt idx="975">
                  <c:v>0.55000000000000004</c:v>
                </c:pt>
                <c:pt idx="976">
                  <c:v>0.64</c:v>
                </c:pt>
                <c:pt idx="977">
                  <c:v>0.6</c:v>
                </c:pt>
                <c:pt idx="978">
                  <c:v>0.45</c:v>
                </c:pt>
                <c:pt idx="979">
                  <c:v>0.39</c:v>
                </c:pt>
                <c:pt idx="980">
                  <c:v>0.32</c:v>
                </c:pt>
                <c:pt idx="981">
                  <c:v>0.28999999999999998</c:v>
                </c:pt>
                <c:pt idx="982">
                  <c:v>0.3</c:v>
                </c:pt>
                <c:pt idx="983">
                  <c:v>0.3</c:v>
                </c:pt>
                <c:pt idx="984">
                  <c:v>0.28000000000000003</c:v>
                </c:pt>
                <c:pt idx="985">
                  <c:v>0.28000000000000003</c:v>
                </c:pt>
                <c:pt idx="986">
                  <c:v>0.32</c:v>
                </c:pt>
                <c:pt idx="987">
                  <c:v>0.35</c:v>
                </c:pt>
                <c:pt idx="988">
                  <c:v>0.35</c:v>
                </c:pt>
                <c:pt idx="989">
                  <c:v>0.35</c:v>
                </c:pt>
                <c:pt idx="990">
                  <c:v>0.35</c:v>
                </c:pt>
                <c:pt idx="991">
                  <c:v>0.35</c:v>
                </c:pt>
                <c:pt idx="992">
                  <c:v>0.37</c:v>
                </c:pt>
                <c:pt idx="993">
                  <c:v>0.37</c:v>
                </c:pt>
                <c:pt idx="994">
                  <c:v>0.4</c:v>
                </c:pt>
                <c:pt idx="995">
                  <c:v>0.46</c:v>
                </c:pt>
                <c:pt idx="996">
                  <c:v>0.53</c:v>
                </c:pt>
                <c:pt idx="997">
                  <c:v>0.53</c:v>
                </c:pt>
                <c:pt idx="998">
                  <c:v>0.46</c:v>
                </c:pt>
                <c:pt idx="999">
                  <c:v>0.46</c:v>
                </c:pt>
              </c:numCache>
            </c:numRef>
          </c:xVal>
          <c:yVal>
            <c:numRef>
              <c:f>ScatterPlots!$E$2:$E$1001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5817-46FB-AC4D-47ECD7CD2DCF}"/>
            </c:ext>
          </c:extLst>
        </c:ser>
        <c:dLbls>
          <c:showLegendKey val="0"/>
          <c:showVal val="0"/>
          <c:showCatName val="0"/>
          <c:showSerName val="0"/>
          <c:showPercent val="0"/>
          <c:showBubbleSize val="0"/>
        </c:dLbls>
        <c:axId val="1124497999"/>
        <c:axId val="1124504719"/>
      </c:scatterChart>
      <c:valAx>
        <c:axId val="1124497999"/>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Humidity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504719"/>
        <c:crosses val="autoZero"/>
        <c:crossBetween val="midCat"/>
      </c:valAx>
      <c:valAx>
        <c:axId val="11245047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Total</a:t>
                </a:r>
                <a:r>
                  <a:rPr lang="en-IN" b="1" baseline="0"/>
                  <a:t> Rentals</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497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Windspeed</a:t>
            </a:r>
            <a:r>
              <a:rPr lang="en-US" b="1" baseline="0"/>
              <a:t> Vs Rentals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ScatterPlots!$E$1</c:f>
              <c:strCache>
                <c:ptCount val="1"/>
                <c:pt idx="0">
                  <c:v>Total_Rentals</c:v>
                </c:pt>
              </c:strCache>
            </c:strRef>
          </c:tx>
          <c:spPr>
            <a:ln w="19050" cap="rnd">
              <a:noFill/>
              <a:round/>
            </a:ln>
            <a:effectLst/>
          </c:spPr>
          <c:marker>
            <c:symbol val="circle"/>
            <c:size val="5"/>
            <c:spPr>
              <a:solidFill>
                <a:schemeClr val="dk1">
                  <a:tint val="88500"/>
                </a:schemeClr>
              </a:solidFill>
              <a:ln w="9525">
                <a:solidFill>
                  <a:schemeClr val="dk1">
                    <a:tint val="88500"/>
                  </a:schemeClr>
                </a:solidFill>
              </a:ln>
              <a:effectLst/>
            </c:spPr>
          </c:marker>
          <c:trendline>
            <c:spPr>
              <a:ln w="19050" cap="rnd">
                <a:solidFill>
                  <a:srgbClr val="00B050"/>
                </a:solidFill>
                <a:prstDash val="solid"/>
              </a:ln>
              <a:effectLst/>
            </c:spPr>
            <c:trendlineType val="linear"/>
            <c:dispRSqr val="0"/>
            <c:dispEq val="0"/>
          </c:trendline>
          <c:xVal>
            <c:numRef>
              <c:f>ScatterPlots!$D$2:$D$1001</c:f>
              <c:numCache>
                <c:formatCode>General</c:formatCode>
                <c:ptCount val="1000"/>
                <c:pt idx="0">
                  <c:v>0</c:v>
                </c:pt>
                <c:pt idx="1">
                  <c:v>0</c:v>
                </c:pt>
                <c:pt idx="2">
                  <c:v>0</c:v>
                </c:pt>
                <c:pt idx="3">
                  <c:v>0</c:v>
                </c:pt>
                <c:pt idx="4">
                  <c:v>0</c:v>
                </c:pt>
                <c:pt idx="5">
                  <c:v>8.9599999999999999E-2</c:v>
                </c:pt>
                <c:pt idx="6">
                  <c:v>0</c:v>
                </c:pt>
                <c:pt idx="7">
                  <c:v>0</c:v>
                </c:pt>
                <c:pt idx="8">
                  <c:v>0</c:v>
                </c:pt>
                <c:pt idx="9">
                  <c:v>0</c:v>
                </c:pt>
                <c:pt idx="10">
                  <c:v>0.25369999999999998</c:v>
                </c:pt>
                <c:pt idx="11">
                  <c:v>0.28360000000000002</c:v>
                </c:pt>
                <c:pt idx="12">
                  <c:v>0.28360000000000002</c:v>
                </c:pt>
                <c:pt idx="13">
                  <c:v>0.29849999999999999</c:v>
                </c:pt>
                <c:pt idx="14">
                  <c:v>0.28360000000000002</c:v>
                </c:pt>
                <c:pt idx="15">
                  <c:v>0.29849999999999999</c:v>
                </c:pt>
                <c:pt idx="16">
                  <c:v>0.29849999999999999</c:v>
                </c:pt>
                <c:pt idx="17">
                  <c:v>0.28360000000000002</c:v>
                </c:pt>
                <c:pt idx="18">
                  <c:v>0.25369999999999998</c:v>
                </c:pt>
                <c:pt idx="19">
                  <c:v>0.25369999999999998</c:v>
                </c:pt>
                <c:pt idx="20">
                  <c:v>0.25369999999999998</c:v>
                </c:pt>
                <c:pt idx="21">
                  <c:v>0.19400000000000001</c:v>
                </c:pt>
                <c:pt idx="22">
                  <c:v>0.22389999999999999</c:v>
                </c:pt>
                <c:pt idx="23">
                  <c:v>0.29849999999999999</c:v>
                </c:pt>
                <c:pt idx="24">
                  <c:v>0.29849999999999999</c:v>
                </c:pt>
                <c:pt idx="25">
                  <c:v>0.25369999999999998</c:v>
                </c:pt>
                <c:pt idx="26">
                  <c:v>0.28360000000000002</c:v>
                </c:pt>
                <c:pt idx="27">
                  <c:v>0.19400000000000001</c:v>
                </c:pt>
                <c:pt idx="28">
                  <c:v>0.19400000000000001</c:v>
                </c:pt>
                <c:pt idx="29">
                  <c:v>0.29849999999999999</c:v>
                </c:pt>
                <c:pt idx="30">
                  <c:v>0.19400000000000001</c:v>
                </c:pt>
                <c:pt idx="31">
                  <c:v>0.22389999999999999</c:v>
                </c:pt>
                <c:pt idx="32">
                  <c:v>0.22389999999999999</c:v>
                </c:pt>
                <c:pt idx="33">
                  <c:v>0.22389999999999999</c:v>
                </c:pt>
                <c:pt idx="34">
                  <c:v>0.25369999999999998</c:v>
                </c:pt>
                <c:pt idx="35">
                  <c:v>0.29849999999999999</c:v>
                </c:pt>
                <c:pt idx="36">
                  <c:v>0.1343</c:v>
                </c:pt>
                <c:pt idx="37">
                  <c:v>0.19400000000000001</c:v>
                </c:pt>
                <c:pt idx="38">
                  <c:v>0.16420000000000001</c:v>
                </c:pt>
                <c:pt idx="39">
                  <c:v>0.16420000000000001</c:v>
                </c:pt>
                <c:pt idx="40">
                  <c:v>0.19400000000000001</c:v>
                </c:pt>
                <c:pt idx="41">
                  <c:v>0.32840000000000003</c:v>
                </c:pt>
                <c:pt idx="42">
                  <c:v>0.44779999999999998</c:v>
                </c:pt>
                <c:pt idx="43">
                  <c:v>0.35820000000000002</c:v>
                </c:pt>
                <c:pt idx="44">
                  <c:v>0.32840000000000003</c:v>
                </c:pt>
                <c:pt idx="45">
                  <c:v>0.29849999999999999</c:v>
                </c:pt>
                <c:pt idx="46">
                  <c:v>0.16420000000000001</c:v>
                </c:pt>
                <c:pt idx="47">
                  <c:v>0.35820000000000002</c:v>
                </c:pt>
                <c:pt idx="48">
                  <c:v>0.41789999999999999</c:v>
                </c:pt>
                <c:pt idx="49">
                  <c:v>0.3881</c:v>
                </c:pt>
                <c:pt idx="50">
                  <c:v>0.28360000000000002</c:v>
                </c:pt>
                <c:pt idx="51">
                  <c:v>0.3881</c:v>
                </c:pt>
                <c:pt idx="52">
                  <c:v>0.19400000000000001</c:v>
                </c:pt>
                <c:pt idx="53">
                  <c:v>0.28360000000000002</c:v>
                </c:pt>
                <c:pt idx="54">
                  <c:v>0.3881</c:v>
                </c:pt>
                <c:pt idx="55">
                  <c:v>0.25369999999999998</c:v>
                </c:pt>
                <c:pt idx="56">
                  <c:v>0.32840000000000003</c:v>
                </c:pt>
                <c:pt idx="57">
                  <c:v>0.29849999999999999</c:v>
                </c:pt>
                <c:pt idx="58">
                  <c:v>0.28360000000000002</c:v>
                </c:pt>
                <c:pt idx="59">
                  <c:v>0.28360000000000002</c:v>
                </c:pt>
                <c:pt idx="60">
                  <c:v>0.25369999999999998</c:v>
                </c:pt>
                <c:pt idx="61">
                  <c:v>0.25369999999999998</c:v>
                </c:pt>
                <c:pt idx="62">
                  <c:v>0.22389999999999999</c:v>
                </c:pt>
                <c:pt idx="63">
                  <c:v>0.1045</c:v>
                </c:pt>
                <c:pt idx="64">
                  <c:v>0</c:v>
                </c:pt>
                <c:pt idx="65">
                  <c:v>0.1045</c:v>
                </c:pt>
                <c:pt idx="66">
                  <c:v>0.1343</c:v>
                </c:pt>
                <c:pt idx="67">
                  <c:v>0.1343</c:v>
                </c:pt>
                <c:pt idx="68">
                  <c:v>0.1045</c:v>
                </c:pt>
                <c:pt idx="69">
                  <c:v>0.1045</c:v>
                </c:pt>
                <c:pt idx="70">
                  <c:v>0.1045</c:v>
                </c:pt>
                <c:pt idx="71">
                  <c:v>0.1343</c:v>
                </c:pt>
                <c:pt idx="72">
                  <c:v>8.9599999999999999E-2</c:v>
                </c:pt>
                <c:pt idx="73">
                  <c:v>0.1045</c:v>
                </c:pt>
                <c:pt idx="74">
                  <c:v>0.1045</c:v>
                </c:pt>
                <c:pt idx="75">
                  <c:v>0.1343</c:v>
                </c:pt>
                <c:pt idx="76">
                  <c:v>0.16420000000000001</c:v>
                </c:pt>
                <c:pt idx="77">
                  <c:v>0.22389999999999999</c:v>
                </c:pt>
                <c:pt idx="78">
                  <c:v>0.32840000000000003</c:v>
                </c:pt>
                <c:pt idx="79">
                  <c:v>0.29849999999999999</c:v>
                </c:pt>
                <c:pt idx="80">
                  <c:v>0.16420000000000001</c:v>
                </c:pt>
                <c:pt idx="81">
                  <c:v>0.19400000000000001</c:v>
                </c:pt>
                <c:pt idx="82">
                  <c:v>0.22389999999999999</c:v>
                </c:pt>
                <c:pt idx="83">
                  <c:v>0.25369999999999998</c:v>
                </c:pt>
                <c:pt idx="84">
                  <c:v>0.25369999999999998</c:v>
                </c:pt>
                <c:pt idx="85">
                  <c:v>0.22389999999999999</c:v>
                </c:pt>
                <c:pt idx="86">
                  <c:v>0.19400000000000001</c:v>
                </c:pt>
                <c:pt idx="87">
                  <c:v>0.1045</c:v>
                </c:pt>
                <c:pt idx="88">
                  <c:v>0.1045</c:v>
                </c:pt>
                <c:pt idx="89">
                  <c:v>0</c:v>
                </c:pt>
                <c:pt idx="90">
                  <c:v>8.9599999999999999E-2</c:v>
                </c:pt>
                <c:pt idx="91">
                  <c:v>8.9599999999999999E-2</c:v>
                </c:pt>
                <c:pt idx="92">
                  <c:v>0</c:v>
                </c:pt>
                <c:pt idx="93">
                  <c:v>8.9599999999999999E-2</c:v>
                </c:pt>
                <c:pt idx="94">
                  <c:v>8.9599999999999999E-2</c:v>
                </c:pt>
                <c:pt idx="95">
                  <c:v>0.22389999999999999</c:v>
                </c:pt>
                <c:pt idx="96">
                  <c:v>0.16420000000000001</c:v>
                </c:pt>
                <c:pt idx="97">
                  <c:v>0.22389999999999999</c:v>
                </c:pt>
                <c:pt idx="98">
                  <c:v>0.19400000000000001</c:v>
                </c:pt>
                <c:pt idx="99">
                  <c:v>0.29849999999999999</c:v>
                </c:pt>
                <c:pt idx="100">
                  <c:v>0.32840000000000003</c:v>
                </c:pt>
                <c:pt idx="101">
                  <c:v>0.32840000000000003</c:v>
                </c:pt>
                <c:pt idx="102">
                  <c:v>0.32840000000000003</c:v>
                </c:pt>
                <c:pt idx="103">
                  <c:v>0.32840000000000003</c:v>
                </c:pt>
                <c:pt idx="104">
                  <c:v>0.29849999999999999</c:v>
                </c:pt>
                <c:pt idx="105">
                  <c:v>0.19400000000000001</c:v>
                </c:pt>
                <c:pt idx="106">
                  <c:v>0.19400000000000001</c:v>
                </c:pt>
                <c:pt idx="107">
                  <c:v>8.9599999999999999E-2</c:v>
                </c:pt>
                <c:pt idx="108">
                  <c:v>0.19400000000000001</c:v>
                </c:pt>
                <c:pt idx="109">
                  <c:v>0.1343</c:v>
                </c:pt>
                <c:pt idx="110">
                  <c:v>0.1045</c:v>
                </c:pt>
                <c:pt idx="111">
                  <c:v>0.16420000000000001</c:v>
                </c:pt>
                <c:pt idx="112">
                  <c:v>0.19400000000000001</c:v>
                </c:pt>
                <c:pt idx="113">
                  <c:v>0.1343</c:v>
                </c:pt>
                <c:pt idx="114">
                  <c:v>0</c:v>
                </c:pt>
                <c:pt idx="115">
                  <c:v>0</c:v>
                </c:pt>
                <c:pt idx="116">
                  <c:v>0</c:v>
                </c:pt>
                <c:pt idx="117">
                  <c:v>0</c:v>
                </c:pt>
                <c:pt idx="118">
                  <c:v>8.9599999999999999E-2</c:v>
                </c:pt>
                <c:pt idx="119">
                  <c:v>8.9599999999999999E-2</c:v>
                </c:pt>
                <c:pt idx="120">
                  <c:v>0.1045</c:v>
                </c:pt>
                <c:pt idx="121">
                  <c:v>0</c:v>
                </c:pt>
                <c:pt idx="122">
                  <c:v>0</c:v>
                </c:pt>
                <c:pt idx="123">
                  <c:v>0</c:v>
                </c:pt>
                <c:pt idx="124">
                  <c:v>0</c:v>
                </c:pt>
                <c:pt idx="125">
                  <c:v>8.9599999999999999E-2</c:v>
                </c:pt>
                <c:pt idx="126">
                  <c:v>0</c:v>
                </c:pt>
                <c:pt idx="127">
                  <c:v>0.1045</c:v>
                </c:pt>
                <c:pt idx="128">
                  <c:v>0.16420000000000001</c:v>
                </c:pt>
                <c:pt idx="129">
                  <c:v>0</c:v>
                </c:pt>
                <c:pt idx="130">
                  <c:v>0.16420000000000001</c:v>
                </c:pt>
                <c:pt idx="131">
                  <c:v>0.16420000000000001</c:v>
                </c:pt>
                <c:pt idx="132">
                  <c:v>0.1343</c:v>
                </c:pt>
                <c:pt idx="133">
                  <c:v>8.9599999999999999E-2</c:v>
                </c:pt>
                <c:pt idx="134">
                  <c:v>0.16420000000000001</c:v>
                </c:pt>
                <c:pt idx="135">
                  <c:v>0.22389999999999999</c:v>
                </c:pt>
                <c:pt idx="136">
                  <c:v>0.28360000000000002</c:v>
                </c:pt>
                <c:pt idx="137">
                  <c:v>0.19400000000000001</c:v>
                </c:pt>
                <c:pt idx="138">
                  <c:v>0.19400000000000001</c:v>
                </c:pt>
                <c:pt idx="139">
                  <c:v>0.22389999999999999</c:v>
                </c:pt>
                <c:pt idx="140">
                  <c:v>0.22389999999999999</c:v>
                </c:pt>
                <c:pt idx="141">
                  <c:v>0.1343</c:v>
                </c:pt>
                <c:pt idx="142">
                  <c:v>0</c:v>
                </c:pt>
                <c:pt idx="143">
                  <c:v>0</c:v>
                </c:pt>
                <c:pt idx="144">
                  <c:v>0.1343</c:v>
                </c:pt>
                <c:pt idx="145">
                  <c:v>0.25369999999999998</c:v>
                </c:pt>
                <c:pt idx="146">
                  <c:v>0.29849999999999999</c:v>
                </c:pt>
                <c:pt idx="147">
                  <c:v>0.32840000000000003</c:v>
                </c:pt>
                <c:pt idx="148">
                  <c:v>0.22389999999999999</c:v>
                </c:pt>
                <c:pt idx="149">
                  <c:v>0.25369999999999998</c:v>
                </c:pt>
                <c:pt idx="150">
                  <c:v>0.28360000000000002</c:v>
                </c:pt>
                <c:pt idx="151">
                  <c:v>0.25369999999999998</c:v>
                </c:pt>
                <c:pt idx="152">
                  <c:v>0.16420000000000001</c:v>
                </c:pt>
                <c:pt idx="153">
                  <c:v>0.16420000000000001</c:v>
                </c:pt>
                <c:pt idx="154">
                  <c:v>0</c:v>
                </c:pt>
                <c:pt idx="155">
                  <c:v>8.9599999999999999E-2</c:v>
                </c:pt>
                <c:pt idx="156">
                  <c:v>8.9599999999999999E-2</c:v>
                </c:pt>
                <c:pt idx="157">
                  <c:v>0.1045</c:v>
                </c:pt>
                <c:pt idx="158">
                  <c:v>0.1343</c:v>
                </c:pt>
                <c:pt idx="159">
                  <c:v>0.16420000000000001</c:v>
                </c:pt>
                <c:pt idx="160">
                  <c:v>0.16420000000000001</c:v>
                </c:pt>
                <c:pt idx="161">
                  <c:v>0.16420000000000001</c:v>
                </c:pt>
                <c:pt idx="162">
                  <c:v>8.9599999999999999E-2</c:v>
                </c:pt>
                <c:pt idx="163">
                  <c:v>0</c:v>
                </c:pt>
                <c:pt idx="164">
                  <c:v>0.16420000000000001</c:v>
                </c:pt>
                <c:pt idx="165">
                  <c:v>0.16420000000000001</c:v>
                </c:pt>
                <c:pt idx="166">
                  <c:v>0.16420000000000001</c:v>
                </c:pt>
                <c:pt idx="167">
                  <c:v>0.16420000000000001</c:v>
                </c:pt>
                <c:pt idx="168">
                  <c:v>0.1045</c:v>
                </c:pt>
                <c:pt idx="169">
                  <c:v>0.1045</c:v>
                </c:pt>
                <c:pt idx="170">
                  <c:v>0.1045</c:v>
                </c:pt>
                <c:pt idx="171">
                  <c:v>0.16420000000000001</c:v>
                </c:pt>
                <c:pt idx="172">
                  <c:v>0.3881</c:v>
                </c:pt>
                <c:pt idx="173">
                  <c:v>0.35820000000000002</c:v>
                </c:pt>
                <c:pt idx="174">
                  <c:v>0.32840000000000003</c:v>
                </c:pt>
                <c:pt idx="175">
                  <c:v>0.49249999999999999</c:v>
                </c:pt>
                <c:pt idx="176">
                  <c:v>0.44779999999999998</c:v>
                </c:pt>
                <c:pt idx="177">
                  <c:v>0.44779999999999998</c:v>
                </c:pt>
                <c:pt idx="178">
                  <c:v>0.55220000000000002</c:v>
                </c:pt>
                <c:pt idx="179">
                  <c:v>0.29849999999999999</c:v>
                </c:pt>
                <c:pt idx="180">
                  <c:v>0.25369999999999998</c:v>
                </c:pt>
                <c:pt idx="181">
                  <c:v>0.25369999999999998</c:v>
                </c:pt>
                <c:pt idx="182">
                  <c:v>0.35820000000000002</c:v>
                </c:pt>
                <c:pt idx="183">
                  <c:v>0.3881</c:v>
                </c:pt>
                <c:pt idx="184">
                  <c:v>0.44779999999999998</c:v>
                </c:pt>
                <c:pt idx="185">
                  <c:v>0.3881</c:v>
                </c:pt>
                <c:pt idx="186">
                  <c:v>0.4627</c:v>
                </c:pt>
                <c:pt idx="187">
                  <c:v>0.4627</c:v>
                </c:pt>
                <c:pt idx="188">
                  <c:v>0.41789999999999999</c:v>
                </c:pt>
                <c:pt idx="189">
                  <c:v>0.19400000000000001</c:v>
                </c:pt>
                <c:pt idx="190">
                  <c:v>0.19400000000000001</c:v>
                </c:pt>
                <c:pt idx="191">
                  <c:v>0.28360000000000002</c:v>
                </c:pt>
                <c:pt idx="192">
                  <c:v>0.19400000000000001</c:v>
                </c:pt>
                <c:pt idx="193">
                  <c:v>0.28360000000000002</c:v>
                </c:pt>
                <c:pt idx="194">
                  <c:v>0.52239999999999998</c:v>
                </c:pt>
                <c:pt idx="195">
                  <c:v>0.3881</c:v>
                </c:pt>
                <c:pt idx="196">
                  <c:v>0.52239999999999998</c:v>
                </c:pt>
                <c:pt idx="197">
                  <c:v>0.44779999999999998</c:v>
                </c:pt>
                <c:pt idx="198">
                  <c:v>0.44779999999999998</c:v>
                </c:pt>
                <c:pt idx="199">
                  <c:v>0.4627</c:v>
                </c:pt>
                <c:pt idx="200">
                  <c:v>0.35820000000000002</c:v>
                </c:pt>
                <c:pt idx="201">
                  <c:v>0.44779999999999998</c:v>
                </c:pt>
                <c:pt idx="202">
                  <c:v>0.3881</c:v>
                </c:pt>
                <c:pt idx="203">
                  <c:v>0.32840000000000003</c:v>
                </c:pt>
                <c:pt idx="204">
                  <c:v>0.32840000000000003</c:v>
                </c:pt>
                <c:pt idx="205">
                  <c:v>0.25369999999999998</c:v>
                </c:pt>
                <c:pt idx="206">
                  <c:v>0.41789999999999999</c:v>
                </c:pt>
                <c:pt idx="207">
                  <c:v>0.29849999999999999</c:v>
                </c:pt>
                <c:pt idx="208">
                  <c:v>0.19400000000000001</c:v>
                </c:pt>
                <c:pt idx="209">
                  <c:v>0.28360000000000002</c:v>
                </c:pt>
                <c:pt idx="210">
                  <c:v>0.28360000000000002</c:v>
                </c:pt>
                <c:pt idx="211">
                  <c:v>0.22389999999999999</c:v>
                </c:pt>
                <c:pt idx="212">
                  <c:v>0.22389999999999999</c:v>
                </c:pt>
                <c:pt idx="213">
                  <c:v>0.1343</c:v>
                </c:pt>
                <c:pt idx="214">
                  <c:v>0.25369999999999998</c:v>
                </c:pt>
                <c:pt idx="215">
                  <c:v>0.28360000000000002</c:v>
                </c:pt>
                <c:pt idx="216">
                  <c:v>0.22389999999999999</c:v>
                </c:pt>
                <c:pt idx="217">
                  <c:v>0.28360000000000002</c:v>
                </c:pt>
                <c:pt idx="218">
                  <c:v>0.25369999999999998</c:v>
                </c:pt>
                <c:pt idx="219">
                  <c:v>0.29849999999999999</c:v>
                </c:pt>
                <c:pt idx="220">
                  <c:v>0.28360000000000002</c:v>
                </c:pt>
                <c:pt idx="221">
                  <c:v>0.28360000000000002</c:v>
                </c:pt>
                <c:pt idx="222">
                  <c:v>0.28360000000000002</c:v>
                </c:pt>
                <c:pt idx="223">
                  <c:v>0.22389999999999999</c:v>
                </c:pt>
                <c:pt idx="224">
                  <c:v>0.22389999999999999</c:v>
                </c:pt>
                <c:pt idx="225">
                  <c:v>0.1343</c:v>
                </c:pt>
                <c:pt idx="226">
                  <c:v>0.1045</c:v>
                </c:pt>
                <c:pt idx="227">
                  <c:v>0.22389999999999999</c:v>
                </c:pt>
                <c:pt idx="228">
                  <c:v>0.16420000000000001</c:v>
                </c:pt>
                <c:pt idx="229">
                  <c:v>0.16420000000000001</c:v>
                </c:pt>
                <c:pt idx="230">
                  <c:v>0.19400000000000001</c:v>
                </c:pt>
                <c:pt idx="231">
                  <c:v>0.16420000000000001</c:v>
                </c:pt>
                <c:pt idx="232">
                  <c:v>0.16420000000000001</c:v>
                </c:pt>
                <c:pt idx="233">
                  <c:v>0.1045</c:v>
                </c:pt>
                <c:pt idx="234">
                  <c:v>0.16420000000000001</c:v>
                </c:pt>
                <c:pt idx="235">
                  <c:v>0.19400000000000001</c:v>
                </c:pt>
                <c:pt idx="236">
                  <c:v>0.1343</c:v>
                </c:pt>
                <c:pt idx="237">
                  <c:v>0.1343</c:v>
                </c:pt>
                <c:pt idx="238">
                  <c:v>0</c:v>
                </c:pt>
                <c:pt idx="239">
                  <c:v>8.9599999999999999E-2</c:v>
                </c:pt>
                <c:pt idx="240">
                  <c:v>0.16420000000000001</c:v>
                </c:pt>
                <c:pt idx="241">
                  <c:v>0.16420000000000001</c:v>
                </c:pt>
                <c:pt idx="242">
                  <c:v>0.1343</c:v>
                </c:pt>
                <c:pt idx="243">
                  <c:v>0.1045</c:v>
                </c:pt>
                <c:pt idx="244">
                  <c:v>8.9599999999999999E-2</c:v>
                </c:pt>
                <c:pt idx="245">
                  <c:v>8.9599999999999999E-2</c:v>
                </c:pt>
                <c:pt idx="246">
                  <c:v>8.9599999999999999E-2</c:v>
                </c:pt>
                <c:pt idx="247">
                  <c:v>0.22389999999999999</c:v>
                </c:pt>
                <c:pt idx="248">
                  <c:v>0.22389999999999999</c:v>
                </c:pt>
                <c:pt idx="249">
                  <c:v>0.1045</c:v>
                </c:pt>
                <c:pt idx="250">
                  <c:v>0</c:v>
                </c:pt>
                <c:pt idx="251">
                  <c:v>0.19400000000000001</c:v>
                </c:pt>
                <c:pt idx="252">
                  <c:v>8.9599999999999999E-2</c:v>
                </c:pt>
                <c:pt idx="253">
                  <c:v>0.1045</c:v>
                </c:pt>
                <c:pt idx="254">
                  <c:v>8.9599999999999999E-2</c:v>
                </c:pt>
                <c:pt idx="255">
                  <c:v>8.9599999999999999E-2</c:v>
                </c:pt>
                <c:pt idx="256">
                  <c:v>0.1045</c:v>
                </c:pt>
                <c:pt idx="257">
                  <c:v>0.1343</c:v>
                </c:pt>
                <c:pt idx="258">
                  <c:v>0.16420000000000001</c:v>
                </c:pt>
                <c:pt idx="259">
                  <c:v>0.1343</c:v>
                </c:pt>
                <c:pt idx="260">
                  <c:v>0.1343</c:v>
                </c:pt>
                <c:pt idx="261">
                  <c:v>0.16420000000000001</c:v>
                </c:pt>
                <c:pt idx="262">
                  <c:v>0.32840000000000003</c:v>
                </c:pt>
                <c:pt idx="263">
                  <c:v>0.22389999999999999</c:v>
                </c:pt>
                <c:pt idx="264">
                  <c:v>0.3881</c:v>
                </c:pt>
                <c:pt idx="265">
                  <c:v>0.58209999999999995</c:v>
                </c:pt>
                <c:pt idx="266">
                  <c:v>0.35820000000000002</c:v>
                </c:pt>
                <c:pt idx="267">
                  <c:v>0.32840000000000003</c:v>
                </c:pt>
                <c:pt idx="268">
                  <c:v>0.41789999999999999</c:v>
                </c:pt>
                <c:pt idx="269">
                  <c:v>0.32840000000000003</c:v>
                </c:pt>
                <c:pt idx="270">
                  <c:v>0.35820000000000002</c:v>
                </c:pt>
                <c:pt idx="271">
                  <c:v>0.52239999999999998</c:v>
                </c:pt>
                <c:pt idx="272">
                  <c:v>0.41789999999999999</c:v>
                </c:pt>
                <c:pt idx="273">
                  <c:v>0.32840000000000003</c:v>
                </c:pt>
                <c:pt idx="274">
                  <c:v>0.32840000000000003</c:v>
                </c:pt>
                <c:pt idx="275">
                  <c:v>0.44779999999999998</c:v>
                </c:pt>
                <c:pt idx="276">
                  <c:v>0.41789999999999999</c:v>
                </c:pt>
                <c:pt idx="277">
                  <c:v>0.28360000000000002</c:v>
                </c:pt>
                <c:pt idx="278">
                  <c:v>0.28360000000000002</c:v>
                </c:pt>
                <c:pt idx="279">
                  <c:v>0.35820000000000002</c:v>
                </c:pt>
                <c:pt idx="280">
                  <c:v>0.32840000000000003</c:v>
                </c:pt>
                <c:pt idx="281">
                  <c:v>0.25369999999999998</c:v>
                </c:pt>
                <c:pt idx="282">
                  <c:v>0.29849999999999999</c:v>
                </c:pt>
                <c:pt idx="283">
                  <c:v>0.1343</c:v>
                </c:pt>
                <c:pt idx="284">
                  <c:v>0.1343</c:v>
                </c:pt>
                <c:pt idx="285">
                  <c:v>0.19400000000000001</c:v>
                </c:pt>
                <c:pt idx="286">
                  <c:v>0.32840000000000003</c:v>
                </c:pt>
                <c:pt idx="287">
                  <c:v>0.35820000000000002</c:v>
                </c:pt>
                <c:pt idx="288">
                  <c:v>0.44779999999999998</c:v>
                </c:pt>
                <c:pt idx="289">
                  <c:v>0.41789999999999999</c:v>
                </c:pt>
                <c:pt idx="290">
                  <c:v>0.44779999999999998</c:v>
                </c:pt>
                <c:pt idx="291">
                  <c:v>0.3881</c:v>
                </c:pt>
                <c:pt idx="292">
                  <c:v>0.29849999999999999</c:v>
                </c:pt>
                <c:pt idx="293">
                  <c:v>0.35820000000000002</c:v>
                </c:pt>
                <c:pt idx="294">
                  <c:v>0.28360000000000002</c:v>
                </c:pt>
                <c:pt idx="295">
                  <c:v>0.32840000000000003</c:v>
                </c:pt>
                <c:pt idx="296">
                  <c:v>0.25369999999999998</c:v>
                </c:pt>
                <c:pt idx="297">
                  <c:v>0.22389999999999999</c:v>
                </c:pt>
                <c:pt idx="298">
                  <c:v>0.29849999999999999</c:v>
                </c:pt>
                <c:pt idx="299">
                  <c:v>0.32840000000000003</c:v>
                </c:pt>
                <c:pt idx="300">
                  <c:v>0.19400000000000001</c:v>
                </c:pt>
                <c:pt idx="301">
                  <c:v>0.19400000000000001</c:v>
                </c:pt>
                <c:pt idx="302">
                  <c:v>0.16420000000000001</c:v>
                </c:pt>
                <c:pt idx="303">
                  <c:v>0.1343</c:v>
                </c:pt>
                <c:pt idx="304">
                  <c:v>0.1045</c:v>
                </c:pt>
                <c:pt idx="305">
                  <c:v>8.9599999999999999E-2</c:v>
                </c:pt>
                <c:pt idx="306">
                  <c:v>0</c:v>
                </c:pt>
                <c:pt idx="307">
                  <c:v>0.16420000000000001</c:v>
                </c:pt>
                <c:pt idx="308">
                  <c:v>0</c:v>
                </c:pt>
                <c:pt idx="309">
                  <c:v>0.1343</c:v>
                </c:pt>
                <c:pt idx="310">
                  <c:v>0.19400000000000001</c:v>
                </c:pt>
                <c:pt idx="311">
                  <c:v>0.28360000000000002</c:v>
                </c:pt>
                <c:pt idx="312">
                  <c:v>0.25369999999999998</c:v>
                </c:pt>
                <c:pt idx="313">
                  <c:v>0.3881</c:v>
                </c:pt>
                <c:pt idx="314">
                  <c:v>0.28360000000000002</c:v>
                </c:pt>
                <c:pt idx="315">
                  <c:v>0.16420000000000001</c:v>
                </c:pt>
                <c:pt idx="316">
                  <c:v>0.1045</c:v>
                </c:pt>
                <c:pt idx="317">
                  <c:v>0.16420000000000001</c:v>
                </c:pt>
                <c:pt idx="318">
                  <c:v>0</c:v>
                </c:pt>
                <c:pt idx="319">
                  <c:v>8.9599999999999999E-2</c:v>
                </c:pt>
                <c:pt idx="320">
                  <c:v>0</c:v>
                </c:pt>
                <c:pt idx="321">
                  <c:v>0</c:v>
                </c:pt>
                <c:pt idx="322">
                  <c:v>0</c:v>
                </c:pt>
                <c:pt idx="323">
                  <c:v>0</c:v>
                </c:pt>
                <c:pt idx="324">
                  <c:v>0</c:v>
                </c:pt>
                <c:pt idx="325">
                  <c:v>8.9599999999999999E-2</c:v>
                </c:pt>
                <c:pt idx="326">
                  <c:v>8.9599999999999999E-2</c:v>
                </c:pt>
                <c:pt idx="327">
                  <c:v>0</c:v>
                </c:pt>
                <c:pt idx="328">
                  <c:v>0</c:v>
                </c:pt>
                <c:pt idx="329">
                  <c:v>0</c:v>
                </c:pt>
                <c:pt idx="330">
                  <c:v>0.1045</c:v>
                </c:pt>
                <c:pt idx="331">
                  <c:v>0</c:v>
                </c:pt>
                <c:pt idx="332">
                  <c:v>0.1343</c:v>
                </c:pt>
                <c:pt idx="333">
                  <c:v>0.1343</c:v>
                </c:pt>
                <c:pt idx="334">
                  <c:v>0.16420000000000001</c:v>
                </c:pt>
                <c:pt idx="335">
                  <c:v>0.22389999999999999</c:v>
                </c:pt>
                <c:pt idx="336">
                  <c:v>0.22389999999999999</c:v>
                </c:pt>
                <c:pt idx="337">
                  <c:v>0.29849999999999999</c:v>
                </c:pt>
                <c:pt idx="338">
                  <c:v>0.28360000000000002</c:v>
                </c:pt>
                <c:pt idx="339">
                  <c:v>0.19400000000000001</c:v>
                </c:pt>
                <c:pt idx="340">
                  <c:v>0.19400000000000001</c:v>
                </c:pt>
                <c:pt idx="341">
                  <c:v>0.28360000000000002</c:v>
                </c:pt>
                <c:pt idx="342">
                  <c:v>0.25369999999999998</c:v>
                </c:pt>
                <c:pt idx="343">
                  <c:v>0.25369999999999998</c:v>
                </c:pt>
                <c:pt idx="344">
                  <c:v>0.25369999999999998</c:v>
                </c:pt>
                <c:pt idx="345">
                  <c:v>0.22389999999999999</c:v>
                </c:pt>
                <c:pt idx="346">
                  <c:v>0.1045</c:v>
                </c:pt>
                <c:pt idx="347">
                  <c:v>0.28360000000000002</c:v>
                </c:pt>
                <c:pt idx="348">
                  <c:v>0</c:v>
                </c:pt>
                <c:pt idx="349">
                  <c:v>0.1343</c:v>
                </c:pt>
                <c:pt idx="350">
                  <c:v>8.9599999999999999E-2</c:v>
                </c:pt>
                <c:pt idx="351">
                  <c:v>0</c:v>
                </c:pt>
                <c:pt idx="352">
                  <c:v>0.16420000000000001</c:v>
                </c:pt>
                <c:pt idx="353">
                  <c:v>0.16420000000000001</c:v>
                </c:pt>
                <c:pt idx="354">
                  <c:v>0.16420000000000001</c:v>
                </c:pt>
                <c:pt idx="355">
                  <c:v>0.29849999999999999</c:v>
                </c:pt>
                <c:pt idx="356">
                  <c:v>0.28360000000000002</c:v>
                </c:pt>
                <c:pt idx="357">
                  <c:v>0.25369999999999998</c:v>
                </c:pt>
                <c:pt idx="358">
                  <c:v>0.28360000000000002</c:v>
                </c:pt>
                <c:pt idx="359">
                  <c:v>0.25369999999999998</c:v>
                </c:pt>
                <c:pt idx="360">
                  <c:v>0.28360000000000002</c:v>
                </c:pt>
                <c:pt idx="361">
                  <c:v>0.29849999999999999</c:v>
                </c:pt>
                <c:pt idx="362">
                  <c:v>0.25369999999999998</c:v>
                </c:pt>
                <c:pt idx="363">
                  <c:v>0.25369999999999998</c:v>
                </c:pt>
                <c:pt idx="364">
                  <c:v>0.22389999999999999</c:v>
                </c:pt>
                <c:pt idx="365">
                  <c:v>0.25369999999999998</c:v>
                </c:pt>
                <c:pt idx="366">
                  <c:v>0.16420000000000001</c:v>
                </c:pt>
                <c:pt idx="367">
                  <c:v>0.1343</c:v>
                </c:pt>
                <c:pt idx="368">
                  <c:v>0.16420000000000001</c:v>
                </c:pt>
                <c:pt idx="369">
                  <c:v>0.16420000000000001</c:v>
                </c:pt>
                <c:pt idx="370">
                  <c:v>0.1343</c:v>
                </c:pt>
                <c:pt idx="371">
                  <c:v>0.1045</c:v>
                </c:pt>
                <c:pt idx="372">
                  <c:v>0.22389999999999999</c:v>
                </c:pt>
                <c:pt idx="373">
                  <c:v>0.19400000000000001</c:v>
                </c:pt>
                <c:pt idx="374">
                  <c:v>0.25369999999999998</c:v>
                </c:pt>
                <c:pt idx="375">
                  <c:v>0.19400000000000001</c:v>
                </c:pt>
                <c:pt idx="376">
                  <c:v>0.1343</c:v>
                </c:pt>
                <c:pt idx="377">
                  <c:v>0.16420000000000001</c:v>
                </c:pt>
                <c:pt idx="378">
                  <c:v>0.19400000000000001</c:v>
                </c:pt>
                <c:pt idx="379">
                  <c:v>0.1343</c:v>
                </c:pt>
                <c:pt idx="380">
                  <c:v>0.22389999999999999</c:v>
                </c:pt>
                <c:pt idx="381">
                  <c:v>0.22389999999999999</c:v>
                </c:pt>
                <c:pt idx="382">
                  <c:v>0.25369999999999998</c:v>
                </c:pt>
                <c:pt idx="383">
                  <c:v>0.19400000000000001</c:v>
                </c:pt>
                <c:pt idx="384">
                  <c:v>0.1343</c:v>
                </c:pt>
                <c:pt idx="385">
                  <c:v>0.1343</c:v>
                </c:pt>
                <c:pt idx="386">
                  <c:v>0.1045</c:v>
                </c:pt>
                <c:pt idx="387">
                  <c:v>0.16420000000000001</c:v>
                </c:pt>
                <c:pt idx="388">
                  <c:v>0.16420000000000001</c:v>
                </c:pt>
                <c:pt idx="389">
                  <c:v>0.19400000000000001</c:v>
                </c:pt>
                <c:pt idx="390">
                  <c:v>0.25369999999999998</c:v>
                </c:pt>
                <c:pt idx="391">
                  <c:v>0.19400000000000001</c:v>
                </c:pt>
                <c:pt idx="392">
                  <c:v>0.19400000000000001</c:v>
                </c:pt>
                <c:pt idx="393">
                  <c:v>0.19400000000000001</c:v>
                </c:pt>
                <c:pt idx="394">
                  <c:v>0.25369999999999998</c:v>
                </c:pt>
                <c:pt idx="395">
                  <c:v>0.28360000000000002</c:v>
                </c:pt>
                <c:pt idx="396">
                  <c:v>0.32840000000000003</c:v>
                </c:pt>
                <c:pt idx="397">
                  <c:v>0.22389999999999999</c:v>
                </c:pt>
                <c:pt idx="398">
                  <c:v>0.16420000000000001</c:v>
                </c:pt>
                <c:pt idx="399">
                  <c:v>0.16420000000000001</c:v>
                </c:pt>
                <c:pt idx="400">
                  <c:v>0.19400000000000001</c:v>
                </c:pt>
                <c:pt idx="401">
                  <c:v>0.19400000000000001</c:v>
                </c:pt>
                <c:pt idx="402">
                  <c:v>0.16420000000000001</c:v>
                </c:pt>
                <c:pt idx="403">
                  <c:v>0.1343</c:v>
                </c:pt>
                <c:pt idx="404">
                  <c:v>0</c:v>
                </c:pt>
                <c:pt idx="405">
                  <c:v>0.1045</c:v>
                </c:pt>
                <c:pt idx="406">
                  <c:v>8.9599999999999999E-2</c:v>
                </c:pt>
                <c:pt idx="407">
                  <c:v>0</c:v>
                </c:pt>
                <c:pt idx="408">
                  <c:v>0</c:v>
                </c:pt>
                <c:pt idx="409">
                  <c:v>0.1343</c:v>
                </c:pt>
                <c:pt idx="410">
                  <c:v>0.1343</c:v>
                </c:pt>
                <c:pt idx="411">
                  <c:v>0.1343</c:v>
                </c:pt>
                <c:pt idx="412">
                  <c:v>8.9599999999999999E-2</c:v>
                </c:pt>
                <c:pt idx="413">
                  <c:v>8.9599999999999999E-2</c:v>
                </c:pt>
                <c:pt idx="414">
                  <c:v>0.1045</c:v>
                </c:pt>
                <c:pt idx="415">
                  <c:v>0.1045</c:v>
                </c:pt>
                <c:pt idx="416">
                  <c:v>0.1045</c:v>
                </c:pt>
                <c:pt idx="417">
                  <c:v>0.1343</c:v>
                </c:pt>
                <c:pt idx="418">
                  <c:v>8.9599999999999999E-2</c:v>
                </c:pt>
                <c:pt idx="419">
                  <c:v>8.9599999999999999E-2</c:v>
                </c:pt>
                <c:pt idx="420">
                  <c:v>0.28360000000000002</c:v>
                </c:pt>
                <c:pt idx="421">
                  <c:v>0.25369999999999998</c:v>
                </c:pt>
                <c:pt idx="422">
                  <c:v>0.28360000000000002</c:v>
                </c:pt>
                <c:pt idx="423">
                  <c:v>0.3881</c:v>
                </c:pt>
                <c:pt idx="424">
                  <c:v>0.32840000000000003</c:v>
                </c:pt>
                <c:pt idx="425">
                  <c:v>0.28360000000000002</c:v>
                </c:pt>
                <c:pt idx="426">
                  <c:v>0.41789999999999999</c:v>
                </c:pt>
                <c:pt idx="427">
                  <c:v>0.29849999999999999</c:v>
                </c:pt>
                <c:pt idx="428">
                  <c:v>0.41789999999999999</c:v>
                </c:pt>
                <c:pt idx="429">
                  <c:v>0.16420000000000001</c:v>
                </c:pt>
                <c:pt idx="430">
                  <c:v>0.4627</c:v>
                </c:pt>
                <c:pt idx="431">
                  <c:v>0.3881</c:v>
                </c:pt>
                <c:pt idx="432">
                  <c:v>0</c:v>
                </c:pt>
                <c:pt idx="433">
                  <c:v>0</c:v>
                </c:pt>
                <c:pt idx="434">
                  <c:v>0.16420000000000001</c:v>
                </c:pt>
                <c:pt idx="435">
                  <c:v>0.16420000000000001</c:v>
                </c:pt>
                <c:pt idx="436">
                  <c:v>0.22389999999999999</c:v>
                </c:pt>
                <c:pt idx="437">
                  <c:v>0.22389999999999999</c:v>
                </c:pt>
                <c:pt idx="438">
                  <c:v>0.22389999999999999</c:v>
                </c:pt>
                <c:pt idx="439">
                  <c:v>0.28360000000000002</c:v>
                </c:pt>
                <c:pt idx="440">
                  <c:v>0.22389999999999999</c:v>
                </c:pt>
                <c:pt idx="441">
                  <c:v>0.29849999999999999</c:v>
                </c:pt>
                <c:pt idx="442">
                  <c:v>0.16420000000000001</c:v>
                </c:pt>
                <c:pt idx="443">
                  <c:v>0</c:v>
                </c:pt>
                <c:pt idx="444">
                  <c:v>0.1045</c:v>
                </c:pt>
                <c:pt idx="445">
                  <c:v>0.1343</c:v>
                </c:pt>
                <c:pt idx="446">
                  <c:v>0.19400000000000001</c:v>
                </c:pt>
                <c:pt idx="447">
                  <c:v>0.1343</c:v>
                </c:pt>
                <c:pt idx="448">
                  <c:v>0.1045</c:v>
                </c:pt>
                <c:pt idx="449">
                  <c:v>0.19400000000000001</c:v>
                </c:pt>
                <c:pt idx="450">
                  <c:v>0.32840000000000003</c:v>
                </c:pt>
                <c:pt idx="451">
                  <c:v>0.28360000000000002</c:v>
                </c:pt>
                <c:pt idx="452">
                  <c:v>0.25369999999999998</c:v>
                </c:pt>
                <c:pt idx="453">
                  <c:v>0.28360000000000002</c:v>
                </c:pt>
                <c:pt idx="454">
                  <c:v>0.32840000000000003</c:v>
                </c:pt>
                <c:pt idx="455">
                  <c:v>0.25369999999999998</c:v>
                </c:pt>
                <c:pt idx="456">
                  <c:v>0.25369999999999998</c:v>
                </c:pt>
                <c:pt idx="457">
                  <c:v>0.16420000000000001</c:v>
                </c:pt>
                <c:pt idx="458">
                  <c:v>0.29849999999999999</c:v>
                </c:pt>
                <c:pt idx="459">
                  <c:v>8.9599999999999999E-2</c:v>
                </c:pt>
                <c:pt idx="460">
                  <c:v>0.41789999999999999</c:v>
                </c:pt>
                <c:pt idx="461">
                  <c:v>0.25369999999999998</c:v>
                </c:pt>
                <c:pt idx="462">
                  <c:v>0.28360000000000002</c:v>
                </c:pt>
                <c:pt idx="463">
                  <c:v>0.32840000000000003</c:v>
                </c:pt>
                <c:pt idx="464">
                  <c:v>0.35820000000000002</c:v>
                </c:pt>
                <c:pt idx="465">
                  <c:v>0.4627</c:v>
                </c:pt>
                <c:pt idx="466">
                  <c:v>0.4627</c:v>
                </c:pt>
                <c:pt idx="467">
                  <c:v>0.58209999999999995</c:v>
                </c:pt>
                <c:pt idx="468">
                  <c:v>0.58209999999999995</c:v>
                </c:pt>
                <c:pt idx="469">
                  <c:v>0.52239999999999998</c:v>
                </c:pt>
                <c:pt idx="470">
                  <c:v>0.44779999999999998</c:v>
                </c:pt>
                <c:pt idx="471">
                  <c:v>0.35820000000000002</c:v>
                </c:pt>
                <c:pt idx="472">
                  <c:v>0.35820000000000002</c:v>
                </c:pt>
                <c:pt idx="473">
                  <c:v>0.25369999999999998</c:v>
                </c:pt>
                <c:pt idx="474">
                  <c:v>0.32840000000000003</c:v>
                </c:pt>
                <c:pt idx="475">
                  <c:v>0.41789999999999999</c:v>
                </c:pt>
                <c:pt idx="476">
                  <c:v>0.28360000000000002</c:v>
                </c:pt>
                <c:pt idx="477">
                  <c:v>0.3881</c:v>
                </c:pt>
                <c:pt idx="478">
                  <c:v>0.32840000000000003</c:v>
                </c:pt>
                <c:pt idx="479">
                  <c:v>0.25369999999999998</c:v>
                </c:pt>
                <c:pt idx="480">
                  <c:v>0.3881</c:v>
                </c:pt>
                <c:pt idx="481">
                  <c:v>0.25369999999999998</c:v>
                </c:pt>
                <c:pt idx="482">
                  <c:v>0.28360000000000002</c:v>
                </c:pt>
                <c:pt idx="483">
                  <c:v>0.29849999999999999</c:v>
                </c:pt>
                <c:pt idx="484">
                  <c:v>0.22389999999999999</c:v>
                </c:pt>
                <c:pt idx="485">
                  <c:v>0.28360000000000002</c:v>
                </c:pt>
                <c:pt idx="486">
                  <c:v>0.32840000000000003</c:v>
                </c:pt>
                <c:pt idx="487">
                  <c:v>0.25369999999999998</c:v>
                </c:pt>
                <c:pt idx="488">
                  <c:v>0.16420000000000001</c:v>
                </c:pt>
                <c:pt idx="489">
                  <c:v>0.1343</c:v>
                </c:pt>
                <c:pt idx="490">
                  <c:v>0.1045</c:v>
                </c:pt>
                <c:pt idx="491">
                  <c:v>0</c:v>
                </c:pt>
                <c:pt idx="492">
                  <c:v>0.1045</c:v>
                </c:pt>
                <c:pt idx="493">
                  <c:v>0</c:v>
                </c:pt>
                <c:pt idx="494">
                  <c:v>0.19400000000000001</c:v>
                </c:pt>
                <c:pt idx="495">
                  <c:v>0</c:v>
                </c:pt>
                <c:pt idx="496">
                  <c:v>0.19400000000000001</c:v>
                </c:pt>
                <c:pt idx="497">
                  <c:v>0.1343</c:v>
                </c:pt>
                <c:pt idx="498">
                  <c:v>0.16420000000000001</c:v>
                </c:pt>
                <c:pt idx="499">
                  <c:v>8.9599999999999999E-2</c:v>
                </c:pt>
                <c:pt idx="500">
                  <c:v>0</c:v>
                </c:pt>
                <c:pt idx="501">
                  <c:v>0.1045</c:v>
                </c:pt>
                <c:pt idx="502">
                  <c:v>0.1045</c:v>
                </c:pt>
                <c:pt idx="503">
                  <c:v>0.1045</c:v>
                </c:pt>
                <c:pt idx="504">
                  <c:v>0.1343</c:v>
                </c:pt>
                <c:pt idx="505">
                  <c:v>0.1343</c:v>
                </c:pt>
                <c:pt idx="506">
                  <c:v>0.1045</c:v>
                </c:pt>
                <c:pt idx="507">
                  <c:v>0.1045</c:v>
                </c:pt>
                <c:pt idx="508">
                  <c:v>0.16420000000000001</c:v>
                </c:pt>
                <c:pt idx="509">
                  <c:v>0.16420000000000001</c:v>
                </c:pt>
                <c:pt idx="510">
                  <c:v>0.35820000000000002</c:v>
                </c:pt>
                <c:pt idx="511">
                  <c:v>0.3881</c:v>
                </c:pt>
                <c:pt idx="512">
                  <c:v>0.22389999999999999</c:v>
                </c:pt>
                <c:pt idx="513">
                  <c:v>0.4627</c:v>
                </c:pt>
                <c:pt idx="514">
                  <c:v>0.3881</c:v>
                </c:pt>
                <c:pt idx="515">
                  <c:v>0.35820000000000002</c:v>
                </c:pt>
                <c:pt idx="516">
                  <c:v>0.35820000000000002</c:v>
                </c:pt>
                <c:pt idx="517">
                  <c:v>0.32840000000000003</c:v>
                </c:pt>
                <c:pt idx="518">
                  <c:v>0.3881</c:v>
                </c:pt>
                <c:pt idx="519">
                  <c:v>0.25369999999999998</c:v>
                </c:pt>
                <c:pt idx="520">
                  <c:v>0.28360000000000002</c:v>
                </c:pt>
                <c:pt idx="521">
                  <c:v>0.25369999999999998</c:v>
                </c:pt>
                <c:pt idx="522">
                  <c:v>0.19400000000000001</c:v>
                </c:pt>
                <c:pt idx="523">
                  <c:v>0.19400000000000001</c:v>
                </c:pt>
                <c:pt idx="524">
                  <c:v>0.22389999999999999</c:v>
                </c:pt>
                <c:pt idx="525">
                  <c:v>0.19400000000000001</c:v>
                </c:pt>
                <c:pt idx="526">
                  <c:v>0.19400000000000001</c:v>
                </c:pt>
                <c:pt idx="527">
                  <c:v>0.25369999999999998</c:v>
                </c:pt>
                <c:pt idx="528">
                  <c:v>0.1343</c:v>
                </c:pt>
                <c:pt idx="529">
                  <c:v>0.1343</c:v>
                </c:pt>
                <c:pt idx="530">
                  <c:v>8.9599999999999999E-2</c:v>
                </c:pt>
                <c:pt idx="531">
                  <c:v>0</c:v>
                </c:pt>
                <c:pt idx="532">
                  <c:v>0</c:v>
                </c:pt>
                <c:pt idx="533">
                  <c:v>0</c:v>
                </c:pt>
                <c:pt idx="534">
                  <c:v>0</c:v>
                </c:pt>
                <c:pt idx="535">
                  <c:v>0.1343</c:v>
                </c:pt>
                <c:pt idx="536">
                  <c:v>0.19400000000000001</c:v>
                </c:pt>
                <c:pt idx="537">
                  <c:v>0.22389999999999999</c:v>
                </c:pt>
                <c:pt idx="538">
                  <c:v>0.22389999999999999</c:v>
                </c:pt>
                <c:pt idx="539">
                  <c:v>0.16420000000000001</c:v>
                </c:pt>
                <c:pt idx="540">
                  <c:v>0.25369999999999998</c:v>
                </c:pt>
                <c:pt idx="541">
                  <c:v>0.25369999999999998</c:v>
                </c:pt>
                <c:pt idx="542">
                  <c:v>0.19400000000000001</c:v>
                </c:pt>
                <c:pt idx="543">
                  <c:v>0.16420000000000001</c:v>
                </c:pt>
                <c:pt idx="544">
                  <c:v>0.19400000000000001</c:v>
                </c:pt>
                <c:pt idx="545">
                  <c:v>0.16420000000000001</c:v>
                </c:pt>
                <c:pt idx="546">
                  <c:v>0.22389999999999999</c:v>
                </c:pt>
                <c:pt idx="547">
                  <c:v>0.25369999999999998</c:v>
                </c:pt>
                <c:pt idx="548">
                  <c:v>0.28360000000000002</c:v>
                </c:pt>
                <c:pt idx="549">
                  <c:v>0.16420000000000001</c:v>
                </c:pt>
                <c:pt idx="550">
                  <c:v>0.22389999999999999</c:v>
                </c:pt>
                <c:pt idx="551">
                  <c:v>0.1045</c:v>
                </c:pt>
                <c:pt idx="552">
                  <c:v>0.22389999999999999</c:v>
                </c:pt>
                <c:pt idx="553">
                  <c:v>0.1045</c:v>
                </c:pt>
                <c:pt idx="554">
                  <c:v>0.22389999999999999</c:v>
                </c:pt>
                <c:pt idx="555">
                  <c:v>0.1343</c:v>
                </c:pt>
                <c:pt idx="556">
                  <c:v>8.9599999999999999E-2</c:v>
                </c:pt>
                <c:pt idx="557">
                  <c:v>0.1045</c:v>
                </c:pt>
                <c:pt idx="558">
                  <c:v>0.1343</c:v>
                </c:pt>
                <c:pt idx="559">
                  <c:v>8.9599999999999999E-2</c:v>
                </c:pt>
                <c:pt idx="560">
                  <c:v>0.1343</c:v>
                </c:pt>
                <c:pt idx="561">
                  <c:v>0</c:v>
                </c:pt>
                <c:pt idx="562">
                  <c:v>0</c:v>
                </c:pt>
                <c:pt idx="563">
                  <c:v>0</c:v>
                </c:pt>
                <c:pt idx="564">
                  <c:v>0</c:v>
                </c:pt>
                <c:pt idx="565">
                  <c:v>8.9599999999999999E-2</c:v>
                </c:pt>
                <c:pt idx="566">
                  <c:v>0.16420000000000001</c:v>
                </c:pt>
                <c:pt idx="567">
                  <c:v>0.19400000000000001</c:v>
                </c:pt>
                <c:pt idx="568">
                  <c:v>0.19400000000000001</c:v>
                </c:pt>
                <c:pt idx="569">
                  <c:v>0.16420000000000001</c:v>
                </c:pt>
                <c:pt idx="570">
                  <c:v>0.16420000000000001</c:v>
                </c:pt>
                <c:pt idx="571">
                  <c:v>0.1343</c:v>
                </c:pt>
                <c:pt idx="572">
                  <c:v>0.1343</c:v>
                </c:pt>
                <c:pt idx="573">
                  <c:v>0.19400000000000001</c:v>
                </c:pt>
                <c:pt idx="574">
                  <c:v>0.28360000000000002</c:v>
                </c:pt>
                <c:pt idx="575">
                  <c:v>0.28360000000000002</c:v>
                </c:pt>
                <c:pt idx="576">
                  <c:v>0.29849999999999999</c:v>
                </c:pt>
                <c:pt idx="577">
                  <c:v>0.29849999999999999</c:v>
                </c:pt>
                <c:pt idx="578">
                  <c:v>0.29849999999999999</c:v>
                </c:pt>
                <c:pt idx="579">
                  <c:v>0.28360000000000002</c:v>
                </c:pt>
                <c:pt idx="580">
                  <c:v>0.32840000000000003</c:v>
                </c:pt>
                <c:pt idx="581">
                  <c:v>0.32840000000000003</c:v>
                </c:pt>
                <c:pt idx="582">
                  <c:v>0.32840000000000003</c:v>
                </c:pt>
                <c:pt idx="583">
                  <c:v>0.35820000000000002</c:v>
                </c:pt>
                <c:pt idx="584">
                  <c:v>0.4627</c:v>
                </c:pt>
                <c:pt idx="585">
                  <c:v>0.32840000000000003</c:v>
                </c:pt>
                <c:pt idx="586">
                  <c:v>0.35820000000000002</c:v>
                </c:pt>
                <c:pt idx="587">
                  <c:v>0.19400000000000001</c:v>
                </c:pt>
                <c:pt idx="588">
                  <c:v>0.1045</c:v>
                </c:pt>
                <c:pt idx="589">
                  <c:v>8.9599999999999999E-2</c:v>
                </c:pt>
                <c:pt idx="590">
                  <c:v>8.9599999999999999E-2</c:v>
                </c:pt>
                <c:pt idx="591">
                  <c:v>8.9599999999999999E-2</c:v>
                </c:pt>
                <c:pt idx="592">
                  <c:v>8.9599999999999999E-2</c:v>
                </c:pt>
                <c:pt idx="593">
                  <c:v>8.9599999999999999E-2</c:v>
                </c:pt>
                <c:pt idx="594">
                  <c:v>0.16420000000000001</c:v>
                </c:pt>
                <c:pt idx="595">
                  <c:v>0.1343</c:v>
                </c:pt>
                <c:pt idx="596">
                  <c:v>0.1343</c:v>
                </c:pt>
                <c:pt idx="597">
                  <c:v>0.16420000000000001</c:v>
                </c:pt>
                <c:pt idx="598">
                  <c:v>0.1045</c:v>
                </c:pt>
                <c:pt idx="599">
                  <c:v>0.1045</c:v>
                </c:pt>
                <c:pt idx="600">
                  <c:v>0.1343</c:v>
                </c:pt>
                <c:pt idx="601">
                  <c:v>8.9599999999999999E-2</c:v>
                </c:pt>
                <c:pt idx="602">
                  <c:v>8.9599999999999999E-2</c:v>
                </c:pt>
                <c:pt idx="603">
                  <c:v>8.9599999999999999E-2</c:v>
                </c:pt>
                <c:pt idx="604">
                  <c:v>0.1045</c:v>
                </c:pt>
                <c:pt idx="605">
                  <c:v>0.1045</c:v>
                </c:pt>
                <c:pt idx="606">
                  <c:v>0.1045</c:v>
                </c:pt>
                <c:pt idx="607">
                  <c:v>0.1045</c:v>
                </c:pt>
                <c:pt idx="608">
                  <c:v>0</c:v>
                </c:pt>
                <c:pt idx="609">
                  <c:v>0</c:v>
                </c:pt>
                <c:pt idx="610">
                  <c:v>0</c:v>
                </c:pt>
                <c:pt idx="611">
                  <c:v>0.1343</c:v>
                </c:pt>
                <c:pt idx="612">
                  <c:v>0.19400000000000001</c:v>
                </c:pt>
                <c:pt idx="613">
                  <c:v>0.1343</c:v>
                </c:pt>
                <c:pt idx="614">
                  <c:v>0.19400000000000001</c:v>
                </c:pt>
                <c:pt idx="615">
                  <c:v>0.1343</c:v>
                </c:pt>
                <c:pt idx="616">
                  <c:v>0.35820000000000002</c:v>
                </c:pt>
                <c:pt idx="617">
                  <c:v>0.22389999999999999</c:v>
                </c:pt>
                <c:pt idx="618">
                  <c:v>0.35820000000000002</c:v>
                </c:pt>
                <c:pt idx="619">
                  <c:v>0.19400000000000001</c:v>
                </c:pt>
                <c:pt idx="620">
                  <c:v>0.16420000000000001</c:v>
                </c:pt>
                <c:pt idx="621">
                  <c:v>0.1343</c:v>
                </c:pt>
                <c:pt idx="622">
                  <c:v>0.1045</c:v>
                </c:pt>
                <c:pt idx="623">
                  <c:v>0.1343</c:v>
                </c:pt>
                <c:pt idx="624">
                  <c:v>0.1045</c:v>
                </c:pt>
                <c:pt idx="625">
                  <c:v>0.16420000000000001</c:v>
                </c:pt>
                <c:pt idx="626">
                  <c:v>8.9599999999999999E-2</c:v>
                </c:pt>
                <c:pt idx="627">
                  <c:v>0.1045</c:v>
                </c:pt>
                <c:pt idx="628">
                  <c:v>0.1343</c:v>
                </c:pt>
                <c:pt idx="629">
                  <c:v>0.19400000000000001</c:v>
                </c:pt>
                <c:pt idx="630">
                  <c:v>0.16420000000000001</c:v>
                </c:pt>
                <c:pt idx="631">
                  <c:v>0.1343</c:v>
                </c:pt>
                <c:pt idx="632">
                  <c:v>0.25369999999999998</c:v>
                </c:pt>
                <c:pt idx="633">
                  <c:v>0.16420000000000001</c:v>
                </c:pt>
                <c:pt idx="634">
                  <c:v>0</c:v>
                </c:pt>
                <c:pt idx="635">
                  <c:v>0.1343</c:v>
                </c:pt>
                <c:pt idx="636">
                  <c:v>0.25369999999999998</c:v>
                </c:pt>
                <c:pt idx="637">
                  <c:v>8.9599999999999999E-2</c:v>
                </c:pt>
                <c:pt idx="638">
                  <c:v>8.9599999999999999E-2</c:v>
                </c:pt>
                <c:pt idx="639">
                  <c:v>8.9599999999999999E-2</c:v>
                </c:pt>
                <c:pt idx="640">
                  <c:v>8.9599999999999999E-2</c:v>
                </c:pt>
                <c:pt idx="641">
                  <c:v>0.1045</c:v>
                </c:pt>
                <c:pt idx="642">
                  <c:v>0</c:v>
                </c:pt>
                <c:pt idx="643">
                  <c:v>0</c:v>
                </c:pt>
                <c:pt idx="644">
                  <c:v>0</c:v>
                </c:pt>
                <c:pt idx="645">
                  <c:v>0</c:v>
                </c:pt>
                <c:pt idx="646">
                  <c:v>0</c:v>
                </c:pt>
                <c:pt idx="647">
                  <c:v>0</c:v>
                </c:pt>
                <c:pt idx="648">
                  <c:v>0</c:v>
                </c:pt>
                <c:pt idx="649">
                  <c:v>0</c:v>
                </c:pt>
                <c:pt idx="650">
                  <c:v>0</c:v>
                </c:pt>
                <c:pt idx="651">
                  <c:v>0</c:v>
                </c:pt>
                <c:pt idx="652">
                  <c:v>0.1045</c:v>
                </c:pt>
                <c:pt idx="653">
                  <c:v>0.1045</c:v>
                </c:pt>
                <c:pt idx="654">
                  <c:v>8.9599999999999999E-2</c:v>
                </c:pt>
                <c:pt idx="655">
                  <c:v>0</c:v>
                </c:pt>
                <c:pt idx="656">
                  <c:v>0</c:v>
                </c:pt>
                <c:pt idx="657">
                  <c:v>0.19400000000000001</c:v>
                </c:pt>
                <c:pt idx="658">
                  <c:v>0.16420000000000001</c:v>
                </c:pt>
                <c:pt idx="659">
                  <c:v>0.19400000000000001</c:v>
                </c:pt>
                <c:pt idx="660">
                  <c:v>0.1045</c:v>
                </c:pt>
                <c:pt idx="661">
                  <c:v>0.16420000000000001</c:v>
                </c:pt>
                <c:pt idx="662">
                  <c:v>0.19400000000000001</c:v>
                </c:pt>
                <c:pt idx="663">
                  <c:v>0.28360000000000002</c:v>
                </c:pt>
                <c:pt idx="664">
                  <c:v>0.22389999999999999</c:v>
                </c:pt>
                <c:pt idx="665">
                  <c:v>0.25369999999999998</c:v>
                </c:pt>
                <c:pt idx="666">
                  <c:v>0.19400000000000001</c:v>
                </c:pt>
                <c:pt idx="667">
                  <c:v>0.19400000000000001</c:v>
                </c:pt>
                <c:pt idx="668">
                  <c:v>0.22389999999999999</c:v>
                </c:pt>
                <c:pt idx="669">
                  <c:v>0.28360000000000002</c:v>
                </c:pt>
                <c:pt idx="670">
                  <c:v>0.32840000000000003</c:v>
                </c:pt>
                <c:pt idx="671">
                  <c:v>0.28360000000000002</c:v>
                </c:pt>
                <c:pt idx="672">
                  <c:v>0.28360000000000002</c:v>
                </c:pt>
                <c:pt idx="673">
                  <c:v>0.29849999999999999</c:v>
                </c:pt>
                <c:pt idx="674">
                  <c:v>0.19400000000000001</c:v>
                </c:pt>
                <c:pt idx="675">
                  <c:v>0.19400000000000001</c:v>
                </c:pt>
                <c:pt idx="676">
                  <c:v>0.1045</c:v>
                </c:pt>
                <c:pt idx="677">
                  <c:v>0</c:v>
                </c:pt>
                <c:pt idx="678">
                  <c:v>0.1343</c:v>
                </c:pt>
                <c:pt idx="679">
                  <c:v>0.1343</c:v>
                </c:pt>
                <c:pt idx="680">
                  <c:v>0.19400000000000001</c:v>
                </c:pt>
                <c:pt idx="681">
                  <c:v>0.19400000000000001</c:v>
                </c:pt>
                <c:pt idx="682">
                  <c:v>0.22389999999999999</c:v>
                </c:pt>
                <c:pt idx="683">
                  <c:v>0.1045</c:v>
                </c:pt>
                <c:pt idx="684">
                  <c:v>0.16420000000000001</c:v>
                </c:pt>
                <c:pt idx="685">
                  <c:v>8.9599999999999999E-2</c:v>
                </c:pt>
                <c:pt idx="686">
                  <c:v>0.1045</c:v>
                </c:pt>
                <c:pt idx="687">
                  <c:v>8.9599999999999999E-2</c:v>
                </c:pt>
                <c:pt idx="688">
                  <c:v>0.1045</c:v>
                </c:pt>
                <c:pt idx="689">
                  <c:v>0.1045</c:v>
                </c:pt>
                <c:pt idx="690">
                  <c:v>0</c:v>
                </c:pt>
                <c:pt idx="691">
                  <c:v>0</c:v>
                </c:pt>
                <c:pt idx="692">
                  <c:v>0</c:v>
                </c:pt>
                <c:pt idx="693">
                  <c:v>0</c:v>
                </c:pt>
                <c:pt idx="694">
                  <c:v>0</c:v>
                </c:pt>
                <c:pt idx="695">
                  <c:v>0</c:v>
                </c:pt>
                <c:pt idx="696">
                  <c:v>0</c:v>
                </c:pt>
                <c:pt idx="697">
                  <c:v>0</c:v>
                </c:pt>
                <c:pt idx="698">
                  <c:v>0</c:v>
                </c:pt>
                <c:pt idx="699">
                  <c:v>0</c:v>
                </c:pt>
                <c:pt idx="700">
                  <c:v>0</c:v>
                </c:pt>
                <c:pt idx="701">
                  <c:v>8.9599999999999999E-2</c:v>
                </c:pt>
                <c:pt idx="702">
                  <c:v>0</c:v>
                </c:pt>
                <c:pt idx="703">
                  <c:v>0.1343</c:v>
                </c:pt>
                <c:pt idx="704">
                  <c:v>0</c:v>
                </c:pt>
                <c:pt idx="705">
                  <c:v>0.1045</c:v>
                </c:pt>
                <c:pt idx="706">
                  <c:v>0.1343</c:v>
                </c:pt>
                <c:pt idx="707">
                  <c:v>0.1343</c:v>
                </c:pt>
                <c:pt idx="708">
                  <c:v>0.1343</c:v>
                </c:pt>
                <c:pt idx="709">
                  <c:v>8.9599999999999999E-2</c:v>
                </c:pt>
                <c:pt idx="710">
                  <c:v>0.19400000000000001</c:v>
                </c:pt>
                <c:pt idx="711">
                  <c:v>0.1045</c:v>
                </c:pt>
                <c:pt idx="712">
                  <c:v>0.19400000000000001</c:v>
                </c:pt>
                <c:pt idx="713">
                  <c:v>0.1343</c:v>
                </c:pt>
                <c:pt idx="714">
                  <c:v>0.1343</c:v>
                </c:pt>
                <c:pt idx="715">
                  <c:v>0.28360000000000002</c:v>
                </c:pt>
                <c:pt idx="716">
                  <c:v>0.1045</c:v>
                </c:pt>
                <c:pt idx="717">
                  <c:v>0.1045</c:v>
                </c:pt>
                <c:pt idx="718">
                  <c:v>0.22389999999999999</c:v>
                </c:pt>
                <c:pt idx="719">
                  <c:v>0.22389999999999999</c:v>
                </c:pt>
                <c:pt idx="720">
                  <c:v>8.9599999999999999E-2</c:v>
                </c:pt>
                <c:pt idx="721">
                  <c:v>0</c:v>
                </c:pt>
                <c:pt idx="722">
                  <c:v>0.19400000000000001</c:v>
                </c:pt>
                <c:pt idx="723">
                  <c:v>0.22389999999999999</c:v>
                </c:pt>
                <c:pt idx="724">
                  <c:v>0.16420000000000001</c:v>
                </c:pt>
                <c:pt idx="725">
                  <c:v>0.3881</c:v>
                </c:pt>
                <c:pt idx="726">
                  <c:v>0.32840000000000003</c:v>
                </c:pt>
                <c:pt idx="727">
                  <c:v>0.29849999999999999</c:v>
                </c:pt>
                <c:pt idx="728">
                  <c:v>0.52239999999999998</c:v>
                </c:pt>
                <c:pt idx="729">
                  <c:v>0.55220000000000002</c:v>
                </c:pt>
                <c:pt idx="730">
                  <c:v>0.49249999999999999</c:v>
                </c:pt>
                <c:pt idx="731">
                  <c:v>0.55220000000000002</c:v>
                </c:pt>
                <c:pt idx="732">
                  <c:v>0.32840000000000003</c:v>
                </c:pt>
                <c:pt idx="733">
                  <c:v>0.25369999999999998</c:v>
                </c:pt>
                <c:pt idx="734">
                  <c:v>0.44779999999999998</c:v>
                </c:pt>
                <c:pt idx="735">
                  <c:v>0.44779999999999998</c:v>
                </c:pt>
                <c:pt idx="736">
                  <c:v>0.52239999999999998</c:v>
                </c:pt>
                <c:pt idx="737">
                  <c:v>0.25369999999999998</c:v>
                </c:pt>
                <c:pt idx="738">
                  <c:v>0.25369999999999998</c:v>
                </c:pt>
                <c:pt idx="739">
                  <c:v>0.29849999999999999</c:v>
                </c:pt>
                <c:pt idx="740">
                  <c:v>0.35820000000000002</c:v>
                </c:pt>
                <c:pt idx="741">
                  <c:v>0.32840000000000003</c:v>
                </c:pt>
                <c:pt idx="742">
                  <c:v>0.35820000000000002</c:v>
                </c:pt>
                <c:pt idx="743">
                  <c:v>0.29849999999999999</c:v>
                </c:pt>
                <c:pt idx="744">
                  <c:v>0.32840000000000003</c:v>
                </c:pt>
                <c:pt idx="745">
                  <c:v>0.44779999999999998</c:v>
                </c:pt>
                <c:pt idx="746">
                  <c:v>0.35820000000000002</c:v>
                </c:pt>
                <c:pt idx="747">
                  <c:v>0.41789999999999999</c:v>
                </c:pt>
                <c:pt idx="748">
                  <c:v>0.3881</c:v>
                </c:pt>
                <c:pt idx="749">
                  <c:v>0.32840000000000003</c:v>
                </c:pt>
                <c:pt idx="750">
                  <c:v>0.25369999999999998</c:v>
                </c:pt>
                <c:pt idx="751">
                  <c:v>0.19400000000000001</c:v>
                </c:pt>
                <c:pt idx="752">
                  <c:v>0.16420000000000001</c:v>
                </c:pt>
                <c:pt idx="753">
                  <c:v>0</c:v>
                </c:pt>
                <c:pt idx="754">
                  <c:v>8.9599999999999999E-2</c:v>
                </c:pt>
                <c:pt idx="755">
                  <c:v>0.1045</c:v>
                </c:pt>
                <c:pt idx="756">
                  <c:v>8.9599999999999999E-2</c:v>
                </c:pt>
                <c:pt idx="757">
                  <c:v>0.1045</c:v>
                </c:pt>
                <c:pt idx="758">
                  <c:v>0</c:v>
                </c:pt>
                <c:pt idx="759">
                  <c:v>0</c:v>
                </c:pt>
                <c:pt idx="760">
                  <c:v>0.1045</c:v>
                </c:pt>
                <c:pt idx="761">
                  <c:v>0.1045</c:v>
                </c:pt>
                <c:pt idx="762">
                  <c:v>0.1343</c:v>
                </c:pt>
                <c:pt idx="763">
                  <c:v>0</c:v>
                </c:pt>
                <c:pt idx="764">
                  <c:v>0</c:v>
                </c:pt>
                <c:pt idx="765">
                  <c:v>0.1343</c:v>
                </c:pt>
                <c:pt idx="766">
                  <c:v>0.1343</c:v>
                </c:pt>
                <c:pt idx="767">
                  <c:v>0.1343</c:v>
                </c:pt>
                <c:pt idx="768">
                  <c:v>0.16420000000000001</c:v>
                </c:pt>
                <c:pt idx="769">
                  <c:v>0.16420000000000001</c:v>
                </c:pt>
                <c:pt idx="770">
                  <c:v>0.22389999999999999</c:v>
                </c:pt>
                <c:pt idx="771">
                  <c:v>0.16420000000000001</c:v>
                </c:pt>
                <c:pt idx="772">
                  <c:v>0.25369999999999998</c:v>
                </c:pt>
                <c:pt idx="773">
                  <c:v>0.22389999999999999</c:v>
                </c:pt>
                <c:pt idx="774">
                  <c:v>0.1343</c:v>
                </c:pt>
                <c:pt idx="775">
                  <c:v>0.1045</c:v>
                </c:pt>
                <c:pt idx="776">
                  <c:v>0.1343</c:v>
                </c:pt>
                <c:pt idx="777">
                  <c:v>0.16420000000000001</c:v>
                </c:pt>
                <c:pt idx="778">
                  <c:v>0.16420000000000001</c:v>
                </c:pt>
                <c:pt idx="779">
                  <c:v>0.16420000000000001</c:v>
                </c:pt>
                <c:pt idx="780">
                  <c:v>0.1343</c:v>
                </c:pt>
                <c:pt idx="781">
                  <c:v>0.16420000000000001</c:v>
                </c:pt>
                <c:pt idx="782">
                  <c:v>0.16420000000000001</c:v>
                </c:pt>
                <c:pt idx="783">
                  <c:v>0.16420000000000001</c:v>
                </c:pt>
                <c:pt idx="784">
                  <c:v>0.16420000000000001</c:v>
                </c:pt>
                <c:pt idx="785">
                  <c:v>0.1343</c:v>
                </c:pt>
                <c:pt idx="786">
                  <c:v>8.9599999999999999E-2</c:v>
                </c:pt>
                <c:pt idx="787">
                  <c:v>0</c:v>
                </c:pt>
                <c:pt idx="788">
                  <c:v>8.9599999999999999E-2</c:v>
                </c:pt>
                <c:pt idx="789">
                  <c:v>8.9599999999999999E-2</c:v>
                </c:pt>
                <c:pt idx="790">
                  <c:v>8.9599999999999999E-2</c:v>
                </c:pt>
                <c:pt idx="791">
                  <c:v>0.1343</c:v>
                </c:pt>
                <c:pt idx="792">
                  <c:v>0.1343</c:v>
                </c:pt>
                <c:pt idx="793">
                  <c:v>0.16420000000000001</c:v>
                </c:pt>
                <c:pt idx="794">
                  <c:v>0.16420000000000001</c:v>
                </c:pt>
                <c:pt idx="795">
                  <c:v>0</c:v>
                </c:pt>
                <c:pt idx="796">
                  <c:v>0</c:v>
                </c:pt>
                <c:pt idx="797">
                  <c:v>0.1343</c:v>
                </c:pt>
                <c:pt idx="798">
                  <c:v>0.28360000000000002</c:v>
                </c:pt>
                <c:pt idx="799">
                  <c:v>0.44779999999999998</c:v>
                </c:pt>
                <c:pt idx="800">
                  <c:v>0.44779999999999998</c:v>
                </c:pt>
                <c:pt idx="801">
                  <c:v>0.25369999999999998</c:v>
                </c:pt>
                <c:pt idx="802">
                  <c:v>0.19400000000000001</c:v>
                </c:pt>
                <c:pt idx="803">
                  <c:v>0.1343</c:v>
                </c:pt>
                <c:pt idx="804">
                  <c:v>0.22389999999999999</c:v>
                </c:pt>
                <c:pt idx="805">
                  <c:v>0.19400000000000001</c:v>
                </c:pt>
                <c:pt idx="806">
                  <c:v>0.41789999999999999</c:v>
                </c:pt>
                <c:pt idx="807">
                  <c:v>0.32840000000000003</c:v>
                </c:pt>
                <c:pt idx="808">
                  <c:v>8.9599999999999999E-2</c:v>
                </c:pt>
                <c:pt idx="809">
                  <c:v>0.35820000000000002</c:v>
                </c:pt>
                <c:pt idx="810">
                  <c:v>0.22389999999999999</c:v>
                </c:pt>
                <c:pt idx="811">
                  <c:v>0.22389999999999999</c:v>
                </c:pt>
                <c:pt idx="812">
                  <c:v>0.16420000000000001</c:v>
                </c:pt>
                <c:pt idx="813">
                  <c:v>0.1045</c:v>
                </c:pt>
                <c:pt idx="814">
                  <c:v>0.1045</c:v>
                </c:pt>
                <c:pt idx="815">
                  <c:v>0.25369999999999998</c:v>
                </c:pt>
                <c:pt idx="816">
                  <c:v>0.25369999999999998</c:v>
                </c:pt>
                <c:pt idx="817">
                  <c:v>0</c:v>
                </c:pt>
                <c:pt idx="818">
                  <c:v>0</c:v>
                </c:pt>
                <c:pt idx="819">
                  <c:v>8.9599999999999999E-2</c:v>
                </c:pt>
                <c:pt idx="820">
                  <c:v>8.9599999999999999E-2</c:v>
                </c:pt>
                <c:pt idx="821">
                  <c:v>0.1045</c:v>
                </c:pt>
                <c:pt idx="822">
                  <c:v>0</c:v>
                </c:pt>
                <c:pt idx="823">
                  <c:v>0.16420000000000001</c:v>
                </c:pt>
                <c:pt idx="824">
                  <c:v>0.1343</c:v>
                </c:pt>
                <c:pt idx="825">
                  <c:v>0.1045</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0.1045</c:v>
                </c:pt>
                <c:pt idx="840">
                  <c:v>8.9599999999999999E-2</c:v>
                </c:pt>
                <c:pt idx="841">
                  <c:v>0</c:v>
                </c:pt>
                <c:pt idx="842">
                  <c:v>8.9599999999999999E-2</c:v>
                </c:pt>
                <c:pt idx="843">
                  <c:v>8.9599999999999999E-2</c:v>
                </c:pt>
                <c:pt idx="844">
                  <c:v>8.9599999999999999E-2</c:v>
                </c:pt>
                <c:pt idx="845">
                  <c:v>0.1343</c:v>
                </c:pt>
                <c:pt idx="846">
                  <c:v>0.16420000000000001</c:v>
                </c:pt>
                <c:pt idx="847">
                  <c:v>0.1343</c:v>
                </c:pt>
                <c:pt idx="848">
                  <c:v>0</c:v>
                </c:pt>
                <c:pt idx="849">
                  <c:v>0.1045</c:v>
                </c:pt>
                <c:pt idx="850">
                  <c:v>0</c:v>
                </c:pt>
                <c:pt idx="851">
                  <c:v>8.9599999999999999E-2</c:v>
                </c:pt>
                <c:pt idx="852">
                  <c:v>0</c:v>
                </c:pt>
                <c:pt idx="853">
                  <c:v>0</c:v>
                </c:pt>
                <c:pt idx="854">
                  <c:v>0</c:v>
                </c:pt>
                <c:pt idx="855">
                  <c:v>0.1045</c:v>
                </c:pt>
                <c:pt idx="856">
                  <c:v>0.16420000000000001</c:v>
                </c:pt>
                <c:pt idx="857">
                  <c:v>0.16420000000000001</c:v>
                </c:pt>
                <c:pt idx="858">
                  <c:v>0.32840000000000003</c:v>
                </c:pt>
                <c:pt idx="859">
                  <c:v>0.32840000000000003</c:v>
                </c:pt>
                <c:pt idx="860">
                  <c:v>0.41789999999999999</c:v>
                </c:pt>
                <c:pt idx="861">
                  <c:v>0.49249999999999999</c:v>
                </c:pt>
                <c:pt idx="862">
                  <c:v>0.49249999999999999</c:v>
                </c:pt>
                <c:pt idx="863">
                  <c:v>0.55220000000000002</c:v>
                </c:pt>
                <c:pt idx="864">
                  <c:v>0.4627</c:v>
                </c:pt>
                <c:pt idx="865">
                  <c:v>0.49249999999999999</c:v>
                </c:pt>
                <c:pt idx="866">
                  <c:v>0.44779999999999998</c:v>
                </c:pt>
                <c:pt idx="867">
                  <c:v>0.41789999999999999</c:v>
                </c:pt>
                <c:pt idx="868">
                  <c:v>0.3881</c:v>
                </c:pt>
                <c:pt idx="869">
                  <c:v>0.52239999999999998</c:v>
                </c:pt>
                <c:pt idx="870">
                  <c:v>0.58209999999999995</c:v>
                </c:pt>
                <c:pt idx="871">
                  <c:v>0.3881</c:v>
                </c:pt>
                <c:pt idx="872">
                  <c:v>0.4627</c:v>
                </c:pt>
                <c:pt idx="873">
                  <c:v>0.32840000000000003</c:v>
                </c:pt>
                <c:pt idx="874">
                  <c:v>0.4627</c:v>
                </c:pt>
                <c:pt idx="875">
                  <c:v>0.35820000000000002</c:v>
                </c:pt>
                <c:pt idx="876">
                  <c:v>0.32840000000000003</c:v>
                </c:pt>
                <c:pt idx="877">
                  <c:v>0.35820000000000002</c:v>
                </c:pt>
                <c:pt idx="878">
                  <c:v>0.22389999999999999</c:v>
                </c:pt>
                <c:pt idx="879">
                  <c:v>0.28360000000000002</c:v>
                </c:pt>
                <c:pt idx="880">
                  <c:v>0.1343</c:v>
                </c:pt>
                <c:pt idx="881">
                  <c:v>0.1045</c:v>
                </c:pt>
                <c:pt idx="882">
                  <c:v>0</c:v>
                </c:pt>
                <c:pt idx="883">
                  <c:v>0.1045</c:v>
                </c:pt>
                <c:pt idx="884">
                  <c:v>0</c:v>
                </c:pt>
                <c:pt idx="885">
                  <c:v>0.16420000000000001</c:v>
                </c:pt>
                <c:pt idx="886">
                  <c:v>0</c:v>
                </c:pt>
                <c:pt idx="887">
                  <c:v>0.16420000000000001</c:v>
                </c:pt>
                <c:pt idx="888">
                  <c:v>0.22389999999999999</c:v>
                </c:pt>
                <c:pt idx="889">
                  <c:v>0.25369999999999998</c:v>
                </c:pt>
                <c:pt idx="890">
                  <c:v>0.29849999999999999</c:v>
                </c:pt>
                <c:pt idx="891">
                  <c:v>0.28360000000000002</c:v>
                </c:pt>
                <c:pt idx="892">
                  <c:v>0.25369999999999998</c:v>
                </c:pt>
                <c:pt idx="893">
                  <c:v>0.25369999999999998</c:v>
                </c:pt>
                <c:pt idx="894">
                  <c:v>0.29849999999999999</c:v>
                </c:pt>
                <c:pt idx="895">
                  <c:v>0.25369999999999998</c:v>
                </c:pt>
                <c:pt idx="896">
                  <c:v>0.16420000000000001</c:v>
                </c:pt>
                <c:pt idx="897">
                  <c:v>0.16420000000000001</c:v>
                </c:pt>
                <c:pt idx="898">
                  <c:v>0.16420000000000001</c:v>
                </c:pt>
                <c:pt idx="899">
                  <c:v>0.19400000000000001</c:v>
                </c:pt>
                <c:pt idx="900">
                  <c:v>0.19400000000000001</c:v>
                </c:pt>
                <c:pt idx="901">
                  <c:v>0.1343</c:v>
                </c:pt>
                <c:pt idx="902">
                  <c:v>0.1343</c:v>
                </c:pt>
                <c:pt idx="903">
                  <c:v>0.22389999999999999</c:v>
                </c:pt>
                <c:pt idx="904">
                  <c:v>0.22389999999999999</c:v>
                </c:pt>
                <c:pt idx="905">
                  <c:v>0.28360000000000002</c:v>
                </c:pt>
                <c:pt idx="906">
                  <c:v>0.41789999999999999</c:v>
                </c:pt>
                <c:pt idx="907">
                  <c:v>0.32840000000000003</c:v>
                </c:pt>
                <c:pt idx="908">
                  <c:v>0.35820000000000002</c:v>
                </c:pt>
                <c:pt idx="909">
                  <c:v>0.29849999999999999</c:v>
                </c:pt>
                <c:pt idx="910">
                  <c:v>0.35820000000000002</c:v>
                </c:pt>
                <c:pt idx="911">
                  <c:v>0.3881</c:v>
                </c:pt>
                <c:pt idx="912">
                  <c:v>0.29849999999999999</c:v>
                </c:pt>
                <c:pt idx="913">
                  <c:v>0.28360000000000002</c:v>
                </c:pt>
                <c:pt idx="914">
                  <c:v>0.25369999999999998</c:v>
                </c:pt>
                <c:pt idx="915">
                  <c:v>0.29849999999999999</c:v>
                </c:pt>
                <c:pt idx="916">
                  <c:v>0.19400000000000001</c:v>
                </c:pt>
                <c:pt idx="917">
                  <c:v>0.1343</c:v>
                </c:pt>
                <c:pt idx="918">
                  <c:v>0.1045</c:v>
                </c:pt>
                <c:pt idx="919">
                  <c:v>8.9599999999999999E-2</c:v>
                </c:pt>
                <c:pt idx="920">
                  <c:v>0</c:v>
                </c:pt>
                <c:pt idx="921">
                  <c:v>0</c:v>
                </c:pt>
                <c:pt idx="922">
                  <c:v>0.1045</c:v>
                </c:pt>
                <c:pt idx="923">
                  <c:v>0.1045</c:v>
                </c:pt>
                <c:pt idx="924">
                  <c:v>8.9599999999999999E-2</c:v>
                </c:pt>
                <c:pt idx="925">
                  <c:v>8.9599999999999999E-2</c:v>
                </c:pt>
                <c:pt idx="926">
                  <c:v>8.9599999999999999E-2</c:v>
                </c:pt>
                <c:pt idx="927">
                  <c:v>0</c:v>
                </c:pt>
                <c:pt idx="928">
                  <c:v>0</c:v>
                </c:pt>
                <c:pt idx="929">
                  <c:v>0.16420000000000001</c:v>
                </c:pt>
                <c:pt idx="930">
                  <c:v>0.22389999999999999</c:v>
                </c:pt>
                <c:pt idx="931">
                  <c:v>0.19400000000000001</c:v>
                </c:pt>
                <c:pt idx="932">
                  <c:v>0.1343</c:v>
                </c:pt>
                <c:pt idx="933">
                  <c:v>0.1343</c:v>
                </c:pt>
                <c:pt idx="934">
                  <c:v>0.19400000000000001</c:v>
                </c:pt>
                <c:pt idx="935">
                  <c:v>0.25369999999999998</c:v>
                </c:pt>
                <c:pt idx="936">
                  <c:v>0.16420000000000001</c:v>
                </c:pt>
                <c:pt idx="937">
                  <c:v>0.19400000000000001</c:v>
                </c:pt>
                <c:pt idx="938">
                  <c:v>0</c:v>
                </c:pt>
                <c:pt idx="939">
                  <c:v>0</c:v>
                </c:pt>
                <c:pt idx="940">
                  <c:v>0</c:v>
                </c:pt>
                <c:pt idx="941">
                  <c:v>0.1343</c:v>
                </c:pt>
                <c:pt idx="942">
                  <c:v>0.1343</c:v>
                </c:pt>
                <c:pt idx="943">
                  <c:v>8.9599999999999999E-2</c:v>
                </c:pt>
                <c:pt idx="944">
                  <c:v>0</c:v>
                </c:pt>
                <c:pt idx="945">
                  <c:v>8.9599999999999999E-2</c:v>
                </c:pt>
                <c:pt idx="946">
                  <c:v>0</c:v>
                </c:pt>
                <c:pt idx="947">
                  <c:v>0</c:v>
                </c:pt>
                <c:pt idx="948">
                  <c:v>0</c:v>
                </c:pt>
                <c:pt idx="949">
                  <c:v>8.9599999999999999E-2</c:v>
                </c:pt>
                <c:pt idx="950">
                  <c:v>8.9599999999999999E-2</c:v>
                </c:pt>
                <c:pt idx="951">
                  <c:v>0.19400000000000001</c:v>
                </c:pt>
                <c:pt idx="952">
                  <c:v>0.1045</c:v>
                </c:pt>
                <c:pt idx="953">
                  <c:v>0.1343</c:v>
                </c:pt>
                <c:pt idx="954">
                  <c:v>0.1343</c:v>
                </c:pt>
                <c:pt idx="955">
                  <c:v>0.25369999999999998</c:v>
                </c:pt>
                <c:pt idx="956">
                  <c:v>0.32840000000000003</c:v>
                </c:pt>
                <c:pt idx="957">
                  <c:v>0.4627</c:v>
                </c:pt>
                <c:pt idx="958">
                  <c:v>0.41789999999999999</c:v>
                </c:pt>
                <c:pt idx="959">
                  <c:v>0.28360000000000002</c:v>
                </c:pt>
                <c:pt idx="960">
                  <c:v>0.41789999999999999</c:v>
                </c:pt>
                <c:pt idx="961">
                  <c:v>0.41789999999999999</c:v>
                </c:pt>
                <c:pt idx="962">
                  <c:v>0.52239999999999998</c:v>
                </c:pt>
                <c:pt idx="963">
                  <c:v>0.32840000000000003</c:v>
                </c:pt>
                <c:pt idx="964">
                  <c:v>0.16420000000000001</c:v>
                </c:pt>
                <c:pt idx="965">
                  <c:v>0.22389999999999999</c:v>
                </c:pt>
                <c:pt idx="966">
                  <c:v>0</c:v>
                </c:pt>
                <c:pt idx="967">
                  <c:v>8.9599999999999999E-2</c:v>
                </c:pt>
                <c:pt idx="968">
                  <c:v>0.1343</c:v>
                </c:pt>
                <c:pt idx="969">
                  <c:v>0.1045</c:v>
                </c:pt>
                <c:pt idx="970">
                  <c:v>8.9599999999999999E-2</c:v>
                </c:pt>
                <c:pt idx="971">
                  <c:v>8.9599999999999999E-2</c:v>
                </c:pt>
                <c:pt idx="972">
                  <c:v>0.1045</c:v>
                </c:pt>
                <c:pt idx="973">
                  <c:v>0.16420000000000001</c:v>
                </c:pt>
                <c:pt idx="974">
                  <c:v>0.1343</c:v>
                </c:pt>
                <c:pt idx="975">
                  <c:v>0</c:v>
                </c:pt>
                <c:pt idx="976">
                  <c:v>0.19400000000000001</c:v>
                </c:pt>
                <c:pt idx="977">
                  <c:v>0.22389999999999999</c:v>
                </c:pt>
                <c:pt idx="978">
                  <c:v>0.32840000000000003</c:v>
                </c:pt>
                <c:pt idx="979">
                  <c:v>0.44779999999999998</c:v>
                </c:pt>
                <c:pt idx="980">
                  <c:v>0.4627</c:v>
                </c:pt>
                <c:pt idx="981">
                  <c:v>0.35820000000000002</c:v>
                </c:pt>
                <c:pt idx="982">
                  <c:v>0.41789999999999999</c:v>
                </c:pt>
                <c:pt idx="983">
                  <c:v>0.29849999999999999</c:v>
                </c:pt>
                <c:pt idx="984">
                  <c:v>0.32840000000000003</c:v>
                </c:pt>
                <c:pt idx="985">
                  <c:v>0.32840000000000003</c:v>
                </c:pt>
                <c:pt idx="986">
                  <c:v>0.29849999999999999</c:v>
                </c:pt>
                <c:pt idx="987">
                  <c:v>0.28360000000000002</c:v>
                </c:pt>
                <c:pt idx="988">
                  <c:v>0.32840000000000003</c:v>
                </c:pt>
                <c:pt idx="989">
                  <c:v>0.35820000000000002</c:v>
                </c:pt>
                <c:pt idx="990">
                  <c:v>0.29849999999999999</c:v>
                </c:pt>
                <c:pt idx="991">
                  <c:v>0.35820000000000002</c:v>
                </c:pt>
                <c:pt idx="992">
                  <c:v>0.35820000000000002</c:v>
                </c:pt>
                <c:pt idx="993">
                  <c:v>0.35820000000000002</c:v>
                </c:pt>
                <c:pt idx="994">
                  <c:v>0.29849999999999999</c:v>
                </c:pt>
                <c:pt idx="995">
                  <c:v>0.22389999999999999</c:v>
                </c:pt>
                <c:pt idx="996">
                  <c:v>0.28360000000000002</c:v>
                </c:pt>
                <c:pt idx="997">
                  <c:v>0.28360000000000002</c:v>
                </c:pt>
                <c:pt idx="998">
                  <c:v>0.29849999999999999</c:v>
                </c:pt>
                <c:pt idx="999">
                  <c:v>0.29849999999999999</c:v>
                </c:pt>
              </c:numCache>
            </c:numRef>
          </c:xVal>
          <c:yVal>
            <c:numRef>
              <c:f>ScatterPlots!$E$2:$E$1001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BD9C-40EE-A5B7-9DEC7E111464}"/>
            </c:ext>
          </c:extLst>
        </c:ser>
        <c:dLbls>
          <c:showLegendKey val="0"/>
          <c:showVal val="0"/>
          <c:showCatName val="0"/>
          <c:showSerName val="0"/>
          <c:showPercent val="0"/>
          <c:showBubbleSize val="0"/>
        </c:dLbls>
        <c:axId val="1124980495"/>
        <c:axId val="1124980015"/>
      </c:scatterChart>
      <c:valAx>
        <c:axId val="1124980495"/>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Wind</a:t>
                </a:r>
                <a:r>
                  <a:rPr lang="en-IN" b="1" baseline="0"/>
                  <a:t> Speed</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980015"/>
        <c:crosses val="autoZero"/>
        <c:crossBetween val="midCat"/>
      </c:valAx>
      <c:valAx>
        <c:axId val="112498001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Total</a:t>
                </a:r>
                <a:r>
                  <a:rPr lang="en-IN" b="1" baseline="0"/>
                  <a:t> Rentals</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9804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[DataSet_Final_YS_v1.3.xlsx]DailyTrend!PivotTable5</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Daily</a:t>
            </a:r>
            <a:r>
              <a:rPr lang="en-US" baseline="0"/>
              <a:t> Rentals (2011)</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DailyTrend!$B$3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rgbClr val="FFFF00">
                    <a:alpha val="50000"/>
                  </a:srgbClr>
                </a:solidFill>
              </a:ln>
              <a:effectLst/>
            </c:spPr>
            <c:trendlineType val="linear"/>
            <c:dispRSqr val="0"/>
            <c:dispEq val="0"/>
          </c:trendline>
          <c:cat>
            <c:strRef>
              <c:f>DailyTrend!$A$4:$A$49</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DailyTrend!$B$4:$B$49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1-2960-40AA-A70B-9AB57370003E}"/>
            </c:ext>
          </c:extLst>
        </c:ser>
        <c:dLbls>
          <c:showLegendKey val="0"/>
          <c:showVal val="0"/>
          <c:showCatName val="0"/>
          <c:showSerName val="0"/>
          <c:showPercent val="0"/>
          <c:showBubbleSize val="0"/>
        </c:dLbls>
        <c:marker val="1"/>
        <c:smooth val="0"/>
        <c:axId val="29284911"/>
        <c:axId val="29283951"/>
      </c:lineChart>
      <c:catAx>
        <c:axId val="292849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283951"/>
        <c:crosses val="autoZero"/>
        <c:auto val="1"/>
        <c:lblAlgn val="ctr"/>
        <c:lblOffset val="100"/>
        <c:noMultiLvlLbl val="0"/>
      </c:catAx>
      <c:valAx>
        <c:axId val="29283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28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[DataSet_Final_YS_v1.3.xlsx]WeekdayTrend!PivotTable6</c:name>
    <c:fmtId val="1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Weekday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WeekdayTrend!$B$3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WeekdayTrend!$A$4:$A$10</c:f>
              <c:strCache>
                <c:ptCount val="7"/>
                <c:pt idx="0">
                  <c:v>Sunday</c:v>
                </c:pt>
                <c:pt idx="1">
                  <c:v>Monday</c:v>
                </c:pt>
                <c:pt idx="2">
                  <c:v>Tuesday</c:v>
                </c:pt>
                <c:pt idx="3">
                  <c:v>Wednesday</c:v>
                </c:pt>
                <c:pt idx="4">
                  <c:v>Thursday</c:v>
                </c:pt>
                <c:pt idx="5">
                  <c:v>Friday</c:v>
                </c:pt>
                <c:pt idx="6">
                  <c:v>Saturday</c:v>
                </c:pt>
              </c:strCache>
            </c:strRef>
          </c:cat>
          <c:val>
            <c:numRef>
              <c:f>WeekdayTrend!$B$4:$B$10</c:f>
              <c:numCache>
                <c:formatCode>0</c:formatCode>
                <c:ptCount val="7"/>
                <c:pt idx="0">
                  <c:v>49.518292682926827</c:v>
                </c:pt>
                <c:pt idx="1">
                  <c:v>56.711409395973156</c:v>
                </c:pt>
                <c:pt idx="2">
                  <c:v>66.00787401574803</c:v>
                </c:pt>
                <c:pt idx="3">
                  <c:v>61.44274809160305</c:v>
                </c:pt>
                <c:pt idx="4">
                  <c:v>67.664000000000001</c:v>
                </c:pt>
                <c:pt idx="5">
                  <c:v>65.905797101449281</c:v>
                </c:pt>
                <c:pt idx="6">
                  <c:v>46.674698795180724</c:v>
                </c:pt>
              </c:numCache>
            </c:numRef>
          </c:val>
          <c:smooth val="0"/>
          <c:extLst>
            <c:ext xmlns:c16="http://schemas.microsoft.com/office/drawing/2014/chart" uri="{C3380CC4-5D6E-409C-BE32-E72D297353CC}">
              <c16:uniqueId val="{00000000-AE59-4C3F-AF5B-5D13BD80332E}"/>
            </c:ext>
          </c:extLst>
        </c:ser>
        <c:dLbls>
          <c:showLegendKey val="0"/>
          <c:showVal val="0"/>
          <c:showCatName val="0"/>
          <c:showSerName val="0"/>
          <c:showPercent val="0"/>
          <c:showBubbleSize val="0"/>
        </c:dLbls>
        <c:marker val="1"/>
        <c:smooth val="0"/>
        <c:axId val="1377351567"/>
        <c:axId val="1377348687"/>
      </c:lineChart>
      <c:catAx>
        <c:axId val="13773515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7348687"/>
        <c:crosses val="autoZero"/>
        <c:auto val="1"/>
        <c:lblAlgn val="ctr"/>
        <c:lblOffset val="100"/>
        <c:noMultiLvlLbl val="0"/>
      </c:catAx>
      <c:valAx>
        <c:axId val="13773486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735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[DataSet_Final_YS_v1.3.xlsx]WeatherTypeBased!PivotTable27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Weather</a:t>
            </a:r>
            <a:r>
              <a:rPr lang="en-IN" baseline="0"/>
              <a:t> Type based Rentals</a:t>
            </a:r>
            <a:endParaRPr lang="en-IN"/>
          </a:p>
        </c:rich>
      </c:tx>
      <c:layout>
        <c:manualLayout>
          <c:xMode val="edge"/>
          <c:yMode val="edge"/>
          <c:x val="9.656233595800523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WeatherTypeBased!$B$3</c:f>
              <c:strCache>
                <c:ptCount val="1"/>
                <c:pt idx="0">
                  <c:v>Total Rentals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WeatherTypeBased!$A$4:$A$8</c:f>
              <c:strCache>
                <c:ptCount val="4"/>
                <c:pt idx="0">
                  <c:v>Clear Sky</c:v>
                </c:pt>
                <c:pt idx="1">
                  <c:v>Mist/Cloudy</c:v>
                </c:pt>
                <c:pt idx="2">
                  <c:v>Light Rain</c:v>
                </c:pt>
                <c:pt idx="3">
                  <c:v>Heavy Rain/Snow</c:v>
                </c:pt>
              </c:strCache>
            </c:strRef>
          </c:cat>
          <c:val>
            <c:numRef>
              <c:f>WeatherTypeBased!$B$4:$B$8</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0-587D-459A-B9C1-B859C00D1663}"/>
            </c:ext>
          </c:extLst>
        </c:ser>
        <c:dLbls>
          <c:showLegendKey val="0"/>
          <c:showVal val="0"/>
          <c:showCatName val="0"/>
          <c:showSerName val="0"/>
          <c:showPercent val="0"/>
          <c:showBubbleSize val="0"/>
        </c:dLbls>
        <c:gapWidth val="219"/>
        <c:overlap val="-27"/>
        <c:axId val="269317664"/>
        <c:axId val="269314784"/>
      </c:barChart>
      <c:lineChart>
        <c:grouping val="standard"/>
        <c:varyColors val="0"/>
        <c:ser>
          <c:idx val="1"/>
          <c:order val="1"/>
          <c:tx>
            <c:strRef>
              <c:f>WeatherTypeBased!$C$3</c:f>
              <c:strCache>
                <c:ptCount val="1"/>
                <c:pt idx="0">
                  <c:v>Avg Rentals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WeatherTypeBased!$A$4:$A$8</c:f>
              <c:strCache>
                <c:ptCount val="4"/>
                <c:pt idx="0">
                  <c:v>Clear Sky</c:v>
                </c:pt>
                <c:pt idx="1">
                  <c:v>Mist/Cloudy</c:v>
                </c:pt>
                <c:pt idx="2">
                  <c:v>Light Rain</c:v>
                </c:pt>
                <c:pt idx="3">
                  <c:v>Heavy Rain/Snow</c:v>
                </c:pt>
              </c:strCache>
            </c:strRef>
          </c:cat>
          <c:val>
            <c:numRef>
              <c:f>WeatherTypeBased!$C$4:$C$8</c:f>
              <c:numCache>
                <c:formatCode>0</c:formatCode>
                <c:ptCount val="4"/>
                <c:pt idx="0">
                  <c:v>61.671617161716171</c:v>
                </c:pt>
                <c:pt idx="1">
                  <c:v>58.595469255663431</c:v>
                </c:pt>
                <c:pt idx="2">
                  <c:v>33.202380952380949</c:v>
                </c:pt>
                <c:pt idx="3">
                  <c:v>36</c:v>
                </c:pt>
              </c:numCache>
            </c:numRef>
          </c:val>
          <c:smooth val="0"/>
          <c:extLst>
            <c:ext xmlns:c16="http://schemas.microsoft.com/office/drawing/2014/chart" uri="{C3380CC4-5D6E-409C-BE32-E72D297353CC}">
              <c16:uniqueId val="{00000001-587D-459A-B9C1-B859C00D1663}"/>
            </c:ext>
          </c:extLst>
        </c:ser>
        <c:dLbls>
          <c:showLegendKey val="0"/>
          <c:showVal val="0"/>
          <c:showCatName val="0"/>
          <c:showSerName val="0"/>
          <c:showPercent val="0"/>
          <c:showBubbleSize val="0"/>
        </c:dLbls>
        <c:marker val="1"/>
        <c:smooth val="0"/>
        <c:axId val="851850864"/>
        <c:axId val="2018650672"/>
      </c:lineChart>
      <c:catAx>
        <c:axId val="269317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9314784"/>
        <c:crosses val="autoZero"/>
        <c:auto val="1"/>
        <c:lblAlgn val="ctr"/>
        <c:lblOffset val="100"/>
        <c:noMultiLvlLbl val="0"/>
      </c:catAx>
      <c:valAx>
        <c:axId val="2693147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9317664"/>
        <c:crosses val="autoZero"/>
        <c:crossBetween val="between"/>
      </c:valAx>
      <c:valAx>
        <c:axId val="201865067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850864"/>
        <c:crosses val="max"/>
        <c:crossBetween val="between"/>
      </c:valAx>
      <c:catAx>
        <c:axId val="851850864"/>
        <c:scaling>
          <c:orientation val="minMax"/>
        </c:scaling>
        <c:delete val="1"/>
        <c:axPos val="b"/>
        <c:minorGridlines>
          <c:spPr>
            <a:ln>
              <a:solidFill>
                <a:schemeClr val="lt1">
                  <a:lumMod val="95000"/>
                  <a:alpha val="5000"/>
                </a:schemeClr>
              </a:solidFill>
            </a:ln>
            <a:effectLst/>
          </c:spPr>
        </c:minorGridlines>
        <c:numFmt formatCode="General" sourceLinked="1"/>
        <c:majorTickMark val="none"/>
        <c:minorTickMark val="none"/>
        <c:tickLblPos val="nextTo"/>
        <c:crossAx val="2018650672"/>
        <c:crosses val="autoZero"/>
        <c:auto val="1"/>
        <c:lblAlgn val="ctr"/>
        <c:lblOffset val="100"/>
        <c:noMultiLvlLbl val="0"/>
      </c:catAx>
      <c:spPr>
        <a:noFill/>
        <a:ln>
          <a:noFill/>
        </a:ln>
        <a:effectLst/>
      </c:spPr>
    </c:plotArea>
    <c:legend>
      <c:legendPos val="r"/>
      <c:layout>
        <c:manualLayout>
          <c:xMode val="edge"/>
          <c:yMode val="edge"/>
          <c:x val="0.77622134733158354"/>
          <c:y val="0.18113371245261012"/>
          <c:w val="0.2237786654405425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[DataSet_Final_YS_v1.3.xlsx]TimeSlotBased!PivotTable26</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TimeSlot</a:t>
            </a:r>
            <a:r>
              <a:rPr lang="en-IN" baseline="0"/>
              <a:t> based Avg. Rentals</a:t>
            </a:r>
            <a:endParaRPr lang="en-IN"/>
          </a:p>
        </c:rich>
      </c:tx>
      <c:layout>
        <c:manualLayout>
          <c:xMode val="edge"/>
          <c:yMode val="edge"/>
          <c:x val="0.31752387744777616"/>
          <c:y val="2.314829511394929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TimeSlotBased!$J$3</c:f>
              <c:strCache>
                <c:ptCount val="1"/>
                <c:pt idx="0">
                  <c:v>Avg Casuals</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TimeSlotBased!$I$4:$I$7</c:f>
              <c:strCache>
                <c:ptCount val="4"/>
                <c:pt idx="0">
                  <c:v>Morning</c:v>
                </c:pt>
                <c:pt idx="1">
                  <c:v>AfterNoon</c:v>
                </c:pt>
                <c:pt idx="2">
                  <c:v>Evening</c:v>
                </c:pt>
                <c:pt idx="3">
                  <c:v>Night</c:v>
                </c:pt>
              </c:strCache>
            </c:strRef>
          </c:cat>
          <c:val>
            <c:numRef>
              <c:f>TimeSlotBased!$J$4:$J$7</c:f>
              <c:numCache>
                <c:formatCode>0</c:formatCode>
                <c:ptCount val="4"/>
                <c:pt idx="0">
                  <c:v>3.3219178082191783</c:v>
                </c:pt>
                <c:pt idx="1">
                  <c:v>11.61046511627907</c:v>
                </c:pt>
                <c:pt idx="2">
                  <c:v>7.4540229885057467</c:v>
                </c:pt>
                <c:pt idx="3">
                  <c:v>1.8149171270718232</c:v>
                </c:pt>
              </c:numCache>
            </c:numRef>
          </c:val>
          <c:smooth val="0"/>
          <c:extLst>
            <c:ext xmlns:c16="http://schemas.microsoft.com/office/drawing/2014/chart" uri="{C3380CC4-5D6E-409C-BE32-E72D297353CC}">
              <c16:uniqueId val="{00000000-2008-483F-9336-ECEF7BEE847E}"/>
            </c:ext>
          </c:extLst>
        </c:ser>
        <c:ser>
          <c:idx val="1"/>
          <c:order val="1"/>
          <c:tx>
            <c:strRef>
              <c:f>TimeSlotBased!$K$3</c:f>
              <c:strCache>
                <c:ptCount val="1"/>
                <c:pt idx="0">
                  <c:v>Avg Registered</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TimeSlotBased!$I$4:$I$7</c:f>
              <c:strCache>
                <c:ptCount val="4"/>
                <c:pt idx="0">
                  <c:v>Morning</c:v>
                </c:pt>
                <c:pt idx="1">
                  <c:v>AfterNoon</c:v>
                </c:pt>
                <c:pt idx="2">
                  <c:v>Evening</c:v>
                </c:pt>
                <c:pt idx="3">
                  <c:v>Night</c:v>
                </c:pt>
              </c:strCache>
            </c:strRef>
          </c:cat>
          <c:val>
            <c:numRef>
              <c:f>TimeSlotBased!$K$4:$K$7</c:f>
              <c:numCache>
                <c:formatCode>0</c:formatCode>
                <c:ptCount val="4"/>
                <c:pt idx="0">
                  <c:v>55.349315068493148</c:v>
                </c:pt>
                <c:pt idx="1">
                  <c:v>65.197674418604649</c:v>
                </c:pt>
                <c:pt idx="2">
                  <c:v>101.97701149425288</c:v>
                </c:pt>
                <c:pt idx="3">
                  <c:v>22.825966850828728</c:v>
                </c:pt>
              </c:numCache>
            </c:numRef>
          </c:val>
          <c:smooth val="0"/>
          <c:extLst>
            <c:ext xmlns:c16="http://schemas.microsoft.com/office/drawing/2014/chart" uri="{C3380CC4-5D6E-409C-BE32-E72D297353CC}">
              <c16:uniqueId val="{00000001-2008-483F-9336-ECEF7BEE847E}"/>
            </c:ext>
          </c:extLst>
        </c:ser>
        <c:dLbls>
          <c:showLegendKey val="0"/>
          <c:showVal val="0"/>
          <c:showCatName val="0"/>
          <c:showSerName val="0"/>
          <c:showPercent val="0"/>
          <c:showBubbleSize val="0"/>
        </c:dLbls>
        <c:marker val="1"/>
        <c:smooth val="0"/>
        <c:axId val="2026607264"/>
        <c:axId val="2026608704"/>
      </c:lineChart>
      <c:catAx>
        <c:axId val="2026607264"/>
        <c:scaling>
          <c:orientation val="minMax"/>
        </c:scaling>
        <c:delete val="0"/>
        <c:axPos val="b"/>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6608704"/>
        <c:crosses val="autoZero"/>
        <c:auto val="1"/>
        <c:lblAlgn val="ctr"/>
        <c:lblOffset val="100"/>
        <c:noMultiLvlLbl val="0"/>
      </c:catAx>
      <c:valAx>
        <c:axId val="20266087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660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Users</a:t>
            </a:r>
            <a:r>
              <a:rPr lang="en-US" baseline="0"/>
              <a:t> based </a:t>
            </a:r>
            <a:r>
              <a:rPr lang="en-US"/>
              <a:t>Rentals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Rentals_Usage!$B$3</c:f>
              <c:strCache>
                <c:ptCount val="1"/>
                <c:pt idx="0">
                  <c:v>Rentals</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631-45C9-B1CD-744ABFD5F463}"/>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631-45C9-B1CD-744ABFD5F463}"/>
              </c:ext>
            </c:extLst>
          </c:dPt>
          <c:dLbls>
            <c:dLbl>
              <c:idx val="0"/>
              <c:layout>
                <c:manualLayout>
                  <c:x val="8.611111111111111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31-45C9-B1CD-744ABFD5F463}"/>
                </c:ext>
              </c:extLst>
            </c:dLbl>
            <c:dLbl>
              <c:idx val="1"/>
              <c:layout>
                <c:manualLayout>
                  <c:x val="-7.7777777777777807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31-45C9-B1CD-744ABFD5F463}"/>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Rentals_Usage!$A$4:$A$5</c:f>
              <c:strCache>
                <c:ptCount val="2"/>
                <c:pt idx="0">
                  <c:v>Casuals</c:v>
                </c:pt>
                <c:pt idx="1">
                  <c:v>Registered</c:v>
                </c:pt>
              </c:strCache>
            </c:strRef>
          </c:cat>
          <c:val>
            <c:numRef>
              <c:f>Rentals_Usage!$B$4:$B$5</c:f>
              <c:numCache>
                <c:formatCode>General</c:formatCode>
                <c:ptCount val="2"/>
                <c:pt idx="0">
                  <c:v>4921</c:v>
                </c:pt>
                <c:pt idx="1">
                  <c:v>53383</c:v>
                </c:pt>
              </c:numCache>
            </c:numRef>
          </c:val>
          <c:extLst>
            <c:ext xmlns:c16="http://schemas.microsoft.com/office/drawing/2014/chart" uri="{C3380CC4-5D6E-409C-BE32-E72D297353CC}">
              <c16:uniqueId val="{00000004-1631-45C9-B1CD-744ABFD5F463}"/>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9">
  <a:schemeClr val="accent6"/>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4</xdr:col>
      <xdr:colOff>144780</xdr:colOff>
      <xdr:row>5</xdr:row>
      <xdr:rowOff>64770</xdr:rowOff>
    </xdr:from>
    <xdr:to>
      <xdr:col>11</xdr:col>
      <xdr:colOff>449580</xdr:colOff>
      <xdr:row>20</xdr:row>
      <xdr:rowOff>64770</xdr:rowOff>
    </xdr:to>
    <xdr:graphicFrame macro="">
      <xdr:nvGraphicFramePr>
        <xdr:cNvPr id="2" name="Chart 1">
          <a:extLst>
            <a:ext uri="{FF2B5EF4-FFF2-40B4-BE49-F238E27FC236}">
              <a16:creationId xmlns:a16="http://schemas.microsoft.com/office/drawing/2014/main" id="{A1C1FC8F-4C59-9F7C-DD1B-CDF729208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571500</xdr:colOff>
      <xdr:row>1</xdr:row>
      <xdr:rowOff>148590</xdr:rowOff>
    </xdr:from>
    <xdr:to>
      <xdr:col>10</xdr:col>
      <xdr:colOff>266700</xdr:colOff>
      <xdr:row>16</xdr:row>
      <xdr:rowOff>148590</xdr:rowOff>
    </xdr:to>
    <xdr:graphicFrame macro="">
      <xdr:nvGraphicFramePr>
        <xdr:cNvPr id="2" name="Chart 1">
          <a:extLst>
            <a:ext uri="{FF2B5EF4-FFF2-40B4-BE49-F238E27FC236}">
              <a16:creationId xmlns:a16="http://schemas.microsoft.com/office/drawing/2014/main" id="{B1BCF164-6D47-38ED-8BBB-3E30DFD8E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548640</xdr:colOff>
      <xdr:row>2</xdr:row>
      <xdr:rowOff>102870</xdr:rowOff>
    </xdr:from>
    <xdr:to>
      <xdr:col>7</xdr:col>
      <xdr:colOff>527685</xdr:colOff>
      <xdr:row>22</xdr:row>
      <xdr:rowOff>112395</xdr:rowOff>
    </xdr:to>
    <xdr:graphicFrame macro="">
      <xdr:nvGraphicFramePr>
        <xdr:cNvPr id="2" name="Chart 1">
          <a:extLst>
            <a:ext uri="{FF2B5EF4-FFF2-40B4-BE49-F238E27FC236}">
              <a16:creationId xmlns:a16="http://schemas.microsoft.com/office/drawing/2014/main" id="{968D3A84-2693-CCF4-AEFF-E967370B0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312420</xdr:colOff>
      <xdr:row>5</xdr:row>
      <xdr:rowOff>41910</xdr:rowOff>
    </xdr:from>
    <xdr:to>
      <xdr:col>12</xdr:col>
      <xdr:colOff>7620</xdr:colOff>
      <xdr:row>20</xdr:row>
      <xdr:rowOff>41910</xdr:rowOff>
    </xdr:to>
    <xdr:graphicFrame macro="">
      <xdr:nvGraphicFramePr>
        <xdr:cNvPr id="2" name="Chart 1">
          <a:extLst>
            <a:ext uri="{FF2B5EF4-FFF2-40B4-BE49-F238E27FC236}">
              <a16:creationId xmlns:a16="http://schemas.microsoft.com/office/drawing/2014/main" id="{AC04FFAA-36C6-4C87-EC35-82AB42579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891540</xdr:colOff>
      <xdr:row>8</xdr:row>
      <xdr:rowOff>175260</xdr:rowOff>
    </xdr:from>
    <xdr:to>
      <xdr:col>14</xdr:col>
      <xdr:colOff>7620</xdr:colOff>
      <xdr:row>22</xdr:row>
      <xdr:rowOff>0</xdr:rowOff>
    </xdr:to>
    <xdr:graphicFrame macro="">
      <xdr:nvGraphicFramePr>
        <xdr:cNvPr id="2" name="Chart 1">
          <a:extLst>
            <a:ext uri="{FF2B5EF4-FFF2-40B4-BE49-F238E27FC236}">
              <a16:creationId xmlns:a16="http://schemas.microsoft.com/office/drawing/2014/main" id="{EC086812-EC31-BF4F-CEA6-31862E9E4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167640</xdr:rowOff>
    </xdr:from>
    <xdr:to>
      <xdr:col>6</xdr:col>
      <xdr:colOff>15240</xdr:colOff>
      <xdr:row>22</xdr:row>
      <xdr:rowOff>7620</xdr:rowOff>
    </xdr:to>
    <xdr:graphicFrame macro="">
      <xdr:nvGraphicFramePr>
        <xdr:cNvPr id="3" name="Chart 2">
          <a:extLst>
            <a:ext uri="{FF2B5EF4-FFF2-40B4-BE49-F238E27FC236}">
              <a16:creationId xmlns:a16="http://schemas.microsoft.com/office/drawing/2014/main" id="{7DEA8227-B14B-5B16-EADC-C76E9DCE9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601980</xdr:colOff>
      <xdr:row>2</xdr:row>
      <xdr:rowOff>0</xdr:rowOff>
    </xdr:from>
    <xdr:to>
      <xdr:col>10</xdr:col>
      <xdr:colOff>510540</xdr:colOff>
      <xdr:row>17</xdr:row>
      <xdr:rowOff>0</xdr:rowOff>
    </xdr:to>
    <xdr:graphicFrame macro="">
      <xdr:nvGraphicFramePr>
        <xdr:cNvPr id="2" name="Chart 1">
          <a:extLst>
            <a:ext uri="{FF2B5EF4-FFF2-40B4-BE49-F238E27FC236}">
              <a16:creationId xmlns:a16="http://schemas.microsoft.com/office/drawing/2014/main" id="{650F6EB9-0AEA-1E7B-D073-25B12C281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114300</xdr:colOff>
      <xdr:row>7</xdr:row>
      <xdr:rowOff>41910</xdr:rowOff>
    </xdr:from>
    <xdr:to>
      <xdr:col>6</xdr:col>
      <xdr:colOff>15240</xdr:colOff>
      <xdr:row>21</xdr:row>
      <xdr:rowOff>167640</xdr:rowOff>
    </xdr:to>
    <xdr:graphicFrame macro="">
      <xdr:nvGraphicFramePr>
        <xdr:cNvPr id="2" name="Chart 1">
          <a:extLst>
            <a:ext uri="{FF2B5EF4-FFF2-40B4-BE49-F238E27FC236}">
              <a16:creationId xmlns:a16="http://schemas.microsoft.com/office/drawing/2014/main" id="{F0733885-F96A-B5D8-F582-D66A78C10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6</xdr:row>
      <xdr:rowOff>179070</xdr:rowOff>
    </xdr:from>
    <xdr:to>
      <xdr:col>11</xdr:col>
      <xdr:colOff>647700</xdr:colOff>
      <xdr:row>21</xdr:row>
      <xdr:rowOff>179070</xdr:rowOff>
    </xdr:to>
    <xdr:graphicFrame macro="">
      <xdr:nvGraphicFramePr>
        <xdr:cNvPr id="6" name="Chart 5">
          <a:extLst>
            <a:ext uri="{FF2B5EF4-FFF2-40B4-BE49-F238E27FC236}">
              <a16:creationId xmlns:a16="http://schemas.microsoft.com/office/drawing/2014/main" id="{EE1F46BC-8CA6-6DFE-1852-685102F22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27</xdr:row>
      <xdr:rowOff>80010</xdr:rowOff>
    </xdr:from>
    <xdr:to>
      <xdr:col>6</xdr:col>
      <xdr:colOff>350520</xdr:colOff>
      <xdr:row>42</xdr:row>
      <xdr:rowOff>80010</xdr:rowOff>
    </xdr:to>
    <xdr:graphicFrame macro="">
      <xdr:nvGraphicFramePr>
        <xdr:cNvPr id="12" name="Chart 11">
          <a:extLst>
            <a:ext uri="{FF2B5EF4-FFF2-40B4-BE49-F238E27FC236}">
              <a16:creationId xmlns:a16="http://schemas.microsoft.com/office/drawing/2014/main" id="{4B556442-158D-0ACD-B81F-C3F47D34A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822960</xdr:colOff>
      <xdr:row>27</xdr:row>
      <xdr:rowOff>110490</xdr:rowOff>
    </xdr:from>
    <xdr:to>
      <xdr:col>12</xdr:col>
      <xdr:colOff>121920</xdr:colOff>
      <xdr:row>42</xdr:row>
      <xdr:rowOff>110490</xdr:rowOff>
    </xdr:to>
    <xdr:graphicFrame macro="">
      <xdr:nvGraphicFramePr>
        <xdr:cNvPr id="3" name="Chart 2">
          <a:extLst>
            <a:ext uri="{FF2B5EF4-FFF2-40B4-BE49-F238E27FC236}">
              <a16:creationId xmlns:a16="http://schemas.microsoft.com/office/drawing/2014/main" id="{655274D1-B000-668E-0F43-E1FCE80E1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320040</xdr:colOff>
      <xdr:row>10</xdr:row>
      <xdr:rowOff>19050</xdr:rowOff>
    </xdr:from>
    <xdr:to>
      <xdr:col>12</xdr:col>
      <xdr:colOff>0</xdr:colOff>
      <xdr:row>24</xdr:row>
      <xdr:rowOff>38100</xdr:rowOff>
    </xdr:to>
    <xdr:graphicFrame macro="">
      <xdr:nvGraphicFramePr>
        <xdr:cNvPr id="2" name="Chart 1">
          <a:extLst>
            <a:ext uri="{FF2B5EF4-FFF2-40B4-BE49-F238E27FC236}">
              <a16:creationId xmlns:a16="http://schemas.microsoft.com/office/drawing/2014/main" id="{B946EB6D-CEDD-A4A0-61FA-810E82BDB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411480</xdr:colOff>
      <xdr:row>0</xdr:row>
      <xdr:rowOff>68580</xdr:rowOff>
    </xdr:from>
    <xdr:to>
      <xdr:col>3</xdr:col>
      <xdr:colOff>30480</xdr:colOff>
      <xdr:row>1</xdr:row>
      <xdr:rowOff>99060</xdr:rowOff>
    </xdr:to>
    <xdr:sp macro="" textlink="">
      <xdr:nvSpPr>
        <xdr:cNvPr id="3" name="TextBox 2">
          <a:extLst>
            <a:ext uri="{FF2B5EF4-FFF2-40B4-BE49-F238E27FC236}">
              <a16:creationId xmlns:a16="http://schemas.microsoft.com/office/drawing/2014/main" id="{D8305CBC-96DE-0363-F570-BD4C9183D5F3}"/>
            </a:ext>
          </a:extLst>
        </xdr:cNvPr>
        <xdr:cNvSpPr txBox="1"/>
      </xdr:nvSpPr>
      <xdr:spPr>
        <a:xfrm>
          <a:off x="1348740" y="68580"/>
          <a:ext cx="1676400" cy="21336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HEAT MAP</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121920</xdr:colOff>
      <xdr:row>1</xdr:row>
      <xdr:rowOff>179070</xdr:rowOff>
    </xdr:from>
    <xdr:to>
      <xdr:col>13</xdr:col>
      <xdr:colOff>426720</xdr:colOff>
      <xdr:row>16</xdr:row>
      <xdr:rowOff>179070</xdr:rowOff>
    </xdr:to>
    <xdr:graphicFrame macro="">
      <xdr:nvGraphicFramePr>
        <xdr:cNvPr id="3" name="Chart 2">
          <a:extLst>
            <a:ext uri="{FF2B5EF4-FFF2-40B4-BE49-F238E27FC236}">
              <a16:creationId xmlns:a16="http://schemas.microsoft.com/office/drawing/2014/main" id="{58699707-20A1-3A89-DD25-44E953A7A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7620</xdr:colOff>
      <xdr:row>2</xdr:row>
      <xdr:rowOff>11430</xdr:rowOff>
    </xdr:from>
    <xdr:to>
      <xdr:col>21</xdr:col>
      <xdr:colOff>312420</xdr:colOff>
      <xdr:row>17</xdr:row>
      <xdr:rowOff>11430</xdr:rowOff>
    </xdr:to>
    <xdr:graphicFrame macro="">
      <xdr:nvGraphicFramePr>
        <xdr:cNvPr id="4" name="Chart 3">
          <a:extLst>
            <a:ext uri="{FF2B5EF4-FFF2-40B4-BE49-F238E27FC236}">
              <a16:creationId xmlns:a16="http://schemas.microsoft.com/office/drawing/2014/main" id="{9EF7FEB0-009D-EA02-B823-6011A1D5A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586740</xdr:colOff>
      <xdr:row>17</xdr:row>
      <xdr:rowOff>125730</xdr:rowOff>
    </xdr:from>
    <xdr:to>
      <xdr:col>17</xdr:col>
      <xdr:colOff>281940</xdr:colOff>
      <xdr:row>32</xdr:row>
      <xdr:rowOff>125730</xdr:rowOff>
    </xdr:to>
    <xdr:graphicFrame macro="">
      <xdr:nvGraphicFramePr>
        <xdr:cNvPr id="5" name="Chart 4">
          <a:extLst>
            <a:ext uri="{FF2B5EF4-FFF2-40B4-BE49-F238E27FC236}">
              <a16:creationId xmlns:a16="http://schemas.microsoft.com/office/drawing/2014/main" id="{299A3EDC-C652-BEC0-397E-7201FB645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762000</xdr:colOff>
      <xdr:row>1</xdr:row>
      <xdr:rowOff>45721</xdr:rowOff>
    </xdr:from>
    <xdr:to>
      <xdr:col>17</xdr:col>
      <xdr:colOff>1826381</xdr:colOff>
      <xdr:row>7</xdr:row>
      <xdr:rowOff>156882</xdr:rowOff>
    </xdr:to>
    <xdr:sp macro="" textlink="">
      <xdr:nvSpPr>
        <xdr:cNvPr id="2" name="TextBox 1">
          <a:extLst>
            <a:ext uri="{FF2B5EF4-FFF2-40B4-BE49-F238E27FC236}">
              <a16:creationId xmlns:a16="http://schemas.microsoft.com/office/drawing/2014/main" id="{4A671E03-A3AD-DECF-1467-C4AAFCDF2BA9}"/>
            </a:ext>
          </a:extLst>
        </xdr:cNvPr>
        <xdr:cNvSpPr txBox="1"/>
      </xdr:nvSpPr>
      <xdr:spPr>
        <a:xfrm>
          <a:off x="762000" y="227150"/>
          <a:ext cx="22098000" cy="1199732"/>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t>⭐</a:t>
          </a:r>
          <a:r>
            <a:rPr lang="en-IN"/>
            <a:t> </a:t>
          </a:r>
          <a:r>
            <a:rPr lang="en-IN" sz="3600" b="1" cap="all" baseline="0">
              <a:solidFill>
                <a:srgbClr val="002060"/>
              </a:solidFill>
            </a:rPr>
            <a:t>Rental BIKE Demand Insights</a:t>
          </a:r>
          <a:r>
            <a:rPr lang="en-IN" sz="3600">
              <a:solidFill>
                <a:schemeClr val="dk1"/>
              </a:solidFill>
              <a:effectLst/>
              <a:latin typeface="+mn-lt"/>
              <a:ea typeface="+mn-ea"/>
              <a:cs typeface="+mn-cs"/>
            </a:rPr>
            <a:t>⭐</a:t>
          </a:r>
        </a:p>
        <a:p>
          <a:pPr algn="ctr"/>
          <a:r>
            <a:rPr lang="en-IN" sz="1800" i="1">
              <a:solidFill>
                <a:schemeClr val="tx1"/>
              </a:solidFill>
              <a:effectLst/>
              <a:latin typeface="+mn-lt"/>
              <a:ea typeface="+mn-ea"/>
              <a:cs typeface="+mn-cs"/>
            </a:rPr>
            <a:t>Analysis of Usage Patterns, Weather Impact &amp; Behavior </a:t>
          </a:r>
        </a:p>
        <a:p>
          <a:pPr algn="ctr"/>
          <a:endParaRPr lang="en-IN" sz="4000"/>
        </a:p>
      </xdr:txBody>
    </xdr:sp>
    <xdr:clientData/>
  </xdr:twoCellAnchor>
  <xdr:twoCellAnchor>
    <xdr:from>
      <xdr:col>2</xdr:col>
      <xdr:colOff>0</xdr:colOff>
      <xdr:row>17</xdr:row>
      <xdr:rowOff>5182</xdr:rowOff>
    </xdr:from>
    <xdr:to>
      <xdr:col>6</xdr:col>
      <xdr:colOff>1199029</xdr:colOff>
      <xdr:row>37</xdr:row>
      <xdr:rowOff>33618</xdr:rowOff>
    </xdr:to>
    <xdr:graphicFrame macro="">
      <xdr:nvGraphicFramePr>
        <xdr:cNvPr id="3" name="Chart 2">
          <a:extLst>
            <a:ext uri="{FF2B5EF4-FFF2-40B4-BE49-F238E27FC236}">
              <a16:creationId xmlns:a16="http://schemas.microsoft.com/office/drawing/2014/main" id="{883DEB0E-7399-4437-B492-FF0D2DB3E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30159</xdr:colOff>
      <xdr:row>16</xdr:row>
      <xdr:rowOff>166217</xdr:rowOff>
    </xdr:from>
    <xdr:to>
      <xdr:col>13</xdr:col>
      <xdr:colOff>689428</xdr:colOff>
      <xdr:row>37</xdr:row>
      <xdr:rowOff>72571</xdr:rowOff>
    </xdr:to>
    <xdr:graphicFrame macro="">
      <xdr:nvGraphicFramePr>
        <xdr:cNvPr id="4" name="Chart 3">
          <a:extLst>
            <a:ext uri="{FF2B5EF4-FFF2-40B4-BE49-F238E27FC236}">
              <a16:creationId xmlns:a16="http://schemas.microsoft.com/office/drawing/2014/main" id="{A06F2740-B408-40ED-BEA2-AF5295AA9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24191</xdr:colOff>
      <xdr:row>13</xdr:row>
      <xdr:rowOff>84666</xdr:rowOff>
    </xdr:from>
    <xdr:to>
      <xdr:col>10</xdr:col>
      <xdr:colOff>1003905</xdr:colOff>
      <xdr:row>15</xdr:row>
      <xdr:rowOff>72571</xdr:rowOff>
    </xdr:to>
    <xdr:sp macro="" textlink="">
      <xdr:nvSpPr>
        <xdr:cNvPr id="5" name="TextBox 4">
          <a:extLst>
            <a:ext uri="{FF2B5EF4-FFF2-40B4-BE49-F238E27FC236}">
              <a16:creationId xmlns:a16="http://schemas.microsoft.com/office/drawing/2014/main" id="{7A059CC1-DDD0-6047-5275-DF2A7DF20DA9}"/>
            </a:ext>
          </a:extLst>
        </xdr:cNvPr>
        <xdr:cNvSpPr txBox="1"/>
      </xdr:nvSpPr>
      <xdr:spPr>
        <a:xfrm>
          <a:off x="5225143" y="2866571"/>
          <a:ext cx="8502952" cy="35076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Rental Demand Trend - Daily &amp; Weekday Vs Rentals</a:t>
          </a:r>
        </a:p>
      </xdr:txBody>
    </xdr:sp>
    <xdr:clientData/>
  </xdr:twoCellAnchor>
  <xdr:twoCellAnchor>
    <xdr:from>
      <xdr:col>2</xdr:col>
      <xdr:colOff>0</xdr:colOff>
      <xdr:row>43</xdr:row>
      <xdr:rowOff>-1</xdr:rowOff>
    </xdr:from>
    <xdr:to>
      <xdr:col>6</xdr:col>
      <xdr:colOff>1197428</xdr:colOff>
      <xdr:row>61</xdr:row>
      <xdr:rowOff>169332</xdr:rowOff>
    </xdr:to>
    <xdr:graphicFrame macro="">
      <xdr:nvGraphicFramePr>
        <xdr:cNvPr id="6" name="Chart 5">
          <a:extLst>
            <a:ext uri="{FF2B5EF4-FFF2-40B4-BE49-F238E27FC236}">
              <a16:creationId xmlns:a16="http://schemas.microsoft.com/office/drawing/2014/main" id="{E2F839D1-2843-4F39-A596-C6BE90767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24191</xdr:colOff>
      <xdr:row>40</xdr:row>
      <xdr:rowOff>12097</xdr:rowOff>
    </xdr:from>
    <xdr:to>
      <xdr:col>6</xdr:col>
      <xdr:colOff>1219200</xdr:colOff>
      <xdr:row>41</xdr:row>
      <xdr:rowOff>108858</xdr:rowOff>
    </xdr:to>
    <xdr:sp macro="" textlink="">
      <xdr:nvSpPr>
        <xdr:cNvPr id="8" name="TextBox 7">
          <a:extLst>
            <a:ext uri="{FF2B5EF4-FFF2-40B4-BE49-F238E27FC236}">
              <a16:creationId xmlns:a16="http://schemas.microsoft.com/office/drawing/2014/main" id="{46552C6B-F3B2-4600-8046-F3DD42939FC4}"/>
            </a:ext>
          </a:extLst>
        </xdr:cNvPr>
        <xdr:cNvSpPr txBox="1"/>
      </xdr:nvSpPr>
      <xdr:spPr>
        <a:xfrm>
          <a:off x="1569962" y="7838926"/>
          <a:ext cx="6779381" cy="28181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Weather</a:t>
          </a:r>
          <a:r>
            <a:rPr lang="en-IN" sz="1600" b="1" baseline="0"/>
            <a:t> Impact</a:t>
          </a:r>
          <a:endParaRPr lang="en-IN" sz="1600" b="1"/>
        </a:p>
      </xdr:txBody>
    </xdr:sp>
    <xdr:clientData/>
  </xdr:twoCellAnchor>
  <xdr:twoCellAnchor>
    <xdr:from>
      <xdr:col>8</xdr:col>
      <xdr:colOff>1330475</xdr:colOff>
      <xdr:row>40</xdr:row>
      <xdr:rowOff>0</xdr:rowOff>
    </xdr:from>
    <xdr:to>
      <xdr:col>13</xdr:col>
      <xdr:colOff>725713</xdr:colOff>
      <xdr:row>41</xdr:row>
      <xdr:rowOff>133047</xdr:rowOff>
    </xdr:to>
    <xdr:sp macro="" textlink="">
      <xdr:nvSpPr>
        <xdr:cNvPr id="9" name="TextBox 8">
          <a:extLst>
            <a:ext uri="{FF2B5EF4-FFF2-40B4-BE49-F238E27FC236}">
              <a16:creationId xmlns:a16="http://schemas.microsoft.com/office/drawing/2014/main" id="{1F44811E-2880-4878-B702-0F43B6A24C57}"/>
            </a:ext>
          </a:extLst>
        </xdr:cNvPr>
        <xdr:cNvSpPr txBox="1"/>
      </xdr:nvSpPr>
      <xdr:spPr>
        <a:xfrm>
          <a:off x="10619618" y="7874000"/>
          <a:ext cx="6652381" cy="31447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Bike Users</a:t>
          </a:r>
          <a:r>
            <a:rPr lang="en-IN" sz="1600" b="1" baseline="0"/>
            <a:t> Type</a:t>
          </a:r>
          <a:endParaRPr lang="en-IN" sz="1600" b="1"/>
        </a:p>
      </xdr:txBody>
    </xdr:sp>
    <xdr:clientData/>
  </xdr:twoCellAnchor>
  <xdr:twoCellAnchor>
    <xdr:from>
      <xdr:col>8</xdr:col>
      <xdr:colOff>1315065</xdr:colOff>
      <xdr:row>68</xdr:row>
      <xdr:rowOff>189024</xdr:rowOff>
    </xdr:from>
    <xdr:to>
      <xdr:col>13</xdr:col>
      <xdr:colOff>614516</xdr:colOff>
      <xdr:row>81</xdr:row>
      <xdr:rowOff>258095</xdr:rowOff>
    </xdr:to>
    <xdr:graphicFrame macro="">
      <xdr:nvGraphicFramePr>
        <xdr:cNvPr id="11" name="Chart 10">
          <a:extLst>
            <a:ext uri="{FF2B5EF4-FFF2-40B4-BE49-F238E27FC236}">
              <a16:creationId xmlns:a16="http://schemas.microsoft.com/office/drawing/2014/main" id="{4E6ED09A-B766-4D8C-9E59-DC337A86B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1315064</xdr:colOff>
      <xdr:row>65</xdr:row>
      <xdr:rowOff>147484</xdr:rowOff>
    </xdr:from>
    <xdr:to>
      <xdr:col>13</xdr:col>
      <xdr:colOff>717922</xdr:colOff>
      <xdr:row>67</xdr:row>
      <xdr:rowOff>96176</xdr:rowOff>
    </xdr:to>
    <xdr:sp macro="" textlink="">
      <xdr:nvSpPr>
        <xdr:cNvPr id="12" name="TextBox 11">
          <a:extLst>
            <a:ext uri="{FF2B5EF4-FFF2-40B4-BE49-F238E27FC236}">
              <a16:creationId xmlns:a16="http://schemas.microsoft.com/office/drawing/2014/main" id="{1901A882-2BB7-4A03-9E28-E37E8D936BE5}"/>
            </a:ext>
          </a:extLst>
        </xdr:cNvPr>
        <xdr:cNvSpPr txBox="1"/>
      </xdr:nvSpPr>
      <xdr:spPr>
        <a:xfrm>
          <a:off x="11516032" y="12548419"/>
          <a:ext cx="6260858" cy="31740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 User</a:t>
          </a:r>
          <a:r>
            <a:rPr lang="en-IN" sz="1600" b="1" baseline="0"/>
            <a:t> Behaviour based on Time Slot</a:t>
          </a:r>
          <a:endParaRPr lang="en-IN" sz="1600" b="1"/>
        </a:p>
      </xdr:txBody>
    </xdr:sp>
    <xdr:clientData/>
  </xdr:twoCellAnchor>
  <xdr:twoCellAnchor>
    <xdr:from>
      <xdr:col>1</xdr:col>
      <xdr:colOff>760597</xdr:colOff>
      <xdr:row>67</xdr:row>
      <xdr:rowOff>7374</xdr:rowOff>
    </xdr:from>
    <xdr:to>
      <xdr:col>7</xdr:col>
      <xdr:colOff>10887</xdr:colOff>
      <xdr:row>68</xdr:row>
      <xdr:rowOff>130979</xdr:rowOff>
    </xdr:to>
    <xdr:sp macro="" textlink="">
      <xdr:nvSpPr>
        <xdr:cNvPr id="13" name="TextBox 12">
          <a:extLst>
            <a:ext uri="{FF2B5EF4-FFF2-40B4-BE49-F238E27FC236}">
              <a16:creationId xmlns:a16="http://schemas.microsoft.com/office/drawing/2014/main" id="{E73552C0-43BD-4D5D-B96A-8D6B867D48A5}"/>
            </a:ext>
          </a:extLst>
        </xdr:cNvPr>
        <xdr:cNvSpPr txBox="1"/>
      </xdr:nvSpPr>
      <xdr:spPr>
        <a:xfrm>
          <a:off x="1533483" y="12830745"/>
          <a:ext cx="7283947" cy="30866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TimeSlot</a:t>
          </a:r>
          <a:r>
            <a:rPr lang="en-IN" sz="1600" b="1" baseline="0"/>
            <a:t> - Weather HEATMAP</a:t>
          </a:r>
          <a:endParaRPr lang="en-IN" sz="1600" b="1"/>
        </a:p>
      </xdr:txBody>
    </xdr:sp>
    <xdr:clientData/>
  </xdr:twoCellAnchor>
  <xdr:twoCellAnchor>
    <xdr:from>
      <xdr:col>2</xdr:col>
      <xdr:colOff>0</xdr:colOff>
      <xdr:row>77</xdr:row>
      <xdr:rowOff>0</xdr:rowOff>
    </xdr:from>
    <xdr:to>
      <xdr:col>7</xdr:col>
      <xdr:colOff>23175</xdr:colOff>
      <xdr:row>78</xdr:row>
      <xdr:rowOff>123606</xdr:rowOff>
    </xdr:to>
    <xdr:sp macro="" textlink="">
      <xdr:nvSpPr>
        <xdr:cNvPr id="14" name="TextBox 13">
          <a:extLst>
            <a:ext uri="{FF2B5EF4-FFF2-40B4-BE49-F238E27FC236}">
              <a16:creationId xmlns:a16="http://schemas.microsoft.com/office/drawing/2014/main" id="{6BE53E5F-F951-472E-8453-C37238B33816}"/>
            </a:ext>
          </a:extLst>
        </xdr:cNvPr>
        <xdr:cNvSpPr txBox="1"/>
      </xdr:nvSpPr>
      <xdr:spPr>
        <a:xfrm>
          <a:off x="1545771" y="15207343"/>
          <a:ext cx="7283947" cy="30866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Days - TimeSlot</a:t>
          </a:r>
          <a:r>
            <a:rPr lang="en-IN" sz="1600" b="1" baseline="0"/>
            <a:t>  HEATMAP</a:t>
          </a:r>
          <a:endParaRPr lang="en-IN" sz="1600" b="1"/>
        </a:p>
      </xdr:txBody>
    </xdr:sp>
    <xdr:clientData/>
  </xdr:twoCellAnchor>
  <xdr:twoCellAnchor editAs="oneCell">
    <xdr:from>
      <xdr:col>14</xdr:col>
      <xdr:colOff>30479</xdr:colOff>
      <xdr:row>42</xdr:row>
      <xdr:rowOff>155665</xdr:rowOff>
    </xdr:from>
    <xdr:to>
      <xdr:col>16</xdr:col>
      <xdr:colOff>261257</xdr:colOff>
      <xdr:row>50</xdr:row>
      <xdr:rowOff>46808</xdr:rowOff>
    </xdr:to>
    <mc:AlternateContent xmlns:mc="http://schemas.openxmlformats.org/markup-compatibility/2006" xmlns:tsle="http://schemas.microsoft.com/office/drawing/2012/timeslicer">
      <mc:Choice Requires="tsle">
        <xdr:graphicFrame macro="">
          <xdr:nvGraphicFramePr>
            <xdr:cNvPr id="10" name="Date">
              <a:extLst>
                <a:ext uri="{FF2B5EF4-FFF2-40B4-BE49-F238E27FC236}">
                  <a16:creationId xmlns:a16="http://schemas.microsoft.com/office/drawing/2014/main" id="{9F04B673-2980-7FD5-AC40-5FE8CD482B5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8449108" y="8341722"/>
              <a:ext cx="1765663"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10884</xdr:colOff>
      <xdr:row>26</xdr:row>
      <xdr:rowOff>71845</xdr:rowOff>
    </xdr:from>
    <xdr:to>
      <xdr:col>16</xdr:col>
      <xdr:colOff>293915</xdr:colOff>
      <xdr:row>34</xdr:row>
      <xdr:rowOff>76199</xdr:rowOff>
    </xdr:to>
    <mc:AlternateContent xmlns:mc="http://schemas.openxmlformats.org/markup-compatibility/2006" xmlns:a14="http://schemas.microsoft.com/office/drawing/2010/main">
      <mc:Choice Requires="a14">
        <xdr:graphicFrame macro="">
          <xdr:nvGraphicFramePr>
            <xdr:cNvPr id="17" name="Time_Slot">
              <a:extLst>
                <a:ext uri="{FF2B5EF4-FFF2-40B4-BE49-F238E27FC236}">
                  <a16:creationId xmlns:a16="http://schemas.microsoft.com/office/drawing/2014/main" id="{8E65DD06-5133-BA7A-3C55-A423743B359F}"/>
                </a:ext>
              </a:extLst>
            </xdr:cNvPr>
            <xdr:cNvGraphicFramePr/>
          </xdr:nvGraphicFramePr>
          <xdr:xfrm>
            <a:off x="0" y="0"/>
            <a:ext cx="0" cy="0"/>
          </xdr:xfrm>
          <a:graphic>
            <a:graphicData uri="http://schemas.microsoft.com/office/drawing/2010/slicer">
              <sle:slicer xmlns:sle="http://schemas.microsoft.com/office/drawing/2010/slicer" name="Time_Slot"/>
            </a:graphicData>
          </a:graphic>
        </xdr:graphicFrame>
      </mc:Choice>
      <mc:Fallback xmlns="">
        <xdr:sp macro="" textlink="">
          <xdr:nvSpPr>
            <xdr:cNvPr id="0" name=""/>
            <xdr:cNvSpPr>
              <a:spLocks noTextEdit="1"/>
            </xdr:cNvSpPr>
          </xdr:nvSpPr>
          <xdr:spPr>
            <a:xfrm>
              <a:off x="18429513" y="5296988"/>
              <a:ext cx="1817916" cy="1484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xdr:colOff>
      <xdr:row>35</xdr:row>
      <xdr:rowOff>83821</xdr:rowOff>
    </xdr:from>
    <xdr:to>
      <xdr:col>16</xdr:col>
      <xdr:colOff>316775</xdr:colOff>
      <xdr:row>40</xdr:row>
      <xdr:rowOff>152401</xdr:rowOff>
    </xdr:to>
    <mc:AlternateContent xmlns:mc="http://schemas.openxmlformats.org/markup-compatibility/2006" xmlns:a14="http://schemas.microsoft.com/office/drawing/2010/main">
      <mc:Choice Requires="a14">
        <xdr:graphicFrame macro="">
          <xdr:nvGraphicFramePr>
            <xdr:cNvPr id="18" name="Day_Type">
              <a:extLst>
                <a:ext uri="{FF2B5EF4-FFF2-40B4-BE49-F238E27FC236}">
                  <a16:creationId xmlns:a16="http://schemas.microsoft.com/office/drawing/2014/main" id="{AF5AE580-372C-0469-577C-3255E577A667}"/>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18441489" y="6974478"/>
              <a:ext cx="1828800" cy="993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9648</xdr:colOff>
      <xdr:row>17</xdr:row>
      <xdr:rowOff>68471</xdr:rowOff>
    </xdr:from>
    <xdr:to>
      <xdr:col>16</xdr:col>
      <xdr:colOff>418353</xdr:colOff>
      <xdr:row>25</xdr:row>
      <xdr:rowOff>48238</xdr:rowOff>
    </xdr:to>
    <mc:AlternateContent xmlns:mc="http://schemas.openxmlformats.org/markup-compatibility/2006" xmlns:a14="http://schemas.microsoft.com/office/drawing/2010/main">
      <mc:Choice Requires="a14">
        <xdr:graphicFrame macro="">
          <xdr:nvGraphicFramePr>
            <xdr:cNvPr id="19" name="Weather_Type">
              <a:extLst>
                <a:ext uri="{FF2B5EF4-FFF2-40B4-BE49-F238E27FC236}">
                  <a16:creationId xmlns:a16="http://schemas.microsoft.com/office/drawing/2014/main" id="{BD5D9687-2A2C-413C-A900-8836D8743A6E}"/>
                </a:ext>
              </a:extLst>
            </xdr:cNvPr>
            <xdr:cNvGraphicFramePr/>
          </xdr:nvGraphicFramePr>
          <xdr:xfrm>
            <a:off x="0" y="0"/>
            <a:ext cx="0" cy="0"/>
          </xdr:xfrm>
          <a:graphic>
            <a:graphicData uri="http://schemas.microsoft.com/office/drawing/2010/slicer">
              <sle:slicer xmlns:sle="http://schemas.microsoft.com/office/drawing/2010/slicer" name="Weather_Type"/>
            </a:graphicData>
          </a:graphic>
        </xdr:graphicFrame>
      </mc:Choice>
      <mc:Fallback xmlns="">
        <xdr:sp macro="" textlink="">
          <xdr:nvSpPr>
            <xdr:cNvPr id="0" name=""/>
            <xdr:cNvSpPr>
              <a:spLocks noTextEdit="1"/>
            </xdr:cNvSpPr>
          </xdr:nvSpPr>
          <xdr:spPr>
            <a:xfrm>
              <a:off x="18633824" y="3542295"/>
              <a:ext cx="1940175" cy="1418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1295400</xdr:colOff>
      <xdr:row>43</xdr:row>
      <xdr:rowOff>10886</xdr:rowOff>
    </xdr:from>
    <xdr:to>
      <xdr:col>13</xdr:col>
      <xdr:colOff>751114</xdr:colOff>
      <xdr:row>61</xdr:row>
      <xdr:rowOff>163286</xdr:rowOff>
    </xdr:to>
    <xdr:graphicFrame macro="">
      <xdr:nvGraphicFramePr>
        <xdr:cNvPr id="20" name="Chart 19">
          <a:extLst>
            <a:ext uri="{FF2B5EF4-FFF2-40B4-BE49-F238E27FC236}">
              <a16:creationId xmlns:a16="http://schemas.microsoft.com/office/drawing/2014/main" id="{90B6B26E-D10F-4540-832A-53A1552CD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suf Sakkaf" refreshedDate="46106.342065625002" createdVersion="8" refreshedVersion="8" minRefreshableVersion="3" recordCount="1000" xr:uid="{D899EFD9-4E56-43EC-90B8-1645C6E022A9}">
  <cacheSource type="worksheet">
    <worksheetSource name="Append15"/>
  </cacheSource>
  <cacheFields count="23">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2"/>
    </cacheField>
    <cacheField name="Month" numFmtId="0">
      <sharedItems containsSemiMixedTypes="0" containsString="0" containsNumber="1" containsInteger="1" minValue="1" maxValue="2"/>
    </cacheField>
    <cacheField name="Hour" numFmtId="0">
      <sharedItems containsSemiMixedTypes="0" containsString="0" containsNumber="1" containsInteger="1" minValue="0" maxValue="23"/>
    </cacheField>
    <cacheField name="Time" numFmtId="0">
      <sharedItems count="24">
        <s v="12 AM"/>
        <s v="1 AM"/>
        <s v="2 AM"/>
        <s v="3 AM"/>
        <s v="4 AM"/>
        <s v="5 AM"/>
        <s v="6 AM"/>
        <s v="7 AM"/>
        <s v="8 AM"/>
        <s v="9 AM"/>
        <s v="10 AM"/>
        <s v="11 AM"/>
        <s v="12 PM"/>
        <s v="1 PM"/>
        <s v="2 PM"/>
        <s v="3 PM"/>
        <s v="4 PM"/>
        <s v="5 PM"/>
        <s v="6 PM"/>
        <s v="7 PM"/>
        <s v="8 PM"/>
        <s v="9 PM"/>
        <s v="10 PM"/>
        <s v="11 PM"/>
      </sharedItems>
    </cacheField>
    <cacheField name="Time_Slot" numFmtId="0">
      <sharedItems count="4">
        <s v="Night"/>
        <s v="Morning"/>
        <s v="AfterNoon"/>
        <s v="Evening"/>
      </sharedItems>
    </cacheField>
    <cacheField name="Holiday" numFmtId="0">
      <sharedItems count="2">
        <b v="0"/>
        <b v="1"/>
      </sharedItems>
    </cacheField>
    <cacheField name="Week day" numFmtId="0">
      <sharedItems containsSemiMixedTypes="0" containsString="0" containsNumber="1" containsInteger="1" minValue="0" maxValue="6"/>
    </cacheField>
    <cacheField name="Days" numFmtId="0">
      <sharedItems count="7">
        <s v="Saturday"/>
        <s v="Sunday"/>
        <s v="Monday"/>
        <s v="Tuesday"/>
        <s v="Wednesday"/>
        <s v="Thursday"/>
        <s v="Friday"/>
      </sharedItems>
    </cacheField>
    <cacheField name="Day_Type" numFmtId="0">
      <sharedItems count="2">
        <s v="Weekend"/>
        <s v="Weekday"/>
      </sharedItems>
    </cacheField>
    <cacheField name="WeatherSituation" numFmtId="0">
      <sharedItems containsSemiMixedTypes="0" containsString="0" containsNumber="1" containsInteger="1" minValue="1" maxValue="4"/>
    </cacheField>
    <cacheField name="Weather_Type" numFmtId="0">
      <sharedItems count="4">
        <s v="Clear Sky"/>
        <s v="Mist/Cloudy"/>
        <s v="Light Rain"/>
        <s v="Heavy Rain/Snow"/>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fieldGroup base="12">
        <rangePr startNum="0.02" endNum="0.46" groupInterval="0.15"/>
        <groupItems count="5">
          <s v="&lt;0.02"/>
          <s v="0.02-0.17"/>
          <s v="0.17-0.32"/>
          <s v="0.32-0.47"/>
          <s v="&gt;0.47"/>
        </groupItems>
      </fieldGroup>
    </cacheField>
    <cacheField name="ATemp" numFmtId="0">
      <sharedItems containsSemiMixedTypes="0" containsString="0" containsNumber="1" minValue="0" maxValue="0.45450000000000002"/>
    </cacheField>
    <cacheField name="Humidity"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fieldGroup base="14">
        <rangePr startNum="0.21" endNum="1" groupInterval="0.3"/>
        <groupItems count="5">
          <s v="&lt;0.21"/>
          <s v="0.21-0.51"/>
          <s v="0.51-0.81"/>
          <s v="0.81-1.11"/>
          <s v="&gt;1.11"/>
        </groupItems>
      </fieldGroup>
    </cacheField>
    <cacheField name="WindSpeed" numFmtId="0">
      <sharedItems containsSemiMixedTypes="0" containsString="0" containsNumber="1" minValue="0" maxValue="0.58209999999999995"/>
    </cacheField>
    <cacheField name="Casuals"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Total_Rentals" numFmtId="0">
      <sharedItems containsSemiMixedTypes="0" containsString="0" containsNumber="1" containsInteger="1" minValue="1" maxValue="249"/>
    </cacheField>
    <cacheField name="Casual Users %" numFmtId="0" formula="Casuals/Total_Rentals" databaseField="0"/>
    <cacheField name="Registered Users %" numFmtId="0" formula="Registered/Total_Rentals" databaseField="0"/>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490533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n v="0"/>
    <x v="0"/>
    <x v="0"/>
    <x v="0"/>
    <n v="6"/>
    <x v="0"/>
    <x v="0"/>
    <n v="1"/>
    <x v="0"/>
    <x v="0"/>
    <n v="0.28789999999999999"/>
    <x v="0"/>
    <n v="0"/>
    <n v="3"/>
    <n v="13"/>
    <n v="16"/>
  </r>
  <r>
    <n v="2"/>
    <x v="0"/>
    <n v="1"/>
    <n v="1"/>
    <x v="1"/>
    <x v="0"/>
    <x v="0"/>
    <n v="6"/>
    <x v="0"/>
    <x v="0"/>
    <n v="1"/>
    <x v="0"/>
    <x v="1"/>
    <n v="0.2727"/>
    <x v="1"/>
    <n v="0"/>
    <n v="8"/>
    <n v="32"/>
    <n v="40"/>
  </r>
  <r>
    <n v="3"/>
    <x v="0"/>
    <n v="1"/>
    <n v="2"/>
    <x v="2"/>
    <x v="0"/>
    <x v="0"/>
    <n v="6"/>
    <x v="0"/>
    <x v="0"/>
    <n v="1"/>
    <x v="0"/>
    <x v="1"/>
    <n v="0.2727"/>
    <x v="1"/>
    <n v="0"/>
    <n v="5"/>
    <n v="27"/>
    <n v="32"/>
  </r>
  <r>
    <n v="4"/>
    <x v="0"/>
    <n v="1"/>
    <n v="3"/>
    <x v="3"/>
    <x v="0"/>
    <x v="0"/>
    <n v="6"/>
    <x v="0"/>
    <x v="0"/>
    <n v="1"/>
    <x v="0"/>
    <x v="0"/>
    <n v="0.28789999999999999"/>
    <x v="2"/>
    <n v="0"/>
    <n v="3"/>
    <n v="10"/>
    <n v="13"/>
  </r>
  <r>
    <n v="5"/>
    <x v="0"/>
    <n v="1"/>
    <n v="4"/>
    <x v="4"/>
    <x v="0"/>
    <x v="0"/>
    <n v="6"/>
    <x v="0"/>
    <x v="0"/>
    <n v="1"/>
    <x v="0"/>
    <x v="0"/>
    <n v="0.28789999999999999"/>
    <x v="2"/>
    <n v="0"/>
    <n v="0"/>
    <n v="1"/>
    <n v="1"/>
  </r>
  <r>
    <n v="6"/>
    <x v="0"/>
    <n v="1"/>
    <n v="5"/>
    <x v="5"/>
    <x v="1"/>
    <x v="0"/>
    <n v="6"/>
    <x v="0"/>
    <x v="0"/>
    <n v="2"/>
    <x v="1"/>
    <x v="0"/>
    <n v="0.2576"/>
    <x v="2"/>
    <n v="8.9599999999999999E-2"/>
    <n v="0"/>
    <n v="1"/>
    <n v="1"/>
  </r>
  <r>
    <n v="7"/>
    <x v="0"/>
    <n v="1"/>
    <n v="6"/>
    <x v="6"/>
    <x v="1"/>
    <x v="0"/>
    <n v="6"/>
    <x v="0"/>
    <x v="0"/>
    <n v="1"/>
    <x v="0"/>
    <x v="1"/>
    <n v="0.2727"/>
    <x v="1"/>
    <n v="0"/>
    <n v="2"/>
    <n v="0"/>
    <n v="2"/>
  </r>
  <r>
    <n v="8"/>
    <x v="0"/>
    <n v="1"/>
    <n v="7"/>
    <x v="7"/>
    <x v="1"/>
    <x v="0"/>
    <n v="6"/>
    <x v="0"/>
    <x v="0"/>
    <n v="1"/>
    <x v="0"/>
    <x v="2"/>
    <n v="0.2576"/>
    <x v="3"/>
    <n v="0"/>
    <n v="1"/>
    <n v="2"/>
    <n v="3"/>
  </r>
  <r>
    <n v="9"/>
    <x v="0"/>
    <n v="1"/>
    <n v="8"/>
    <x v="8"/>
    <x v="1"/>
    <x v="0"/>
    <n v="6"/>
    <x v="0"/>
    <x v="0"/>
    <n v="1"/>
    <x v="0"/>
    <x v="0"/>
    <n v="0.19989999999999999"/>
    <x v="2"/>
    <n v="0"/>
    <n v="1"/>
    <n v="7"/>
    <n v="8"/>
  </r>
  <r>
    <n v="10"/>
    <x v="0"/>
    <n v="1"/>
    <n v="9"/>
    <x v="9"/>
    <x v="1"/>
    <x v="0"/>
    <n v="6"/>
    <x v="0"/>
    <x v="0"/>
    <n v="1"/>
    <x v="0"/>
    <x v="3"/>
    <n v="0.34849999999999998"/>
    <x v="4"/>
    <n v="0"/>
    <n v="8"/>
    <n v="6"/>
    <n v="14"/>
  </r>
  <r>
    <n v="11"/>
    <x v="0"/>
    <n v="1"/>
    <n v="10"/>
    <x v="10"/>
    <x v="1"/>
    <x v="0"/>
    <n v="6"/>
    <x v="0"/>
    <x v="0"/>
    <n v="1"/>
    <x v="0"/>
    <x v="4"/>
    <n v="0.39389999999999997"/>
    <x v="4"/>
    <n v="0.25369999999999998"/>
    <n v="12"/>
    <n v="24"/>
    <n v="36"/>
  </r>
  <r>
    <n v="12"/>
    <x v="0"/>
    <n v="1"/>
    <n v="11"/>
    <x v="11"/>
    <x v="1"/>
    <x v="0"/>
    <n v="6"/>
    <x v="0"/>
    <x v="0"/>
    <n v="1"/>
    <x v="0"/>
    <x v="5"/>
    <n v="0.33329999999999999"/>
    <x v="0"/>
    <n v="0.28360000000000002"/>
    <n v="26"/>
    <n v="30"/>
    <n v="56"/>
  </r>
  <r>
    <n v="13"/>
    <x v="0"/>
    <n v="1"/>
    <n v="12"/>
    <x v="12"/>
    <x v="2"/>
    <x v="0"/>
    <n v="6"/>
    <x v="0"/>
    <x v="0"/>
    <n v="1"/>
    <x v="0"/>
    <x v="6"/>
    <n v="0.42420000000000002"/>
    <x v="5"/>
    <n v="0.28360000000000002"/>
    <n v="29"/>
    <n v="55"/>
    <n v="84"/>
  </r>
  <r>
    <n v="14"/>
    <x v="0"/>
    <n v="1"/>
    <n v="13"/>
    <x v="13"/>
    <x v="2"/>
    <x v="0"/>
    <n v="6"/>
    <x v="0"/>
    <x v="0"/>
    <n v="2"/>
    <x v="1"/>
    <x v="7"/>
    <n v="0.45450000000000002"/>
    <x v="6"/>
    <n v="0.29849999999999999"/>
    <n v="47"/>
    <n v="47"/>
    <n v="94"/>
  </r>
  <r>
    <n v="15"/>
    <x v="0"/>
    <n v="1"/>
    <n v="14"/>
    <x v="14"/>
    <x v="2"/>
    <x v="0"/>
    <n v="6"/>
    <x v="0"/>
    <x v="0"/>
    <n v="2"/>
    <x v="1"/>
    <x v="7"/>
    <n v="0.45450000000000002"/>
    <x v="6"/>
    <n v="0.28360000000000002"/>
    <n v="35"/>
    <n v="71"/>
    <n v="106"/>
  </r>
  <r>
    <n v="16"/>
    <x v="0"/>
    <n v="1"/>
    <n v="15"/>
    <x v="15"/>
    <x v="2"/>
    <x v="0"/>
    <n v="6"/>
    <x v="0"/>
    <x v="0"/>
    <n v="2"/>
    <x v="1"/>
    <x v="8"/>
    <n v="0.43940000000000001"/>
    <x v="5"/>
    <n v="0.29849999999999999"/>
    <n v="40"/>
    <n v="70"/>
    <n v="110"/>
  </r>
  <r>
    <n v="17"/>
    <x v="0"/>
    <n v="1"/>
    <n v="16"/>
    <x v="16"/>
    <x v="3"/>
    <x v="0"/>
    <n v="6"/>
    <x v="0"/>
    <x v="0"/>
    <n v="2"/>
    <x v="1"/>
    <x v="6"/>
    <n v="0.42420000000000002"/>
    <x v="7"/>
    <n v="0.29849999999999999"/>
    <n v="41"/>
    <n v="52"/>
    <n v="93"/>
  </r>
  <r>
    <n v="18"/>
    <x v="0"/>
    <n v="1"/>
    <n v="17"/>
    <x v="17"/>
    <x v="3"/>
    <x v="0"/>
    <n v="6"/>
    <x v="0"/>
    <x v="0"/>
    <n v="2"/>
    <x v="1"/>
    <x v="8"/>
    <n v="0.19989999999999999"/>
    <x v="7"/>
    <n v="0.28360000000000002"/>
    <n v="15"/>
    <n v="52"/>
    <n v="67"/>
  </r>
  <r>
    <n v="19"/>
    <x v="0"/>
    <n v="1"/>
    <n v="18"/>
    <x v="18"/>
    <x v="3"/>
    <x v="0"/>
    <n v="6"/>
    <x v="0"/>
    <x v="0"/>
    <n v="3"/>
    <x v="2"/>
    <x v="6"/>
    <n v="0.42420000000000002"/>
    <x v="8"/>
    <n v="0.25369999999999998"/>
    <n v="9"/>
    <n v="26"/>
    <n v="35"/>
  </r>
  <r>
    <n v="20"/>
    <x v="0"/>
    <n v="1"/>
    <n v="19"/>
    <x v="19"/>
    <x v="3"/>
    <x v="0"/>
    <n v="6"/>
    <x v="0"/>
    <x v="0"/>
    <n v="3"/>
    <x v="2"/>
    <x v="6"/>
    <n v="0.42420000000000002"/>
    <x v="8"/>
    <n v="0.25369999999999998"/>
    <n v="6"/>
    <n v="31"/>
    <n v="37"/>
  </r>
  <r>
    <n v="21"/>
    <x v="0"/>
    <n v="1"/>
    <n v="20"/>
    <x v="20"/>
    <x v="0"/>
    <x v="0"/>
    <n v="6"/>
    <x v="0"/>
    <x v="0"/>
    <n v="2"/>
    <x v="1"/>
    <x v="9"/>
    <n v="0.40910000000000002"/>
    <x v="9"/>
    <n v="0.25369999999999998"/>
    <n v="11"/>
    <n v="25"/>
    <n v="36"/>
  </r>
  <r>
    <n v="22"/>
    <x v="0"/>
    <n v="1"/>
    <n v="21"/>
    <x v="21"/>
    <x v="0"/>
    <x v="0"/>
    <n v="6"/>
    <x v="0"/>
    <x v="0"/>
    <n v="2"/>
    <x v="1"/>
    <x v="9"/>
    <n v="0.40910000000000002"/>
    <x v="9"/>
    <n v="0.19400000000000001"/>
    <n v="3"/>
    <n v="31"/>
    <n v="34"/>
  </r>
  <r>
    <n v="23"/>
    <x v="0"/>
    <n v="1"/>
    <n v="22"/>
    <x v="22"/>
    <x v="0"/>
    <x v="0"/>
    <n v="6"/>
    <x v="0"/>
    <x v="0"/>
    <n v="2"/>
    <x v="1"/>
    <x v="9"/>
    <n v="0.40910000000000002"/>
    <x v="10"/>
    <n v="0.22389999999999999"/>
    <n v="11"/>
    <n v="17"/>
    <n v="28"/>
  </r>
  <r>
    <n v="24"/>
    <x v="0"/>
    <n v="1"/>
    <n v="23"/>
    <x v="23"/>
    <x v="0"/>
    <x v="0"/>
    <n v="6"/>
    <x v="0"/>
    <x v="0"/>
    <n v="2"/>
    <x v="1"/>
    <x v="7"/>
    <n v="0.19989999999999999"/>
    <x v="8"/>
    <n v="0.29849999999999999"/>
    <n v="15"/>
    <n v="24"/>
    <n v="39"/>
  </r>
  <r>
    <n v="25"/>
    <x v="1"/>
    <n v="1"/>
    <n v="0"/>
    <x v="0"/>
    <x v="0"/>
    <x v="0"/>
    <n v="0"/>
    <x v="1"/>
    <x v="0"/>
    <n v="2"/>
    <x v="1"/>
    <x v="7"/>
    <n v="0.45450000000000002"/>
    <x v="8"/>
    <n v="0.29849999999999999"/>
    <n v="4"/>
    <n v="13"/>
    <n v="17"/>
  </r>
  <r>
    <n v="26"/>
    <x v="1"/>
    <n v="1"/>
    <n v="1"/>
    <x v="1"/>
    <x v="0"/>
    <x v="0"/>
    <n v="0"/>
    <x v="1"/>
    <x v="0"/>
    <n v="2"/>
    <x v="1"/>
    <x v="8"/>
    <n v="0.43940000000000001"/>
    <x v="10"/>
    <n v="0.25369999999999998"/>
    <n v="1"/>
    <n v="16"/>
    <n v="17"/>
  </r>
  <r>
    <n v="27"/>
    <x v="1"/>
    <n v="1"/>
    <n v="2"/>
    <x v="2"/>
    <x v="0"/>
    <x v="0"/>
    <n v="0"/>
    <x v="1"/>
    <x v="0"/>
    <n v="2"/>
    <x v="1"/>
    <x v="6"/>
    <n v="0.42420000000000002"/>
    <x v="11"/>
    <n v="0.28360000000000002"/>
    <n v="1"/>
    <n v="8"/>
    <n v="9"/>
  </r>
  <r>
    <n v="28"/>
    <x v="1"/>
    <n v="1"/>
    <n v="3"/>
    <x v="3"/>
    <x v="0"/>
    <x v="0"/>
    <n v="0"/>
    <x v="1"/>
    <x v="0"/>
    <n v="2"/>
    <x v="1"/>
    <x v="7"/>
    <n v="0.45450000000000002"/>
    <x v="10"/>
    <n v="0.19400000000000001"/>
    <n v="2"/>
    <n v="4"/>
    <n v="6"/>
  </r>
  <r>
    <n v="29"/>
    <x v="1"/>
    <n v="1"/>
    <n v="4"/>
    <x v="4"/>
    <x v="0"/>
    <x v="0"/>
    <n v="0"/>
    <x v="1"/>
    <x v="0"/>
    <n v="2"/>
    <x v="1"/>
    <x v="7"/>
    <n v="0.19989999999999999"/>
    <x v="10"/>
    <n v="0.19400000000000001"/>
    <n v="2"/>
    <n v="1"/>
    <n v="3"/>
  </r>
  <r>
    <n v="30"/>
    <x v="1"/>
    <n v="1"/>
    <n v="6"/>
    <x v="6"/>
    <x v="1"/>
    <x v="0"/>
    <n v="0"/>
    <x v="1"/>
    <x v="0"/>
    <n v="3"/>
    <x v="2"/>
    <x v="6"/>
    <n v="0.42420000000000002"/>
    <x v="5"/>
    <n v="0.29849999999999999"/>
    <n v="0"/>
    <n v="2"/>
    <n v="2"/>
  </r>
  <r>
    <n v="31"/>
    <x v="1"/>
    <n v="1"/>
    <n v="7"/>
    <x v="7"/>
    <x v="1"/>
    <x v="0"/>
    <n v="0"/>
    <x v="1"/>
    <x v="0"/>
    <n v="2"/>
    <x v="1"/>
    <x v="9"/>
    <n v="0.40910000000000002"/>
    <x v="4"/>
    <n v="0.19400000000000001"/>
    <n v="0"/>
    <n v="1"/>
    <n v="1"/>
  </r>
  <r>
    <n v="32"/>
    <x v="1"/>
    <n v="1"/>
    <n v="8"/>
    <x v="8"/>
    <x v="1"/>
    <x v="0"/>
    <n v="0"/>
    <x v="1"/>
    <x v="0"/>
    <n v="3"/>
    <x v="2"/>
    <x v="9"/>
    <n v="0.40910000000000002"/>
    <x v="12"/>
    <n v="0.22389999999999999"/>
    <n v="0"/>
    <n v="8"/>
    <n v="8"/>
  </r>
  <r>
    <n v="33"/>
    <x v="1"/>
    <n v="1"/>
    <n v="9"/>
    <x v="9"/>
    <x v="1"/>
    <x v="0"/>
    <n v="0"/>
    <x v="1"/>
    <x v="0"/>
    <n v="2"/>
    <x v="1"/>
    <x v="4"/>
    <n v="0.19989999999999999"/>
    <x v="4"/>
    <n v="0.22389999999999999"/>
    <n v="1"/>
    <n v="19"/>
    <n v="20"/>
  </r>
  <r>
    <n v="34"/>
    <x v="1"/>
    <n v="1"/>
    <n v="10"/>
    <x v="10"/>
    <x v="1"/>
    <x v="0"/>
    <n v="0"/>
    <x v="1"/>
    <x v="0"/>
    <n v="2"/>
    <x v="1"/>
    <x v="5"/>
    <n v="0.34849999999999998"/>
    <x v="0"/>
    <n v="0.22389999999999999"/>
    <n v="7"/>
    <n v="46"/>
    <n v="53"/>
  </r>
  <r>
    <n v="35"/>
    <x v="1"/>
    <n v="1"/>
    <n v="11"/>
    <x v="11"/>
    <x v="1"/>
    <x v="0"/>
    <n v="0"/>
    <x v="1"/>
    <x v="0"/>
    <n v="2"/>
    <x v="1"/>
    <x v="5"/>
    <n v="0.33329999999999999"/>
    <x v="12"/>
    <n v="0.25369999999999998"/>
    <n v="16"/>
    <n v="54"/>
    <n v="70"/>
  </r>
  <r>
    <n v="36"/>
    <x v="1"/>
    <n v="1"/>
    <n v="12"/>
    <x v="12"/>
    <x v="2"/>
    <x v="0"/>
    <n v="0"/>
    <x v="1"/>
    <x v="0"/>
    <n v="2"/>
    <x v="1"/>
    <x v="5"/>
    <n v="0.33329999999999999"/>
    <x v="13"/>
    <n v="0.29849999999999999"/>
    <n v="20"/>
    <n v="73"/>
    <n v="93"/>
  </r>
  <r>
    <n v="37"/>
    <x v="1"/>
    <n v="1"/>
    <n v="13"/>
    <x v="13"/>
    <x v="2"/>
    <x v="0"/>
    <n v="0"/>
    <x v="1"/>
    <x v="0"/>
    <n v="2"/>
    <x v="1"/>
    <x v="5"/>
    <n v="0.34849999999999998"/>
    <x v="13"/>
    <n v="0.1343"/>
    <n v="11"/>
    <n v="64"/>
    <n v="75"/>
  </r>
  <r>
    <n v="38"/>
    <x v="1"/>
    <n v="1"/>
    <n v="14"/>
    <x v="14"/>
    <x v="2"/>
    <x v="0"/>
    <n v="0"/>
    <x v="1"/>
    <x v="0"/>
    <n v="3"/>
    <x v="2"/>
    <x v="5"/>
    <n v="0.19989999999999999"/>
    <x v="4"/>
    <n v="0.19400000000000001"/>
    <n v="4"/>
    <n v="55"/>
    <n v="59"/>
  </r>
  <r>
    <n v="39"/>
    <x v="1"/>
    <n v="1"/>
    <n v="15"/>
    <x v="15"/>
    <x v="2"/>
    <x v="0"/>
    <n v="0"/>
    <x v="1"/>
    <x v="0"/>
    <n v="3"/>
    <x v="2"/>
    <x v="10"/>
    <n v="0.33329999999999999"/>
    <x v="0"/>
    <n v="0.16420000000000001"/>
    <n v="19"/>
    <n v="55"/>
    <n v="74"/>
  </r>
  <r>
    <n v="40"/>
    <x v="1"/>
    <n v="1"/>
    <n v="16"/>
    <x v="16"/>
    <x v="3"/>
    <x v="0"/>
    <n v="0"/>
    <x v="1"/>
    <x v="0"/>
    <n v="3"/>
    <x v="2"/>
    <x v="10"/>
    <n v="0.33329999999999999"/>
    <x v="12"/>
    <n v="0.16420000000000001"/>
    <n v="9"/>
    <n v="67"/>
    <n v="76"/>
  </r>
  <r>
    <n v="41"/>
    <x v="1"/>
    <n v="1"/>
    <n v="17"/>
    <x v="17"/>
    <x v="3"/>
    <x v="0"/>
    <n v="0"/>
    <x v="1"/>
    <x v="0"/>
    <n v="1"/>
    <x v="0"/>
    <x v="10"/>
    <n v="0.33329999999999999"/>
    <x v="14"/>
    <n v="0.19400000000000001"/>
    <n v="7"/>
    <n v="58"/>
    <n v="65"/>
  </r>
  <r>
    <n v="42"/>
    <x v="1"/>
    <n v="1"/>
    <n v="18"/>
    <x v="18"/>
    <x v="3"/>
    <x v="0"/>
    <n v="0"/>
    <x v="1"/>
    <x v="0"/>
    <n v="2"/>
    <x v="1"/>
    <x v="5"/>
    <n v="0.33329999999999999"/>
    <x v="15"/>
    <n v="0.32840000000000003"/>
    <n v="10"/>
    <n v="43"/>
    <n v="53"/>
  </r>
  <r>
    <n v="43"/>
    <x v="1"/>
    <n v="1"/>
    <n v="19"/>
    <x v="19"/>
    <x v="3"/>
    <x v="0"/>
    <n v="0"/>
    <x v="1"/>
    <x v="0"/>
    <n v="1"/>
    <x v="0"/>
    <x v="3"/>
    <n v="0.28789999999999999"/>
    <x v="16"/>
    <n v="0.44779999999999998"/>
    <n v="1"/>
    <n v="29"/>
    <n v="30"/>
  </r>
  <r>
    <n v="44"/>
    <x v="1"/>
    <n v="1"/>
    <n v="20"/>
    <x v="20"/>
    <x v="0"/>
    <x v="0"/>
    <n v="0"/>
    <x v="1"/>
    <x v="0"/>
    <n v="1"/>
    <x v="0"/>
    <x v="11"/>
    <n v="0.19989999999999999"/>
    <x v="17"/>
    <n v="0.35820000000000002"/>
    <n v="5"/>
    <n v="17"/>
    <n v="22"/>
  </r>
  <r>
    <n v="45"/>
    <x v="1"/>
    <n v="1"/>
    <n v="21"/>
    <x v="21"/>
    <x v="0"/>
    <x v="0"/>
    <n v="0"/>
    <x v="1"/>
    <x v="0"/>
    <n v="1"/>
    <x v="0"/>
    <x v="12"/>
    <n v="0.2273"/>
    <x v="18"/>
    <n v="0.32840000000000003"/>
    <n v="11"/>
    <n v="20"/>
    <n v="31"/>
  </r>
  <r>
    <n v="46"/>
    <x v="1"/>
    <n v="1"/>
    <n v="22"/>
    <x v="22"/>
    <x v="0"/>
    <x v="0"/>
    <n v="0"/>
    <x v="1"/>
    <x v="0"/>
    <n v="1"/>
    <x v="0"/>
    <x v="0"/>
    <n v="0.21210000000000001"/>
    <x v="18"/>
    <n v="0.29849999999999999"/>
    <n v="0"/>
    <n v="9"/>
    <n v="9"/>
  </r>
  <r>
    <n v="47"/>
    <x v="1"/>
    <n v="1"/>
    <n v="23"/>
    <x v="23"/>
    <x v="0"/>
    <x v="0"/>
    <n v="0"/>
    <x v="1"/>
    <x v="0"/>
    <n v="1"/>
    <x v="0"/>
    <x v="1"/>
    <n v="0.2273"/>
    <x v="19"/>
    <n v="0.16420000000000001"/>
    <n v="0"/>
    <n v="8"/>
    <n v="8"/>
  </r>
  <r>
    <n v="48"/>
    <x v="2"/>
    <n v="1"/>
    <n v="0"/>
    <x v="0"/>
    <x v="0"/>
    <x v="0"/>
    <n v="1"/>
    <x v="2"/>
    <x v="1"/>
    <n v="1"/>
    <x v="0"/>
    <x v="1"/>
    <n v="0.19700000000000001"/>
    <x v="18"/>
    <n v="0.35820000000000002"/>
    <n v="0"/>
    <n v="5"/>
    <n v="5"/>
  </r>
  <r>
    <n v="49"/>
    <x v="2"/>
    <n v="1"/>
    <n v="1"/>
    <x v="1"/>
    <x v="0"/>
    <x v="0"/>
    <n v="1"/>
    <x v="2"/>
    <x v="1"/>
    <n v="1"/>
    <x v="0"/>
    <x v="2"/>
    <n v="0.19989999999999999"/>
    <x v="18"/>
    <n v="0.41789999999999999"/>
    <n v="0"/>
    <n v="2"/>
    <n v="2"/>
  </r>
  <r>
    <n v="50"/>
    <x v="2"/>
    <n v="1"/>
    <n v="4"/>
    <x v="4"/>
    <x v="0"/>
    <x v="0"/>
    <n v="1"/>
    <x v="2"/>
    <x v="1"/>
    <n v="1"/>
    <x v="0"/>
    <x v="13"/>
    <n v="0.13639999999999999"/>
    <x v="19"/>
    <n v="0.3881"/>
    <n v="0"/>
    <n v="1"/>
    <n v="1"/>
  </r>
  <r>
    <n v="51"/>
    <x v="2"/>
    <n v="1"/>
    <n v="5"/>
    <x v="5"/>
    <x v="1"/>
    <x v="0"/>
    <n v="1"/>
    <x v="2"/>
    <x v="1"/>
    <n v="1"/>
    <x v="0"/>
    <x v="13"/>
    <n v="0.13639999999999999"/>
    <x v="19"/>
    <n v="0.28360000000000002"/>
    <n v="0"/>
    <n v="3"/>
    <n v="3"/>
  </r>
  <r>
    <n v="52"/>
    <x v="2"/>
    <n v="1"/>
    <n v="6"/>
    <x v="6"/>
    <x v="1"/>
    <x v="0"/>
    <n v="1"/>
    <x v="2"/>
    <x v="1"/>
    <n v="1"/>
    <x v="0"/>
    <x v="14"/>
    <n v="0.1061"/>
    <x v="20"/>
    <n v="0.3881"/>
    <n v="0"/>
    <n v="30"/>
    <n v="30"/>
  </r>
  <r>
    <n v="53"/>
    <x v="2"/>
    <n v="1"/>
    <n v="7"/>
    <x v="7"/>
    <x v="1"/>
    <x v="0"/>
    <n v="1"/>
    <x v="2"/>
    <x v="1"/>
    <n v="1"/>
    <x v="0"/>
    <x v="14"/>
    <n v="0.13639999999999999"/>
    <x v="20"/>
    <n v="0.19400000000000001"/>
    <n v="1"/>
    <n v="63"/>
    <n v="64"/>
  </r>
  <r>
    <n v="54"/>
    <x v="2"/>
    <n v="1"/>
    <n v="8"/>
    <x v="8"/>
    <x v="1"/>
    <x v="0"/>
    <n v="1"/>
    <x v="2"/>
    <x v="1"/>
    <n v="1"/>
    <x v="0"/>
    <x v="14"/>
    <n v="0.1212"/>
    <x v="20"/>
    <n v="0.28360000000000002"/>
    <n v="1"/>
    <n v="153"/>
    <n v="154"/>
  </r>
  <r>
    <n v="55"/>
    <x v="2"/>
    <n v="1"/>
    <n v="9"/>
    <x v="9"/>
    <x v="1"/>
    <x v="0"/>
    <n v="1"/>
    <x v="2"/>
    <x v="1"/>
    <n v="1"/>
    <x v="0"/>
    <x v="13"/>
    <n v="0.13639999999999999"/>
    <x v="21"/>
    <n v="0.3881"/>
    <n v="7"/>
    <n v="81"/>
    <n v="88"/>
  </r>
  <r>
    <n v="56"/>
    <x v="2"/>
    <n v="1"/>
    <n v="10"/>
    <x v="10"/>
    <x v="1"/>
    <x v="0"/>
    <n v="1"/>
    <x v="2"/>
    <x v="1"/>
    <n v="1"/>
    <x v="0"/>
    <x v="15"/>
    <n v="0.16669999999999999"/>
    <x v="21"/>
    <n v="0.25369999999999998"/>
    <n v="11"/>
    <n v="33"/>
    <n v="44"/>
  </r>
  <r>
    <n v="57"/>
    <x v="2"/>
    <n v="1"/>
    <n v="11"/>
    <x v="11"/>
    <x v="1"/>
    <x v="0"/>
    <n v="1"/>
    <x v="2"/>
    <x v="1"/>
    <n v="1"/>
    <x v="0"/>
    <x v="2"/>
    <n v="0.18179999999999999"/>
    <x v="22"/>
    <n v="0.32840000000000003"/>
    <n v="10"/>
    <n v="41"/>
    <n v="51"/>
  </r>
  <r>
    <n v="58"/>
    <x v="2"/>
    <n v="1"/>
    <n v="12"/>
    <x v="12"/>
    <x v="2"/>
    <x v="0"/>
    <n v="1"/>
    <x v="2"/>
    <x v="1"/>
    <n v="1"/>
    <x v="0"/>
    <x v="1"/>
    <n v="0.21210000000000001"/>
    <x v="23"/>
    <n v="0.29849999999999999"/>
    <n v="13"/>
    <n v="48"/>
    <n v="61"/>
  </r>
  <r>
    <n v="59"/>
    <x v="2"/>
    <n v="1"/>
    <n v="13"/>
    <x v="13"/>
    <x v="2"/>
    <x v="0"/>
    <n v="1"/>
    <x v="2"/>
    <x v="1"/>
    <n v="1"/>
    <x v="0"/>
    <x v="0"/>
    <n v="0.19989999999999999"/>
    <x v="23"/>
    <n v="0.28360000000000002"/>
    <n v="8"/>
    <n v="53"/>
    <n v="61"/>
  </r>
  <r>
    <n v="60"/>
    <x v="2"/>
    <n v="1"/>
    <n v="14"/>
    <x v="14"/>
    <x v="2"/>
    <x v="0"/>
    <n v="1"/>
    <x v="2"/>
    <x v="1"/>
    <n v="1"/>
    <x v="0"/>
    <x v="12"/>
    <n v="0.2424"/>
    <x v="24"/>
    <n v="0.28360000000000002"/>
    <n v="11"/>
    <n v="66"/>
    <n v="77"/>
  </r>
  <r>
    <n v="61"/>
    <x v="2"/>
    <n v="1"/>
    <n v="15"/>
    <x v="15"/>
    <x v="2"/>
    <x v="0"/>
    <n v="1"/>
    <x v="2"/>
    <x v="1"/>
    <n v="1"/>
    <x v="0"/>
    <x v="12"/>
    <n v="0.2424"/>
    <x v="24"/>
    <n v="0.25369999999999998"/>
    <n v="14"/>
    <n v="58"/>
    <n v="72"/>
  </r>
  <r>
    <n v="62"/>
    <x v="2"/>
    <n v="1"/>
    <n v="16"/>
    <x v="16"/>
    <x v="3"/>
    <x v="0"/>
    <n v="1"/>
    <x v="2"/>
    <x v="1"/>
    <n v="1"/>
    <x v="0"/>
    <x v="12"/>
    <n v="0.2424"/>
    <x v="24"/>
    <n v="0.25369999999999998"/>
    <n v="9"/>
    <n v="67"/>
    <n v="76"/>
  </r>
  <r>
    <n v="63"/>
    <x v="2"/>
    <n v="1"/>
    <n v="17"/>
    <x v="17"/>
    <x v="3"/>
    <x v="0"/>
    <n v="1"/>
    <x v="2"/>
    <x v="1"/>
    <n v="1"/>
    <x v="0"/>
    <x v="0"/>
    <n v="0.2273"/>
    <x v="24"/>
    <n v="0.22389999999999999"/>
    <n v="11"/>
    <n v="146"/>
    <n v="157"/>
  </r>
  <r>
    <n v="64"/>
    <x v="2"/>
    <n v="1"/>
    <n v="18"/>
    <x v="18"/>
    <x v="3"/>
    <x v="0"/>
    <n v="1"/>
    <x v="2"/>
    <x v="1"/>
    <n v="1"/>
    <x v="0"/>
    <x v="0"/>
    <n v="0.2576"/>
    <x v="25"/>
    <n v="0.1045"/>
    <n v="9"/>
    <n v="148"/>
    <n v="157"/>
  </r>
  <r>
    <n v="65"/>
    <x v="2"/>
    <n v="1"/>
    <n v="19"/>
    <x v="19"/>
    <x v="3"/>
    <x v="0"/>
    <n v="1"/>
    <x v="2"/>
    <x v="1"/>
    <n v="1"/>
    <x v="0"/>
    <x v="2"/>
    <n v="0.2576"/>
    <x v="19"/>
    <n v="0"/>
    <n v="8"/>
    <n v="102"/>
    <n v="110"/>
  </r>
  <r>
    <n v="66"/>
    <x v="2"/>
    <n v="1"/>
    <n v="20"/>
    <x v="20"/>
    <x v="0"/>
    <x v="0"/>
    <n v="1"/>
    <x v="2"/>
    <x v="1"/>
    <n v="1"/>
    <x v="0"/>
    <x v="2"/>
    <n v="0.19989999999999999"/>
    <x v="19"/>
    <n v="0.1045"/>
    <n v="3"/>
    <n v="49"/>
    <n v="52"/>
  </r>
  <r>
    <n v="67"/>
    <x v="2"/>
    <n v="1"/>
    <n v="21"/>
    <x v="21"/>
    <x v="0"/>
    <x v="0"/>
    <n v="1"/>
    <x v="2"/>
    <x v="1"/>
    <n v="1"/>
    <x v="0"/>
    <x v="15"/>
    <n v="0.19700000000000001"/>
    <x v="26"/>
    <n v="0.1343"/>
    <n v="3"/>
    <n v="49"/>
    <n v="52"/>
  </r>
  <r>
    <n v="68"/>
    <x v="2"/>
    <n v="1"/>
    <n v="22"/>
    <x v="22"/>
    <x v="0"/>
    <x v="0"/>
    <n v="1"/>
    <x v="2"/>
    <x v="1"/>
    <n v="1"/>
    <x v="0"/>
    <x v="14"/>
    <n v="0.1515"/>
    <x v="27"/>
    <n v="0.1343"/>
    <n v="0"/>
    <n v="20"/>
    <n v="20"/>
  </r>
  <r>
    <n v="69"/>
    <x v="2"/>
    <n v="1"/>
    <n v="23"/>
    <x v="23"/>
    <x v="0"/>
    <x v="0"/>
    <n v="1"/>
    <x v="2"/>
    <x v="1"/>
    <n v="1"/>
    <x v="0"/>
    <x v="15"/>
    <n v="0.21210000000000001"/>
    <x v="28"/>
    <n v="0.1045"/>
    <n v="1"/>
    <n v="11"/>
    <n v="12"/>
  </r>
  <r>
    <n v="70"/>
    <x v="3"/>
    <n v="1"/>
    <n v="0"/>
    <x v="0"/>
    <x v="0"/>
    <x v="0"/>
    <n v="2"/>
    <x v="3"/>
    <x v="1"/>
    <n v="1"/>
    <x v="0"/>
    <x v="13"/>
    <n v="0.19989999999999999"/>
    <x v="28"/>
    <n v="0.1045"/>
    <n v="0"/>
    <n v="5"/>
    <n v="5"/>
  </r>
  <r>
    <n v="71"/>
    <x v="3"/>
    <n v="1"/>
    <n v="1"/>
    <x v="1"/>
    <x v="0"/>
    <x v="0"/>
    <n v="2"/>
    <x v="3"/>
    <x v="1"/>
    <n v="1"/>
    <x v="0"/>
    <x v="13"/>
    <n v="0.18179999999999999"/>
    <x v="29"/>
    <n v="0.1045"/>
    <n v="0"/>
    <n v="2"/>
    <n v="2"/>
  </r>
  <r>
    <n v="72"/>
    <x v="3"/>
    <n v="1"/>
    <n v="2"/>
    <x v="2"/>
    <x v="0"/>
    <x v="0"/>
    <n v="2"/>
    <x v="3"/>
    <x v="1"/>
    <n v="1"/>
    <x v="0"/>
    <x v="14"/>
    <n v="0.1515"/>
    <x v="30"/>
    <n v="0.1343"/>
    <n v="0"/>
    <n v="1"/>
    <n v="1"/>
  </r>
  <r>
    <n v="73"/>
    <x v="3"/>
    <n v="1"/>
    <n v="4"/>
    <x v="4"/>
    <x v="0"/>
    <x v="0"/>
    <n v="2"/>
    <x v="3"/>
    <x v="1"/>
    <n v="1"/>
    <x v="0"/>
    <x v="14"/>
    <n v="0.18179999999999999"/>
    <x v="30"/>
    <n v="8.9599999999999999E-2"/>
    <n v="0"/>
    <n v="2"/>
    <n v="2"/>
  </r>
  <r>
    <n v="74"/>
    <x v="3"/>
    <n v="1"/>
    <n v="5"/>
    <x v="5"/>
    <x v="1"/>
    <x v="0"/>
    <n v="2"/>
    <x v="3"/>
    <x v="1"/>
    <n v="1"/>
    <x v="0"/>
    <x v="16"/>
    <n v="0.1515"/>
    <x v="31"/>
    <n v="0.1045"/>
    <n v="0"/>
    <n v="4"/>
    <n v="4"/>
  </r>
  <r>
    <n v="75"/>
    <x v="3"/>
    <n v="1"/>
    <n v="6"/>
    <x v="6"/>
    <x v="1"/>
    <x v="0"/>
    <n v="2"/>
    <x v="3"/>
    <x v="1"/>
    <n v="1"/>
    <x v="0"/>
    <x v="16"/>
    <n v="0.1515"/>
    <x v="32"/>
    <n v="0.1045"/>
    <n v="0"/>
    <n v="36"/>
    <n v="36"/>
  </r>
  <r>
    <n v="76"/>
    <x v="3"/>
    <n v="1"/>
    <n v="7"/>
    <x v="7"/>
    <x v="1"/>
    <x v="0"/>
    <n v="2"/>
    <x v="3"/>
    <x v="1"/>
    <n v="1"/>
    <x v="0"/>
    <x v="16"/>
    <n v="0.1515"/>
    <x v="32"/>
    <n v="0.1343"/>
    <n v="2"/>
    <n v="92"/>
    <n v="94"/>
  </r>
  <r>
    <n v="77"/>
    <x v="3"/>
    <n v="1"/>
    <n v="8"/>
    <x v="8"/>
    <x v="1"/>
    <x v="0"/>
    <n v="2"/>
    <x v="3"/>
    <x v="1"/>
    <n v="1"/>
    <x v="0"/>
    <x v="14"/>
    <n v="0.1515"/>
    <x v="27"/>
    <n v="0.16420000000000001"/>
    <n v="2"/>
    <n v="177"/>
    <n v="179"/>
  </r>
  <r>
    <n v="78"/>
    <x v="3"/>
    <n v="1"/>
    <n v="9"/>
    <x v="9"/>
    <x v="1"/>
    <x v="0"/>
    <n v="2"/>
    <x v="3"/>
    <x v="1"/>
    <n v="1"/>
    <x v="0"/>
    <x v="13"/>
    <n v="0.1515"/>
    <x v="26"/>
    <n v="0.22389999999999999"/>
    <n v="2"/>
    <n v="98"/>
    <n v="100"/>
  </r>
  <r>
    <n v="79"/>
    <x v="3"/>
    <n v="1"/>
    <n v="10"/>
    <x v="10"/>
    <x v="1"/>
    <x v="0"/>
    <n v="2"/>
    <x v="3"/>
    <x v="1"/>
    <n v="2"/>
    <x v="1"/>
    <x v="13"/>
    <n v="0.13639999999999999"/>
    <x v="27"/>
    <n v="0.32840000000000003"/>
    <n v="5"/>
    <n v="37"/>
    <n v="42"/>
  </r>
  <r>
    <n v="80"/>
    <x v="3"/>
    <n v="1"/>
    <n v="11"/>
    <x v="11"/>
    <x v="1"/>
    <x v="0"/>
    <n v="2"/>
    <x v="3"/>
    <x v="1"/>
    <n v="1"/>
    <x v="0"/>
    <x v="1"/>
    <n v="0.21210000000000001"/>
    <x v="33"/>
    <n v="0.29849999999999999"/>
    <n v="7"/>
    <n v="50"/>
    <n v="57"/>
  </r>
  <r>
    <n v="81"/>
    <x v="3"/>
    <n v="1"/>
    <n v="12"/>
    <x v="12"/>
    <x v="2"/>
    <x v="0"/>
    <n v="2"/>
    <x v="3"/>
    <x v="1"/>
    <n v="1"/>
    <x v="0"/>
    <x v="1"/>
    <n v="0.2273"/>
    <x v="33"/>
    <n v="0.16420000000000001"/>
    <n v="12"/>
    <n v="66"/>
    <n v="78"/>
  </r>
  <r>
    <n v="82"/>
    <x v="3"/>
    <n v="1"/>
    <n v="13"/>
    <x v="13"/>
    <x v="2"/>
    <x v="0"/>
    <n v="2"/>
    <x v="3"/>
    <x v="1"/>
    <n v="1"/>
    <x v="0"/>
    <x v="0"/>
    <n v="0.2273"/>
    <x v="34"/>
    <n v="0.19400000000000001"/>
    <n v="18"/>
    <n v="79"/>
    <n v="97"/>
  </r>
  <r>
    <n v="83"/>
    <x v="3"/>
    <n v="1"/>
    <n v="14"/>
    <x v="14"/>
    <x v="2"/>
    <x v="0"/>
    <n v="2"/>
    <x v="3"/>
    <x v="1"/>
    <n v="1"/>
    <x v="0"/>
    <x v="12"/>
    <n v="0.2576"/>
    <x v="35"/>
    <n v="0.22389999999999999"/>
    <n v="9"/>
    <n v="54"/>
    <n v="63"/>
  </r>
  <r>
    <n v="84"/>
    <x v="3"/>
    <n v="1"/>
    <n v="15"/>
    <x v="15"/>
    <x v="2"/>
    <x v="0"/>
    <n v="2"/>
    <x v="3"/>
    <x v="1"/>
    <n v="1"/>
    <x v="0"/>
    <x v="17"/>
    <n v="0.2727"/>
    <x v="35"/>
    <n v="0.25369999999999998"/>
    <n v="17"/>
    <n v="48"/>
    <n v="65"/>
  </r>
  <r>
    <n v="85"/>
    <x v="3"/>
    <n v="1"/>
    <n v="16"/>
    <x v="16"/>
    <x v="3"/>
    <x v="0"/>
    <n v="2"/>
    <x v="3"/>
    <x v="1"/>
    <n v="1"/>
    <x v="0"/>
    <x v="11"/>
    <n v="0.28789999999999999"/>
    <x v="36"/>
    <n v="0.25369999999999998"/>
    <n v="15"/>
    <n v="68"/>
    <n v="83"/>
  </r>
  <r>
    <n v="86"/>
    <x v="3"/>
    <n v="1"/>
    <n v="17"/>
    <x v="17"/>
    <x v="3"/>
    <x v="0"/>
    <n v="2"/>
    <x v="3"/>
    <x v="1"/>
    <n v="1"/>
    <x v="0"/>
    <x v="17"/>
    <n v="0.2727"/>
    <x v="37"/>
    <n v="0.22389999999999999"/>
    <n v="10"/>
    <n v="202"/>
    <n v="212"/>
  </r>
  <r>
    <n v="87"/>
    <x v="3"/>
    <n v="1"/>
    <n v="18"/>
    <x v="18"/>
    <x v="3"/>
    <x v="0"/>
    <n v="2"/>
    <x v="3"/>
    <x v="1"/>
    <n v="1"/>
    <x v="0"/>
    <x v="12"/>
    <n v="0.2576"/>
    <x v="37"/>
    <n v="0.19400000000000001"/>
    <n v="3"/>
    <n v="179"/>
    <n v="182"/>
  </r>
  <r>
    <n v="88"/>
    <x v="3"/>
    <n v="1"/>
    <n v="19"/>
    <x v="19"/>
    <x v="3"/>
    <x v="0"/>
    <n v="2"/>
    <x v="3"/>
    <x v="1"/>
    <n v="1"/>
    <x v="0"/>
    <x v="0"/>
    <n v="0.2576"/>
    <x v="37"/>
    <n v="0.1045"/>
    <n v="2"/>
    <n v="110"/>
    <n v="112"/>
  </r>
  <r>
    <n v="89"/>
    <x v="3"/>
    <n v="1"/>
    <n v="20"/>
    <x v="20"/>
    <x v="0"/>
    <x v="0"/>
    <n v="2"/>
    <x v="3"/>
    <x v="1"/>
    <n v="1"/>
    <x v="0"/>
    <x v="0"/>
    <n v="0.2576"/>
    <x v="37"/>
    <n v="0.1045"/>
    <n v="1"/>
    <n v="53"/>
    <n v="54"/>
  </r>
  <r>
    <n v="90"/>
    <x v="3"/>
    <n v="1"/>
    <n v="21"/>
    <x v="21"/>
    <x v="0"/>
    <x v="0"/>
    <n v="2"/>
    <x v="3"/>
    <x v="1"/>
    <n v="1"/>
    <x v="0"/>
    <x v="1"/>
    <n v="0.2727"/>
    <x v="26"/>
    <n v="0"/>
    <n v="0"/>
    <n v="48"/>
    <n v="48"/>
  </r>
  <r>
    <n v="91"/>
    <x v="3"/>
    <n v="1"/>
    <n v="22"/>
    <x v="22"/>
    <x v="0"/>
    <x v="0"/>
    <n v="2"/>
    <x v="3"/>
    <x v="1"/>
    <n v="1"/>
    <x v="0"/>
    <x v="1"/>
    <n v="0.2576"/>
    <x v="26"/>
    <n v="8.9599999999999999E-2"/>
    <n v="1"/>
    <n v="34"/>
    <n v="35"/>
  </r>
  <r>
    <n v="92"/>
    <x v="3"/>
    <n v="1"/>
    <n v="23"/>
    <x v="23"/>
    <x v="0"/>
    <x v="0"/>
    <n v="2"/>
    <x v="3"/>
    <x v="1"/>
    <n v="1"/>
    <x v="0"/>
    <x v="2"/>
    <n v="0.2273"/>
    <x v="27"/>
    <n v="8.9599999999999999E-2"/>
    <n v="2"/>
    <n v="9"/>
    <n v="11"/>
  </r>
  <r>
    <n v="93"/>
    <x v="4"/>
    <n v="1"/>
    <n v="0"/>
    <x v="0"/>
    <x v="0"/>
    <x v="0"/>
    <n v="3"/>
    <x v="4"/>
    <x v="1"/>
    <n v="1"/>
    <x v="0"/>
    <x v="2"/>
    <n v="0.2576"/>
    <x v="26"/>
    <n v="0"/>
    <n v="0"/>
    <n v="6"/>
    <n v="6"/>
  </r>
  <r>
    <n v="94"/>
    <x v="4"/>
    <n v="1"/>
    <n v="1"/>
    <x v="1"/>
    <x v="0"/>
    <x v="0"/>
    <n v="3"/>
    <x v="4"/>
    <x v="1"/>
    <n v="1"/>
    <x v="0"/>
    <x v="13"/>
    <n v="0.19700000000000001"/>
    <x v="32"/>
    <n v="8.9599999999999999E-2"/>
    <n v="0"/>
    <n v="6"/>
    <n v="6"/>
  </r>
  <r>
    <n v="95"/>
    <x v="4"/>
    <n v="1"/>
    <n v="2"/>
    <x v="2"/>
    <x v="0"/>
    <x v="0"/>
    <n v="3"/>
    <x v="4"/>
    <x v="1"/>
    <n v="1"/>
    <x v="0"/>
    <x v="13"/>
    <n v="0.19700000000000001"/>
    <x v="32"/>
    <n v="8.9599999999999999E-2"/>
    <n v="0"/>
    <n v="2"/>
    <n v="2"/>
  </r>
  <r>
    <n v="96"/>
    <x v="4"/>
    <n v="1"/>
    <n v="4"/>
    <x v="4"/>
    <x v="0"/>
    <x v="0"/>
    <n v="3"/>
    <x v="4"/>
    <x v="1"/>
    <n v="1"/>
    <x v="0"/>
    <x v="0"/>
    <n v="0.2273"/>
    <x v="37"/>
    <n v="0.22389999999999999"/>
    <n v="0"/>
    <n v="2"/>
    <n v="2"/>
  </r>
  <r>
    <n v="97"/>
    <x v="4"/>
    <n v="1"/>
    <n v="5"/>
    <x v="5"/>
    <x v="1"/>
    <x v="0"/>
    <n v="3"/>
    <x v="4"/>
    <x v="1"/>
    <n v="1"/>
    <x v="0"/>
    <x v="1"/>
    <n v="0.2273"/>
    <x v="19"/>
    <n v="0.16420000000000001"/>
    <n v="0"/>
    <n v="3"/>
    <n v="3"/>
  </r>
  <r>
    <n v="98"/>
    <x v="4"/>
    <n v="1"/>
    <n v="6"/>
    <x v="6"/>
    <x v="1"/>
    <x v="0"/>
    <n v="3"/>
    <x v="4"/>
    <x v="1"/>
    <n v="1"/>
    <x v="0"/>
    <x v="2"/>
    <n v="0.19700000000000001"/>
    <x v="19"/>
    <n v="0.22389999999999999"/>
    <n v="0"/>
    <n v="33"/>
    <n v="33"/>
  </r>
  <r>
    <n v="99"/>
    <x v="4"/>
    <n v="1"/>
    <n v="7"/>
    <x v="7"/>
    <x v="1"/>
    <x v="0"/>
    <n v="3"/>
    <x v="4"/>
    <x v="1"/>
    <n v="1"/>
    <x v="0"/>
    <x v="15"/>
    <n v="0.18179999999999999"/>
    <x v="21"/>
    <n v="0.19400000000000001"/>
    <n v="1"/>
    <n v="87"/>
    <n v="88"/>
  </r>
  <r>
    <n v="100"/>
    <x v="4"/>
    <n v="1"/>
    <n v="8"/>
    <x v="8"/>
    <x v="1"/>
    <x v="0"/>
    <n v="3"/>
    <x v="4"/>
    <x v="1"/>
    <n v="1"/>
    <x v="0"/>
    <x v="2"/>
    <n v="0.18179999999999999"/>
    <x v="22"/>
    <n v="0.29849999999999999"/>
    <n v="3"/>
    <n v="192"/>
    <n v="195"/>
  </r>
  <r>
    <n v="101"/>
    <x v="4"/>
    <n v="1"/>
    <n v="9"/>
    <x v="9"/>
    <x v="1"/>
    <x v="0"/>
    <n v="3"/>
    <x v="4"/>
    <x v="1"/>
    <n v="1"/>
    <x v="0"/>
    <x v="1"/>
    <n v="0.19700000000000001"/>
    <x v="38"/>
    <n v="0.32840000000000003"/>
    <n v="6"/>
    <n v="109"/>
    <n v="115"/>
  </r>
  <r>
    <n v="102"/>
    <x v="4"/>
    <n v="1"/>
    <n v="10"/>
    <x v="10"/>
    <x v="1"/>
    <x v="0"/>
    <n v="3"/>
    <x v="4"/>
    <x v="1"/>
    <n v="1"/>
    <x v="0"/>
    <x v="1"/>
    <n v="0.19700000000000001"/>
    <x v="38"/>
    <n v="0.32840000000000003"/>
    <n v="4"/>
    <n v="53"/>
    <n v="57"/>
  </r>
  <r>
    <n v="103"/>
    <x v="4"/>
    <n v="1"/>
    <n v="11"/>
    <x v="11"/>
    <x v="1"/>
    <x v="0"/>
    <n v="3"/>
    <x v="4"/>
    <x v="1"/>
    <n v="1"/>
    <x v="0"/>
    <x v="12"/>
    <n v="0.2273"/>
    <x v="39"/>
    <n v="0.32840000000000003"/>
    <n v="12"/>
    <n v="34"/>
    <n v="46"/>
  </r>
  <r>
    <n v="104"/>
    <x v="4"/>
    <n v="1"/>
    <n v="12"/>
    <x v="12"/>
    <x v="2"/>
    <x v="0"/>
    <n v="3"/>
    <x v="4"/>
    <x v="1"/>
    <n v="1"/>
    <x v="0"/>
    <x v="12"/>
    <n v="0.2273"/>
    <x v="39"/>
    <n v="0.32840000000000003"/>
    <n v="5"/>
    <n v="74"/>
    <n v="79"/>
  </r>
  <r>
    <n v="105"/>
    <x v="4"/>
    <n v="1"/>
    <n v="13"/>
    <x v="13"/>
    <x v="2"/>
    <x v="0"/>
    <n v="3"/>
    <x v="4"/>
    <x v="1"/>
    <n v="1"/>
    <x v="0"/>
    <x v="17"/>
    <n v="0.2576"/>
    <x v="24"/>
    <n v="0.29849999999999999"/>
    <n v="6"/>
    <n v="65"/>
    <n v="71"/>
  </r>
  <r>
    <n v="106"/>
    <x v="4"/>
    <n v="1"/>
    <n v="14"/>
    <x v="14"/>
    <x v="2"/>
    <x v="0"/>
    <n v="3"/>
    <x v="4"/>
    <x v="1"/>
    <n v="1"/>
    <x v="0"/>
    <x v="11"/>
    <n v="0.28789999999999999"/>
    <x v="40"/>
    <n v="0.19400000000000001"/>
    <n v="10"/>
    <n v="52"/>
    <n v="62"/>
  </r>
  <r>
    <n v="107"/>
    <x v="4"/>
    <n v="1"/>
    <n v="15"/>
    <x v="15"/>
    <x v="2"/>
    <x v="0"/>
    <n v="3"/>
    <x v="4"/>
    <x v="1"/>
    <n v="1"/>
    <x v="0"/>
    <x v="11"/>
    <n v="0.28789999999999999"/>
    <x v="40"/>
    <n v="0.19400000000000001"/>
    <n v="7"/>
    <n v="55"/>
    <n v="62"/>
  </r>
  <r>
    <n v="108"/>
    <x v="4"/>
    <n v="1"/>
    <n v="16"/>
    <x v="16"/>
    <x v="3"/>
    <x v="0"/>
    <n v="3"/>
    <x v="4"/>
    <x v="1"/>
    <n v="1"/>
    <x v="0"/>
    <x v="11"/>
    <n v="0.31819999999999998"/>
    <x v="40"/>
    <n v="8.9599999999999999E-2"/>
    <n v="4"/>
    <n v="85"/>
    <n v="89"/>
  </r>
  <r>
    <n v="109"/>
    <x v="4"/>
    <n v="1"/>
    <n v="17"/>
    <x v="17"/>
    <x v="3"/>
    <x v="0"/>
    <n v="3"/>
    <x v="4"/>
    <x v="1"/>
    <n v="1"/>
    <x v="0"/>
    <x v="0"/>
    <n v="0.2273"/>
    <x v="41"/>
    <n v="0.19400000000000001"/>
    <n v="4"/>
    <n v="186"/>
    <n v="190"/>
  </r>
  <r>
    <n v="110"/>
    <x v="4"/>
    <n v="1"/>
    <n v="18"/>
    <x v="18"/>
    <x v="3"/>
    <x v="0"/>
    <n v="3"/>
    <x v="4"/>
    <x v="1"/>
    <n v="1"/>
    <x v="0"/>
    <x v="0"/>
    <n v="0.2424"/>
    <x v="41"/>
    <n v="0.1343"/>
    <n v="3"/>
    <n v="166"/>
    <n v="169"/>
  </r>
  <r>
    <n v="111"/>
    <x v="4"/>
    <n v="1"/>
    <n v="19"/>
    <x v="19"/>
    <x v="3"/>
    <x v="0"/>
    <n v="3"/>
    <x v="4"/>
    <x v="1"/>
    <n v="1"/>
    <x v="0"/>
    <x v="0"/>
    <n v="0.2576"/>
    <x v="41"/>
    <n v="0.1045"/>
    <n v="5"/>
    <n v="127"/>
    <n v="132"/>
  </r>
  <r>
    <n v="112"/>
    <x v="4"/>
    <n v="1"/>
    <n v="20"/>
    <x v="20"/>
    <x v="0"/>
    <x v="0"/>
    <n v="3"/>
    <x v="4"/>
    <x v="1"/>
    <n v="1"/>
    <x v="0"/>
    <x v="1"/>
    <n v="0.2273"/>
    <x v="19"/>
    <n v="0.16420000000000001"/>
    <n v="7"/>
    <n v="82"/>
    <n v="89"/>
  </r>
  <r>
    <n v="113"/>
    <x v="4"/>
    <n v="1"/>
    <n v="21"/>
    <x v="21"/>
    <x v="0"/>
    <x v="0"/>
    <n v="3"/>
    <x v="4"/>
    <x v="1"/>
    <n v="1"/>
    <x v="0"/>
    <x v="2"/>
    <n v="0.19700000000000001"/>
    <x v="33"/>
    <n v="0.19400000000000001"/>
    <n v="3"/>
    <n v="40"/>
    <n v="43"/>
  </r>
  <r>
    <n v="114"/>
    <x v="4"/>
    <n v="1"/>
    <n v="22"/>
    <x v="22"/>
    <x v="0"/>
    <x v="0"/>
    <n v="3"/>
    <x v="4"/>
    <x v="1"/>
    <n v="1"/>
    <x v="0"/>
    <x v="15"/>
    <n v="0.19700000000000001"/>
    <x v="28"/>
    <n v="0.1343"/>
    <n v="1"/>
    <n v="41"/>
    <n v="42"/>
  </r>
  <r>
    <n v="115"/>
    <x v="4"/>
    <n v="1"/>
    <n v="23"/>
    <x v="23"/>
    <x v="0"/>
    <x v="0"/>
    <n v="3"/>
    <x v="4"/>
    <x v="1"/>
    <n v="1"/>
    <x v="0"/>
    <x v="2"/>
    <n v="0.2576"/>
    <x v="19"/>
    <n v="0"/>
    <n v="1"/>
    <n v="18"/>
    <n v="19"/>
  </r>
  <r>
    <n v="116"/>
    <x v="5"/>
    <n v="1"/>
    <n v="0"/>
    <x v="0"/>
    <x v="0"/>
    <x v="0"/>
    <n v="4"/>
    <x v="5"/>
    <x v="1"/>
    <n v="1"/>
    <x v="0"/>
    <x v="15"/>
    <n v="0.2424"/>
    <x v="28"/>
    <n v="0"/>
    <n v="0"/>
    <n v="11"/>
    <n v="11"/>
  </r>
  <r>
    <n v="117"/>
    <x v="5"/>
    <n v="1"/>
    <n v="1"/>
    <x v="1"/>
    <x v="0"/>
    <x v="0"/>
    <n v="4"/>
    <x v="5"/>
    <x v="1"/>
    <n v="1"/>
    <x v="0"/>
    <x v="13"/>
    <n v="0.2273"/>
    <x v="26"/>
    <n v="0"/>
    <n v="0"/>
    <n v="4"/>
    <n v="4"/>
  </r>
  <r>
    <n v="118"/>
    <x v="5"/>
    <n v="1"/>
    <n v="2"/>
    <x v="2"/>
    <x v="0"/>
    <x v="0"/>
    <n v="4"/>
    <x v="5"/>
    <x v="1"/>
    <n v="1"/>
    <x v="0"/>
    <x v="13"/>
    <n v="0.2273"/>
    <x v="26"/>
    <n v="0"/>
    <n v="0"/>
    <n v="2"/>
    <n v="2"/>
  </r>
  <r>
    <n v="119"/>
    <x v="5"/>
    <n v="1"/>
    <n v="4"/>
    <x v="4"/>
    <x v="0"/>
    <x v="0"/>
    <n v="4"/>
    <x v="5"/>
    <x v="1"/>
    <n v="2"/>
    <x v="1"/>
    <x v="13"/>
    <n v="0.19700000000000001"/>
    <x v="26"/>
    <n v="8.9599999999999999E-2"/>
    <n v="0"/>
    <n v="1"/>
    <n v="1"/>
  </r>
  <r>
    <n v="120"/>
    <x v="5"/>
    <n v="1"/>
    <n v="5"/>
    <x v="5"/>
    <x v="1"/>
    <x v="0"/>
    <n v="4"/>
    <x v="5"/>
    <x v="1"/>
    <n v="2"/>
    <x v="1"/>
    <x v="14"/>
    <n v="0.18179999999999999"/>
    <x v="27"/>
    <n v="8.9599999999999999E-2"/>
    <n v="0"/>
    <n v="4"/>
    <n v="4"/>
  </r>
  <r>
    <n v="121"/>
    <x v="5"/>
    <n v="1"/>
    <n v="6"/>
    <x v="6"/>
    <x v="1"/>
    <x v="0"/>
    <n v="4"/>
    <x v="5"/>
    <x v="1"/>
    <n v="2"/>
    <x v="1"/>
    <x v="14"/>
    <n v="0.16669999999999999"/>
    <x v="30"/>
    <n v="0.1045"/>
    <n v="0"/>
    <n v="36"/>
    <n v="36"/>
  </r>
  <r>
    <n v="122"/>
    <x v="5"/>
    <n v="1"/>
    <n v="7"/>
    <x v="7"/>
    <x v="1"/>
    <x v="0"/>
    <n v="4"/>
    <x v="5"/>
    <x v="1"/>
    <n v="2"/>
    <x v="1"/>
    <x v="13"/>
    <n v="0.2273"/>
    <x v="29"/>
    <n v="0"/>
    <n v="0"/>
    <n v="95"/>
    <n v="95"/>
  </r>
  <r>
    <n v="123"/>
    <x v="5"/>
    <n v="1"/>
    <n v="8"/>
    <x v="8"/>
    <x v="1"/>
    <x v="0"/>
    <n v="4"/>
    <x v="5"/>
    <x v="1"/>
    <n v="1"/>
    <x v="0"/>
    <x v="13"/>
    <n v="0.2273"/>
    <x v="29"/>
    <n v="0"/>
    <n v="3"/>
    <n v="216"/>
    <n v="219"/>
  </r>
  <r>
    <n v="124"/>
    <x v="5"/>
    <n v="1"/>
    <n v="9"/>
    <x v="9"/>
    <x v="1"/>
    <x v="0"/>
    <n v="4"/>
    <x v="5"/>
    <x v="1"/>
    <n v="2"/>
    <x v="1"/>
    <x v="15"/>
    <n v="0.2424"/>
    <x v="33"/>
    <n v="0"/>
    <n v="6"/>
    <n v="116"/>
    <n v="122"/>
  </r>
  <r>
    <n v="125"/>
    <x v="5"/>
    <n v="1"/>
    <n v="10"/>
    <x v="10"/>
    <x v="1"/>
    <x v="0"/>
    <n v="4"/>
    <x v="5"/>
    <x v="1"/>
    <n v="1"/>
    <x v="0"/>
    <x v="2"/>
    <n v="0.2576"/>
    <x v="19"/>
    <n v="0"/>
    <n v="3"/>
    <n v="42"/>
    <n v="45"/>
  </r>
  <r>
    <n v="126"/>
    <x v="5"/>
    <n v="1"/>
    <n v="11"/>
    <x v="11"/>
    <x v="1"/>
    <x v="0"/>
    <n v="4"/>
    <x v="5"/>
    <x v="1"/>
    <n v="1"/>
    <x v="0"/>
    <x v="1"/>
    <n v="0.2576"/>
    <x v="18"/>
    <n v="8.9599999999999999E-2"/>
    <n v="2"/>
    <n v="57"/>
    <n v="59"/>
  </r>
  <r>
    <n v="127"/>
    <x v="5"/>
    <n v="1"/>
    <n v="12"/>
    <x v="12"/>
    <x v="2"/>
    <x v="0"/>
    <n v="4"/>
    <x v="5"/>
    <x v="1"/>
    <n v="1"/>
    <x v="0"/>
    <x v="12"/>
    <n v="0.28789999999999999"/>
    <x v="23"/>
    <n v="0"/>
    <n v="6"/>
    <n v="78"/>
    <n v="84"/>
  </r>
  <r>
    <n v="128"/>
    <x v="5"/>
    <n v="1"/>
    <n v="13"/>
    <x v="13"/>
    <x v="2"/>
    <x v="0"/>
    <n v="4"/>
    <x v="5"/>
    <x v="1"/>
    <n v="1"/>
    <x v="0"/>
    <x v="12"/>
    <n v="0.2727"/>
    <x v="23"/>
    <n v="0.1045"/>
    <n v="12"/>
    <n v="55"/>
    <n v="67"/>
  </r>
  <r>
    <n v="129"/>
    <x v="5"/>
    <n v="1"/>
    <n v="14"/>
    <x v="14"/>
    <x v="2"/>
    <x v="0"/>
    <n v="4"/>
    <x v="5"/>
    <x v="1"/>
    <n v="1"/>
    <x v="0"/>
    <x v="17"/>
    <n v="0.2727"/>
    <x v="42"/>
    <n v="0.16420000000000001"/>
    <n v="11"/>
    <n v="59"/>
    <n v="70"/>
  </r>
  <r>
    <n v="130"/>
    <x v="5"/>
    <n v="1"/>
    <n v="15"/>
    <x v="15"/>
    <x v="2"/>
    <x v="0"/>
    <n v="4"/>
    <x v="5"/>
    <x v="1"/>
    <n v="1"/>
    <x v="0"/>
    <x v="17"/>
    <n v="0.2727"/>
    <x v="42"/>
    <n v="0"/>
    <n v="8"/>
    <n v="54"/>
    <n v="62"/>
  </r>
  <r>
    <n v="131"/>
    <x v="5"/>
    <n v="1"/>
    <n v="16"/>
    <x v="16"/>
    <x v="3"/>
    <x v="0"/>
    <n v="4"/>
    <x v="5"/>
    <x v="1"/>
    <n v="1"/>
    <x v="0"/>
    <x v="12"/>
    <n v="0.2576"/>
    <x v="41"/>
    <n v="0.16420000000000001"/>
    <n v="12"/>
    <n v="74"/>
    <n v="86"/>
  </r>
  <r>
    <n v="132"/>
    <x v="5"/>
    <n v="1"/>
    <n v="17"/>
    <x v="17"/>
    <x v="3"/>
    <x v="0"/>
    <n v="4"/>
    <x v="5"/>
    <x v="1"/>
    <n v="1"/>
    <x v="0"/>
    <x v="1"/>
    <n v="0.2273"/>
    <x v="33"/>
    <n v="0.16420000000000001"/>
    <n v="9"/>
    <n v="163"/>
    <n v="172"/>
  </r>
  <r>
    <n v="133"/>
    <x v="5"/>
    <n v="1"/>
    <n v="18"/>
    <x v="18"/>
    <x v="3"/>
    <x v="0"/>
    <n v="4"/>
    <x v="5"/>
    <x v="1"/>
    <n v="1"/>
    <x v="0"/>
    <x v="1"/>
    <n v="0.2273"/>
    <x v="33"/>
    <n v="0.1343"/>
    <n v="5"/>
    <n v="158"/>
    <n v="163"/>
  </r>
  <r>
    <n v="134"/>
    <x v="5"/>
    <n v="1"/>
    <n v="19"/>
    <x v="19"/>
    <x v="3"/>
    <x v="0"/>
    <n v="4"/>
    <x v="5"/>
    <x v="1"/>
    <n v="1"/>
    <x v="0"/>
    <x v="1"/>
    <n v="0.2576"/>
    <x v="28"/>
    <n v="8.9599999999999999E-2"/>
    <n v="3"/>
    <n v="109"/>
    <n v="112"/>
  </r>
  <r>
    <n v="135"/>
    <x v="5"/>
    <n v="1"/>
    <n v="20"/>
    <x v="20"/>
    <x v="0"/>
    <x v="0"/>
    <n v="4"/>
    <x v="5"/>
    <x v="1"/>
    <n v="1"/>
    <x v="0"/>
    <x v="2"/>
    <n v="0.21210000000000001"/>
    <x v="33"/>
    <n v="0.16420000000000001"/>
    <n v="3"/>
    <n v="66"/>
    <n v="69"/>
  </r>
  <r>
    <n v="136"/>
    <x v="5"/>
    <n v="1"/>
    <n v="21"/>
    <x v="21"/>
    <x v="0"/>
    <x v="0"/>
    <n v="4"/>
    <x v="5"/>
    <x v="1"/>
    <n v="2"/>
    <x v="1"/>
    <x v="1"/>
    <n v="0.21210000000000001"/>
    <x v="28"/>
    <n v="0.22389999999999999"/>
    <n v="0"/>
    <n v="48"/>
    <n v="48"/>
  </r>
  <r>
    <n v="137"/>
    <x v="5"/>
    <n v="1"/>
    <n v="22"/>
    <x v="22"/>
    <x v="0"/>
    <x v="0"/>
    <n v="4"/>
    <x v="5"/>
    <x v="1"/>
    <n v="2"/>
    <x v="1"/>
    <x v="1"/>
    <n v="0.21210000000000001"/>
    <x v="33"/>
    <n v="0.28360000000000002"/>
    <n v="1"/>
    <n v="51"/>
    <n v="52"/>
  </r>
  <r>
    <n v="138"/>
    <x v="5"/>
    <n v="1"/>
    <n v="23"/>
    <x v="23"/>
    <x v="0"/>
    <x v="0"/>
    <n v="4"/>
    <x v="5"/>
    <x v="1"/>
    <n v="2"/>
    <x v="1"/>
    <x v="2"/>
    <n v="0.19700000000000001"/>
    <x v="29"/>
    <n v="0.19400000000000001"/>
    <n v="4"/>
    <n v="19"/>
    <n v="23"/>
  </r>
  <r>
    <n v="139"/>
    <x v="6"/>
    <n v="1"/>
    <n v="0"/>
    <x v="0"/>
    <x v="0"/>
    <x v="0"/>
    <n v="5"/>
    <x v="6"/>
    <x v="1"/>
    <n v="2"/>
    <x v="1"/>
    <x v="2"/>
    <n v="0.19700000000000001"/>
    <x v="26"/>
    <n v="0.19400000000000001"/>
    <n v="4"/>
    <n v="13"/>
    <n v="17"/>
  </r>
  <r>
    <n v="140"/>
    <x v="6"/>
    <n v="1"/>
    <n v="1"/>
    <x v="1"/>
    <x v="0"/>
    <x v="0"/>
    <n v="5"/>
    <x v="6"/>
    <x v="1"/>
    <n v="2"/>
    <x v="1"/>
    <x v="2"/>
    <n v="0.19700000000000001"/>
    <x v="27"/>
    <n v="0.22389999999999999"/>
    <n v="2"/>
    <n v="5"/>
    <n v="7"/>
  </r>
  <r>
    <n v="141"/>
    <x v="6"/>
    <n v="1"/>
    <n v="2"/>
    <x v="2"/>
    <x v="0"/>
    <x v="0"/>
    <n v="5"/>
    <x v="6"/>
    <x v="1"/>
    <n v="2"/>
    <x v="1"/>
    <x v="2"/>
    <n v="0.19700000000000001"/>
    <x v="27"/>
    <n v="0.22389999999999999"/>
    <n v="0"/>
    <n v="1"/>
    <n v="1"/>
  </r>
  <r>
    <n v="142"/>
    <x v="6"/>
    <n v="1"/>
    <n v="4"/>
    <x v="4"/>
    <x v="0"/>
    <x v="0"/>
    <n v="5"/>
    <x v="6"/>
    <x v="1"/>
    <n v="2"/>
    <x v="1"/>
    <x v="2"/>
    <n v="0.21210000000000001"/>
    <x v="27"/>
    <n v="0.1343"/>
    <n v="0"/>
    <n v="1"/>
    <n v="1"/>
  </r>
  <r>
    <n v="143"/>
    <x v="6"/>
    <n v="1"/>
    <n v="5"/>
    <x v="5"/>
    <x v="1"/>
    <x v="0"/>
    <n v="5"/>
    <x v="6"/>
    <x v="1"/>
    <n v="3"/>
    <x v="2"/>
    <x v="1"/>
    <n v="0.2727"/>
    <x v="28"/>
    <n v="0"/>
    <n v="0"/>
    <n v="5"/>
    <n v="5"/>
  </r>
  <r>
    <n v="144"/>
    <x v="6"/>
    <n v="1"/>
    <n v="6"/>
    <x v="6"/>
    <x v="1"/>
    <x v="0"/>
    <n v="5"/>
    <x v="6"/>
    <x v="1"/>
    <n v="2"/>
    <x v="1"/>
    <x v="2"/>
    <n v="0.2576"/>
    <x v="27"/>
    <n v="0"/>
    <n v="8"/>
    <n v="26"/>
    <n v="34"/>
  </r>
  <r>
    <n v="145"/>
    <x v="6"/>
    <n v="1"/>
    <n v="7"/>
    <x v="7"/>
    <x v="1"/>
    <x v="0"/>
    <n v="5"/>
    <x v="6"/>
    <x v="1"/>
    <n v="1"/>
    <x v="0"/>
    <x v="2"/>
    <n v="0.21210000000000001"/>
    <x v="27"/>
    <n v="0.1343"/>
    <n v="8"/>
    <n v="76"/>
    <n v="84"/>
  </r>
  <r>
    <n v="146"/>
    <x v="6"/>
    <n v="1"/>
    <n v="8"/>
    <x v="8"/>
    <x v="1"/>
    <x v="0"/>
    <n v="5"/>
    <x v="6"/>
    <x v="1"/>
    <n v="1"/>
    <x v="0"/>
    <x v="2"/>
    <n v="0.19700000000000001"/>
    <x v="33"/>
    <n v="0.25369999999999998"/>
    <n v="20"/>
    <n v="190"/>
    <n v="210"/>
  </r>
  <r>
    <n v="147"/>
    <x v="6"/>
    <n v="1"/>
    <n v="9"/>
    <x v="9"/>
    <x v="1"/>
    <x v="0"/>
    <n v="5"/>
    <x v="6"/>
    <x v="1"/>
    <n v="1"/>
    <x v="0"/>
    <x v="2"/>
    <n v="0.18179999999999999"/>
    <x v="19"/>
    <n v="0.29849999999999999"/>
    <n v="9"/>
    <n v="125"/>
    <n v="134"/>
  </r>
  <r>
    <n v="148"/>
    <x v="6"/>
    <n v="1"/>
    <n v="10"/>
    <x v="10"/>
    <x v="1"/>
    <x v="0"/>
    <n v="5"/>
    <x v="6"/>
    <x v="1"/>
    <n v="1"/>
    <x v="0"/>
    <x v="1"/>
    <n v="0.19700000000000001"/>
    <x v="38"/>
    <n v="0.32840000000000003"/>
    <n v="16"/>
    <n v="47"/>
    <n v="63"/>
  </r>
  <r>
    <n v="149"/>
    <x v="6"/>
    <n v="1"/>
    <n v="11"/>
    <x v="11"/>
    <x v="1"/>
    <x v="0"/>
    <n v="5"/>
    <x v="6"/>
    <x v="1"/>
    <n v="2"/>
    <x v="1"/>
    <x v="2"/>
    <n v="0.19700000000000001"/>
    <x v="22"/>
    <n v="0.22389999999999999"/>
    <n v="19"/>
    <n v="48"/>
    <n v="67"/>
  </r>
  <r>
    <n v="150"/>
    <x v="6"/>
    <n v="1"/>
    <n v="12"/>
    <x v="12"/>
    <x v="2"/>
    <x v="0"/>
    <n v="5"/>
    <x v="6"/>
    <x v="1"/>
    <n v="2"/>
    <x v="1"/>
    <x v="2"/>
    <n v="0.19700000000000001"/>
    <x v="38"/>
    <n v="0.25369999999999998"/>
    <n v="9"/>
    <n v="50"/>
    <n v="59"/>
  </r>
  <r>
    <n v="151"/>
    <x v="6"/>
    <n v="1"/>
    <n v="13"/>
    <x v="13"/>
    <x v="2"/>
    <x v="0"/>
    <n v="5"/>
    <x v="6"/>
    <x v="1"/>
    <n v="2"/>
    <x v="1"/>
    <x v="2"/>
    <n v="0.18179999999999999"/>
    <x v="38"/>
    <n v="0.28360000000000002"/>
    <n v="9"/>
    <n v="64"/>
    <n v="73"/>
  </r>
  <r>
    <n v="152"/>
    <x v="6"/>
    <n v="1"/>
    <n v="14"/>
    <x v="14"/>
    <x v="2"/>
    <x v="0"/>
    <n v="5"/>
    <x v="6"/>
    <x v="1"/>
    <n v="2"/>
    <x v="1"/>
    <x v="2"/>
    <n v="0.19700000000000001"/>
    <x v="22"/>
    <n v="0.25369999999999998"/>
    <n v="7"/>
    <n v="43"/>
    <n v="50"/>
  </r>
  <r>
    <n v="153"/>
    <x v="6"/>
    <n v="1"/>
    <n v="15"/>
    <x v="15"/>
    <x v="2"/>
    <x v="0"/>
    <n v="5"/>
    <x v="6"/>
    <x v="1"/>
    <n v="2"/>
    <x v="1"/>
    <x v="2"/>
    <n v="0.21210000000000001"/>
    <x v="38"/>
    <n v="0.16420000000000001"/>
    <n v="9"/>
    <n v="63"/>
    <n v="72"/>
  </r>
  <r>
    <n v="154"/>
    <x v="6"/>
    <n v="1"/>
    <n v="16"/>
    <x v="16"/>
    <x v="3"/>
    <x v="0"/>
    <n v="5"/>
    <x v="6"/>
    <x v="1"/>
    <n v="2"/>
    <x v="1"/>
    <x v="2"/>
    <n v="0.21210000000000001"/>
    <x v="38"/>
    <n v="0.16420000000000001"/>
    <n v="5"/>
    <n v="82"/>
    <n v="87"/>
  </r>
  <r>
    <n v="155"/>
    <x v="6"/>
    <n v="1"/>
    <n v="17"/>
    <x v="17"/>
    <x v="3"/>
    <x v="0"/>
    <n v="5"/>
    <x v="6"/>
    <x v="1"/>
    <n v="2"/>
    <x v="1"/>
    <x v="2"/>
    <n v="0.2576"/>
    <x v="38"/>
    <n v="0"/>
    <n v="9"/>
    <n v="178"/>
    <n v="187"/>
  </r>
  <r>
    <n v="156"/>
    <x v="6"/>
    <n v="1"/>
    <n v="18"/>
    <x v="18"/>
    <x v="3"/>
    <x v="0"/>
    <n v="5"/>
    <x v="6"/>
    <x v="1"/>
    <n v="1"/>
    <x v="0"/>
    <x v="2"/>
    <n v="0.2273"/>
    <x v="22"/>
    <n v="8.9599999999999999E-2"/>
    <n v="7"/>
    <n v="116"/>
    <n v="123"/>
  </r>
  <r>
    <n v="157"/>
    <x v="6"/>
    <n v="1"/>
    <n v="19"/>
    <x v="19"/>
    <x v="3"/>
    <x v="0"/>
    <n v="5"/>
    <x v="6"/>
    <x v="1"/>
    <n v="1"/>
    <x v="0"/>
    <x v="13"/>
    <n v="0.19700000000000001"/>
    <x v="28"/>
    <n v="8.9599999999999999E-2"/>
    <n v="3"/>
    <n v="92"/>
    <n v="95"/>
  </r>
  <r>
    <n v="158"/>
    <x v="6"/>
    <n v="1"/>
    <n v="20"/>
    <x v="20"/>
    <x v="0"/>
    <x v="0"/>
    <n v="5"/>
    <x v="6"/>
    <x v="1"/>
    <n v="1"/>
    <x v="0"/>
    <x v="15"/>
    <n v="0.21210000000000001"/>
    <x v="19"/>
    <n v="0.1045"/>
    <n v="1"/>
    <n v="50"/>
    <n v="51"/>
  </r>
  <r>
    <n v="159"/>
    <x v="6"/>
    <n v="1"/>
    <n v="21"/>
    <x v="21"/>
    <x v="0"/>
    <x v="0"/>
    <n v="5"/>
    <x v="6"/>
    <x v="1"/>
    <n v="1"/>
    <x v="0"/>
    <x v="15"/>
    <n v="0.19700000000000001"/>
    <x v="19"/>
    <n v="0.1343"/>
    <n v="0"/>
    <n v="39"/>
    <n v="39"/>
  </r>
  <r>
    <n v="160"/>
    <x v="6"/>
    <n v="1"/>
    <n v="22"/>
    <x v="22"/>
    <x v="0"/>
    <x v="0"/>
    <n v="5"/>
    <x v="6"/>
    <x v="1"/>
    <n v="2"/>
    <x v="1"/>
    <x v="15"/>
    <n v="0.19700000000000001"/>
    <x v="21"/>
    <n v="0.16420000000000001"/>
    <n v="2"/>
    <n v="34"/>
    <n v="36"/>
  </r>
  <r>
    <n v="161"/>
    <x v="6"/>
    <n v="1"/>
    <n v="23"/>
    <x v="23"/>
    <x v="0"/>
    <x v="0"/>
    <n v="5"/>
    <x v="6"/>
    <x v="1"/>
    <n v="2"/>
    <x v="1"/>
    <x v="15"/>
    <n v="0.19700000000000001"/>
    <x v="33"/>
    <n v="0.16420000000000001"/>
    <n v="1"/>
    <n v="14"/>
    <n v="15"/>
  </r>
  <r>
    <n v="162"/>
    <x v="7"/>
    <n v="1"/>
    <n v="0"/>
    <x v="0"/>
    <x v="0"/>
    <x v="0"/>
    <n v="6"/>
    <x v="0"/>
    <x v="0"/>
    <n v="2"/>
    <x v="1"/>
    <x v="15"/>
    <n v="0.19700000000000001"/>
    <x v="33"/>
    <n v="0.16420000000000001"/>
    <n v="1"/>
    <n v="24"/>
    <n v="25"/>
  </r>
  <r>
    <n v="163"/>
    <x v="7"/>
    <n v="1"/>
    <n v="1"/>
    <x v="1"/>
    <x v="0"/>
    <x v="0"/>
    <n v="6"/>
    <x v="0"/>
    <x v="0"/>
    <n v="2"/>
    <x v="1"/>
    <x v="15"/>
    <n v="0.21210000000000001"/>
    <x v="28"/>
    <n v="8.9599999999999999E-2"/>
    <n v="1"/>
    <n v="15"/>
    <n v="16"/>
  </r>
  <r>
    <n v="164"/>
    <x v="7"/>
    <n v="1"/>
    <n v="2"/>
    <x v="2"/>
    <x v="0"/>
    <x v="0"/>
    <n v="6"/>
    <x v="0"/>
    <x v="0"/>
    <n v="2"/>
    <x v="1"/>
    <x v="15"/>
    <n v="0.2424"/>
    <x v="28"/>
    <n v="0"/>
    <n v="3"/>
    <n v="13"/>
    <n v="16"/>
  </r>
  <r>
    <n v="165"/>
    <x v="7"/>
    <n v="1"/>
    <n v="3"/>
    <x v="3"/>
    <x v="0"/>
    <x v="0"/>
    <n v="6"/>
    <x v="0"/>
    <x v="0"/>
    <n v="3"/>
    <x v="2"/>
    <x v="15"/>
    <n v="0.19700000000000001"/>
    <x v="28"/>
    <n v="0.16420000000000001"/>
    <n v="0"/>
    <n v="7"/>
    <n v="7"/>
  </r>
  <r>
    <n v="166"/>
    <x v="7"/>
    <n v="1"/>
    <n v="4"/>
    <x v="4"/>
    <x v="0"/>
    <x v="0"/>
    <n v="6"/>
    <x v="0"/>
    <x v="0"/>
    <n v="3"/>
    <x v="2"/>
    <x v="15"/>
    <n v="0.19700000000000001"/>
    <x v="28"/>
    <n v="0.16420000000000001"/>
    <n v="0"/>
    <n v="1"/>
    <n v="1"/>
  </r>
  <r>
    <n v="167"/>
    <x v="7"/>
    <n v="1"/>
    <n v="5"/>
    <x v="5"/>
    <x v="1"/>
    <x v="0"/>
    <n v="6"/>
    <x v="0"/>
    <x v="0"/>
    <n v="2"/>
    <x v="1"/>
    <x v="13"/>
    <n v="0.16669999999999999"/>
    <x v="32"/>
    <n v="0.16420000000000001"/>
    <n v="0"/>
    <n v="5"/>
    <n v="5"/>
  </r>
  <r>
    <n v="168"/>
    <x v="7"/>
    <n v="1"/>
    <n v="6"/>
    <x v="6"/>
    <x v="1"/>
    <x v="0"/>
    <n v="6"/>
    <x v="0"/>
    <x v="0"/>
    <n v="2"/>
    <x v="1"/>
    <x v="13"/>
    <n v="0.16669999999999999"/>
    <x v="32"/>
    <n v="0.16420000000000001"/>
    <n v="0"/>
    <n v="2"/>
    <n v="2"/>
  </r>
  <r>
    <n v="169"/>
    <x v="7"/>
    <n v="1"/>
    <n v="7"/>
    <x v="7"/>
    <x v="1"/>
    <x v="0"/>
    <n v="6"/>
    <x v="0"/>
    <x v="0"/>
    <n v="2"/>
    <x v="1"/>
    <x v="13"/>
    <n v="0.18179999999999999"/>
    <x v="32"/>
    <n v="0.1045"/>
    <n v="1"/>
    <n v="8"/>
    <n v="9"/>
  </r>
  <r>
    <n v="170"/>
    <x v="7"/>
    <n v="1"/>
    <n v="8"/>
    <x v="8"/>
    <x v="1"/>
    <x v="0"/>
    <n v="6"/>
    <x v="0"/>
    <x v="0"/>
    <n v="3"/>
    <x v="2"/>
    <x v="13"/>
    <n v="0.18179999999999999"/>
    <x v="43"/>
    <n v="0.1045"/>
    <n v="0"/>
    <n v="15"/>
    <n v="15"/>
  </r>
  <r>
    <n v="171"/>
    <x v="7"/>
    <n v="1"/>
    <n v="9"/>
    <x v="9"/>
    <x v="1"/>
    <x v="0"/>
    <n v="6"/>
    <x v="0"/>
    <x v="0"/>
    <n v="3"/>
    <x v="2"/>
    <x v="13"/>
    <n v="0.18179999999999999"/>
    <x v="43"/>
    <n v="0.1045"/>
    <n v="0"/>
    <n v="20"/>
    <n v="20"/>
  </r>
  <r>
    <n v="172"/>
    <x v="7"/>
    <n v="1"/>
    <n v="10"/>
    <x v="10"/>
    <x v="1"/>
    <x v="0"/>
    <n v="6"/>
    <x v="0"/>
    <x v="0"/>
    <n v="2"/>
    <x v="1"/>
    <x v="15"/>
    <n v="0.19700000000000001"/>
    <x v="1"/>
    <n v="0.16420000000000001"/>
    <n v="5"/>
    <n v="56"/>
    <n v="61"/>
  </r>
  <r>
    <n v="173"/>
    <x v="7"/>
    <n v="1"/>
    <n v="11"/>
    <x v="11"/>
    <x v="1"/>
    <x v="0"/>
    <n v="6"/>
    <x v="0"/>
    <x v="0"/>
    <n v="2"/>
    <x v="1"/>
    <x v="2"/>
    <n v="0.18179999999999999"/>
    <x v="27"/>
    <n v="0.3881"/>
    <n v="2"/>
    <n v="60"/>
    <n v="62"/>
  </r>
  <r>
    <n v="174"/>
    <x v="7"/>
    <n v="1"/>
    <n v="12"/>
    <x v="12"/>
    <x v="2"/>
    <x v="0"/>
    <n v="6"/>
    <x v="0"/>
    <x v="0"/>
    <n v="2"/>
    <x v="1"/>
    <x v="2"/>
    <n v="0.18179999999999999"/>
    <x v="29"/>
    <n v="0.35820000000000002"/>
    <n v="8"/>
    <n v="90"/>
    <n v="98"/>
  </r>
  <r>
    <n v="175"/>
    <x v="7"/>
    <n v="1"/>
    <n v="13"/>
    <x v="13"/>
    <x v="2"/>
    <x v="0"/>
    <n v="6"/>
    <x v="0"/>
    <x v="0"/>
    <n v="1"/>
    <x v="0"/>
    <x v="2"/>
    <n v="0.18179999999999999"/>
    <x v="18"/>
    <n v="0.32840000000000003"/>
    <n v="7"/>
    <n v="95"/>
    <n v="102"/>
  </r>
  <r>
    <n v="176"/>
    <x v="7"/>
    <n v="1"/>
    <n v="14"/>
    <x v="14"/>
    <x v="2"/>
    <x v="0"/>
    <n v="6"/>
    <x v="0"/>
    <x v="0"/>
    <n v="1"/>
    <x v="0"/>
    <x v="2"/>
    <n v="0.16669999999999999"/>
    <x v="25"/>
    <n v="0.49249999999999999"/>
    <n v="12"/>
    <n v="83"/>
    <n v="95"/>
  </r>
  <r>
    <n v="177"/>
    <x v="7"/>
    <n v="1"/>
    <n v="15"/>
    <x v="15"/>
    <x v="2"/>
    <x v="0"/>
    <n v="6"/>
    <x v="0"/>
    <x v="0"/>
    <n v="1"/>
    <x v="0"/>
    <x v="2"/>
    <n v="0.16669999999999999"/>
    <x v="25"/>
    <n v="0.44779999999999998"/>
    <n v="5"/>
    <n v="69"/>
    <n v="74"/>
  </r>
  <r>
    <n v="178"/>
    <x v="7"/>
    <n v="1"/>
    <n v="16"/>
    <x v="16"/>
    <x v="3"/>
    <x v="0"/>
    <n v="6"/>
    <x v="0"/>
    <x v="0"/>
    <n v="1"/>
    <x v="0"/>
    <x v="15"/>
    <n v="0.13639999999999999"/>
    <x v="44"/>
    <n v="0.44779999999999998"/>
    <n v="8"/>
    <n v="68"/>
    <n v="76"/>
  </r>
  <r>
    <n v="179"/>
    <x v="7"/>
    <n v="1"/>
    <n v="17"/>
    <x v="17"/>
    <x v="3"/>
    <x v="0"/>
    <n v="6"/>
    <x v="0"/>
    <x v="0"/>
    <n v="1"/>
    <x v="0"/>
    <x v="13"/>
    <n v="0.1212"/>
    <x v="38"/>
    <n v="0.55220000000000002"/>
    <n v="5"/>
    <n v="64"/>
    <n v="69"/>
  </r>
  <r>
    <n v="180"/>
    <x v="7"/>
    <n v="1"/>
    <n v="18"/>
    <x v="18"/>
    <x v="3"/>
    <x v="0"/>
    <n v="6"/>
    <x v="0"/>
    <x v="0"/>
    <n v="1"/>
    <x v="0"/>
    <x v="14"/>
    <n v="0.1212"/>
    <x v="17"/>
    <n v="0.29849999999999999"/>
    <n v="3"/>
    <n v="52"/>
    <n v="55"/>
  </r>
  <r>
    <n v="181"/>
    <x v="7"/>
    <n v="1"/>
    <n v="19"/>
    <x v="19"/>
    <x v="3"/>
    <x v="0"/>
    <n v="6"/>
    <x v="0"/>
    <x v="0"/>
    <n v="1"/>
    <x v="0"/>
    <x v="14"/>
    <n v="0.1212"/>
    <x v="42"/>
    <n v="0.25369999999999998"/>
    <n v="4"/>
    <n v="26"/>
    <n v="30"/>
  </r>
  <r>
    <n v="182"/>
    <x v="7"/>
    <n v="1"/>
    <n v="20"/>
    <x v="20"/>
    <x v="0"/>
    <x v="0"/>
    <n v="6"/>
    <x v="0"/>
    <x v="0"/>
    <n v="1"/>
    <x v="0"/>
    <x v="16"/>
    <n v="0.1212"/>
    <x v="42"/>
    <n v="0.25369999999999998"/>
    <n v="0"/>
    <n v="28"/>
    <n v="28"/>
  </r>
  <r>
    <n v="183"/>
    <x v="7"/>
    <n v="1"/>
    <n v="21"/>
    <x v="21"/>
    <x v="0"/>
    <x v="0"/>
    <n v="6"/>
    <x v="0"/>
    <x v="0"/>
    <n v="1"/>
    <x v="0"/>
    <x v="16"/>
    <n v="0.1061"/>
    <x v="17"/>
    <n v="0.35820000000000002"/>
    <n v="2"/>
    <n v="35"/>
    <n v="37"/>
  </r>
  <r>
    <n v="184"/>
    <x v="7"/>
    <n v="1"/>
    <n v="22"/>
    <x v="22"/>
    <x v="0"/>
    <x v="0"/>
    <n v="6"/>
    <x v="0"/>
    <x v="0"/>
    <n v="1"/>
    <x v="0"/>
    <x v="16"/>
    <n v="0.1061"/>
    <x v="42"/>
    <n v="0.3881"/>
    <n v="1"/>
    <n v="33"/>
    <n v="34"/>
  </r>
  <r>
    <n v="185"/>
    <x v="7"/>
    <n v="1"/>
    <n v="23"/>
    <x v="23"/>
    <x v="0"/>
    <x v="0"/>
    <n v="6"/>
    <x v="0"/>
    <x v="0"/>
    <n v="1"/>
    <x v="0"/>
    <x v="18"/>
    <n v="6.0600000000000001E-2"/>
    <x v="17"/>
    <n v="0.44779999999999998"/>
    <n v="0"/>
    <n v="22"/>
    <n v="22"/>
  </r>
  <r>
    <n v="186"/>
    <x v="8"/>
    <n v="1"/>
    <n v="0"/>
    <x v="0"/>
    <x v="0"/>
    <x v="0"/>
    <n v="0"/>
    <x v="1"/>
    <x v="0"/>
    <n v="1"/>
    <x v="0"/>
    <x v="18"/>
    <n v="7.5800000000000006E-2"/>
    <x v="16"/>
    <n v="0.3881"/>
    <n v="1"/>
    <n v="24"/>
    <n v="25"/>
  </r>
  <r>
    <n v="187"/>
    <x v="8"/>
    <n v="1"/>
    <n v="1"/>
    <x v="1"/>
    <x v="0"/>
    <x v="0"/>
    <n v="0"/>
    <x v="1"/>
    <x v="0"/>
    <n v="1"/>
    <x v="0"/>
    <x v="18"/>
    <n v="6.0600000000000001E-2"/>
    <x v="16"/>
    <n v="0.4627"/>
    <n v="0"/>
    <n v="12"/>
    <n v="12"/>
  </r>
  <r>
    <n v="188"/>
    <x v="8"/>
    <n v="1"/>
    <n v="2"/>
    <x v="2"/>
    <x v="0"/>
    <x v="0"/>
    <n v="0"/>
    <x v="1"/>
    <x v="0"/>
    <n v="1"/>
    <x v="0"/>
    <x v="18"/>
    <n v="6.0600000000000001E-2"/>
    <x v="15"/>
    <n v="0.4627"/>
    <n v="0"/>
    <n v="11"/>
    <n v="11"/>
  </r>
  <r>
    <n v="189"/>
    <x v="8"/>
    <n v="1"/>
    <n v="3"/>
    <x v="3"/>
    <x v="0"/>
    <x v="0"/>
    <n v="0"/>
    <x v="1"/>
    <x v="0"/>
    <n v="1"/>
    <x v="0"/>
    <x v="18"/>
    <n v="7.5800000000000006E-2"/>
    <x v="15"/>
    <n v="0.41789999999999999"/>
    <n v="0"/>
    <n v="4"/>
    <n v="4"/>
  </r>
  <r>
    <n v="190"/>
    <x v="8"/>
    <n v="1"/>
    <n v="4"/>
    <x v="4"/>
    <x v="0"/>
    <x v="0"/>
    <n v="0"/>
    <x v="1"/>
    <x v="0"/>
    <n v="1"/>
    <x v="0"/>
    <x v="19"/>
    <n v="9.0899999999999995E-2"/>
    <x v="45"/>
    <n v="0.19400000000000001"/>
    <n v="0"/>
    <n v="1"/>
    <n v="1"/>
  </r>
  <r>
    <n v="191"/>
    <x v="8"/>
    <n v="1"/>
    <n v="5"/>
    <x v="5"/>
    <x v="1"/>
    <x v="0"/>
    <n v="0"/>
    <x v="1"/>
    <x v="0"/>
    <n v="1"/>
    <x v="0"/>
    <x v="19"/>
    <n v="9.0899999999999995E-2"/>
    <x v="45"/>
    <n v="0.19400000000000001"/>
    <n v="0"/>
    <n v="1"/>
    <n v="1"/>
  </r>
  <r>
    <n v="192"/>
    <x v="8"/>
    <n v="1"/>
    <n v="6"/>
    <x v="6"/>
    <x v="1"/>
    <x v="0"/>
    <n v="0"/>
    <x v="1"/>
    <x v="0"/>
    <n v="1"/>
    <x v="0"/>
    <x v="18"/>
    <n v="9.0899999999999995E-2"/>
    <x v="36"/>
    <n v="0.28360000000000002"/>
    <n v="0"/>
    <n v="1"/>
    <n v="1"/>
  </r>
  <r>
    <n v="193"/>
    <x v="8"/>
    <n v="1"/>
    <n v="7"/>
    <x v="7"/>
    <x v="1"/>
    <x v="0"/>
    <n v="0"/>
    <x v="1"/>
    <x v="0"/>
    <n v="1"/>
    <x v="0"/>
    <x v="19"/>
    <n v="9.0899999999999995E-2"/>
    <x v="45"/>
    <n v="0.19400000000000001"/>
    <n v="1"/>
    <n v="5"/>
    <n v="6"/>
  </r>
  <r>
    <n v="194"/>
    <x v="8"/>
    <n v="1"/>
    <n v="8"/>
    <x v="8"/>
    <x v="1"/>
    <x v="0"/>
    <n v="0"/>
    <x v="1"/>
    <x v="0"/>
    <n v="1"/>
    <x v="0"/>
    <x v="18"/>
    <n v="9.0899999999999995E-2"/>
    <x v="36"/>
    <n v="0.28360000000000002"/>
    <n v="0"/>
    <n v="10"/>
    <n v="10"/>
  </r>
  <r>
    <n v="195"/>
    <x v="8"/>
    <n v="1"/>
    <n v="9"/>
    <x v="9"/>
    <x v="1"/>
    <x v="0"/>
    <n v="0"/>
    <x v="1"/>
    <x v="0"/>
    <n v="1"/>
    <x v="0"/>
    <x v="16"/>
    <n v="7.5800000000000006E-2"/>
    <x v="15"/>
    <n v="0.52239999999999998"/>
    <n v="0"/>
    <n v="19"/>
    <n v="19"/>
  </r>
  <r>
    <n v="196"/>
    <x v="8"/>
    <n v="1"/>
    <n v="10"/>
    <x v="10"/>
    <x v="1"/>
    <x v="0"/>
    <n v="0"/>
    <x v="1"/>
    <x v="0"/>
    <n v="1"/>
    <x v="0"/>
    <x v="14"/>
    <n v="0.1061"/>
    <x v="21"/>
    <n v="0.3881"/>
    <n v="0"/>
    <n v="49"/>
    <n v="49"/>
  </r>
  <r>
    <n v="197"/>
    <x v="8"/>
    <n v="1"/>
    <n v="11"/>
    <x v="11"/>
    <x v="1"/>
    <x v="0"/>
    <n v="0"/>
    <x v="1"/>
    <x v="0"/>
    <n v="1"/>
    <x v="0"/>
    <x v="13"/>
    <n v="0.1212"/>
    <x v="22"/>
    <n v="0.52239999999999998"/>
    <n v="2"/>
    <n v="47"/>
    <n v="49"/>
  </r>
  <r>
    <n v="198"/>
    <x v="8"/>
    <n v="1"/>
    <n v="12"/>
    <x v="12"/>
    <x v="2"/>
    <x v="0"/>
    <n v="0"/>
    <x v="1"/>
    <x v="0"/>
    <n v="1"/>
    <x v="0"/>
    <x v="15"/>
    <n v="0.13639999999999999"/>
    <x v="38"/>
    <n v="0.44779999999999998"/>
    <n v="4"/>
    <n v="79"/>
    <n v="83"/>
  </r>
  <r>
    <n v="199"/>
    <x v="8"/>
    <n v="1"/>
    <n v="13"/>
    <x v="13"/>
    <x v="2"/>
    <x v="0"/>
    <n v="0"/>
    <x v="1"/>
    <x v="0"/>
    <n v="1"/>
    <x v="0"/>
    <x v="2"/>
    <n v="0.16669999999999999"/>
    <x v="46"/>
    <n v="0.44779999999999998"/>
    <n v="6"/>
    <n v="69"/>
    <n v="75"/>
  </r>
  <r>
    <n v="200"/>
    <x v="8"/>
    <n v="1"/>
    <n v="14"/>
    <x v="14"/>
    <x v="2"/>
    <x v="0"/>
    <n v="0"/>
    <x v="1"/>
    <x v="0"/>
    <n v="1"/>
    <x v="0"/>
    <x v="1"/>
    <n v="0.18179999999999999"/>
    <x v="25"/>
    <n v="0.4627"/>
    <n v="8"/>
    <n v="64"/>
    <n v="72"/>
  </r>
  <r>
    <n v="201"/>
    <x v="8"/>
    <n v="1"/>
    <n v="15"/>
    <x v="15"/>
    <x v="2"/>
    <x v="0"/>
    <n v="0"/>
    <x v="1"/>
    <x v="0"/>
    <n v="1"/>
    <x v="0"/>
    <x v="1"/>
    <n v="0.19700000000000001"/>
    <x v="23"/>
    <n v="0.35820000000000002"/>
    <n v="5"/>
    <n v="77"/>
    <n v="82"/>
  </r>
  <r>
    <n v="202"/>
    <x v="8"/>
    <n v="1"/>
    <n v="16"/>
    <x v="16"/>
    <x v="3"/>
    <x v="0"/>
    <n v="0"/>
    <x v="1"/>
    <x v="0"/>
    <n v="1"/>
    <x v="0"/>
    <x v="2"/>
    <n v="0.16669999999999999"/>
    <x v="46"/>
    <n v="0.44779999999999998"/>
    <n v="13"/>
    <n v="79"/>
    <n v="92"/>
  </r>
  <r>
    <n v="203"/>
    <x v="8"/>
    <n v="1"/>
    <n v="17"/>
    <x v="17"/>
    <x v="3"/>
    <x v="0"/>
    <n v="0"/>
    <x v="1"/>
    <x v="0"/>
    <n v="1"/>
    <x v="0"/>
    <x v="15"/>
    <n v="0.1515"/>
    <x v="38"/>
    <n v="0.3881"/>
    <n v="3"/>
    <n v="59"/>
    <n v="62"/>
  </r>
  <r>
    <n v="204"/>
    <x v="8"/>
    <n v="1"/>
    <n v="18"/>
    <x v="18"/>
    <x v="3"/>
    <x v="0"/>
    <n v="0"/>
    <x v="1"/>
    <x v="0"/>
    <n v="1"/>
    <x v="0"/>
    <x v="13"/>
    <n v="0.13639999999999999"/>
    <x v="22"/>
    <n v="0.32840000000000003"/>
    <n v="4"/>
    <n v="44"/>
    <n v="48"/>
  </r>
  <r>
    <n v="205"/>
    <x v="8"/>
    <n v="1"/>
    <n v="19"/>
    <x v="19"/>
    <x v="3"/>
    <x v="0"/>
    <n v="0"/>
    <x v="1"/>
    <x v="0"/>
    <n v="1"/>
    <x v="0"/>
    <x v="13"/>
    <n v="0.13639999999999999"/>
    <x v="21"/>
    <n v="0.32840000000000003"/>
    <n v="1"/>
    <n v="40"/>
    <n v="41"/>
  </r>
  <r>
    <n v="206"/>
    <x v="8"/>
    <n v="1"/>
    <n v="20"/>
    <x v="20"/>
    <x v="0"/>
    <x v="0"/>
    <n v="0"/>
    <x v="1"/>
    <x v="0"/>
    <n v="1"/>
    <x v="0"/>
    <x v="14"/>
    <n v="0.1212"/>
    <x v="15"/>
    <n v="0.25369999999999998"/>
    <n v="0"/>
    <n v="38"/>
    <n v="38"/>
  </r>
  <r>
    <n v="207"/>
    <x v="8"/>
    <n v="1"/>
    <n v="21"/>
    <x v="21"/>
    <x v="0"/>
    <x v="0"/>
    <n v="0"/>
    <x v="1"/>
    <x v="0"/>
    <n v="1"/>
    <x v="0"/>
    <x v="14"/>
    <n v="0.1061"/>
    <x v="15"/>
    <n v="0.41789999999999999"/>
    <n v="1"/>
    <n v="19"/>
    <n v="20"/>
  </r>
  <r>
    <n v="208"/>
    <x v="8"/>
    <n v="1"/>
    <n v="22"/>
    <x v="22"/>
    <x v="0"/>
    <x v="0"/>
    <n v="0"/>
    <x v="1"/>
    <x v="0"/>
    <n v="1"/>
    <x v="0"/>
    <x v="14"/>
    <n v="0.1212"/>
    <x v="15"/>
    <n v="0.29849999999999999"/>
    <n v="5"/>
    <n v="10"/>
    <n v="15"/>
  </r>
  <r>
    <n v="209"/>
    <x v="8"/>
    <n v="1"/>
    <n v="23"/>
    <x v="23"/>
    <x v="0"/>
    <x v="0"/>
    <n v="0"/>
    <x v="1"/>
    <x v="0"/>
    <n v="1"/>
    <x v="0"/>
    <x v="16"/>
    <n v="0.13639999999999999"/>
    <x v="20"/>
    <n v="0.19400000000000001"/>
    <n v="0"/>
    <n v="6"/>
    <n v="6"/>
  </r>
  <r>
    <n v="210"/>
    <x v="9"/>
    <n v="1"/>
    <n v="0"/>
    <x v="0"/>
    <x v="0"/>
    <x v="0"/>
    <n v="1"/>
    <x v="2"/>
    <x v="1"/>
    <n v="1"/>
    <x v="0"/>
    <x v="16"/>
    <n v="0.1212"/>
    <x v="20"/>
    <n v="0.28360000000000002"/>
    <n v="2"/>
    <n v="3"/>
    <n v="5"/>
  </r>
  <r>
    <n v="211"/>
    <x v="9"/>
    <n v="1"/>
    <n v="1"/>
    <x v="1"/>
    <x v="0"/>
    <x v="0"/>
    <n v="1"/>
    <x v="2"/>
    <x v="1"/>
    <n v="1"/>
    <x v="0"/>
    <x v="16"/>
    <n v="0.1212"/>
    <x v="20"/>
    <n v="0.28360000000000002"/>
    <n v="1"/>
    <n v="0"/>
    <n v="1"/>
  </r>
  <r>
    <n v="212"/>
    <x v="9"/>
    <n v="1"/>
    <n v="2"/>
    <x v="2"/>
    <x v="0"/>
    <x v="0"/>
    <n v="1"/>
    <x v="2"/>
    <x v="1"/>
    <n v="1"/>
    <x v="0"/>
    <x v="16"/>
    <n v="0.1212"/>
    <x v="20"/>
    <n v="0.22389999999999999"/>
    <n v="0"/>
    <n v="3"/>
    <n v="3"/>
  </r>
  <r>
    <n v="213"/>
    <x v="9"/>
    <n v="1"/>
    <n v="3"/>
    <x v="3"/>
    <x v="0"/>
    <x v="0"/>
    <n v="1"/>
    <x v="2"/>
    <x v="1"/>
    <n v="1"/>
    <x v="0"/>
    <x v="16"/>
    <n v="0.1212"/>
    <x v="20"/>
    <n v="0.22389999999999999"/>
    <n v="0"/>
    <n v="1"/>
    <n v="1"/>
  </r>
  <r>
    <n v="214"/>
    <x v="9"/>
    <n v="1"/>
    <n v="4"/>
    <x v="4"/>
    <x v="0"/>
    <x v="0"/>
    <n v="1"/>
    <x v="2"/>
    <x v="1"/>
    <n v="1"/>
    <x v="0"/>
    <x v="18"/>
    <n v="0.1212"/>
    <x v="47"/>
    <n v="0.1343"/>
    <n v="1"/>
    <n v="2"/>
    <n v="3"/>
  </r>
  <r>
    <n v="215"/>
    <x v="9"/>
    <n v="1"/>
    <n v="5"/>
    <x v="5"/>
    <x v="1"/>
    <x v="0"/>
    <n v="1"/>
    <x v="2"/>
    <x v="1"/>
    <n v="1"/>
    <x v="0"/>
    <x v="18"/>
    <n v="0.1061"/>
    <x v="47"/>
    <n v="0.25369999999999998"/>
    <n v="0"/>
    <n v="3"/>
    <n v="3"/>
  </r>
  <r>
    <n v="216"/>
    <x v="9"/>
    <n v="1"/>
    <n v="6"/>
    <x v="6"/>
    <x v="1"/>
    <x v="0"/>
    <n v="1"/>
    <x v="2"/>
    <x v="1"/>
    <n v="1"/>
    <x v="0"/>
    <x v="16"/>
    <n v="0.1212"/>
    <x v="20"/>
    <n v="0.28360000000000002"/>
    <n v="0"/>
    <n v="31"/>
    <n v="31"/>
  </r>
  <r>
    <n v="217"/>
    <x v="9"/>
    <n v="1"/>
    <n v="7"/>
    <x v="7"/>
    <x v="1"/>
    <x v="0"/>
    <n v="1"/>
    <x v="2"/>
    <x v="1"/>
    <n v="1"/>
    <x v="0"/>
    <x v="16"/>
    <n v="0.1212"/>
    <x v="20"/>
    <n v="0.22389999999999999"/>
    <n v="2"/>
    <n v="75"/>
    <n v="77"/>
  </r>
  <r>
    <n v="218"/>
    <x v="9"/>
    <n v="1"/>
    <n v="8"/>
    <x v="8"/>
    <x v="1"/>
    <x v="0"/>
    <n v="1"/>
    <x v="2"/>
    <x v="1"/>
    <n v="2"/>
    <x v="1"/>
    <x v="16"/>
    <n v="0.1212"/>
    <x v="20"/>
    <n v="0.28360000000000002"/>
    <n v="4"/>
    <n v="184"/>
    <n v="188"/>
  </r>
  <r>
    <n v="219"/>
    <x v="9"/>
    <n v="1"/>
    <n v="9"/>
    <x v="9"/>
    <x v="1"/>
    <x v="0"/>
    <n v="1"/>
    <x v="2"/>
    <x v="1"/>
    <n v="2"/>
    <x v="1"/>
    <x v="14"/>
    <n v="0.1212"/>
    <x v="20"/>
    <n v="0.25369999999999998"/>
    <n v="2"/>
    <n v="92"/>
    <n v="94"/>
  </r>
  <r>
    <n v="220"/>
    <x v="9"/>
    <n v="1"/>
    <n v="10"/>
    <x v="10"/>
    <x v="1"/>
    <x v="0"/>
    <n v="1"/>
    <x v="2"/>
    <x v="1"/>
    <n v="2"/>
    <x v="1"/>
    <x v="14"/>
    <n v="0.1212"/>
    <x v="20"/>
    <n v="0.29849999999999999"/>
    <n v="0"/>
    <n v="31"/>
    <n v="31"/>
  </r>
  <r>
    <n v="221"/>
    <x v="9"/>
    <n v="1"/>
    <n v="11"/>
    <x v="11"/>
    <x v="1"/>
    <x v="0"/>
    <n v="1"/>
    <x v="2"/>
    <x v="1"/>
    <n v="2"/>
    <x v="1"/>
    <x v="13"/>
    <n v="0.13639999999999999"/>
    <x v="19"/>
    <n v="0.28360000000000002"/>
    <n v="2"/>
    <n v="28"/>
    <n v="30"/>
  </r>
  <r>
    <n v="222"/>
    <x v="9"/>
    <n v="1"/>
    <n v="12"/>
    <x v="12"/>
    <x v="2"/>
    <x v="0"/>
    <n v="1"/>
    <x v="2"/>
    <x v="1"/>
    <n v="2"/>
    <x v="1"/>
    <x v="2"/>
    <n v="0.18179999999999999"/>
    <x v="22"/>
    <n v="0.28360000000000002"/>
    <n v="5"/>
    <n v="47"/>
    <n v="52"/>
  </r>
  <r>
    <n v="223"/>
    <x v="9"/>
    <n v="1"/>
    <n v="13"/>
    <x v="13"/>
    <x v="2"/>
    <x v="0"/>
    <n v="1"/>
    <x v="2"/>
    <x v="1"/>
    <n v="2"/>
    <x v="1"/>
    <x v="2"/>
    <n v="0.18179999999999999"/>
    <x v="22"/>
    <n v="0.28360000000000002"/>
    <n v="4"/>
    <n v="50"/>
    <n v="54"/>
  </r>
  <r>
    <n v="224"/>
    <x v="9"/>
    <n v="1"/>
    <n v="14"/>
    <x v="14"/>
    <x v="2"/>
    <x v="0"/>
    <n v="1"/>
    <x v="2"/>
    <x v="1"/>
    <n v="2"/>
    <x v="1"/>
    <x v="2"/>
    <n v="0.19700000000000001"/>
    <x v="22"/>
    <n v="0.22389999999999999"/>
    <n v="0"/>
    <n v="47"/>
    <n v="47"/>
  </r>
  <r>
    <n v="225"/>
    <x v="9"/>
    <n v="1"/>
    <n v="15"/>
    <x v="15"/>
    <x v="2"/>
    <x v="0"/>
    <n v="1"/>
    <x v="2"/>
    <x v="1"/>
    <n v="2"/>
    <x v="1"/>
    <x v="2"/>
    <n v="0.19700000000000001"/>
    <x v="22"/>
    <n v="0.22389999999999999"/>
    <n v="2"/>
    <n v="43"/>
    <n v="45"/>
  </r>
  <r>
    <n v="226"/>
    <x v="9"/>
    <n v="1"/>
    <n v="16"/>
    <x v="16"/>
    <x v="3"/>
    <x v="0"/>
    <n v="1"/>
    <x v="2"/>
    <x v="1"/>
    <n v="1"/>
    <x v="0"/>
    <x v="2"/>
    <n v="0.21210000000000001"/>
    <x v="22"/>
    <n v="0.1343"/>
    <n v="4"/>
    <n v="70"/>
    <n v="74"/>
  </r>
  <r>
    <n v="227"/>
    <x v="9"/>
    <n v="1"/>
    <n v="17"/>
    <x v="17"/>
    <x v="3"/>
    <x v="0"/>
    <n v="1"/>
    <x v="2"/>
    <x v="1"/>
    <n v="1"/>
    <x v="0"/>
    <x v="2"/>
    <n v="0.2273"/>
    <x v="22"/>
    <n v="0.1045"/>
    <n v="4"/>
    <n v="174"/>
    <n v="178"/>
  </r>
  <r>
    <n v="228"/>
    <x v="9"/>
    <n v="1"/>
    <n v="18"/>
    <x v="18"/>
    <x v="3"/>
    <x v="0"/>
    <n v="1"/>
    <x v="2"/>
    <x v="1"/>
    <n v="1"/>
    <x v="0"/>
    <x v="2"/>
    <n v="0.19700000000000001"/>
    <x v="22"/>
    <n v="0.22389999999999999"/>
    <n v="1"/>
    <n v="154"/>
    <n v="155"/>
  </r>
  <r>
    <n v="229"/>
    <x v="9"/>
    <n v="1"/>
    <n v="19"/>
    <x v="19"/>
    <x v="3"/>
    <x v="0"/>
    <n v="1"/>
    <x v="2"/>
    <x v="1"/>
    <n v="1"/>
    <x v="0"/>
    <x v="13"/>
    <n v="0.16669999999999999"/>
    <x v="19"/>
    <n v="0.16420000000000001"/>
    <n v="3"/>
    <n v="92"/>
    <n v="95"/>
  </r>
  <r>
    <n v="230"/>
    <x v="9"/>
    <n v="1"/>
    <n v="20"/>
    <x v="20"/>
    <x v="0"/>
    <x v="0"/>
    <n v="1"/>
    <x v="2"/>
    <x v="1"/>
    <n v="1"/>
    <x v="0"/>
    <x v="13"/>
    <n v="0.16669999999999999"/>
    <x v="20"/>
    <n v="0.16420000000000001"/>
    <n v="1"/>
    <n v="73"/>
    <n v="74"/>
  </r>
  <r>
    <n v="231"/>
    <x v="9"/>
    <n v="1"/>
    <n v="21"/>
    <x v="21"/>
    <x v="0"/>
    <x v="0"/>
    <n v="1"/>
    <x v="2"/>
    <x v="1"/>
    <n v="1"/>
    <x v="0"/>
    <x v="14"/>
    <n v="0.13639999999999999"/>
    <x v="29"/>
    <n v="0.19400000000000001"/>
    <n v="1"/>
    <n v="37"/>
    <n v="38"/>
  </r>
  <r>
    <n v="232"/>
    <x v="9"/>
    <n v="1"/>
    <n v="22"/>
    <x v="22"/>
    <x v="0"/>
    <x v="0"/>
    <n v="1"/>
    <x v="2"/>
    <x v="1"/>
    <n v="1"/>
    <x v="0"/>
    <x v="14"/>
    <n v="0.1515"/>
    <x v="29"/>
    <n v="0.16420000000000001"/>
    <n v="2"/>
    <n v="22"/>
    <n v="24"/>
  </r>
  <r>
    <n v="233"/>
    <x v="9"/>
    <n v="1"/>
    <n v="23"/>
    <x v="23"/>
    <x v="0"/>
    <x v="0"/>
    <n v="1"/>
    <x v="2"/>
    <x v="1"/>
    <n v="1"/>
    <x v="0"/>
    <x v="14"/>
    <n v="0.1515"/>
    <x v="29"/>
    <n v="0.16420000000000001"/>
    <n v="0"/>
    <n v="18"/>
    <n v="18"/>
  </r>
  <r>
    <n v="234"/>
    <x v="10"/>
    <n v="1"/>
    <n v="0"/>
    <x v="0"/>
    <x v="0"/>
    <x v="0"/>
    <n v="2"/>
    <x v="3"/>
    <x v="1"/>
    <n v="1"/>
    <x v="0"/>
    <x v="14"/>
    <n v="0.16669999999999999"/>
    <x v="29"/>
    <n v="0.1045"/>
    <n v="2"/>
    <n v="10"/>
    <n v="12"/>
  </r>
  <r>
    <n v="235"/>
    <x v="10"/>
    <n v="1"/>
    <n v="1"/>
    <x v="1"/>
    <x v="0"/>
    <x v="0"/>
    <n v="2"/>
    <x v="3"/>
    <x v="1"/>
    <n v="1"/>
    <x v="0"/>
    <x v="14"/>
    <n v="0.1515"/>
    <x v="29"/>
    <n v="0.16420000000000001"/>
    <n v="0"/>
    <n v="3"/>
    <n v="3"/>
  </r>
  <r>
    <n v="236"/>
    <x v="10"/>
    <n v="1"/>
    <n v="2"/>
    <x v="2"/>
    <x v="0"/>
    <x v="0"/>
    <n v="2"/>
    <x v="3"/>
    <x v="1"/>
    <n v="2"/>
    <x v="1"/>
    <x v="13"/>
    <n v="0.1515"/>
    <x v="28"/>
    <n v="0.19400000000000001"/>
    <n v="0"/>
    <n v="3"/>
    <n v="3"/>
  </r>
  <r>
    <n v="237"/>
    <x v="10"/>
    <n v="1"/>
    <n v="5"/>
    <x v="5"/>
    <x v="1"/>
    <x v="0"/>
    <n v="2"/>
    <x v="3"/>
    <x v="1"/>
    <n v="2"/>
    <x v="1"/>
    <x v="13"/>
    <n v="0.18179999999999999"/>
    <x v="28"/>
    <n v="0.1343"/>
    <n v="0"/>
    <n v="6"/>
    <n v="6"/>
  </r>
  <r>
    <n v="238"/>
    <x v="10"/>
    <n v="1"/>
    <n v="6"/>
    <x v="6"/>
    <x v="1"/>
    <x v="0"/>
    <n v="2"/>
    <x v="3"/>
    <x v="1"/>
    <n v="2"/>
    <x v="1"/>
    <x v="13"/>
    <n v="0.18179999999999999"/>
    <x v="28"/>
    <n v="0.1343"/>
    <n v="0"/>
    <n v="27"/>
    <n v="27"/>
  </r>
  <r>
    <n v="239"/>
    <x v="10"/>
    <n v="1"/>
    <n v="7"/>
    <x v="7"/>
    <x v="1"/>
    <x v="0"/>
    <n v="2"/>
    <x v="3"/>
    <x v="1"/>
    <n v="2"/>
    <x v="1"/>
    <x v="13"/>
    <n v="0.2273"/>
    <x v="28"/>
    <n v="0"/>
    <n v="2"/>
    <n v="97"/>
    <n v="99"/>
  </r>
  <r>
    <n v="240"/>
    <x v="10"/>
    <n v="1"/>
    <n v="8"/>
    <x v="8"/>
    <x v="1"/>
    <x v="0"/>
    <n v="2"/>
    <x v="3"/>
    <x v="1"/>
    <n v="2"/>
    <x v="1"/>
    <x v="15"/>
    <n v="0.21210000000000001"/>
    <x v="33"/>
    <n v="8.9599999999999999E-2"/>
    <n v="3"/>
    <n v="214"/>
    <n v="217"/>
  </r>
  <r>
    <n v="241"/>
    <x v="10"/>
    <n v="1"/>
    <n v="9"/>
    <x v="9"/>
    <x v="1"/>
    <x v="0"/>
    <n v="2"/>
    <x v="3"/>
    <x v="1"/>
    <n v="2"/>
    <x v="1"/>
    <x v="15"/>
    <n v="0.19700000000000001"/>
    <x v="33"/>
    <n v="0.16420000000000001"/>
    <n v="3"/>
    <n v="127"/>
    <n v="130"/>
  </r>
  <r>
    <n v="242"/>
    <x v="10"/>
    <n v="1"/>
    <n v="10"/>
    <x v="10"/>
    <x v="1"/>
    <x v="0"/>
    <n v="2"/>
    <x v="3"/>
    <x v="1"/>
    <n v="2"/>
    <x v="1"/>
    <x v="2"/>
    <n v="0.21210000000000001"/>
    <x v="33"/>
    <n v="0.16420000000000001"/>
    <n v="3"/>
    <n v="51"/>
    <n v="54"/>
  </r>
  <r>
    <n v="243"/>
    <x v="10"/>
    <n v="1"/>
    <n v="11"/>
    <x v="11"/>
    <x v="1"/>
    <x v="0"/>
    <n v="2"/>
    <x v="3"/>
    <x v="1"/>
    <n v="2"/>
    <x v="1"/>
    <x v="2"/>
    <n v="0.21210000000000001"/>
    <x v="19"/>
    <n v="0.1343"/>
    <n v="4"/>
    <n v="31"/>
    <n v="35"/>
  </r>
  <r>
    <n v="244"/>
    <x v="10"/>
    <n v="1"/>
    <n v="12"/>
    <x v="12"/>
    <x v="2"/>
    <x v="0"/>
    <n v="2"/>
    <x v="3"/>
    <x v="1"/>
    <n v="2"/>
    <x v="1"/>
    <x v="2"/>
    <n v="0.2273"/>
    <x v="33"/>
    <n v="0.1045"/>
    <n v="2"/>
    <n v="55"/>
    <n v="57"/>
  </r>
  <r>
    <n v="245"/>
    <x v="10"/>
    <n v="1"/>
    <n v="13"/>
    <x v="13"/>
    <x v="2"/>
    <x v="0"/>
    <n v="2"/>
    <x v="3"/>
    <x v="1"/>
    <n v="2"/>
    <x v="1"/>
    <x v="2"/>
    <n v="0.2273"/>
    <x v="29"/>
    <n v="8.9599999999999999E-2"/>
    <n v="6"/>
    <n v="46"/>
    <n v="52"/>
  </r>
  <r>
    <n v="246"/>
    <x v="10"/>
    <n v="1"/>
    <n v="14"/>
    <x v="14"/>
    <x v="2"/>
    <x v="0"/>
    <n v="2"/>
    <x v="3"/>
    <x v="1"/>
    <n v="2"/>
    <x v="1"/>
    <x v="2"/>
    <n v="0.2273"/>
    <x v="29"/>
    <n v="8.9599999999999999E-2"/>
    <n v="3"/>
    <n v="60"/>
    <n v="63"/>
  </r>
  <r>
    <n v="247"/>
    <x v="10"/>
    <n v="1"/>
    <n v="15"/>
    <x v="15"/>
    <x v="2"/>
    <x v="0"/>
    <n v="2"/>
    <x v="3"/>
    <x v="1"/>
    <n v="2"/>
    <x v="1"/>
    <x v="13"/>
    <n v="0.19700000000000001"/>
    <x v="1"/>
    <n v="8.9599999999999999E-2"/>
    <n v="2"/>
    <n v="45"/>
    <n v="47"/>
  </r>
  <r>
    <n v="248"/>
    <x v="10"/>
    <n v="1"/>
    <n v="16"/>
    <x v="16"/>
    <x v="3"/>
    <x v="0"/>
    <n v="2"/>
    <x v="3"/>
    <x v="1"/>
    <n v="2"/>
    <x v="1"/>
    <x v="13"/>
    <n v="0.1515"/>
    <x v="3"/>
    <n v="0.22389999999999999"/>
    <n v="4"/>
    <n v="72"/>
    <n v="76"/>
  </r>
  <r>
    <n v="249"/>
    <x v="10"/>
    <n v="1"/>
    <n v="17"/>
    <x v="17"/>
    <x v="3"/>
    <x v="0"/>
    <n v="2"/>
    <x v="3"/>
    <x v="1"/>
    <n v="2"/>
    <x v="1"/>
    <x v="13"/>
    <n v="0.1515"/>
    <x v="3"/>
    <n v="0.22389999999999999"/>
    <n v="6"/>
    <n v="130"/>
    <n v="136"/>
  </r>
  <r>
    <n v="250"/>
    <x v="10"/>
    <n v="1"/>
    <n v="18"/>
    <x v="18"/>
    <x v="3"/>
    <x v="0"/>
    <n v="2"/>
    <x v="3"/>
    <x v="1"/>
    <n v="3"/>
    <x v="2"/>
    <x v="13"/>
    <n v="0.18179999999999999"/>
    <x v="43"/>
    <n v="0.1045"/>
    <n v="1"/>
    <n v="94"/>
    <n v="95"/>
  </r>
  <r>
    <n v="251"/>
    <x v="10"/>
    <n v="1"/>
    <n v="19"/>
    <x v="19"/>
    <x v="3"/>
    <x v="0"/>
    <n v="2"/>
    <x v="3"/>
    <x v="1"/>
    <n v="3"/>
    <x v="2"/>
    <x v="13"/>
    <n v="0.2273"/>
    <x v="43"/>
    <n v="0"/>
    <n v="0"/>
    <n v="51"/>
    <n v="51"/>
  </r>
  <r>
    <n v="252"/>
    <x v="10"/>
    <n v="1"/>
    <n v="20"/>
    <x v="20"/>
    <x v="0"/>
    <x v="0"/>
    <n v="2"/>
    <x v="3"/>
    <x v="1"/>
    <n v="3"/>
    <x v="2"/>
    <x v="13"/>
    <n v="0.1515"/>
    <x v="43"/>
    <n v="0.19400000000000001"/>
    <n v="0"/>
    <n v="32"/>
    <n v="32"/>
  </r>
  <r>
    <n v="253"/>
    <x v="10"/>
    <n v="1"/>
    <n v="21"/>
    <x v="21"/>
    <x v="0"/>
    <x v="0"/>
    <n v="2"/>
    <x v="3"/>
    <x v="1"/>
    <n v="3"/>
    <x v="2"/>
    <x v="13"/>
    <n v="0.19700000000000001"/>
    <x v="3"/>
    <n v="8.9599999999999999E-2"/>
    <n v="0"/>
    <n v="20"/>
    <n v="20"/>
  </r>
  <r>
    <n v="254"/>
    <x v="10"/>
    <n v="1"/>
    <n v="22"/>
    <x v="22"/>
    <x v="0"/>
    <x v="0"/>
    <n v="2"/>
    <x v="3"/>
    <x v="1"/>
    <n v="3"/>
    <x v="2"/>
    <x v="13"/>
    <n v="0.18179999999999999"/>
    <x v="43"/>
    <n v="0.1045"/>
    <n v="1"/>
    <n v="28"/>
    <n v="29"/>
  </r>
  <r>
    <n v="255"/>
    <x v="10"/>
    <n v="1"/>
    <n v="23"/>
    <x v="23"/>
    <x v="0"/>
    <x v="0"/>
    <n v="2"/>
    <x v="3"/>
    <x v="1"/>
    <n v="3"/>
    <x v="2"/>
    <x v="13"/>
    <n v="0.19700000000000001"/>
    <x v="43"/>
    <n v="8.9599999999999999E-2"/>
    <n v="1"/>
    <n v="18"/>
    <n v="19"/>
  </r>
  <r>
    <n v="256"/>
    <x v="11"/>
    <n v="1"/>
    <n v="0"/>
    <x v="0"/>
    <x v="0"/>
    <x v="0"/>
    <n v="3"/>
    <x v="4"/>
    <x v="1"/>
    <n v="2"/>
    <x v="1"/>
    <x v="13"/>
    <n v="0.19700000000000001"/>
    <x v="3"/>
    <n v="8.9599999999999999E-2"/>
    <n v="0"/>
    <n v="7"/>
    <n v="7"/>
  </r>
  <r>
    <n v="257"/>
    <x v="11"/>
    <n v="1"/>
    <n v="1"/>
    <x v="1"/>
    <x v="0"/>
    <x v="0"/>
    <n v="3"/>
    <x v="4"/>
    <x v="1"/>
    <n v="2"/>
    <x v="1"/>
    <x v="13"/>
    <n v="0.18179999999999999"/>
    <x v="3"/>
    <n v="0.1045"/>
    <n v="0"/>
    <n v="6"/>
    <n v="6"/>
  </r>
  <r>
    <n v="258"/>
    <x v="11"/>
    <n v="1"/>
    <n v="2"/>
    <x v="2"/>
    <x v="0"/>
    <x v="0"/>
    <n v="3"/>
    <x v="4"/>
    <x v="1"/>
    <n v="1"/>
    <x v="0"/>
    <x v="14"/>
    <n v="0.1515"/>
    <x v="3"/>
    <n v="0.1343"/>
    <n v="0"/>
    <n v="1"/>
    <n v="1"/>
  </r>
  <r>
    <n v="259"/>
    <x v="11"/>
    <n v="1"/>
    <n v="5"/>
    <x v="5"/>
    <x v="1"/>
    <x v="0"/>
    <n v="3"/>
    <x v="4"/>
    <x v="1"/>
    <n v="1"/>
    <x v="0"/>
    <x v="14"/>
    <n v="0.1515"/>
    <x v="3"/>
    <n v="0.16420000000000001"/>
    <n v="0"/>
    <n v="5"/>
    <n v="5"/>
  </r>
  <r>
    <n v="260"/>
    <x v="11"/>
    <n v="1"/>
    <n v="6"/>
    <x v="6"/>
    <x v="1"/>
    <x v="0"/>
    <n v="3"/>
    <x v="4"/>
    <x v="1"/>
    <n v="1"/>
    <x v="0"/>
    <x v="16"/>
    <n v="0.1515"/>
    <x v="43"/>
    <n v="0.1343"/>
    <n v="0"/>
    <n v="16"/>
    <n v="16"/>
  </r>
  <r>
    <n v="261"/>
    <x v="11"/>
    <n v="1"/>
    <n v="7"/>
    <x v="7"/>
    <x v="1"/>
    <x v="0"/>
    <n v="3"/>
    <x v="4"/>
    <x v="1"/>
    <n v="1"/>
    <x v="0"/>
    <x v="14"/>
    <n v="0.1515"/>
    <x v="27"/>
    <n v="0.1343"/>
    <n v="0"/>
    <n v="54"/>
    <n v="54"/>
  </r>
  <r>
    <n v="262"/>
    <x v="11"/>
    <n v="1"/>
    <n v="8"/>
    <x v="8"/>
    <x v="1"/>
    <x v="0"/>
    <n v="3"/>
    <x v="4"/>
    <x v="1"/>
    <n v="1"/>
    <x v="0"/>
    <x v="13"/>
    <n v="0.16669999999999999"/>
    <x v="29"/>
    <n v="0.16420000000000001"/>
    <n v="3"/>
    <n v="125"/>
    <n v="128"/>
  </r>
  <r>
    <n v="263"/>
    <x v="11"/>
    <n v="1"/>
    <n v="9"/>
    <x v="9"/>
    <x v="1"/>
    <x v="0"/>
    <n v="3"/>
    <x v="4"/>
    <x v="1"/>
    <n v="1"/>
    <x v="0"/>
    <x v="13"/>
    <n v="0.13639999999999999"/>
    <x v="29"/>
    <n v="0.32840000000000003"/>
    <n v="3"/>
    <n v="78"/>
    <n v="81"/>
  </r>
  <r>
    <n v="264"/>
    <x v="11"/>
    <n v="1"/>
    <n v="10"/>
    <x v="10"/>
    <x v="1"/>
    <x v="0"/>
    <n v="3"/>
    <x v="4"/>
    <x v="1"/>
    <n v="1"/>
    <x v="0"/>
    <x v="15"/>
    <n v="0.18179999999999999"/>
    <x v="28"/>
    <n v="0.22389999999999999"/>
    <n v="0"/>
    <n v="39"/>
    <n v="39"/>
  </r>
  <r>
    <n v="265"/>
    <x v="11"/>
    <n v="1"/>
    <n v="11"/>
    <x v="11"/>
    <x v="1"/>
    <x v="0"/>
    <n v="3"/>
    <x v="4"/>
    <x v="1"/>
    <n v="1"/>
    <x v="0"/>
    <x v="2"/>
    <n v="0.18179999999999999"/>
    <x v="33"/>
    <n v="0.3881"/>
    <n v="3"/>
    <n v="32"/>
    <n v="35"/>
  </r>
  <r>
    <n v="266"/>
    <x v="11"/>
    <n v="1"/>
    <n v="12"/>
    <x v="12"/>
    <x v="2"/>
    <x v="0"/>
    <n v="3"/>
    <x v="4"/>
    <x v="1"/>
    <n v="1"/>
    <x v="0"/>
    <x v="2"/>
    <n v="0.1515"/>
    <x v="19"/>
    <n v="0.58209999999999995"/>
    <n v="3"/>
    <n v="52"/>
    <n v="55"/>
  </r>
  <r>
    <n v="267"/>
    <x v="11"/>
    <n v="1"/>
    <n v="13"/>
    <x v="13"/>
    <x v="2"/>
    <x v="0"/>
    <n v="3"/>
    <x v="4"/>
    <x v="1"/>
    <n v="1"/>
    <x v="0"/>
    <x v="1"/>
    <n v="0.19700000000000001"/>
    <x v="18"/>
    <n v="0.35820000000000002"/>
    <n v="0"/>
    <n v="49"/>
    <n v="49"/>
  </r>
  <r>
    <n v="268"/>
    <x v="11"/>
    <n v="1"/>
    <n v="14"/>
    <x v="14"/>
    <x v="2"/>
    <x v="0"/>
    <n v="3"/>
    <x v="4"/>
    <x v="1"/>
    <n v="1"/>
    <x v="0"/>
    <x v="2"/>
    <n v="0.18179999999999999"/>
    <x v="19"/>
    <n v="0.32840000000000003"/>
    <n v="0"/>
    <n v="44"/>
    <n v="44"/>
  </r>
  <r>
    <n v="269"/>
    <x v="11"/>
    <n v="1"/>
    <n v="15"/>
    <x v="15"/>
    <x v="2"/>
    <x v="0"/>
    <n v="3"/>
    <x v="4"/>
    <x v="1"/>
    <n v="1"/>
    <x v="0"/>
    <x v="2"/>
    <n v="0.16669999999999999"/>
    <x v="19"/>
    <n v="0.41789999999999999"/>
    <n v="1"/>
    <n v="48"/>
    <n v="49"/>
  </r>
  <r>
    <n v="270"/>
    <x v="11"/>
    <n v="1"/>
    <n v="16"/>
    <x v="16"/>
    <x v="3"/>
    <x v="0"/>
    <n v="3"/>
    <x v="4"/>
    <x v="1"/>
    <n v="1"/>
    <x v="0"/>
    <x v="1"/>
    <n v="0.19700000000000001"/>
    <x v="18"/>
    <n v="0.32840000000000003"/>
    <n v="5"/>
    <n v="63"/>
    <n v="68"/>
  </r>
  <r>
    <n v="271"/>
    <x v="11"/>
    <n v="1"/>
    <n v="17"/>
    <x v="17"/>
    <x v="3"/>
    <x v="0"/>
    <n v="3"/>
    <x v="4"/>
    <x v="1"/>
    <n v="1"/>
    <x v="0"/>
    <x v="2"/>
    <n v="0.18179999999999999"/>
    <x v="19"/>
    <n v="0.35820000000000002"/>
    <n v="0"/>
    <n v="139"/>
    <n v="139"/>
  </r>
  <r>
    <n v="272"/>
    <x v="11"/>
    <n v="1"/>
    <n v="18"/>
    <x v="18"/>
    <x v="3"/>
    <x v="0"/>
    <n v="3"/>
    <x v="4"/>
    <x v="1"/>
    <n v="1"/>
    <x v="0"/>
    <x v="2"/>
    <n v="0.1515"/>
    <x v="19"/>
    <n v="0.52239999999999998"/>
    <n v="2"/>
    <n v="135"/>
    <n v="137"/>
  </r>
  <r>
    <n v="273"/>
    <x v="11"/>
    <n v="1"/>
    <n v="19"/>
    <x v="19"/>
    <x v="3"/>
    <x v="0"/>
    <n v="3"/>
    <x v="4"/>
    <x v="1"/>
    <n v="1"/>
    <x v="0"/>
    <x v="15"/>
    <n v="0.1515"/>
    <x v="19"/>
    <n v="0.41789999999999999"/>
    <n v="1"/>
    <n v="82"/>
    <n v="83"/>
  </r>
  <r>
    <n v="274"/>
    <x v="11"/>
    <n v="1"/>
    <n v="20"/>
    <x v="20"/>
    <x v="0"/>
    <x v="0"/>
    <n v="3"/>
    <x v="4"/>
    <x v="1"/>
    <n v="1"/>
    <x v="0"/>
    <x v="13"/>
    <n v="0.13639999999999999"/>
    <x v="20"/>
    <n v="0.32840000000000003"/>
    <n v="2"/>
    <n v="54"/>
    <n v="56"/>
  </r>
  <r>
    <n v="275"/>
    <x v="11"/>
    <n v="1"/>
    <n v="21"/>
    <x v="21"/>
    <x v="0"/>
    <x v="0"/>
    <n v="3"/>
    <x v="4"/>
    <x v="1"/>
    <n v="1"/>
    <x v="0"/>
    <x v="13"/>
    <n v="0.13639999999999999"/>
    <x v="28"/>
    <n v="0.32840000000000003"/>
    <n v="0"/>
    <n v="57"/>
    <n v="57"/>
  </r>
  <r>
    <n v="276"/>
    <x v="11"/>
    <n v="1"/>
    <n v="22"/>
    <x v="22"/>
    <x v="0"/>
    <x v="0"/>
    <n v="3"/>
    <x v="4"/>
    <x v="1"/>
    <n v="1"/>
    <x v="0"/>
    <x v="13"/>
    <n v="0.1212"/>
    <x v="28"/>
    <n v="0.44779999999999998"/>
    <n v="1"/>
    <n v="32"/>
    <n v="33"/>
  </r>
  <r>
    <n v="277"/>
    <x v="11"/>
    <n v="1"/>
    <n v="23"/>
    <x v="23"/>
    <x v="0"/>
    <x v="0"/>
    <n v="3"/>
    <x v="4"/>
    <x v="1"/>
    <n v="1"/>
    <x v="0"/>
    <x v="14"/>
    <n v="0.1061"/>
    <x v="29"/>
    <n v="0.41789999999999999"/>
    <n v="1"/>
    <n v="19"/>
    <n v="20"/>
  </r>
  <r>
    <n v="278"/>
    <x v="12"/>
    <n v="1"/>
    <n v="0"/>
    <x v="0"/>
    <x v="0"/>
    <x v="0"/>
    <n v="4"/>
    <x v="5"/>
    <x v="1"/>
    <n v="1"/>
    <x v="0"/>
    <x v="14"/>
    <n v="0.1212"/>
    <x v="29"/>
    <n v="0.28360000000000002"/>
    <n v="1"/>
    <n v="6"/>
    <n v="7"/>
  </r>
  <r>
    <n v="279"/>
    <x v="12"/>
    <n v="1"/>
    <n v="1"/>
    <x v="1"/>
    <x v="0"/>
    <x v="0"/>
    <n v="4"/>
    <x v="5"/>
    <x v="1"/>
    <n v="1"/>
    <x v="0"/>
    <x v="14"/>
    <n v="0.1212"/>
    <x v="20"/>
    <n v="0.28360000000000002"/>
    <n v="0"/>
    <n v="2"/>
    <n v="2"/>
  </r>
  <r>
    <n v="280"/>
    <x v="12"/>
    <n v="1"/>
    <n v="2"/>
    <x v="2"/>
    <x v="0"/>
    <x v="0"/>
    <n v="4"/>
    <x v="5"/>
    <x v="1"/>
    <n v="1"/>
    <x v="0"/>
    <x v="14"/>
    <n v="0.1212"/>
    <x v="20"/>
    <n v="0.35820000000000002"/>
    <n v="0"/>
    <n v="2"/>
    <n v="2"/>
  </r>
  <r>
    <n v="281"/>
    <x v="12"/>
    <n v="1"/>
    <n v="3"/>
    <x v="3"/>
    <x v="0"/>
    <x v="0"/>
    <n v="4"/>
    <x v="5"/>
    <x v="1"/>
    <n v="1"/>
    <x v="0"/>
    <x v="14"/>
    <n v="0.1212"/>
    <x v="20"/>
    <n v="0.32840000000000003"/>
    <n v="0"/>
    <n v="3"/>
    <n v="3"/>
  </r>
  <r>
    <n v="282"/>
    <x v="12"/>
    <n v="1"/>
    <n v="4"/>
    <x v="4"/>
    <x v="0"/>
    <x v="0"/>
    <n v="4"/>
    <x v="5"/>
    <x v="1"/>
    <n v="1"/>
    <x v="0"/>
    <x v="14"/>
    <n v="0.1212"/>
    <x v="20"/>
    <n v="0.25369999999999998"/>
    <n v="0"/>
    <n v="4"/>
    <n v="4"/>
  </r>
  <r>
    <n v="283"/>
    <x v="12"/>
    <n v="1"/>
    <n v="5"/>
    <x v="5"/>
    <x v="1"/>
    <x v="0"/>
    <n v="4"/>
    <x v="5"/>
    <x v="1"/>
    <n v="1"/>
    <x v="0"/>
    <x v="14"/>
    <n v="0.1212"/>
    <x v="20"/>
    <n v="0.29849999999999999"/>
    <n v="0"/>
    <n v="3"/>
    <n v="3"/>
  </r>
  <r>
    <n v="284"/>
    <x v="12"/>
    <n v="1"/>
    <n v="6"/>
    <x v="6"/>
    <x v="1"/>
    <x v="0"/>
    <n v="4"/>
    <x v="5"/>
    <x v="1"/>
    <n v="1"/>
    <x v="0"/>
    <x v="16"/>
    <n v="0.1515"/>
    <x v="47"/>
    <n v="0.1343"/>
    <n v="0"/>
    <n v="28"/>
    <n v="28"/>
  </r>
  <r>
    <n v="285"/>
    <x v="12"/>
    <n v="1"/>
    <n v="7"/>
    <x v="7"/>
    <x v="1"/>
    <x v="0"/>
    <n v="4"/>
    <x v="5"/>
    <x v="1"/>
    <n v="1"/>
    <x v="0"/>
    <x v="16"/>
    <n v="0.1515"/>
    <x v="47"/>
    <n v="0.1343"/>
    <n v="0"/>
    <n v="72"/>
    <n v="72"/>
  </r>
  <r>
    <n v="286"/>
    <x v="12"/>
    <n v="1"/>
    <n v="8"/>
    <x v="8"/>
    <x v="1"/>
    <x v="0"/>
    <n v="4"/>
    <x v="5"/>
    <x v="1"/>
    <n v="1"/>
    <x v="0"/>
    <x v="14"/>
    <n v="0.13639999999999999"/>
    <x v="20"/>
    <n v="0.19400000000000001"/>
    <n v="5"/>
    <n v="197"/>
    <n v="202"/>
  </r>
  <r>
    <n v="287"/>
    <x v="12"/>
    <n v="1"/>
    <n v="9"/>
    <x v="9"/>
    <x v="1"/>
    <x v="0"/>
    <n v="4"/>
    <x v="5"/>
    <x v="1"/>
    <n v="1"/>
    <x v="0"/>
    <x v="14"/>
    <n v="0.1212"/>
    <x v="20"/>
    <n v="0.32840000000000003"/>
    <n v="2"/>
    <n v="137"/>
    <n v="139"/>
  </r>
  <r>
    <n v="288"/>
    <x v="12"/>
    <n v="1"/>
    <n v="10"/>
    <x v="10"/>
    <x v="1"/>
    <x v="0"/>
    <n v="4"/>
    <x v="5"/>
    <x v="1"/>
    <n v="2"/>
    <x v="1"/>
    <x v="13"/>
    <n v="0.13639999999999999"/>
    <x v="20"/>
    <n v="0.35820000000000002"/>
    <n v="2"/>
    <n v="36"/>
    <n v="38"/>
  </r>
  <r>
    <n v="289"/>
    <x v="12"/>
    <n v="1"/>
    <n v="11"/>
    <x v="11"/>
    <x v="1"/>
    <x v="0"/>
    <n v="4"/>
    <x v="5"/>
    <x v="1"/>
    <n v="2"/>
    <x v="1"/>
    <x v="2"/>
    <n v="0.16669999999999999"/>
    <x v="18"/>
    <n v="0.44779999999999998"/>
    <n v="4"/>
    <n v="33"/>
    <n v="37"/>
  </r>
  <r>
    <n v="290"/>
    <x v="12"/>
    <n v="1"/>
    <n v="12"/>
    <x v="12"/>
    <x v="2"/>
    <x v="0"/>
    <n v="4"/>
    <x v="5"/>
    <x v="1"/>
    <n v="1"/>
    <x v="0"/>
    <x v="2"/>
    <n v="0.16669999999999999"/>
    <x v="18"/>
    <n v="0.41789999999999999"/>
    <n v="3"/>
    <n v="49"/>
    <n v="52"/>
  </r>
  <r>
    <n v="291"/>
    <x v="12"/>
    <n v="1"/>
    <n v="13"/>
    <x v="13"/>
    <x v="2"/>
    <x v="0"/>
    <n v="4"/>
    <x v="5"/>
    <x v="1"/>
    <n v="1"/>
    <x v="0"/>
    <x v="1"/>
    <n v="0.19700000000000001"/>
    <x v="48"/>
    <n v="0.44779999999999998"/>
    <n v="2"/>
    <n v="81"/>
    <n v="83"/>
  </r>
  <r>
    <n v="292"/>
    <x v="12"/>
    <n v="1"/>
    <n v="14"/>
    <x v="14"/>
    <x v="2"/>
    <x v="0"/>
    <n v="4"/>
    <x v="5"/>
    <x v="1"/>
    <n v="1"/>
    <x v="0"/>
    <x v="1"/>
    <n v="0.19700000000000001"/>
    <x v="48"/>
    <n v="0.3881"/>
    <n v="3"/>
    <n v="39"/>
    <n v="42"/>
  </r>
  <r>
    <n v="293"/>
    <x v="12"/>
    <n v="1"/>
    <n v="15"/>
    <x v="15"/>
    <x v="2"/>
    <x v="0"/>
    <n v="4"/>
    <x v="5"/>
    <x v="1"/>
    <n v="1"/>
    <x v="0"/>
    <x v="0"/>
    <n v="0.21210000000000001"/>
    <x v="41"/>
    <n v="0.29849999999999999"/>
    <n v="5"/>
    <n v="55"/>
    <n v="60"/>
  </r>
  <r>
    <n v="294"/>
    <x v="12"/>
    <n v="1"/>
    <n v="16"/>
    <x v="16"/>
    <x v="3"/>
    <x v="0"/>
    <n v="4"/>
    <x v="5"/>
    <x v="1"/>
    <n v="1"/>
    <x v="0"/>
    <x v="0"/>
    <n v="0.21210000000000001"/>
    <x v="41"/>
    <n v="0.35820000000000002"/>
    <n v="2"/>
    <n v="76"/>
    <n v="78"/>
  </r>
  <r>
    <n v="295"/>
    <x v="12"/>
    <n v="1"/>
    <n v="17"/>
    <x v="17"/>
    <x v="3"/>
    <x v="0"/>
    <n v="4"/>
    <x v="5"/>
    <x v="1"/>
    <n v="1"/>
    <x v="0"/>
    <x v="2"/>
    <n v="0.18179999999999999"/>
    <x v="22"/>
    <n v="0.28360000000000002"/>
    <n v="4"/>
    <n v="158"/>
    <n v="162"/>
  </r>
  <r>
    <n v="296"/>
    <x v="12"/>
    <n v="1"/>
    <n v="18"/>
    <x v="18"/>
    <x v="3"/>
    <x v="0"/>
    <n v="4"/>
    <x v="5"/>
    <x v="1"/>
    <n v="1"/>
    <x v="0"/>
    <x v="2"/>
    <n v="0.18179999999999999"/>
    <x v="22"/>
    <n v="0.32840000000000003"/>
    <n v="3"/>
    <n v="141"/>
    <n v="144"/>
  </r>
  <r>
    <n v="297"/>
    <x v="12"/>
    <n v="1"/>
    <n v="19"/>
    <x v="19"/>
    <x v="3"/>
    <x v="0"/>
    <n v="4"/>
    <x v="5"/>
    <x v="1"/>
    <n v="1"/>
    <x v="0"/>
    <x v="13"/>
    <n v="0.1515"/>
    <x v="19"/>
    <n v="0.25369999999999998"/>
    <n v="1"/>
    <n v="98"/>
    <n v="99"/>
  </r>
  <r>
    <n v="298"/>
    <x v="12"/>
    <n v="1"/>
    <n v="20"/>
    <x v="20"/>
    <x v="0"/>
    <x v="0"/>
    <n v="4"/>
    <x v="5"/>
    <x v="1"/>
    <n v="1"/>
    <x v="0"/>
    <x v="13"/>
    <n v="0.1515"/>
    <x v="19"/>
    <n v="0.22389999999999999"/>
    <n v="0"/>
    <n v="64"/>
    <n v="64"/>
  </r>
  <r>
    <n v="299"/>
    <x v="12"/>
    <n v="1"/>
    <n v="21"/>
    <x v="21"/>
    <x v="0"/>
    <x v="0"/>
    <n v="4"/>
    <x v="5"/>
    <x v="1"/>
    <n v="1"/>
    <x v="0"/>
    <x v="14"/>
    <n v="0.1212"/>
    <x v="15"/>
    <n v="0.29849999999999999"/>
    <n v="0"/>
    <n v="40"/>
    <n v="40"/>
  </r>
  <r>
    <n v="300"/>
    <x v="12"/>
    <n v="1"/>
    <n v="22"/>
    <x v="22"/>
    <x v="0"/>
    <x v="0"/>
    <n v="4"/>
    <x v="5"/>
    <x v="1"/>
    <n v="1"/>
    <x v="0"/>
    <x v="14"/>
    <n v="0.1212"/>
    <x v="15"/>
    <n v="0.32840000000000003"/>
    <n v="0"/>
    <n v="30"/>
    <n v="30"/>
  </r>
  <r>
    <n v="301"/>
    <x v="12"/>
    <n v="1"/>
    <n v="23"/>
    <x v="23"/>
    <x v="0"/>
    <x v="0"/>
    <n v="4"/>
    <x v="5"/>
    <x v="1"/>
    <n v="1"/>
    <x v="0"/>
    <x v="16"/>
    <n v="0.13639999999999999"/>
    <x v="20"/>
    <n v="0.19400000000000001"/>
    <n v="1"/>
    <n v="14"/>
    <n v="15"/>
  </r>
  <r>
    <n v="302"/>
    <x v="13"/>
    <n v="1"/>
    <n v="0"/>
    <x v="0"/>
    <x v="0"/>
    <x v="0"/>
    <n v="5"/>
    <x v="6"/>
    <x v="1"/>
    <n v="1"/>
    <x v="0"/>
    <x v="16"/>
    <n v="0.13639999999999999"/>
    <x v="20"/>
    <n v="0.19400000000000001"/>
    <n v="0"/>
    <n v="14"/>
    <n v="14"/>
  </r>
  <r>
    <n v="303"/>
    <x v="13"/>
    <n v="1"/>
    <n v="1"/>
    <x v="1"/>
    <x v="0"/>
    <x v="0"/>
    <n v="5"/>
    <x v="6"/>
    <x v="1"/>
    <n v="1"/>
    <x v="0"/>
    <x v="18"/>
    <n v="0.1212"/>
    <x v="47"/>
    <n v="0.16420000000000001"/>
    <n v="0"/>
    <n v="5"/>
    <n v="5"/>
  </r>
  <r>
    <n v="304"/>
    <x v="13"/>
    <n v="1"/>
    <n v="2"/>
    <x v="2"/>
    <x v="0"/>
    <x v="0"/>
    <n v="5"/>
    <x v="6"/>
    <x v="1"/>
    <n v="1"/>
    <x v="0"/>
    <x v="18"/>
    <n v="0.1212"/>
    <x v="47"/>
    <n v="0.1343"/>
    <n v="0"/>
    <n v="1"/>
    <n v="1"/>
  </r>
  <r>
    <n v="305"/>
    <x v="13"/>
    <n v="1"/>
    <n v="3"/>
    <x v="3"/>
    <x v="0"/>
    <x v="0"/>
    <n v="5"/>
    <x v="6"/>
    <x v="1"/>
    <n v="1"/>
    <x v="0"/>
    <x v="18"/>
    <n v="0.13639999999999999"/>
    <x v="47"/>
    <n v="0.1045"/>
    <n v="0"/>
    <n v="1"/>
    <n v="1"/>
  </r>
  <r>
    <n v="306"/>
    <x v="13"/>
    <n v="1"/>
    <n v="5"/>
    <x v="5"/>
    <x v="1"/>
    <x v="0"/>
    <n v="5"/>
    <x v="6"/>
    <x v="1"/>
    <n v="1"/>
    <x v="0"/>
    <x v="18"/>
    <n v="0.13639999999999999"/>
    <x v="47"/>
    <n v="8.9599999999999999E-2"/>
    <n v="0"/>
    <n v="8"/>
    <n v="8"/>
  </r>
  <r>
    <n v="307"/>
    <x v="13"/>
    <n v="1"/>
    <n v="6"/>
    <x v="6"/>
    <x v="1"/>
    <x v="0"/>
    <n v="5"/>
    <x v="6"/>
    <x v="1"/>
    <n v="1"/>
    <x v="0"/>
    <x v="18"/>
    <n v="0.18179999999999999"/>
    <x v="47"/>
    <n v="0"/>
    <n v="0"/>
    <n v="17"/>
    <n v="17"/>
  </r>
  <r>
    <n v="308"/>
    <x v="13"/>
    <n v="1"/>
    <n v="7"/>
    <x v="7"/>
    <x v="1"/>
    <x v="0"/>
    <n v="5"/>
    <x v="6"/>
    <x v="1"/>
    <n v="1"/>
    <x v="0"/>
    <x v="18"/>
    <n v="0.1212"/>
    <x v="32"/>
    <n v="0.16420000000000001"/>
    <n v="0"/>
    <n v="70"/>
    <n v="70"/>
  </r>
  <r>
    <n v="309"/>
    <x v="13"/>
    <n v="1"/>
    <n v="8"/>
    <x v="8"/>
    <x v="1"/>
    <x v="0"/>
    <n v="5"/>
    <x v="6"/>
    <x v="1"/>
    <n v="1"/>
    <x v="0"/>
    <x v="16"/>
    <n v="0.16669999999999999"/>
    <x v="31"/>
    <n v="0"/>
    <n v="2"/>
    <n v="156"/>
    <n v="158"/>
  </r>
  <r>
    <n v="310"/>
    <x v="13"/>
    <n v="1"/>
    <n v="9"/>
    <x v="9"/>
    <x v="1"/>
    <x v="0"/>
    <n v="5"/>
    <x v="6"/>
    <x v="1"/>
    <n v="1"/>
    <x v="0"/>
    <x v="14"/>
    <n v="0.1515"/>
    <x v="27"/>
    <n v="0.1343"/>
    <n v="0"/>
    <n v="117"/>
    <n v="117"/>
  </r>
  <r>
    <n v="311"/>
    <x v="13"/>
    <n v="1"/>
    <n v="10"/>
    <x v="10"/>
    <x v="1"/>
    <x v="0"/>
    <n v="5"/>
    <x v="6"/>
    <x v="1"/>
    <n v="1"/>
    <x v="0"/>
    <x v="15"/>
    <n v="0.18179999999999999"/>
    <x v="28"/>
    <n v="0.19400000000000001"/>
    <n v="4"/>
    <n v="40"/>
    <n v="44"/>
  </r>
  <r>
    <n v="312"/>
    <x v="13"/>
    <n v="1"/>
    <n v="11"/>
    <x v="11"/>
    <x v="1"/>
    <x v="0"/>
    <n v="5"/>
    <x v="6"/>
    <x v="1"/>
    <n v="1"/>
    <x v="0"/>
    <x v="15"/>
    <n v="0.16669999999999999"/>
    <x v="33"/>
    <n v="0.28360000000000002"/>
    <n v="6"/>
    <n v="47"/>
    <n v="53"/>
  </r>
  <r>
    <n v="313"/>
    <x v="13"/>
    <n v="1"/>
    <n v="12"/>
    <x v="12"/>
    <x v="2"/>
    <x v="0"/>
    <n v="5"/>
    <x v="6"/>
    <x v="1"/>
    <n v="1"/>
    <x v="0"/>
    <x v="2"/>
    <n v="0.19700000000000001"/>
    <x v="18"/>
    <n v="0.25369999999999998"/>
    <n v="2"/>
    <n v="59"/>
    <n v="61"/>
  </r>
  <r>
    <n v="314"/>
    <x v="13"/>
    <n v="1"/>
    <n v="13"/>
    <x v="13"/>
    <x v="2"/>
    <x v="0"/>
    <n v="5"/>
    <x v="6"/>
    <x v="1"/>
    <n v="1"/>
    <x v="0"/>
    <x v="1"/>
    <n v="0.19700000000000001"/>
    <x v="38"/>
    <n v="0.3881"/>
    <n v="4"/>
    <n v="73"/>
    <n v="77"/>
  </r>
  <r>
    <n v="315"/>
    <x v="13"/>
    <n v="1"/>
    <n v="14"/>
    <x v="14"/>
    <x v="2"/>
    <x v="0"/>
    <n v="5"/>
    <x v="6"/>
    <x v="1"/>
    <n v="1"/>
    <x v="0"/>
    <x v="1"/>
    <n v="0.21210000000000001"/>
    <x v="48"/>
    <n v="0.28360000000000002"/>
    <n v="5"/>
    <n v="59"/>
    <n v="64"/>
  </r>
  <r>
    <n v="316"/>
    <x v="13"/>
    <n v="1"/>
    <n v="15"/>
    <x v="15"/>
    <x v="2"/>
    <x v="0"/>
    <n v="5"/>
    <x v="6"/>
    <x v="1"/>
    <n v="1"/>
    <x v="0"/>
    <x v="0"/>
    <n v="0.2424"/>
    <x v="41"/>
    <n v="0.16420000000000001"/>
    <n v="9"/>
    <n v="59"/>
    <n v="68"/>
  </r>
  <r>
    <n v="317"/>
    <x v="13"/>
    <n v="1"/>
    <n v="16"/>
    <x v="16"/>
    <x v="3"/>
    <x v="0"/>
    <n v="5"/>
    <x v="6"/>
    <x v="1"/>
    <n v="1"/>
    <x v="0"/>
    <x v="1"/>
    <n v="0.2424"/>
    <x v="48"/>
    <n v="0.1045"/>
    <n v="3"/>
    <n v="87"/>
    <n v="90"/>
  </r>
  <r>
    <n v="318"/>
    <x v="13"/>
    <n v="1"/>
    <n v="17"/>
    <x v="17"/>
    <x v="3"/>
    <x v="0"/>
    <n v="5"/>
    <x v="6"/>
    <x v="1"/>
    <n v="1"/>
    <x v="0"/>
    <x v="1"/>
    <n v="0.2273"/>
    <x v="48"/>
    <n v="0.16420000000000001"/>
    <n v="4"/>
    <n v="155"/>
    <n v="159"/>
  </r>
  <r>
    <n v="319"/>
    <x v="13"/>
    <n v="1"/>
    <n v="18"/>
    <x v="18"/>
    <x v="3"/>
    <x v="0"/>
    <n v="5"/>
    <x v="6"/>
    <x v="1"/>
    <n v="1"/>
    <x v="0"/>
    <x v="2"/>
    <n v="0.2576"/>
    <x v="19"/>
    <n v="0"/>
    <n v="5"/>
    <n v="134"/>
    <n v="139"/>
  </r>
  <r>
    <n v="320"/>
    <x v="13"/>
    <n v="1"/>
    <n v="19"/>
    <x v="19"/>
    <x v="3"/>
    <x v="0"/>
    <n v="5"/>
    <x v="6"/>
    <x v="1"/>
    <n v="1"/>
    <x v="0"/>
    <x v="13"/>
    <n v="0.19700000000000001"/>
    <x v="29"/>
    <n v="8.9599999999999999E-2"/>
    <n v="3"/>
    <n v="89"/>
    <n v="92"/>
  </r>
  <r>
    <n v="321"/>
    <x v="13"/>
    <n v="1"/>
    <n v="20"/>
    <x v="20"/>
    <x v="0"/>
    <x v="0"/>
    <n v="5"/>
    <x v="6"/>
    <x v="1"/>
    <n v="1"/>
    <x v="0"/>
    <x v="15"/>
    <n v="0.2424"/>
    <x v="29"/>
    <n v="0"/>
    <n v="0"/>
    <n v="68"/>
    <n v="68"/>
  </r>
  <r>
    <n v="322"/>
    <x v="13"/>
    <n v="1"/>
    <n v="21"/>
    <x v="21"/>
    <x v="0"/>
    <x v="0"/>
    <n v="5"/>
    <x v="6"/>
    <x v="1"/>
    <n v="1"/>
    <x v="0"/>
    <x v="13"/>
    <n v="0.2273"/>
    <x v="27"/>
    <n v="0"/>
    <n v="4"/>
    <n v="48"/>
    <n v="52"/>
  </r>
  <r>
    <n v="323"/>
    <x v="13"/>
    <n v="1"/>
    <n v="22"/>
    <x v="22"/>
    <x v="0"/>
    <x v="0"/>
    <n v="5"/>
    <x v="6"/>
    <x v="1"/>
    <n v="2"/>
    <x v="1"/>
    <x v="13"/>
    <n v="0.2273"/>
    <x v="27"/>
    <n v="0"/>
    <n v="2"/>
    <n v="34"/>
    <n v="36"/>
  </r>
  <r>
    <n v="324"/>
    <x v="13"/>
    <n v="1"/>
    <n v="23"/>
    <x v="23"/>
    <x v="0"/>
    <x v="0"/>
    <n v="5"/>
    <x v="6"/>
    <x v="1"/>
    <n v="2"/>
    <x v="1"/>
    <x v="15"/>
    <n v="0.2424"/>
    <x v="28"/>
    <n v="0"/>
    <n v="1"/>
    <n v="26"/>
    <n v="27"/>
  </r>
  <r>
    <n v="325"/>
    <x v="14"/>
    <n v="1"/>
    <n v="0"/>
    <x v="0"/>
    <x v="0"/>
    <x v="0"/>
    <n v="6"/>
    <x v="0"/>
    <x v="0"/>
    <n v="1"/>
    <x v="0"/>
    <x v="15"/>
    <n v="0.2424"/>
    <x v="28"/>
    <n v="0"/>
    <n v="3"/>
    <n v="25"/>
    <n v="28"/>
  </r>
  <r>
    <n v="326"/>
    <x v="14"/>
    <n v="1"/>
    <n v="1"/>
    <x v="1"/>
    <x v="0"/>
    <x v="0"/>
    <n v="6"/>
    <x v="0"/>
    <x v="0"/>
    <n v="2"/>
    <x v="1"/>
    <x v="13"/>
    <n v="0.19700000000000001"/>
    <x v="29"/>
    <n v="8.9599999999999999E-2"/>
    <n v="2"/>
    <n v="18"/>
    <n v="20"/>
  </r>
  <r>
    <n v="327"/>
    <x v="14"/>
    <n v="1"/>
    <n v="2"/>
    <x v="2"/>
    <x v="0"/>
    <x v="0"/>
    <n v="6"/>
    <x v="0"/>
    <x v="0"/>
    <n v="2"/>
    <x v="1"/>
    <x v="13"/>
    <n v="0.19700000000000001"/>
    <x v="29"/>
    <n v="8.9599999999999999E-2"/>
    <n v="0"/>
    <n v="12"/>
    <n v="12"/>
  </r>
  <r>
    <n v="328"/>
    <x v="14"/>
    <n v="1"/>
    <n v="3"/>
    <x v="3"/>
    <x v="0"/>
    <x v="0"/>
    <n v="6"/>
    <x v="0"/>
    <x v="0"/>
    <n v="2"/>
    <x v="1"/>
    <x v="13"/>
    <n v="0.2273"/>
    <x v="29"/>
    <n v="0"/>
    <n v="1"/>
    <n v="7"/>
    <n v="8"/>
  </r>
  <r>
    <n v="329"/>
    <x v="14"/>
    <n v="1"/>
    <n v="4"/>
    <x v="4"/>
    <x v="0"/>
    <x v="0"/>
    <n v="6"/>
    <x v="0"/>
    <x v="0"/>
    <n v="2"/>
    <x v="1"/>
    <x v="13"/>
    <n v="0.2273"/>
    <x v="29"/>
    <n v="0"/>
    <n v="0"/>
    <n v="5"/>
    <n v="5"/>
  </r>
  <r>
    <n v="330"/>
    <x v="14"/>
    <n v="1"/>
    <n v="5"/>
    <x v="5"/>
    <x v="1"/>
    <x v="0"/>
    <n v="6"/>
    <x v="0"/>
    <x v="0"/>
    <n v="1"/>
    <x v="0"/>
    <x v="13"/>
    <n v="0.2273"/>
    <x v="29"/>
    <n v="0"/>
    <n v="0"/>
    <n v="1"/>
    <n v="1"/>
  </r>
  <r>
    <n v="331"/>
    <x v="14"/>
    <n v="1"/>
    <n v="6"/>
    <x v="6"/>
    <x v="1"/>
    <x v="0"/>
    <n v="6"/>
    <x v="0"/>
    <x v="0"/>
    <n v="1"/>
    <x v="0"/>
    <x v="14"/>
    <n v="0.16669999999999999"/>
    <x v="30"/>
    <n v="0.1045"/>
    <n v="1"/>
    <n v="2"/>
    <n v="3"/>
  </r>
  <r>
    <n v="332"/>
    <x v="14"/>
    <n v="1"/>
    <n v="7"/>
    <x v="7"/>
    <x v="1"/>
    <x v="0"/>
    <n v="6"/>
    <x v="0"/>
    <x v="0"/>
    <n v="1"/>
    <x v="0"/>
    <x v="14"/>
    <n v="0.21210000000000001"/>
    <x v="30"/>
    <n v="0"/>
    <n v="1"/>
    <n v="9"/>
    <n v="10"/>
  </r>
  <r>
    <n v="333"/>
    <x v="14"/>
    <n v="1"/>
    <n v="8"/>
    <x v="8"/>
    <x v="1"/>
    <x v="0"/>
    <n v="6"/>
    <x v="0"/>
    <x v="0"/>
    <n v="1"/>
    <x v="0"/>
    <x v="14"/>
    <n v="0.1515"/>
    <x v="30"/>
    <n v="0.1343"/>
    <n v="1"/>
    <n v="22"/>
    <n v="23"/>
  </r>
  <r>
    <n v="334"/>
    <x v="14"/>
    <n v="1"/>
    <n v="9"/>
    <x v="9"/>
    <x v="1"/>
    <x v="0"/>
    <n v="6"/>
    <x v="0"/>
    <x v="0"/>
    <n v="1"/>
    <x v="0"/>
    <x v="13"/>
    <n v="0.18179999999999999"/>
    <x v="26"/>
    <n v="0.1343"/>
    <n v="2"/>
    <n v="31"/>
    <n v="33"/>
  </r>
  <r>
    <n v="335"/>
    <x v="14"/>
    <n v="1"/>
    <n v="10"/>
    <x v="10"/>
    <x v="1"/>
    <x v="0"/>
    <n v="6"/>
    <x v="0"/>
    <x v="0"/>
    <n v="1"/>
    <x v="0"/>
    <x v="15"/>
    <n v="0.19700000000000001"/>
    <x v="29"/>
    <n v="0.16420000000000001"/>
    <n v="2"/>
    <n v="57"/>
    <n v="59"/>
  </r>
  <r>
    <n v="336"/>
    <x v="14"/>
    <n v="1"/>
    <n v="11"/>
    <x v="11"/>
    <x v="1"/>
    <x v="0"/>
    <n v="6"/>
    <x v="0"/>
    <x v="0"/>
    <n v="1"/>
    <x v="0"/>
    <x v="2"/>
    <n v="0.19700000000000001"/>
    <x v="28"/>
    <n v="0.22389999999999999"/>
    <n v="18"/>
    <n v="54"/>
    <n v="72"/>
  </r>
  <r>
    <n v="337"/>
    <x v="14"/>
    <n v="1"/>
    <n v="12"/>
    <x v="12"/>
    <x v="2"/>
    <x v="0"/>
    <n v="6"/>
    <x v="0"/>
    <x v="0"/>
    <n v="1"/>
    <x v="0"/>
    <x v="0"/>
    <n v="0.2273"/>
    <x v="37"/>
    <n v="0.22389999999999999"/>
    <n v="15"/>
    <n v="74"/>
    <n v="89"/>
  </r>
  <r>
    <n v="338"/>
    <x v="14"/>
    <n v="1"/>
    <n v="13"/>
    <x v="13"/>
    <x v="2"/>
    <x v="0"/>
    <n v="6"/>
    <x v="0"/>
    <x v="0"/>
    <n v="1"/>
    <x v="0"/>
    <x v="17"/>
    <n v="0.2576"/>
    <x v="41"/>
    <n v="0.29849999999999999"/>
    <n v="21"/>
    <n v="80"/>
    <n v="101"/>
  </r>
  <r>
    <n v="339"/>
    <x v="14"/>
    <n v="1"/>
    <n v="14"/>
    <x v="14"/>
    <x v="2"/>
    <x v="0"/>
    <n v="6"/>
    <x v="0"/>
    <x v="0"/>
    <n v="1"/>
    <x v="0"/>
    <x v="11"/>
    <n v="0.28789999999999999"/>
    <x v="17"/>
    <n v="0.28360000000000002"/>
    <n v="26"/>
    <n v="92"/>
    <n v="118"/>
  </r>
  <r>
    <n v="340"/>
    <x v="14"/>
    <n v="1"/>
    <n v="15"/>
    <x v="15"/>
    <x v="2"/>
    <x v="0"/>
    <n v="6"/>
    <x v="0"/>
    <x v="0"/>
    <n v="2"/>
    <x v="1"/>
    <x v="3"/>
    <n v="0.31819999999999998"/>
    <x v="42"/>
    <n v="0.19400000000000001"/>
    <n v="21"/>
    <n v="108"/>
    <n v="129"/>
  </r>
  <r>
    <n v="341"/>
    <x v="14"/>
    <n v="1"/>
    <n v="16"/>
    <x v="16"/>
    <x v="3"/>
    <x v="0"/>
    <n v="6"/>
    <x v="0"/>
    <x v="0"/>
    <n v="2"/>
    <x v="1"/>
    <x v="10"/>
    <n v="0.33329999999999999"/>
    <x v="46"/>
    <n v="0.19400000000000001"/>
    <n v="33"/>
    <n v="95"/>
    <n v="128"/>
  </r>
  <r>
    <n v="342"/>
    <x v="14"/>
    <n v="1"/>
    <n v="17"/>
    <x v="17"/>
    <x v="3"/>
    <x v="0"/>
    <n v="6"/>
    <x v="0"/>
    <x v="0"/>
    <n v="2"/>
    <x v="1"/>
    <x v="3"/>
    <n v="0.30299999999999999"/>
    <x v="42"/>
    <n v="0.28360000000000002"/>
    <n v="29"/>
    <n v="54"/>
    <n v="83"/>
  </r>
  <r>
    <n v="343"/>
    <x v="14"/>
    <n v="1"/>
    <n v="18"/>
    <x v="18"/>
    <x v="3"/>
    <x v="0"/>
    <n v="6"/>
    <x v="0"/>
    <x v="0"/>
    <n v="2"/>
    <x v="1"/>
    <x v="11"/>
    <n v="0.28789999999999999"/>
    <x v="49"/>
    <n v="0.25369999999999998"/>
    <n v="15"/>
    <n v="69"/>
    <n v="84"/>
  </r>
  <r>
    <n v="344"/>
    <x v="14"/>
    <n v="1"/>
    <n v="19"/>
    <x v="19"/>
    <x v="3"/>
    <x v="0"/>
    <n v="6"/>
    <x v="0"/>
    <x v="0"/>
    <n v="2"/>
    <x v="1"/>
    <x v="3"/>
    <n v="0.30299999999999999"/>
    <x v="17"/>
    <n v="0.25369999999999998"/>
    <n v="14"/>
    <n v="60"/>
    <n v="74"/>
  </r>
  <r>
    <n v="345"/>
    <x v="14"/>
    <n v="1"/>
    <n v="20"/>
    <x v="20"/>
    <x v="0"/>
    <x v="0"/>
    <n v="6"/>
    <x v="0"/>
    <x v="0"/>
    <n v="2"/>
    <x v="1"/>
    <x v="3"/>
    <n v="0.30299999999999999"/>
    <x v="17"/>
    <n v="0.25369999999999998"/>
    <n v="6"/>
    <n v="35"/>
    <n v="41"/>
  </r>
  <r>
    <n v="346"/>
    <x v="14"/>
    <n v="1"/>
    <n v="21"/>
    <x v="21"/>
    <x v="0"/>
    <x v="0"/>
    <n v="6"/>
    <x v="0"/>
    <x v="0"/>
    <n v="2"/>
    <x v="1"/>
    <x v="3"/>
    <n v="0.30299999999999999"/>
    <x v="17"/>
    <n v="0.22389999999999999"/>
    <n v="6"/>
    <n v="51"/>
    <n v="57"/>
  </r>
  <r>
    <n v="347"/>
    <x v="14"/>
    <n v="1"/>
    <n v="22"/>
    <x v="22"/>
    <x v="0"/>
    <x v="0"/>
    <n v="6"/>
    <x v="0"/>
    <x v="0"/>
    <n v="2"/>
    <x v="1"/>
    <x v="11"/>
    <n v="0.31819999999999998"/>
    <x v="16"/>
    <n v="0.1045"/>
    <n v="0"/>
    <n v="26"/>
    <n v="26"/>
  </r>
  <r>
    <n v="348"/>
    <x v="14"/>
    <n v="1"/>
    <n v="23"/>
    <x v="23"/>
    <x v="0"/>
    <x v="0"/>
    <n v="6"/>
    <x v="0"/>
    <x v="0"/>
    <n v="1"/>
    <x v="0"/>
    <x v="11"/>
    <n v="0.28789999999999999"/>
    <x v="49"/>
    <n v="0.28360000000000002"/>
    <n v="5"/>
    <n v="39"/>
    <n v="44"/>
  </r>
  <r>
    <n v="349"/>
    <x v="15"/>
    <n v="1"/>
    <n v="0"/>
    <x v="0"/>
    <x v="0"/>
    <x v="0"/>
    <n v="0"/>
    <x v="1"/>
    <x v="0"/>
    <n v="1"/>
    <x v="0"/>
    <x v="12"/>
    <n v="0.30299999999999999"/>
    <x v="34"/>
    <n v="0"/>
    <n v="6"/>
    <n v="33"/>
    <n v="39"/>
  </r>
  <r>
    <n v="350"/>
    <x v="15"/>
    <n v="1"/>
    <n v="1"/>
    <x v="1"/>
    <x v="0"/>
    <x v="0"/>
    <n v="0"/>
    <x v="1"/>
    <x v="0"/>
    <n v="1"/>
    <x v="0"/>
    <x v="12"/>
    <n v="0.2727"/>
    <x v="34"/>
    <n v="0.1343"/>
    <n v="4"/>
    <n v="19"/>
    <n v="23"/>
  </r>
  <r>
    <n v="351"/>
    <x v="15"/>
    <n v="1"/>
    <n v="2"/>
    <x v="2"/>
    <x v="0"/>
    <x v="0"/>
    <n v="0"/>
    <x v="1"/>
    <x v="0"/>
    <n v="1"/>
    <x v="0"/>
    <x v="12"/>
    <n v="0.28789999999999999"/>
    <x v="34"/>
    <n v="8.9599999999999999E-2"/>
    <n v="3"/>
    <n v="13"/>
    <n v="16"/>
  </r>
  <r>
    <n v="352"/>
    <x v="15"/>
    <n v="1"/>
    <n v="3"/>
    <x v="3"/>
    <x v="0"/>
    <x v="0"/>
    <n v="0"/>
    <x v="1"/>
    <x v="0"/>
    <n v="1"/>
    <x v="0"/>
    <x v="1"/>
    <n v="0.2727"/>
    <x v="27"/>
    <n v="0"/>
    <n v="9"/>
    <n v="6"/>
    <n v="15"/>
  </r>
  <r>
    <n v="353"/>
    <x v="15"/>
    <n v="1"/>
    <n v="4"/>
    <x v="4"/>
    <x v="0"/>
    <x v="0"/>
    <n v="0"/>
    <x v="1"/>
    <x v="0"/>
    <n v="1"/>
    <x v="0"/>
    <x v="12"/>
    <n v="0.2576"/>
    <x v="34"/>
    <n v="0.16420000000000001"/>
    <n v="0"/>
    <n v="1"/>
    <n v="1"/>
  </r>
  <r>
    <n v="354"/>
    <x v="15"/>
    <n v="1"/>
    <n v="5"/>
    <x v="5"/>
    <x v="1"/>
    <x v="0"/>
    <n v="0"/>
    <x v="1"/>
    <x v="0"/>
    <n v="2"/>
    <x v="1"/>
    <x v="12"/>
    <n v="0.2576"/>
    <x v="34"/>
    <n v="0.16420000000000001"/>
    <n v="1"/>
    <n v="1"/>
    <n v="2"/>
  </r>
  <r>
    <n v="355"/>
    <x v="15"/>
    <n v="1"/>
    <n v="6"/>
    <x v="6"/>
    <x v="1"/>
    <x v="0"/>
    <n v="0"/>
    <x v="1"/>
    <x v="0"/>
    <n v="2"/>
    <x v="1"/>
    <x v="12"/>
    <n v="0.2576"/>
    <x v="34"/>
    <n v="0.16420000000000001"/>
    <n v="0"/>
    <n v="1"/>
    <n v="1"/>
  </r>
  <r>
    <n v="356"/>
    <x v="15"/>
    <n v="1"/>
    <n v="7"/>
    <x v="7"/>
    <x v="1"/>
    <x v="0"/>
    <n v="0"/>
    <x v="1"/>
    <x v="0"/>
    <n v="2"/>
    <x v="1"/>
    <x v="0"/>
    <n v="0.21210000000000001"/>
    <x v="34"/>
    <n v="0.29849999999999999"/>
    <n v="0"/>
    <n v="3"/>
    <n v="3"/>
  </r>
  <r>
    <n v="357"/>
    <x v="15"/>
    <n v="1"/>
    <n v="8"/>
    <x v="8"/>
    <x v="1"/>
    <x v="0"/>
    <n v="0"/>
    <x v="1"/>
    <x v="0"/>
    <n v="1"/>
    <x v="0"/>
    <x v="1"/>
    <n v="0.21210000000000001"/>
    <x v="28"/>
    <n v="0.28360000000000002"/>
    <n v="0"/>
    <n v="18"/>
    <n v="18"/>
  </r>
  <r>
    <n v="358"/>
    <x v="15"/>
    <n v="1"/>
    <n v="9"/>
    <x v="9"/>
    <x v="1"/>
    <x v="0"/>
    <n v="0"/>
    <x v="1"/>
    <x v="0"/>
    <n v="1"/>
    <x v="0"/>
    <x v="1"/>
    <n v="0.21210000000000001"/>
    <x v="33"/>
    <n v="0.25369999999999998"/>
    <n v="3"/>
    <n v="29"/>
    <n v="32"/>
  </r>
  <r>
    <n v="359"/>
    <x v="15"/>
    <n v="1"/>
    <n v="10"/>
    <x v="10"/>
    <x v="1"/>
    <x v="0"/>
    <n v="0"/>
    <x v="1"/>
    <x v="0"/>
    <n v="1"/>
    <x v="0"/>
    <x v="1"/>
    <n v="0.21210000000000001"/>
    <x v="33"/>
    <n v="0.28360000000000002"/>
    <n v="8"/>
    <n v="71"/>
    <n v="79"/>
  </r>
  <r>
    <n v="360"/>
    <x v="15"/>
    <n v="1"/>
    <n v="11"/>
    <x v="11"/>
    <x v="1"/>
    <x v="0"/>
    <n v="0"/>
    <x v="1"/>
    <x v="0"/>
    <n v="1"/>
    <x v="0"/>
    <x v="0"/>
    <n v="0.2273"/>
    <x v="18"/>
    <n v="0.25369999999999998"/>
    <n v="23"/>
    <n v="70"/>
    <n v="93"/>
  </r>
  <r>
    <n v="361"/>
    <x v="15"/>
    <n v="1"/>
    <n v="12"/>
    <x v="12"/>
    <x v="2"/>
    <x v="0"/>
    <n v="0"/>
    <x v="1"/>
    <x v="0"/>
    <n v="1"/>
    <x v="0"/>
    <x v="0"/>
    <n v="0.21210000000000001"/>
    <x v="48"/>
    <n v="0.28360000000000002"/>
    <n v="29"/>
    <n v="75"/>
    <n v="104"/>
  </r>
  <r>
    <n v="362"/>
    <x v="15"/>
    <n v="1"/>
    <n v="13"/>
    <x v="13"/>
    <x v="2"/>
    <x v="0"/>
    <n v="0"/>
    <x v="1"/>
    <x v="0"/>
    <n v="1"/>
    <x v="0"/>
    <x v="12"/>
    <n v="0.2273"/>
    <x v="23"/>
    <n v="0.29849999999999999"/>
    <n v="23"/>
    <n v="95"/>
    <n v="118"/>
  </r>
  <r>
    <n v="363"/>
    <x v="15"/>
    <n v="1"/>
    <n v="14"/>
    <x v="14"/>
    <x v="2"/>
    <x v="0"/>
    <n v="0"/>
    <x v="1"/>
    <x v="0"/>
    <n v="1"/>
    <x v="0"/>
    <x v="17"/>
    <n v="0.2727"/>
    <x v="42"/>
    <n v="0.25369999999999998"/>
    <n v="22"/>
    <n v="69"/>
    <n v="91"/>
  </r>
  <r>
    <n v="364"/>
    <x v="15"/>
    <n v="1"/>
    <n v="15"/>
    <x v="15"/>
    <x v="2"/>
    <x v="0"/>
    <n v="0"/>
    <x v="1"/>
    <x v="0"/>
    <n v="1"/>
    <x v="0"/>
    <x v="12"/>
    <n v="0.2424"/>
    <x v="41"/>
    <n v="0.25369999999999998"/>
    <n v="35"/>
    <n v="78"/>
    <n v="113"/>
  </r>
  <r>
    <n v="365"/>
    <x v="15"/>
    <n v="1"/>
    <n v="16"/>
    <x v="16"/>
    <x v="3"/>
    <x v="0"/>
    <n v="0"/>
    <x v="1"/>
    <x v="0"/>
    <n v="1"/>
    <x v="0"/>
    <x v="0"/>
    <n v="0.2273"/>
    <x v="41"/>
    <n v="0.22389999999999999"/>
    <n v="22"/>
    <n v="77"/>
    <n v="99"/>
  </r>
  <r>
    <n v="366"/>
    <x v="15"/>
    <n v="1"/>
    <n v="17"/>
    <x v="17"/>
    <x v="3"/>
    <x v="0"/>
    <n v="0"/>
    <x v="1"/>
    <x v="0"/>
    <n v="1"/>
    <x v="0"/>
    <x v="1"/>
    <n v="0.21210000000000001"/>
    <x v="38"/>
    <n v="0.25369999999999998"/>
    <n v="23"/>
    <n v="82"/>
    <n v="105"/>
  </r>
  <r>
    <n v="367"/>
    <x v="15"/>
    <n v="1"/>
    <n v="18"/>
    <x v="18"/>
    <x v="3"/>
    <x v="0"/>
    <n v="0"/>
    <x v="1"/>
    <x v="0"/>
    <n v="1"/>
    <x v="0"/>
    <x v="2"/>
    <n v="0.21210000000000001"/>
    <x v="22"/>
    <n v="0.16420000000000001"/>
    <n v="11"/>
    <n v="56"/>
    <n v="67"/>
  </r>
  <r>
    <n v="368"/>
    <x v="15"/>
    <n v="1"/>
    <n v="19"/>
    <x v="19"/>
    <x v="3"/>
    <x v="0"/>
    <n v="0"/>
    <x v="1"/>
    <x v="0"/>
    <n v="1"/>
    <x v="0"/>
    <x v="15"/>
    <n v="0.19700000000000001"/>
    <x v="19"/>
    <n v="0.1343"/>
    <n v="14"/>
    <n v="47"/>
    <n v="61"/>
  </r>
  <r>
    <n v="369"/>
    <x v="15"/>
    <n v="1"/>
    <n v="20"/>
    <x v="20"/>
    <x v="0"/>
    <x v="0"/>
    <n v="0"/>
    <x v="1"/>
    <x v="0"/>
    <n v="1"/>
    <x v="0"/>
    <x v="15"/>
    <n v="0.19700000000000001"/>
    <x v="19"/>
    <n v="0.16420000000000001"/>
    <n v="7"/>
    <n v="50"/>
    <n v="57"/>
  </r>
  <r>
    <n v="370"/>
    <x v="15"/>
    <n v="1"/>
    <n v="21"/>
    <x v="21"/>
    <x v="0"/>
    <x v="0"/>
    <n v="0"/>
    <x v="1"/>
    <x v="0"/>
    <n v="1"/>
    <x v="0"/>
    <x v="15"/>
    <n v="0.19700000000000001"/>
    <x v="33"/>
    <n v="0.16420000000000001"/>
    <n v="6"/>
    <n v="22"/>
    <n v="28"/>
  </r>
  <r>
    <n v="371"/>
    <x v="15"/>
    <n v="1"/>
    <n v="22"/>
    <x v="22"/>
    <x v="0"/>
    <x v="0"/>
    <n v="0"/>
    <x v="1"/>
    <x v="0"/>
    <n v="2"/>
    <x v="1"/>
    <x v="2"/>
    <n v="0.21210000000000001"/>
    <x v="36"/>
    <n v="0.1343"/>
    <n v="2"/>
    <n v="19"/>
    <n v="21"/>
  </r>
  <r>
    <n v="372"/>
    <x v="15"/>
    <n v="1"/>
    <n v="23"/>
    <x v="23"/>
    <x v="0"/>
    <x v="0"/>
    <n v="0"/>
    <x v="1"/>
    <x v="0"/>
    <n v="2"/>
    <x v="1"/>
    <x v="2"/>
    <n v="0.2273"/>
    <x v="22"/>
    <n v="0.1045"/>
    <n v="0"/>
    <n v="18"/>
    <n v="18"/>
  </r>
  <r>
    <n v="373"/>
    <x v="16"/>
    <n v="1"/>
    <n v="0"/>
    <x v="0"/>
    <x v="0"/>
    <x v="1"/>
    <n v="1"/>
    <x v="2"/>
    <x v="1"/>
    <n v="2"/>
    <x v="1"/>
    <x v="2"/>
    <n v="0.19700000000000001"/>
    <x v="19"/>
    <n v="0.22389999999999999"/>
    <n v="1"/>
    <n v="16"/>
    <n v="17"/>
  </r>
  <r>
    <n v="374"/>
    <x v="16"/>
    <n v="1"/>
    <n v="1"/>
    <x v="1"/>
    <x v="0"/>
    <x v="1"/>
    <n v="1"/>
    <x v="2"/>
    <x v="1"/>
    <n v="2"/>
    <x v="1"/>
    <x v="2"/>
    <n v="0.19700000000000001"/>
    <x v="18"/>
    <n v="0.19400000000000001"/>
    <n v="1"/>
    <n v="15"/>
    <n v="16"/>
  </r>
  <r>
    <n v="375"/>
    <x v="16"/>
    <n v="1"/>
    <n v="2"/>
    <x v="2"/>
    <x v="0"/>
    <x v="1"/>
    <n v="1"/>
    <x v="2"/>
    <x v="1"/>
    <n v="2"/>
    <x v="1"/>
    <x v="15"/>
    <n v="0.16669999999999999"/>
    <x v="21"/>
    <n v="0.25369999999999998"/>
    <n v="0"/>
    <n v="8"/>
    <n v="8"/>
  </r>
  <r>
    <n v="376"/>
    <x v="16"/>
    <n v="1"/>
    <n v="3"/>
    <x v="3"/>
    <x v="0"/>
    <x v="1"/>
    <n v="1"/>
    <x v="2"/>
    <x v="1"/>
    <n v="2"/>
    <x v="1"/>
    <x v="15"/>
    <n v="0.18179999999999999"/>
    <x v="21"/>
    <n v="0.19400000000000001"/>
    <n v="0"/>
    <n v="2"/>
    <n v="2"/>
  </r>
  <r>
    <n v="377"/>
    <x v="16"/>
    <n v="1"/>
    <n v="4"/>
    <x v="4"/>
    <x v="0"/>
    <x v="1"/>
    <n v="1"/>
    <x v="2"/>
    <x v="1"/>
    <n v="2"/>
    <x v="1"/>
    <x v="15"/>
    <n v="0.19700000000000001"/>
    <x v="21"/>
    <n v="0.1343"/>
    <n v="1"/>
    <n v="2"/>
    <n v="3"/>
  </r>
  <r>
    <n v="378"/>
    <x v="16"/>
    <n v="1"/>
    <n v="5"/>
    <x v="5"/>
    <x v="1"/>
    <x v="1"/>
    <n v="1"/>
    <x v="2"/>
    <x v="1"/>
    <n v="2"/>
    <x v="1"/>
    <x v="15"/>
    <n v="0.19700000000000001"/>
    <x v="21"/>
    <n v="0.16420000000000001"/>
    <n v="0"/>
    <n v="1"/>
    <n v="1"/>
  </r>
  <r>
    <n v="379"/>
    <x v="16"/>
    <n v="1"/>
    <n v="6"/>
    <x v="6"/>
    <x v="1"/>
    <x v="1"/>
    <n v="1"/>
    <x v="2"/>
    <x v="1"/>
    <n v="2"/>
    <x v="1"/>
    <x v="15"/>
    <n v="0.18179999999999999"/>
    <x v="21"/>
    <n v="0.19400000000000001"/>
    <n v="0"/>
    <n v="5"/>
    <n v="5"/>
  </r>
  <r>
    <n v="380"/>
    <x v="16"/>
    <n v="1"/>
    <n v="7"/>
    <x v="7"/>
    <x v="1"/>
    <x v="1"/>
    <n v="1"/>
    <x v="2"/>
    <x v="1"/>
    <n v="2"/>
    <x v="1"/>
    <x v="13"/>
    <n v="0.18179999999999999"/>
    <x v="20"/>
    <n v="0.1343"/>
    <n v="4"/>
    <n v="9"/>
    <n v="13"/>
  </r>
  <r>
    <n v="381"/>
    <x v="16"/>
    <n v="1"/>
    <n v="8"/>
    <x v="8"/>
    <x v="1"/>
    <x v="1"/>
    <n v="1"/>
    <x v="2"/>
    <x v="1"/>
    <n v="2"/>
    <x v="1"/>
    <x v="13"/>
    <n v="0.1515"/>
    <x v="19"/>
    <n v="0.22389999999999999"/>
    <n v="3"/>
    <n v="30"/>
    <n v="33"/>
  </r>
  <r>
    <n v="382"/>
    <x v="16"/>
    <n v="1"/>
    <n v="9"/>
    <x v="9"/>
    <x v="1"/>
    <x v="1"/>
    <n v="1"/>
    <x v="2"/>
    <x v="1"/>
    <n v="2"/>
    <x v="1"/>
    <x v="13"/>
    <n v="0.1515"/>
    <x v="19"/>
    <n v="0.22389999999999999"/>
    <n v="8"/>
    <n v="39"/>
    <n v="47"/>
  </r>
  <r>
    <n v="383"/>
    <x v="16"/>
    <n v="1"/>
    <n v="10"/>
    <x v="10"/>
    <x v="1"/>
    <x v="1"/>
    <n v="1"/>
    <x v="2"/>
    <x v="1"/>
    <n v="2"/>
    <x v="1"/>
    <x v="13"/>
    <n v="0.1515"/>
    <x v="20"/>
    <n v="0.25369999999999998"/>
    <n v="7"/>
    <n v="50"/>
    <n v="57"/>
  </r>
  <r>
    <n v="384"/>
    <x v="16"/>
    <n v="1"/>
    <n v="11"/>
    <x v="11"/>
    <x v="1"/>
    <x v="1"/>
    <n v="1"/>
    <x v="2"/>
    <x v="1"/>
    <n v="2"/>
    <x v="1"/>
    <x v="13"/>
    <n v="0.1515"/>
    <x v="28"/>
    <n v="0.19400000000000001"/>
    <n v="9"/>
    <n v="55"/>
    <n v="64"/>
  </r>
  <r>
    <n v="385"/>
    <x v="16"/>
    <n v="1"/>
    <n v="12"/>
    <x v="12"/>
    <x v="2"/>
    <x v="1"/>
    <n v="1"/>
    <x v="2"/>
    <x v="1"/>
    <n v="2"/>
    <x v="1"/>
    <x v="15"/>
    <n v="0.19700000000000001"/>
    <x v="19"/>
    <n v="0.1343"/>
    <n v="10"/>
    <n v="70"/>
    <n v="80"/>
  </r>
  <r>
    <n v="386"/>
    <x v="16"/>
    <n v="1"/>
    <n v="13"/>
    <x v="13"/>
    <x v="2"/>
    <x v="1"/>
    <n v="1"/>
    <x v="2"/>
    <x v="1"/>
    <n v="2"/>
    <x v="1"/>
    <x v="15"/>
    <n v="0.19700000000000001"/>
    <x v="19"/>
    <n v="0.1343"/>
    <n v="13"/>
    <n v="80"/>
    <n v="93"/>
  </r>
  <r>
    <n v="387"/>
    <x v="16"/>
    <n v="1"/>
    <n v="14"/>
    <x v="14"/>
    <x v="2"/>
    <x v="1"/>
    <n v="1"/>
    <x v="2"/>
    <x v="1"/>
    <n v="2"/>
    <x v="1"/>
    <x v="15"/>
    <n v="0.21210000000000001"/>
    <x v="21"/>
    <n v="0.1045"/>
    <n v="12"/>
    <n v="74"/>
    <n v="86"/>
  </r>
  <r>
    <n v="388"/>
    <x v="16"/>
    <n v="1"/>
    <n v="15"/>
    <x v="15"/>
    <x v="2"/>
    <x v="1"/>
    <n v="1"/>
    <x v="2"/>
    <x v="1"/>
    <n v="2"/>
    <x v="1"/>
    <x v="2"/>
    <n v="0.21210000000000001"/>
    <x v="19"/>
    <n v="0.16420000000000001"/>
    <n v="21"/>
    <n v="72"/>
    <n v="93"/>
  </r>
  <r>
    <n v="389"/>
    <x v="16"/>
    <n v="1"/>
    <n v="16"/>
    <x v="16"/>
    <x v="3"/>
    <x v="1"/>
    <n v="1"/>
    <x v="2"/>
    <x v="1"/>
    <n v="2"/>
    <x v="1"/>
    <x v="2"/>
    <n v="0.21210000000000001"/>
    <x v="19"/>
    <n v="0.16420000000000001"/>
    <n v="6"/>
    <n v="76"/>
    <n v="82"/>
  </r>
  <r>
    <n v="390"/>
    <x v="16"/>
    <n v="1"/>
    <n v="17"/>
    <x v="17"/>
    <x v="3"/>
    <x v="1"/>
    <n v="1"/>
    <x v="2"/>
    <x v="1"/>
    <n v="1"/>
    <x v="0"/>
    <x v="2"/>
    <n v="0.19700000000000001"/>
    <x v="33"/>
    <n v="0.19400000000000001"/>
    <n v="4"/>
    <n v="67"/>
    <n v="71"/>
  </r>
  <r>
    <n v="391"/>
    <x v="16"/>
    <n v="1"/>
    <n v="18"/>
    <x v="18"/>
    <x v="3"/>
    <x v="1"/>
    <n v="1"/>
    <x v="2"/>
    <x v="1"/>
    <n v="2"/>
    <x v="1"/>
    <x v="15"/>
    <n v="0.16669999999999999"/>
    <x v="28"/>
    <n v="0.25369999999999998"/>
    <n v="7"/>
    <n v="85"/>
    <n v="92"/>
  </r>
  <r>
    <n v="392"/>
    <x v="16"/>
    <n v="1"/>
    <n v="19"/>
    <x v="19"/>
    <x v="3"/>
    <x v="1"/>
    <n v="1"/>
    <x v="2"/>
    <x v="1"/>
    <n v="3"/>
    <x v="2"/>
    <x v="15"/>
    <n v="0.18179999999999999"/>
    <x v="29"/>
    <n v="0.19400000000000001"/>
    <n v="2"/>
    <n v="58"/>
    <n v="60"/>
  </r>
  <r>
    <n v="393"/>
    <x v="16"/>
    <n v="1"/>
    <n v="20"/>
    <x v="20"/>
    <x v="0"/>
    <x v="1"/>
    <n v="1"/>
    <x v="2"/>
    <x v="1"/>
    <n v="3"/>
    <x v="2"/>
    <x v="13"/>
    <n v="0.1515"/>
    <x v="1"/>
    <n v="0.19400000000000001"/>
    <n v="4"/>
    <n v="29"/>
    <n v="33"/>
  </r>
  <r>
    <n v="394"/>
    <x v="16"/>
    <n v="1"/>
    <n v="21"/>
    <x v="21"/>
    <x v="0"/>
    <x v="1"/>
    <n v="1"/>
    <x v="2"/>
    <x v="1"/>
    <n v="3"/>
    <x v="2"/>
    <x v="13"/>
    <n v="0.1515"/>
    <x v="1"/>
    <n v="0.19400000000000001"/>
    <n v="3"/>
    <n v="24"/>
    <n v="27"/>
  </r>
  <r>
    <n v="395"/>
    <x v="16"/>
    <n v="1"/>
    <n v="22"/>
    <x v="22"/>
    <x v="0"/>
    <x v="1"/>
    <n v="1"/>
    <x v="2"/>
    <x v="1"/>
    <n v="3"/>
    <x v="2"/>
    <x v="14"/>
    <n v="0.1212"/>
    <x v="43"/>
    <n v="0.25369999999999998"/>
    <n v="0"/>
    <n v="13"/>
    <n v="13"/>
  </r>
  <r>
    <n v="396"/>
    <x v="16"/>
    <n v="1"/>
    <n v="23"/>
    <x v="23"/>
    <x v="0"/>
    <x v="1"/>
    <n v="1"/>
    <x v="2"/>
    <x v="1"/>
    <n v="3"/>
    <x v="2"/>
    <x v="13"/>
    <n v="0.13639999999999999"/>
    <x v="3"/>
    <n v="0.28360000000000002"/>
    <n v="1"/>
    <n v="3"/>
    <n v="4"/>
  </r>
  <r>
    <n v="397"/>
    <x v="17"/>
    <n v="1"/>
    <n v="12"/>
    <x v="12"/>
    <x v="2"/>
    <x v="0"/>
    <n v="2"/>
    <x v="3"/>
    <x v="1"/>
    <n v="2"/>
    <x v="1"/>
    <x v="2"/>
    <n v="0.18179999999999999"/>
    <x v="3"/>
    <n v="0.32840000000000003"/>
    <n v="0"/>
    <n v="3"/>
    <n v="3"/>
  </r>
  <r>
    <n v="398"/>
    <x v="17"/>
    <n v="1"/>
    <n v="13"/>
    <x v="13"/>
    <x v="2"/>
    <x v="0"/>
    <n v="2"/>
    <x v="3"/>
    <x v="1"/>
    <n v="2"/>
    <x v="1"/>
    <x v="2"/>
    <n v="0.19700000000000001"/>
    <x v="3"/>
    <n v="0.22389999999999999"/>
    <n v="0"/>
    <n v="22"/>
    <n v="22"/>
  </r>
  <r>
    <n v="399"/>
    <x v="17"/>
    <n v="1"/>
    <n v="14"/>
    <x v="14"/>
    <x v="2"/>
    <x v="0"/>
    <n v="2"/>
    <x v="3"/>
    <x v="1"/>
    <n v="2"/>
    <x v="1"/>
    <x v="1"/>
    <n v="0.2273"/>
    <x v="1"/>
    <n v="0.16420000000000001"/>
    <n v="2"/>
    <n v="26"/>
    <n v="28"/>
  </r>
  <r>
    <n v="400"/>
    <x v="17"/>
    <n v="1"/>
    <n v="15"/>
    <x v="15"/>
    <x v="2"/>
    <x v="0"/>
    <n v="2"/>
    <x v="3"/>
    <x v="1"/>
    <n v="2"/>
    <x v="1"/>
    <x v="1"/>
    <n v="0.2273"/>
    <x v="9"/>
    <n v="0.16420000000000001"/>
    <n v="3"/>
    <n v="32"/>
    <n v="35"/>
  </r>
  <r>
    <n v="401"/>
    <x v="17"/>
    <n v="1"/>
    <n v="16"/>
    <x v="16"/>
    <x v="3"/>
    <x v="0"/>
    <n v="2"/>
    <x v="3"/>
    <x v="1"/>
    <n v="2"/>
    <x v="1"/>
    <x v="1"/>
    <n v="0.2273"/>
    <x v="9"/>
    <n v="0.19400000000000001"/>
    <n v="0"/>
    <n v="61"/>
    <n v="61"/>
  </r>
  <r>
    <n v="402"/>
    <x v="17"/>
    <n v="1"/>
    <n v="17"/>
    <x v="17"/>
    <x v="3"/>
    <x v="0"/>
    <n v="2"/>
    <x v="3"/>
    <x v="1"/>
    <n v="2"/>
    <x v="1"/>
    <x v="1"/>
    <n v="0.2273"/>
    <x v="7"/>
    <n v="0.19400000000000001"/>
    <n v="1"/>
    <n v="124"/>
    <n v="125"/>
  </r>
  <r>
    <n v="403"/>
    <x v="17"/>
    <n v="1"/>
    <n v="18"/>
    <x v="18"/>
    <x v="3"/>
    <x v="0"/>
    <n v="2"/>
    <x v="3"/>
    <x v="1"/>
    <n v="2"/>
    <x v="1"/>
    <x v="1"/>
    <n v="0.2273"/>
    <x v="1"/>
    <n v="0.16420000000000001"/>
    <n v="1"/>
    <n v="132"/>
    <n v="133"/>
  </r>
  <r>
    <n v="404"/>
    <x v="17"/>
    <n v="1"/>
    <n v="19"/>
    <x v="19"/>
    <x v="3"/>
    <x v="0"/>
    <n v="2"/>
    <x v="3"/>
    <x v="1"/>
    <n v="2"/>
    <x v="1"/>
    <x v="1"/>
    <n v="0.2273"/>
    <x v="1"/>
    <n v="0.1343"/>
    <n v="1"/>
    <n v="98"/>
    <n v="99"/>
  </r>
  <r>
    <n v="405"/>
    <x v="17"/>
    <n v="1"/>
    <n v="20"/>
    <x v="20"/>
    <x v="0"/>
    <x v="0"/>
    <n v="2"/>
    <x v="3"/>
    <x v="1"/>
    <n v="2"/>
    <x v="1"/>
    <x v="1"/>
    <n v="0.2727"/>
    <x v="9"/>
    <n v="0"/>
    <n v="0"/>
    <n v="83"/>
    <n v="83"/>
  </r>
  <r>
    <n v="406"/>
    <x v="17"/>
    <n v="1"/>
    <n v="21"/>
    <x v="21"/>
    <x v="0"/>
    <x v="0"/>
    <n v="2"/>
    <x v="3"/>
    <x v="1"/>
    <n v="2"/>
    <x v="1"/>
    <x v="1"/>
    <n v="0.2424"/>
    <x v="43"/>
    <n v="0.1045"/>
    <n v="0"/>
    <n v="41"/>
    <n v="41"/>
  </r>
  <r>
    <n v="407"/>
    <x v="17"/>
    <n v="1"/>
    <n v="22"/>
    <x v="22"/>
    <x v="0"/>
    <x v="0"/>
    <n v="2"/>
    <x v="3"/>
    <x v="1"/>
    <n v="2"/>
    <x v="1"/>
    <x v="1"/>
    <n v="0.2576"/>
    <x v="43"/>
    <n v="8.9599999999999999E-2"/>
    <n v="0"/>
    <n v="33"/>
    <n v="33"/>
  </r>
  <r>
    <n v="408"/>
    <x v="17"/>
    <n v="1"/>
    <n v="23"/>
    <x v="23"/>
    <x v="0"/>
    <x v="0"/>
    <n v="2"/>
    <x v="3"/>
    <x v="1"/>
    <n v="2"/>
    <x v="1"/>
    <x v="1"/>
    <n v="0.2727"/>
    <x v="43"/>
    <n v="0"/>
    <n v="1"/>
    <n v="19"/>
    <n v="20"/>
  </r>
  <r>
    <n v="409"/>
    <x v="18"/>
    <n v="1"/>
    <n v="0"/>
    <x v="0"/>
    <x v="0"/>
    <x v="0"/>
    <n v="3"/>
    <x v="4"/>
    <x v="1"/>
    <n v="2"/>
    <x v="1"/>
    <x v="1"/>
    <n v="0.2727"/>
    <x v="43"/>
    <n v="0"/>
    <n v="0"/>
    <n v="3"/>
    <n v="3"/>
  </r>
  <r>
    <n v="410"/>
    <x v="18"/>
    <n v="1"/>
    <n v="1"/>
    <x v="1"/>
    <x v="0"/>
    <x v="0"/>
    <n v="3"/>
    <x v="4"/>
    <x v="1"/>
    <n v="3"/>
    <x v="2"/>
    <x v="1"/>
    <n v="0.2273"/>
    <x v="43"/>
    <n v="0.1343"/>
    <n v="1"/>
    <n v="6"/>
    <n v="7"/>
  </r>
  <r>
    <n v="411"/>
    <x v="18"/>
    <n v="1"/>
    <n v="2"/>
    <x v="2"/>
    <x v="0"/>
    <x v="0"/>
    <n v="3"/>
    <x v="4"/>
    <x v="1"/>
    <n v="3"/>
    <x v="2"/>
    <x v="1"/>
    <n v="0.2273"/>
    <x v="43"/>
    <n v="0.1343"/>
    <n v="0"/>
    <n v="3"/>
    <n v="3"/>
  </r>
  <r>
    <n v="412"/>
    <x v="18"/>
    <n v="1"/>
    <n v="4"/>
    <x v="4"/>
    <x v="0"/>
    <x v="0"/>
    <n v="3"/>
    <x v="4"/>
    <x v="1"/>
    <n v="3"/>
    <x v="2"/>
    <x v="1"/>
    <n v="0.2273"/>
    <x v="43"/>
    <n v="0.1343"/>
    <n v="1"/>
    <n v="1"/>
    <n v="2"/>
  </r>
  <r>
    <n v="413"/>
    <x v="18"/>
    <n v="1"/>
    <n v="5"/>
    <x v="5"/>
    <x v="1"/>
    <x v="0"/>
    <n v="3"/>
    <x v="4"/>
    <x v="1"/>
    <n v="2"/>
    <x v="1"/>
    <x v="1"/>
    <n v="0.2576"/>
    <x v="43"/>
    <n v="8.9599999999999999E-2"/>
    <n v="0"/>
    <n v="7"/>
    <n v="7"/>
  </r>
  <r>
    <n v="414"/>
    <x v="18"/>
    <n v="1"/>
    <n v="6"/>
    <x v="6"/>
    <x v="1"/>
    <x v="0"/>
    <n v="3"/>
    <x v="4"/>
    <x v="1"/>
    <n v="2"/>
    <x v="1"/>
    <x v="1"/>
    <n v="0.2576"/>
    <x v="43"/>
    <n v="8.9599999999999999E-2"/>
    <n v="0"/>
    <n v="32"/>
    <n v="32"/>
  </r>
  <r>
    <n v="415"/>
    <x v="18"/>
    <n v="1"/>
    <n v="7"/>
    <x v="7"/>
    <x v="1"/>
    <x v="0"/>
    <n v="3"/>
    <x v="4"/>
    <x v="1"/>
    <n v="2"/>
    <x v="1"/>
    <x v="0"/>
    <n v="0.2576"/>
    <x v="50"/>
    <n v="0.1045"/>
    <n v="1"/>
    <n v="89"/>
    <n v="90"/>
  </r>
  <r>
    <n v="416"/>
    <x v="18"/>
    <n v="1"/>
    <n v="8"/>
    <x v="8"/>
    <x v="1"/>
    <x v="0"/>
    <n v="3"/>
    <x v="4"/>
    <x v="1"/>
    <n v="2"/>
    <x v="1"/>
    <x v="0"/>
    <n v="0.2576"/>
    <x v="43"/>
    <n v="0.1045"/>
    <n v="1"/>
    <n v="196"/>
    <n v="197"/>
  </r>
  <r>
    <n v="417"/>
    <x v="18"/>
    <n v="1"/>
    <n v="9"/>
    <x v="9"/>
    <x v="1"/>
    <x v="0"/>
    <n v="3"/>
    <x v="4"/>
    <x v="1"/>
    <n v="2"/>
    <x v="1"/>
    <x v="0"/>
    <n v="0.2576"/>
    <x v="43"/>
    <n v="0.1045"/>
    <n v="2"/>
    <n v="107"/>
    <n v="109"/>
  </r>
  <r>
    <n v="418"/>
    <x v="18"/>
    <n v="1"/>
    <n v="10"/>
    <x v="10"/>
    <x v="1"/>
    <x v="0"/>
    <n v="3"/>
    <x v="4"/>
    <x v="1"/>
    <n v="2"/>
    <x v="1"/>
    <x v="12"/>
    <n v="0.2727"/>
    <x v="43"/>
    <n v="0.1343"/>
    <n v="1"/>
    <n v="46"/>
    <n v="47"/>
  </r>
  <r>
    <n v="419"/>
    <x v="18"/>
    <n v="1"/>
    <n v="11"/>
    <x v="11"/>
    <x v="1"/>
    <x v="0"/>
    <n v="3"/>
    <x v="4"/>
    <x v="1"/>
    <n v="2"/>
    <x v="1"/>
    <x v="17"/>
    <n v="0.30299999999999999"/>
    <x v="9"/>
    <n v="8.9599999999999999E-2"/>
    <n v="5"/>
    <n v="47"/>
    <n v="52"/>
  </r>
  <r>
    <n v="420"/>
    <x v="18"/>
    <n v="1"/>
    <n v="12"/>
    <x v="12"/>
    <x v="2"/>
    <x v="0"/>
    <n v="3"/>
    <x v="4"/>
    <x v="1"/>
    <n v="2"/>
    <x v="1"/>
    <x v="11"/>
    <n v="0.31819999999999998"/>
    <x v="0"/>
    <n v="8.9599999999999999E-2"/>
    <n v="5"/>
    <n v="65"/>
    <n v="70"/>
  </r>
  <r>
    <n v="421"/>
    <x v="18"/>
    <n v="1"/>
    <n v="13"/>
    <x v="13"/>
    <x v="2"/>
    <x v="0"/>
    <n v="3"/>
    <x v="4"/>
    <x v="1"/>
    <n v="1"/>
    <x v="0"/>
    <x v="9"/>
    <n v="0.40910000000000002"/>
    <x v="51"/>
    <n v="0.28360000000000002"/>
    <n v="11"/>
    <n v="67"/>
    <n v="78"/>
  </r>
  <r>
    <n v="422"/>
    <x v="18"/>
    <n v="1"/>
    <n v="14"/>
    <x v="14"/>
    <x v="2"/>
    <x v="0"/>
    <n v="3"/>
    <x v="4"/>
    <x v="1"/>
    <n v="1"/>
    <x v="0"/>
    <x v="9"/>
    <n v="0.40910000000000002"/>
    <x v="52"/>
    <n v="0.25369999999999998"/>
    <n v="7"/>
    <n v="68"/>
    <n v="75"/>
  </r>
  <r>
    <n v="423"/>
    <x v="18"/>
    <n v="1"/>
    <n v="15"/>
    <x v="15"/>
    <x v="2"/>
    <x v="0"/>
    <n v="3"/>
    <x v="4"/>
    <x v="1"/>
    <n v="1"/>
    <x v="0"/>
    <x v="9"/>
    <n v="0.40910000000000002"/>
    <x v="47"/>
    <n v="0.28360000000000002"/>
    <n v="4"/>
    <n v="78"/>
    <n v="82"/>
  </r>
  <r>
    <n v="424"/>
    <x v="18"/>
    <n v="1"/>
    <n v="16"/>
    <x v="16"/>
    <x v="3"/>
    <x v="0"/>
    <n v="3"/>
    <x v="4"/>
    <x v="1"/>
    <n v="1"/>
    <x v="0"/>
    <x v="4"/>
    <n v="0.39389999999999997"/>
    <x v="52"/>
    <n v="0.3881"/>
    <n v="10"/>
    <n v="94"/>
    <n v="104"/>
  </r>
  <r>
    <n v="425"/>
    <x v="18"/>
    <n v="1"/>
    <n v="17"/>
    <x v="17"/>
    <x v="3"/>
    <x v="0"/>
    <n v="3"/>
    <x v="4"/>
    <x v="1"/>
    <n v="1"/>
    <x v="0"/>
    <x v="5"/>
    <n v="0.33329999999999999"/>
    <x v="14"/>
    <n v="0.32840000000000003"/>
    <n v="7"/>
    <n v="190"/>
    <n v="197"/>
  </r>
  <r>
    <n v="426"/>
    <x v="18"/>
    <n v="1"/>
    <n v="18"/>
    <x v="18"/>
    <x v="3"/>
    <x v="0"/>
    <n v="3"/>
    <x v="4"/>
    <x v="1"/>
    <n v="1"/>
    <x v="0"/>
    <x v="10"/>
    <n v="0.31819999999999998"/>
    <x v="53"/>
    <n v="0.28360000000000002"/>
    <n v="5"/>
    <n v="156"/>
    <n v="161"/>
  </r>
  <r>
    <n v="427"/>
    <x v="18"/>
    <n v="1"/>
    <n v="19"/>
    <x v="19"/>
    <x v="3"/>
    <x v="0"/>
    <n v="3"/>
    <x v="4"/>
    <x v="1"/>
    <n v="1"/>
    <x v="0"/>
    <x v="3"/>
    <n v="0.28789999999999999"/>
    <x v="14"/>
    <n v="0.41789999999999999"/>
    <n v="4"/>
    <n v="108"/>
    <n v="112"/>
  </r>
  <r>
    <n v="428"/>
    <x v="18"/>
    <n v="1"/>
    <n v="20"/>
    <x v="20"/>
    <x v="0"/>
    <x v="0"/>
    <n v="3"/>
    <x v="4"/>
    <x v="1"/>
    <n v="1"/>
    <x v="0"/>
    <x v="3"/>
    <n v="0.30299999999999999"/>
    <x v="36"/>
    <n v="0.29849999999999999"/>
    <n v="2"/>
    <n v="74"/>
    <n v="76"/>
  </r>
  <r>
    <n v="429"/>
    <x v="18"/>
    <n v="1"/>
    <n v="21"/>
    <x v="21"/>
    <x v="0"/>
    <x v="0"/>
    <n v="3"/>
    <x v="4"/>
    <x v="1"/>
    <n v="1"/>
    <x v="0"/>
    <x v="3"/>
    <n v="0.28789999999999999"/>
    <x v="36"/>
    <n v="0.41789999999999999"/>
    <n v="4"/>
    <n v="55"/>
    <n v="59"/>
  </r>
  <r>
    <n v="430"/>
    <x v="18"/>
    <n v="1"/>
    <n v="22"/>
    <x v="22"/>
    <x v="0"/>
    <x v="0"/>
    <n v="3"/>
    <x v="4"/>
    <x v="1"/>
    <n v="1"/>
    <x v="0"/>
    <x v="11"/>
    <n v="0.30299999999999999"/>
    <x v="35"/>
    <n v="0.16420000000000001"/>
    <n v="6"/>
    <n v="53"/>
    <n v="59"/>
  </r>
  <r>
    <n v="431"/>
    <x v="18"/>
    <n v="1"/>
    <n v="23"/>
    <x v="23"/>
    <x v="0"/>
    <x v="0"/>
    <n v="3"/>
    <x v="4"/>
    <x v="1"/>
    <n v="1"/>
    <x v="0"/>
    <x v="11"/>
    <n v="0.2727"/>
    <x v="35"/>
    <n v="0.4627"/>
    <n v="1"/>
    <n v="27"/>
    <n v="28"/>
  </r>
  <r>
    <n v="432"/>
    <x v="19"/>
    <n v="1"/>
    <n v="0"/>
    <x v="0"/>
    <x v="0"/>
    <x v="0"/>
    <n v="4"/>
    <x v="5"/>
    <x v="1"/>
    <n v="1"/>
    <x v="0"/>
    <x v="12"/>
    <n v="0.2273"/>
    <x v="34"/>
    <n v="0.3881"/>
    <n v="5"/>
    <n v="8"/>
    <n v="13"/>
  </r>
  <r>
    <n v="433"/>
    <x v="19"/>
    <n v="1"/>
    <n v="1"/>
    <x v="1"/>
    <x v="0"/>
    <x v="0"/>
    <n v="4"/>
    <x v="5"/>
    <x v="1"/>
    <n v="1"/>
    <x v="0"/>
    <x v="12"/>
    <n v="0.2727"/>
    <x v="34"/>
    <n v="0"/>
    <n v="2"/>
    <n v="3"/>
    <n v="5"/>
  </r>
  <r>
    <n v="434"/>
    <x v="19"/>
    <n v="1"/>
    <n v="2"/>
    <x v="2"/>
    <x v="0"/>
    <x v="0"/>
    <n v="4"/>
    <x v="5"/>
    <x v="1"/>
    <n v="1"/>
    <x v="0"/>
    <x v="12"/>
    <n v="0.2727"/>
    <x v="34"/>
    <n v="0"/>
    <n v="0"/>
    <n v="2"/>
    <n v="2"/>
  </r>
  <r>
    <n v="435"/>
    <x v="19"/>
    <n v="1"/>
    <n v="3"/>
    <x v="3"/>
    <x v="0"/>
    <x v="0"/>
    <n v="4"/>
    <x v="5"/>
    <x v="1"/>
    <n v="1"/>
    <x v="0"/>
    <x v="12"/>
    <n v="0.2576"/>
    <x v="34"/>
    <n v="0.16420000000000001"/>
    <n v="0"/>
    <n v="1"/>
    <n v="1"/>
  </r>
  <r>
    <n v="436"/>
    <x v="19"/>
    <n v="1"/>
    <n v="4"/>
    <x v="4"/>
    <x v="0"/>
    <x v="0"/>
    <n v="4"/>
    <x v="5"/>
    <x v="1"/>
    <n v="1"/>
    <x v="0"/>
    <x v="12"/>
    <n v="0.2576"/>
    <x v="34"/>
    <n v="0.16420000000000001"/>
    <n v="0"/>
    <n v="1"/>
    <n v="1"/>
  </r>
  <r>
    <n v="437"/>
    <x v="19"/>
    <n v="1"/>
    <n v="5"/>
    <x v="5"/>
    <x v="1"/>
    <x v="0"/>
    <n v="4"/>
    <x v="5"/>
    <x v="1"/>
    <n v="1"/>
    <x v="0"/>
    <x v="0"/>
    <n v="0.2273"/>
    <x v="54"/>
    <n v="0.22389999999999999"/>
    <n v="0"/>
    <n v="6"/>
    <n v="6"/>
  </r>
  <r>
    <n v="438"/>
    <x v="19"/>
    <n v="1"/>
    <n v="6"/>
    <x v="6"/>
    <x v="1"/>
    <x v="0"/>
    <n v="4"/>
    <x v="5"/>
    <x v="1"/>
    <n v="1"/>
    <x v="0"/>
    <x v="1"/>
    <n v="0.21210000000000001"/>
    <x v="54"/>
    <n v="0.22389999999999999"/>
    <n v="0"/>
    <n v="35"/>
    <n v="35"/>
  </r>
  <r>
    <n v="439"/>
    <x v="19"/>
    <n v="1"/>
    <n v="7"/>
    <x v="7"/>
    <x v="1"/>
    <x v="0"/>
    <n v="4"/>
    <x v="5"/>
    <x v="1"/>
    <n v="1"/>
    <x v="0"/>
    <x v="1"/>
    <n v="0.21210000000000001"/>
    <x v="28"/>
    <n v="0.22389999999999999"/>
    <n v="1"/>
    <n v="100"/>
    <n v="101"/>
  </r>
  <r>
    <n v="440"/>
    <x v="19"/>
    <n v="1"/>
    <n v="8"/>
    <x v="8"/>
    <x v="1"/>
    <x v="0"/>
    <n v="4"/>
    <x v="5"/>
    <x v="1"/>
    <n v="1"/>
    <x v="0"/>
    <x v="1"/>
    <n v="0.21210000000000001"/>
    <x v="28"/>
    <n v="0.28360000000000002"/>
    <n v="2"/>
    <n v="247"/>
    <n v="249"/>
  </r>
  <r>
    <n v="441"/>
    <x v="19"/>
    <n v="1"/>
    <n v="9"/>
    <x v="9"/>
    <x v="1"/>
    <x v="0"/>
    <n v="4"/>
    <x v="5"/>
    <x v="1"/>
    <n v="2"/>
    <x v="1"/>
    <x v="0"/>
    <n v="0.2273"/>
    <x v="35"/>
    <n v="0.22389999999999999"/>
    <n v="3"/>
    <n v="140"/>
    <n v="143"/>
  </r>
  <r>
    <n v="442"/>
    <x v="19"/>
    <n v="1"/>
    <n v="10"/>
    <x v="10"/>
    <x v="1"/>
    <x v="0"/>
    <n v="4"/>
    <x v="5"/>
    <x v="1"/>
    <n v="1"/>
    <x v="0"/>
    <x v="12"/>
    <n v="0.2273"/>
    <x v="37"/>
    <n v="0.29849999999999999"/>
    <n v="1"/>
    <n v="56"/>
    <n v="57"/>
  </r>
  <r>
    <n v="443"/>
    <x v="19"/>
    <n v="1"/>
    <n v="11"/>
    <x v="11"/>
    <x v="1"/>
    <x v="0"/>
    <n v="4"/>
    <x v="5"/>
    <x v="1"/>
    <n v="2"/>
    <x v="1"/>
    <x v="17"/>
    <n v="0.2727"/>
    <x v="49"/>
    <n v="0.16420000000000001"/>
    <n v="5"/>
    <n v="63"/>
    <n v="68"/>
  </r>
  <r>
    <n v="444"/>
    <x v="19"/>
    <n v="1"/>
    <n v="12"/>
    <x v="12"/>
    <x v="2"/>
    <x v="0"/>
    <n v="4"/>
    <x v="5"/>
    <x v="1"/>
    <n v="2"/>
    <x v="1"/>
    <x v="11"/>
    <n v="0.33329999999999999"/>
    <x v="16"/>
    <n v="0"/>
    <n v="7"/>
    <n v="77"/>
    <n v="84"/>
  </r>
  <r>
    <n v="445"/>
    <x v="19"/>
    <n v="1"/>
    <n v="13"/>
    <x v="13"/>
    <x v="2"/>
    <x v="0"/>
    <n v="4"/>
    <x v="5"/>
    <x v="1"/>
    <n v="2"/>
    <x v="1"/>
    <x v="17"/>
    <n v="0.28789999999999999"/>
    <x v="49"/>
    <n v="0.1045"/>
    <n v="12"/>
    <n v="86"/>
    <n v="98"/>
  </r>
  <r>
    <n v="446"/>
    <x v="19"/>
    <n v="1"/>
    <n v="14"/>
    <x v="14"/>
    <x v="2"/>
    <x v="0"/>
    <n v="4"/>
    <x v="5"/>
    <x v="1"/>
    <n v="2"/>
    <x v="1"/>
    <x v="11"/>
    <n v="0.30299999999999999"/>
    <x v="49"/>
    <n v="0.1343"/>
    <n v="6"/>
    <n v="75"/>
    <n v="81"/>
  </r>
  <r>
    <n v="447"/>
    <x v="19"/>
    <n v="1"/>
    <n v="15"/>
    <x v="15"/>
    <x v="2"/>
    <x v="0"/>
    <n v="4"/>
    <x v="5"/>
    <x v="1"/>
    <n v="2"/>
    <x v="1"/>
    <x v="3"/>
    <n v="0.31819999999999998"/>
    <x v="49"/>
    <n v="0.19400000000000001"/>
    <n v="8"/>
    <n v="62"/>
    <n v="70"/>
  </r>
  <r>
    <n v="448"/>
    <x v="19"/>
    <n v="1"/>
    <n v="16"/>
    <x v="16"/>
    <x v="3"/>
    <x v="0"/>
    <n v="4"/>
    <x v="5"/>
    <x v="1"/>
    <n v="2"/>
    <x v="1"/>
    <x v="11"/>
    <n v="0.30299999999999999"/>
    <x v="36"/>
    <n v="0.1343"/>
    <n v="8"/>
    <n v="83"/>
    <n v="91"/>
  </r>
  <r>
    <n v="449"/>
    <x v="19"/>
    <n v="1"/>
    <n v="17"/>
    <x v="17"/>
    <x v="3"/>
    <x v="0"/>
    <n v="4"/>
    <x v="5"/>
    <x v="1"/>
    <n v="2"/>
    <x v="1"/>
    <x v="11"/>
    <n v="0.31819999999999998"/>
    <x v="36"/>
    <n v="0.1045"/>
    <n v="8"/>
    <n v="207"/>
    <n v="215"/>
  </r>
  <r>
    <n v="450"/>
    <x v="19"/>
    <n v="1"/>
    <n v="18"/>
    <x v="18"/>
    <x v="3"/>
    <x v="0"/>
    <n v="4"/>
    <x v="5"/>
    <x v="1"/>
    <n v="2"/>
    <x v="1"/>
    <x v="12"/>
    <n v="0.2576"/>
    <x v="34"/>
    <n v="0.19400000000000001"/>
    <n v="1"/>
    <n v="184"/>
    <n v="185"/>
  </r>
  <r>
    <n v="451"/>
    <x v="19"/>
    <n v="1"/>
    <n v="19"/>
    <x v="19"/>
    <x v="3"/>
    <x v="0"/>
    <n v="4"/>
    <x v="5"/>
    <x v="1"/>
    <n v="1"/>
    <x v="0"/>
    <x v="12"/>
    <n v="0.2273"/>
    <x v="34"/>
    <n v="0.32840000000000003"/>
    <n v="6"/>
    <n v="146"/>
    <n v="152"/>
  </r>
  <r>
    <n v="452"/>
    <x v="19"/>
    <n v="1"/>
    <n v="20"/>
    <x v="20"/>
    <x v="0"/>
    <x v="0"/>
    <n v="4"/>
    <x v="5"/>
    <x v="1"/>
    <n v="2"/>
    <x v="1"/>
    <x v="12"/>
    <n v="0.2424"/>
    <x v="54"/>
    <n v="0.28360000000000002"/>
    <n v="2"/>
    <n v="124"/>
    <n v="126"/>
  </r>
  <r>
    <n v="453"/>
    <x v="19"/>
    <n v="1"/>
    <n v="21"/>
    <x v="21"/>
    <x v="0"/>
    <x v="0"/>
    <n v="4"/>
    <x v="5"/>
    <x v="1"/>
    <n v="2"/>
    <x v="1"/>
    <x v="0"/>
    <n v="0.2273"/>
    <x v="54"/>
    <n v="0.25369999999999998"/>
    <n v="3"/>
    <n v="54"/>
    <n v="57"/>
  </r>
  <r>
    <n v="454"/>
    <x v="19"/>
    <n v="1"/>
    <n v="22"/>
    <x v="22"/>
    <x v="0"/>
    <x v="0"/>
    <n v="4"/>
    <x v="5"/>
    <x v="1"/>
    <n v="2"/>
    <x v="1"/>
    <x v="0"/>
    <n v="0.21210000000000001"/>
    <x v="55"/>
    <n v="0.28360000000000002"/>
    <n v="0"/>
    <n v="56"/>
    <n v="56"/>
  </r>
  <r>
    <n v="455"/>
    <x v="19"/>
    <n v="1"/>
    <n v="23"/>
    <x v="23"/>
    <x v="0"/>
    <x v="0"/>
    <n v="4"/>
    <x v="5"/>
    <x v="1"/>
    <n v="2"/>
    <x v="1"/>
    <x v="0"/>
    <n v="0.21210000000000001"/>
    <x v="55"/>
    <n v="0.32840000000000003"/>
    <n v="3"/>
    <n v="28"/>
    <n v="31"/>
  </r>
  <r>
    <n v="456"/>
    <x v="20"/>
    <n v="1"/>
    <n v="0"/>
    <x v="0"/>
    <x v="0"/>
    <x v="0"/>
    <n v="5"/>
    <x v="6"/>
    <x v="1"/>
    <n v="2"/>
    <x v="1"/>
    <x v="0"/>
    <n v="0.2273"/>
    <x v="56"/>
    <n v="0.25369999999999998"/>
    <n v="1"/>
    <n v="20"/>
    <n v="21"/>
  </r>
  <r>
    <n v="457"/>
    <x v="20"/>
    <n v="1"/>
    <n v="1"/>
    <x v="1"/>
    <x v="0"/>
    <x v="0"/>
    <n v="5"/>
    <x v="6"/>
    <x v="1"/>
    <n v="2"/>
    <x v="1"/>
    <x v="0"/>
    <n v="0.2273"/>
    <x v="56"/>
    <n v="0.25369999999999998"/>
    <n v="0"/>
    <n v="6"/>
    <n v="6"/>
  </r>
  <r>
    <n v="458"/>
    <x v="20"/>
    <n v="1"/>
    <n v="2"/>
    <x v="2"/>
    <x v="0"/>
    <x v="0"/>
    <n v="5"/>
    <x v="6"/>
    <x v="1"/>
    <n v="3"/>
    <x v="2"/>
    <x v="0"/>
    <n v="0.2424"/>
    <x v="2"/>
    <n v="0.16420000000000001"/>
    <n v="0"/>
    <n v="2"/>
    <n v="2"/>
  </r>
  <r>
    <n v="459"/>
    <x v="20"/>
    <n v="1"/>
    <n v="3"/>
    <x v="3"/>
    <x v="0"/>
    <x v="0"/>
    <n v="5"/>
    <x v="6"/>
    <x v="1"/>
    <n v="3"/>
    <x v="2"/>
    <x v="1"/>
    <n v="0.21210000000000001"/>
    <x v="1"/>
    <n v="0.29849999999999999"/>
    <n v="0"/>
    <n v="1"/>
    <n v="1"/>
  </r>
  <r>
    <n v="460"/>
    <x v="20"/>
    <n v="1"/>
    <n v="4"/>
    <x v="4"/>
    <x v="0"/>
    <x v="0"/>
    <n v="5"/>
    <x v="6"/>
    <x v="1"/>
    <n v="2"/>
    <x v="1"/>
    <x v="1"/>
    <n v="0.2576"/>
    <x v="9"/>
    <n v="8.9599999999999999E-2"/>
    <n v="0"/>
    <n v="1"/>
    <n v="1"/>
  </r>
  <r>
    <n v="461"/>
    <x v="20"/>
    <n v="1"/>
    <n v="5"/>
    <x v="5"/>
    <x v="1"/>
    <x v="0"/>
    <n v="5"/>
    <x v="6"/>
    <x v="1"/>
    <n v="1"/>
    <x v="0"/>
    <x v="0"/>
    <n v="0.19700000000000001"/>
    <x v="54"/>
    <n v="0.41789999999999999"/>
    <n v="1"/>
    <n v="4"/>
    <n v="5"/>
  </r>
  <r>
    <n v="462"/>
    <x v="20"/>
    <n v="1"/>
    <n v="6"/>
    <x v="6"/>
    <x v="1"/>
    <x v="0"/>
    <n v="5"/>
    <x v="6"/>
    <x v="1"/>
    <n v="1"/>
    <x v="0"/>
    <x v="1"/>
    <n v="0.21210000000000001"/>
    <x v="28"/>
    <n v="0.25369999999999998"/>
    <n v="0"/>
    <n v="27"/>
    <n v="27"/>
  </r>
  <r>
    <n v="463"/>
    <x v="20"/>
    <n v="1"/>
    <n v="7"/>
    <x v="7"/>
    <x v="1"/>
    <x v="0"/>
    <n v="5"/>
    <x v="6"/>
    <x v="1"/>
    <n v="1"/>
    <x v="0"/>
    <x v="2"/>
    <n v="0.18179999999999999"/>
    <x v="33"/>
    <n v="0.28360000000000002"/>
    <n v="2"/>
    <n v="66"/>
    <n v="68"/>
  </r>
  <r>
    <n v="464"/>
    <x v="20"/>
    <n v="1"/>
    <n v="8"/>
    <x v="8"/>
    <x v="1"/>
    <x v="0"/>
    <n v="5"/>
    <x v="6"/>
    <x v="1"/>
    <n v="1"/>
    <x v="0"/>
    <x v="2"/>
    <n v="0.18179999999999999"/>
    <x v="19"/>
    <n v="0.32840000000000003"/>
    <n v="7"/>
    <n v="210"/>
    <n v="217"/>
  </r>
  <r>
    <n v="465"/>
    <x v="20"/>
    <n v="1"/>
    <n v="9"/>
    <x v="9"/>
    <x v="1"/>
    <x v="0"/>
    <n v="5"/>
    <x v="6"/>
    <x v="1"/>
    <n v="1"/>
    <x v="0"/>
    <x v="2"/>
    <n v="0.18179999999999999"/>
    <x v="33"/>
    <n v="0.35820000000000002"/>
    <n v="7"/>
    <n v="159"/>
    <n v="166"/>
  </r>
  <r>
    <n v="466"/>
    <x v="20"/>
    <n v="1"/>
    <n v="10"/>
    <x v="10"/>
    <x v="1"/>
    <x v="0"/>
    <n v="5"/>
    <x v="6"/>
    <x v="1"/>
    <n v="1"/>
    <x v="0"/>
    <x v="2"/>
    <n v="0.16669999999999999"/>
    <x v="19"/>
    <n v="0.4627"/>
    <n v="6"/>
    <n v="57"/>
    <n v="63"/>
  </r>
  <r>
    <n v="467"/>
    <x v="20"/>
    <n v="1"/>
    <n v="11"/>
    <x v="11"/>
    <x v="1"/>
    <x v="0"/>
    <n v="5"/>
    <x v="6"/>
    <x v="1"/>
    <n v="1"/>
    <x v="0"/>
    <x v="1"/>
    <n v="0.18179999999999999"/>
    <x v="48"/>
    <n v="0.4627"/>
    <n v="6"/>
    <n v="53"/>
    <n v="59"/>
  </r>
  <r>
    <n v="468"/>
    <x v="20"/>
    <n v="1"/>
    <n v="12"/>
    <x v="12"/>
    <x v="2"/>
    <x v="0"/>
    <n v="5"/>
    <x v="6"/>
    <x v="1"/>
    <n v="1"/>
    <x v="0"/>
    <x v="1"/>
    <n v="0.18179999999999999"/>
    <x v="57"/>
    <n v="0.58209999999999995"/>
    <n v="11"/>
    <n v="67"/>
    <n v="78"/>
  </r>
  <r>
    <n v="469"/>
    <x v="20"/>
    <n v="1"/>
    <n v="13"/>
    <x v="13"/>
    <x v="2"/>
    <x v="0"/>
    <n v="5"/>
    <x v="6"/>
    <x v="1"/>
    <n v="1"/>
    <x v="0"/>
    <x v="2"/>
    <n v="0.1515"/>
    <x v="58"/>
    <n v="0.58209999999999995"/>
    <n v="8"/>
    <n v="65"/>
    <n v="73"/>
  </r>
  <r>
    <n v="470"/>
    <x v="20"/>
    <n v="1"/>
    <n v="14"/>
    <x v="14"/>
    <x v="2"/>
    <x v="0"/>
    <n v="5"/>
    <x v="6"/>
    <x v="1"/>
    <n v="1"/>
    <x v="0"/>
    <x v="2"/>
    <n v="0.1515"/>
    <x v="59"/>
    <n v="0.52239999999999998"/>
    <n v="6"/>
    <n v="56"/>
    <n v="62"/>
  </r>
  <r>
    <n v="471"/>
    <x v="20"/>
    <n v="1"/>
    <n v="15"/>
    <x v="15"/>
    <x v="2"/>
    <x v="0"/>
    <n v="5"/>
    <x v="6"/>
    <x v="1"/>
    <n v="1"/>
    <x v="0"/>
    <x v="13"/>
    <n v="0.1212"/>
    <x v="60"/>
    <n v="0.44779999999999998"/>
    <n v="4"/>
    <n v="61"/>
    <n v="65"/>
  </r>
  <r>
    <n v="472"/>
    <x v="20"/>
    <n v="1"/>
    <n v="16"/>
    <x v="16"/>
    <x v="3"/>
    <x v="0"/>
    <n v="5"/>
    <x v="6"/>
    <x v="1"/>
    <n v="1"/>
    <x v="0"/>
    <x v="13"/>
    <n v="0.13639999999999999"/>
    <x v="60"/>
    <n v="0.35820000000000002"/>
    <n v="0"/>
    <n v="97"/>
    <n v="97"/>
  </r>
  <r>
    <n v="473"/>
    <x v="20"/>
    <n v="1"/>
    <n v="17"/>
    <x v="17"/>
    <x v="3"/>
    <x v="0"/>
    <n v="5"/>
    <x v="6"/>
    <x v="1"/>
    <n v="1"/>
    <x v="0"/>
    <x v="14"/>
    <n v="0.1212"/>
    <x v="40"/>
    <n v="0.35820000000000002"/>
    <n v="10"/>
    <n v="151"/>
    <n v="161"/>
  </r>
  <r>
    <n v="474"/>
    <x v="20"/>
    <n v="1"/>
    <n v="18"/>
    <x v="18"/>
    <x v="3"/>
    <x v="0"/>
    <n v="5"/>
    <x v="6"/>
    <x v="1"/>
    <n v="1"/>
    <x v="0"/>
    <x v="16"/>
    <n v="0.1212"/>
    <x v="24"/>
    <n v="0.25369999999999998"/>
    <n v="1"/>
    <n v="119"/>
    <n v="120"/>
  </r>
  <r>
    <n v="475"/>
    <x v="20"/>
    <n v="1"/>
    <n v="19"/>
    <x v="19"/>
    <x v="3"/>
    <x v="0"/>
    <n v="5"/>
    <x v="6"/>
    <x v="1"/>
    <n v="1"/>
    <x v="0"/>
    <x v="16"/>
    <n v="0.1061"/>
    <x v="24"/>
    <n v="0.32840000000000003"/>
    <n v="3"/>
    <n v="93"/>
    <n v="96"/>
  </r>
  <r>
    <n v="476"/>
    <x v="20"/>
    <n v="1"/>
    <n v="20"/>
    <x v="20"/>
    <x v="0"/>
    <x v="0"/>
    <n v="5"/>
    <x v="6"/>
    <x v="1"/>
    <n v="1"/>
    <x v="0"/>
    <x v="18"/>
    <n v="7.5800000000000006E-2"/>
    <x v="39"/>
    <n v="0.41789999999999999"/>
    <n v="1"/>
    <n v="52"/>
    <n v="53"/>
  </r>
  <r>
    <n v="477"/>
    <x v="20"/>
    <n v="1"/>
    <n v="21"/>
    <x v="21"/>
    <x v="0"/>
    <x v="0"/>
    <n v="5"/>
    <x v="6"/>
    <x v="1"/>
    <n v="1"/>
    <x v="0"/>
    <x v="19"/>
    <n v="7.5800000000000006E-2"/>
    <x v="41"/>
    <n v="0.28360000000000002"/>
    <n v="0"/>
    <n v="41"/>
    <n v="41"/>
  </r>
  <r>
    <n v="478"/>
    <x v="20"/>
    <n v="1"/>
    <n v="22"/>
    <x v="22"/>
    <x v="0"/>
    <x v="0"/>
    <n v="5"/>
    <x v="6"/>
    <x v="1"/>
    <n v="1"/>
    <x v="0"/>
    <x v="20"/>
    <n v="3.0300000000000001E-2"/>
    <x v="48"/>
    <n v="0.3881"/>
    <n v="1"/>
    <n v="33"/>
    <n v="34"/>
  </r>
  <r>
    <n v="479"/>
    <x v="20"/>
    <n v="1"/>
    <n v="23"/>
    <x v="23"/>
    <x v="0"/>
    <x v="0"/>
    <n v="5"/>
    <x v="6"/>
    <x v="1"/>
    <n v="1"/>
    <x v="0"/>
    <x v="20"/>
    <n v="4.5499999999999999E-2"/>
    <x v="41"/>
    <n v="0.32840000000000003"/>
    <n v="0"/>
    <n v="27"/>
    <n v="27"/>
  </r>
  <r>
    <n v="480"/>
    <x v="21"/>
    <n v="1"/>
    <n v="0"/>
    <x v="0"/>
    <x v="0"/>
    <x v="0"/>
    <n v="6"/>
    <x v="0"/>
    <x v="0"/>
    <n v="1"/>
    <x v="0"/>
    <x v="21"/>
    <n v="3.0300000000000001E-2"/>
    <x v="49"/>
    <n v="0.25369999999999998"/>
    <n v="0"/>
    <n v="13"/>
    <n v="13"/>
  </r>
  <r>
    <n v="481"/>
    <x v="21"/>
    <n v="1"/>
    <n v="1"/>
    <x v="1"/>
    <x v="0"/>
    <x v="0"/>
    <n v="6"/>
    <x v="0"/>
    <x v="0"/>
    <n v="2"/>
    <x v="1"/>
    <x v="21"/>
    <n v="0"/>
    <x v="48"/>
    <n v="0.3881"/>
    <n v="3"/>
    <n v="9"/>
    <n v="12"/>
  </r>
  <r>
    <n v="482"/>
    <x v="21"/>
    <n v="1"/>
    <n v="2"/>
    <x v="2"/>
    <x v="0"/>
    <x v="0"/>
    <n v="6"/>
    <x v="0"/>
    <x v="0"/>
    <n v="2"/>
    <x v="1"/>
    <x v="21"/>
    <n v="3.0300000000000001E-2"/>
    <x v="48"/>
    <n v="0.25369999999999998"/>
    <n v="0"/>
    <n v="11"/>
    <n v="11"/>
  </r>
  <r>
    <n v="483"/>
    <x v="21"/>
    <n v="1"/>
    <n v="3"/>
    <x v="3"/>
    <x v="0"/>
    <x v="0"/>
    <n v="6"/>
    <x v="0"/>
    <x v="0"/>
    <n v="2"/>
    <x v="1"/>
    <x v="21"/>
    <n v="3.0300000000000001E-2"/>
    <x v="48"/>
    <n v="0.28360000000000002"/>
    <n v="1"/>
    <n v="6"/>
    <n v="7"/>
  </r>
  <r>
    <n v="484"/>
    <x v="21"/>
    <n v="1"/>
    <n v="4"/>
    <x v="4"/>
    <x v="0"/>
    <x v="0"/>
    <n v="6"/>
    <x v="0"/>
    <x v="0"/>
    <n v="2"/>
    <x v="1"/>
    <x v="22"/>
    <n v="1.52E-2"/>
    <x v="37"/>
    <n v="0.29849999999999999"/>
    <n v="0"/>
    <n v="3"/>
    <n v="3"/>
  </r>
  <r>
    <n v="485"/>
    <x v="21"/>
    <n v="1"/>
    <n v="6"/>
    <x v="6"/>
    <x v="1"/>
    <x v="0"/>
    <n v="6"/>
    <x v="0"/>
    <x v="0"/>
    <n v="2"/>
    <x v="1"/>
    <x v="22"/>
    <n v="3.0300000000000001E-2"/>
    <x v="18"/>
    <n v="0.22389999999999999"/>
    <n v="0"/>
    <n v="2"/>
    <n v="2"/>
  </r>
  <r>
    <n v="486"/>
    <x v="21"/>
    <n v="1"/>
    <n v="7"/>
    <x v="7"/>
    <x v="1"/>
    <x v="0"/>
    <n v="6"/>
    <x v="0"/>
    <x v="0"/>
    <n v="1"/>
    <x v="0"/>
    <x v="22"/>
    <n v="1.52E-2"/>
    <x v="18"/>
    <n v="0.28360000000000002"/>
    <n v="0"/>
    <n v="8"/>
    <n v="8"/>
  </r>
  <r>
    <n v="487"/>
    <x v="21"/>
    <n v="1"/>
    <n v="8"/>
    <x v="8"/>
    <x v="1"/>
    <x v="0"/>
    <n v="6"/>
    <x v="0"/>
    <x v="0"/>
    <n v="1"/>
    <x v="0"/>
    <x v="22"/>
    <n v="0"/>
    <x v="18"/>
    <n v="0.32840000000000003"/>
    <n v="1"/>
    <n v="26"/>
    <n v="27"/>
  </r>
  <r>
    <n v="488"/>
    <x v="21"/>
    <n v="1"/>
    <n v="9"/>
    <x v="9"/>
    <x v="1"/>
    <x v="0"/>
    <n v="6"/>
    <x v="0"/>
    <x v="0"/>
    <n v="1"/>
    <x v="0"/>
    <x v="21"/>
    <n v="3.0300000000000001E-2"/>
    <x v="48"/>
    <n v="0.25369999999999998"/>
    <n v="3"/>
    <n v="37"/>
    <n v="40"/>
  </r>
  <r>
    <n v="489"/>
    <x v="21"/>
    <n v="1"/>
    <n v="10"/>
    <x v="10"/>
    <x v="1"/>
    <x v="0"/>
    <n v="6"/>
    <x v="0"/>
    <x v="0"/>
    <n v="2"/>
    <x v="1"/>
    <x v="21"/>
    <n v="6.0600000000000001E-2"/>
    <x v="48"/>
    <n v="0.16420000000000001"/>
    <n v="3"/>
    <n v="50"/>
    <n v="53"/>
  </r>
  <r>
    <n v="490"/>
    <x v="21"/>
    <n v="1"/>
    <n v="11"/>
    <x v="11"/>
    <x v="1"/>
    <x v="0"/>
    <n v="6"/>
    <x v="0"/>
    <x v="0"/>
    <n v="2"/>
    <x v="1"/>
    <x v="20"/>
    <n v="7.5800000000000006E-2"/>
    <x v="41"/>
    <n v="0.1343"/>
    <n v="4"/>
    <n v="59"/>
    <n v="63"/>
  </r>
  <r>
    <n v="491"/>
    <x v="21"/>
    <n v="1"/>
    <n v="12"/>
    <x v="12"/>
    <x v="2"/>
    <x v="0"/>
    <n v="6"/>
    <x v="0"/>
    <x v="0"/>
    <n v="2"/>
    <x v="1"/>
    <x v="20"/>
    <n v="0.1061"/>
    <x v="41"/>
    <n v="0.1045"/>
    <n v="10"/>
    <n v="60"/>
    <n v="70"/>
  </r>
  <r>
    <n v="492"/>
    <x v="21"/>
    <n v="1"/>
    <n v="13"/>
    <x v="13"/>
    <x v="2"/>
    <x v="0"/>
    <n v="6"/>
    <x v="0"/>
    <x v="0"/>
    <n v="1"/>
    <x v="0"/>
    <x v="19"/>
    <n v="0.16669999999999999"/>
    <x v="23"/>
    <n v="0"/>
    <n v="12"/>
    <n v="72"/>
    <n v="84"/>
  </r>
  <r>
    <n v="493"/>
    <x v="21"/>
    <n v="1"/>
    <n v="14"/>
    <x v="14"/>
    <x v="2"/>
    <x v="0"/>
    <n v="6"/>
    <x v="0"/>
    <x v="0"/>
    <n v="1"/>
    <x v="0"/>
    <x v="18"/>
    <n v="0.13639999999999999"/>
    <x v="39"/>
    <n v="0.1045"/>
    <n v="11"/>
    <n v="64"/>
    <n v="75"/>
  </r>
  <r>
    <n v="494"/>
    <x v="21"/>
    <n v="1"/>
    <n v="15"/>
    <x v="15"/>
    <x v="2"/>
    <x v="0"/>
    <n v="6"/>
    <x v="0"/>
    <x v="0"/>
    <n v="1"/>
    <x v="0"/>
    <x v="16"/>
    <n v="0.1515"/>
    <x v="40"/>
    <n v="0"/>
    <n v="10"/>
    <n v="93"/>
    <n v="103"/>
  </r>
  <r>
    <n v="495"/>
    <x v="21"/>
    <n v="1"/>
    <n v="16"/>
    <x v="16"/>
    <x v="3"/>
    <x v="0"/>
    <n v="6"/>
    <x v="0"/>
    <x v="0"/>
    <n v="1"/>
    <x v="0"/>
    <x v="16"/>
    <n v="0.13639999999999999"/>
    <x v="40"/>
    <n v="0.19400000000000001"/>
    <n v="11"/>
    <n v="72"/>
    <n v="83"/>
  </r>
  <r>
    <n v="496"/>
    <x v="21"/>
    <n v="1"/>
    <n v="17"/>
    <x v="17"/>
    <x v="3"/>
    <x v="0"/>
    <n v="6"/>
    <x v="0"/>
    <x v="0"/>
    <n v="1"/>
    <x v="0"/>
    <x v="16"/>
    <n v="0.19700000000000001"/>
    <x v="40"/>
    <n v="0"/>
    <n v="8"/>
    <n v="59"/>
    <n v="67"/>
  </r>
  <r>
    <n v="497"/>
    <x v="21"/>
    <n v="1"/>
    <n v="18"/>
    <x v="18"/>
    <x v="3"/>
    <x v="0"/>
    <n v="6"/>
    <x v="0"/>
    <x v="0"/>
    <n v="1"/>
    <x v="0"/>
    <x v="19"/>
    <n v="9.0899999999999995E-2"/>
    <x v="23"/>
    <n v="0.19400000000000001"/>
    <n v="0"/>
    <n v="54"/>
    <n v="54"/>
  </r>
  <r>
    <n v="498"/>
    <x v="21"/>
    <n v="1"/>
    <n v="19"/>
    <x v="19"/>
    <x v="3"/>
    <x v="0"/>
    <n v="6"/>
    <x v="0"/>
    <x v="0"/>
    <n v="1"/>
    <x v="0"/>
    <x v="19"/>
    <n v="0.1061"/>
    <x v="23"/>
    <n v="0.1343"/>
    <n v="6"/>
    <n v="53"/>
    <n v="59"/>
  </r>
  <r>
    <n v="499"/>
    <x v="21"/>
    <n v="1"/>
    <n v="20"/>
    <x v="20"/>
    <x v="0"/>
    <x v="0"/>
    <n v="6"/>
    <x v="0"/>
    <x v="0"/>
    <n v="1"/>
    <x v="0"/>
    <x v="20"/>
    <n v="7.5800000000000006E-2"/>
    <x v="49"/>
    <n v="0.16420000000000001"/>
    <n v="1"/>
    <n v="44"/>
    <n v="45"/>
  </r>
  <r>
    <n v="500"/>
    <x v="21"/>
    <n v="1"/>
    <n v="21"/>
    <x v="21"/>
    <x v="0"/>
    <x v="0"/>
    <n v="6"/>
    <x v="0"/>
    <x v="0"/>
    <n v="1"/>
    <x v="0"/>
    <x v="20"/>
    <n v="0.1061"/>
    <x v="48"/>
    <n v="8.9599999999999999E-2"/>
    <n v="0"/>
    <n v="39"/>
    <n v="39"/>
  </r>
  <r>
    <n v="501"/>
    <x v="21"/>
    <n v="1"/>
    <n v="22"/>
    <x v="22"/>
    <x v="0"/>
    <x v="0"/>
    <n v="6"/>
    <x v="0"/>
    <x v="0"/>
    <n v="1"/>
    <x v="0"/>
    <x v="20"/>
    <n v="0.1515"/>
    <x v="36"/>
    <n v="0"/>
    <n v="7"/>
    <n v="23"/>
    <n v="30"/>
  </r>
  <r>
    <n v="502"/>
    <x v="21"/>
    <n v="1"/>
    <n v="23"/>
    <x v="23"/>
    <x v="0"/>
    <x v="0"/>
    <n v="6"/>
    <x v="0"/>
    <x v="0"/>
    <n v="1"/>
    <x v="0"/>
    <x v="21"/>
    <n v="7.5800000000000006E-2"/>
    <x v="14"/>
    <n v="0.1045"/>
    <n v="2"/>
    <n v="31"/>
    <n v="33"/>
  </r>
  <r>
    <n v="503"/>
    <x v="22"/>
    <n v="1"/>
    <n v="0"/>
    <x v="0"/>
    <x v="0"/>
    <x v="0"/>
    <n v="0"/>
    <x v="1"/>
    <x v="0"/>
    <n v="1"/>
    <x v="0"/>
    <x v="21"/>
    <n v="7.5800000000000006E-2"/>
    <x v="14"/>
    <n v="0.1045"/>
    <n v="2"/>
    <n v="20"/>
    <n v="22"/>
  </r>
  <r>
    <n v="504"/>
    <x v="22"/>
    <n v="1"/>
    <n v="1"/>
    <x v="1"/>
    <x v="0"/>
    <x v="0"/>
    <n v="0"/>
    <x v="1"/>
    <x v="0"/>
    <n v="1"/>
    <x v="0"/>
    <x v="21"/>
    <n v="7.5800000000000006E-2"/>
    <x v="14"/>
    <n v="0.1045"/>
    <n v="1"/>
    <n v="12"/>
    <n v="13"/>
  </r>
  <r>
    <n v="505"/>
    <x v="22"/>
    <n v="1"/>
    <n v="2"/>
    <x v="2"/>
    <x v="0"/>
    <x v="0"/>
    <n v="0"/>
    <x v="1"/>
    <x v="0"/>
    <n v="1"/>
    <x v="0"/>
    <x v="22"/>
    <n v="6.0600000000000001E-2"/>
    <x v="51"/>
    <n v="0.1343"/>
    <n v="3"/>
    <n v="15"/>
    <n v="18"/>
  </r>
  <r>
    <n v="506"/>
    <x v="22"/>
    <n v="1"/>
    <n v="3"/>
    <x v="3"/>
    <x v="0"/>
    <x v="0"/>
    <n v="0"/>
    <x v="1"/>
    <x v="0"/>
    <n v="1"/>
    <x v="0"/>
    <x v="22"/>
    <n v="6.0600000000000001E-2"/>
    <x v="51"/>
    <n v="0.1343"/>
    <n v="1"/>
    <n v="4"/>
    <n v="5"/>
  </r>
  <r>
    <n v="507"/>
    <x v="22"/>
    <n v="1"/>
    <n v="5"/>
    <x v="5"/>
    <x v="1"/>
    <x v="0"/>
    <n v="0"/>
    <x v="1"/>
    <x v="0"/>
    <n v="2"/>
    <x v="1"/>
    <x v="21"/>
    <n v="7.5800000000000006E-2"/>
    <x v="14"/>
    <n v="0.1045"/>
    <n v="0"/>
    <n v="3"/>
    <n v="3"/>
  </r>
  <r>
    <n v="508"/>
    <x v="22"/>
    <n v="1"/>
    <n v="6"/>
    <x v="6"/>
    <x v="1"/>
    <x v="0"/>
    <n v="0"/>
    <x v="1"/>
    <x v="0"/>
    <n v="2"/>
    <x v="1"/>
    <x v="21"/>
    <n v="7.5800000000000006E-2"/>
    <x v="14"/>
    <n v="0.1045"/>
    <n v="0"/>
    <n v="1"/>
    <n v="1"/>
  </r>
  <r>
    <n v="509"/>
    <x v="22"/>
    <n v="1"/>
    <n v="7"/>
    <x v="7"/>
    <x v="1"/>
    <x v="0"/>
    <n v="0"/>
    <x v="1"/>
    <x v="0"/>
    <n v="1"/>
    <x v="0"/>
    <x v="19"/>
    <n v="0.1061"/>
    <x v="52"/>
    <n v="0.16420000000000001"/>
    <n v="1"/>
    <n v="1"/>
    <n v="2"/>
  </r>
  <r>
    <n v="510"/>
    <x v="22"/>
    <n v="1"/>
    <n v="8"/>
    <x v="8"/>
    <x v="1"/>
    <x v="0"/>
    <n v="0"/>
    <x v="1"/>
    <x v="0"/>
    <n v="1"/>
    <x v="0"/>
    <x v="20"/>
    <n v="7.5800000000000006E-2"/>
    <x v="51"/>
    <n v="0.16420000000000001"/>
    <n v="2"/>
    <n v="17"/>
    <n v="19"/>
  </r>
  <r>
    <n v="511"/>
    <x v="22"/>
    <n v="1"/>
    <n v="9"/>
    <x v="9"/>
    <x v="1"/>
    <x v="0"/>
    <n v="0"/>
    <x v="1"/>
    <x v="0"/>
    <n v="1"/>
    <x v="0"/>
    <x v="18"/>
    <n v="7.5800000000000006E-2"/>
    <x v="47"/>
    <n v="0.35820000000000002"/>
    <n v="3"/>
    <n v="25"/>
    <n v="28"/>
  </r>
  <r>
    <n v="512"/>
    <x v="22"/>
    <n v="1"/>
    <n v="10"/>
    <x v="10"/>
    <x v="1"/>
    <x v="0"/>
    <n v="0"/>
    <x v="1"/>
    <x v="0"/>
    <n v="1"/>
    <x v="0"/>
    <x v="14"/>
    <n v="0.1061"/>
    <x v="15"/>
    <n v="0.3881"/>
    <n v="7"/>
    <n v="51"/>
    <n v="58"/>
  </r>
  <r>
    <n v="513"/>
    <x v="22"/>
    <n v="1"/>
    <n v="11"/>
    <x v="11"/>
    <x v="1"/>
    <x v="0"/>
    <n v="0"/>
    <x v="1"/>
    <x v="0"/>
    <n v="1"/>
    <x v="0"/>
    <x v="14"/>
    <n v="0.13639999999999999"/>
    <x v="21"/>
    <n v="0.22389999999999999"/>
    <n v="22"/>
    <n v="77"/>
    <n v="99"/>
  </r>
  <r>
    <n v="514"/>
    <x v="22"/>
    <n v="1"/>
    <n v="12"/>
    <x v="12"/>
    <x v="2"/>
    <x v="0"/>
    <n v="0"/>
    <x v="1"/>
    <x v="0"/>
    <n v="1"/>
    <x v="0"/>
    <x v="13"/>
    <n v="0.1212"/>
    <x v="38"/>
    <n v="0.4627"/>
    <n v="24"/>
    <n v="92"/>
    <n v="116"/>
  </r>
  <r>
    <n v="515"/>
    <x v="22"/>
    <n v="1"/>
    <n v="13"/>
    <x v="13"/>
    <x v="2"/>
    <x v="0"/>
    <n v="0"/>
    <x v="1"/>
    <x v="0"/>
    <n v="1"/>
    <x v="0"/>
    <x v="14"/>
    <n v="0.1061"/>
    <x v="39"/>
    <n v="0.3881"/>
    <n v="12"/>
    <n v="75"/>
    <n v="87"/>
  </r>
  <r>
    <n v="516"/>
    <x v="22"/>
    <n v="1"/>
    <n v="14"/>
    <x v="14"/>
    <x v="2"/>
    <x v="0"/>
    <n v="0"/>
    <x v="1"/>
    <x v="0"/>
    <n v="1"/>
    <x v="0"/>
    <x v="13"/>
    <n v="0.13639999999999999"/>
    <x v="40"/>
    <n v="0.35820000000000002"/>
    <n v="17"/>
    <n v="93"/>
    <n v="110"/>
  </r>
  <r>
    <n v="517"/>
    <x v="22"/>
    <n v="1"/>
    <n v="15"/>
    <x v="15"/>
    <x v="2"/>
    <x v="0"/>
    <n v="0"/>
    <x v="1"/>
    <x v="0"/>
    <n v="1"/>
    <x v="0"/>
    <x v="13"/>
    <n v="0.13639999999999999"/>
    <x v="40"/>
    <n v="0.35820000000000002"/>
    <n v="13"/>
    <n v="64"/>
    <n v="77"/>
  </r>
  <r>
    <n v="518"/>
    <x v="22"/>
    <n v="1"/>
    <n v="16"/>
    <x v="16"/>
    <x v="3"/>
    <x v="0"/>
    <n v="0"/>
    <x v="1"/>
    <x v="0"/>
    <n v="1"/>
    <x v="0"/>
    <x v="13"/>
    <n v="0.13639999999999999"/>
    <x v="60"/>
    <n v="0.32840000000000003"/>
    <n v="9"/>
    <n v="56"/>
    <n v="65"/>
  </r>
  <r>
    <n v="519"/>
    <x v="22"/>
    <n v="1"/>
    <n v="17"/>
    <x v="17"/>
    <x v="3"/>
    <x v="0"/>
    <n v="0"/>
    <x v="1"/>
    <x v="0"/>
    <n v="1"/>
    <x v="0"/>
    <x v="14"/>
    <n v="0.1061"/>
    <x v="60"/>
    <n v="0.3881"/>
    <n v="5"/>
    <n v="50"/>
    <n v="55"/>
  </r>
  <r>
    <n v="520"/>
    <x v="22"/>
    <n v="1"/>
    <n v="18"/>
    <x v="18"/>
    <x v="3"/>
    <x v="0"/>
    <n v="0"/>
    <x v="1"/>
    <x v="0"/>
    <n v="1"/>
    <x v="0"/>
    <x v="16"/>
    <n v="0.1212"/>
    <x v="24"/>
    <n v="0.25369999999999998"/>
    <n v="5"/>
    <n v="44"/>
    <n v="49"/>
  </r>
  <r>
    <n v="521"/>
    <x v="22"/>
    <n v="1"/>
    <n v="19"/>
    <x v="19"/>
    <x v="3"/>
    <x v="0"/>
    <n v="0"/>
    <x v="1"/>
    <x v="0"/>
    <n v="1"/>
    <x v="0"/>
    <x v="16"/>
    <n v="0.1212"/>
    <x v="24"/>
    <n v="0.28360000000000002"/>
    <n v="5"/>
    <n v="45"/>
    <n v="50"/>
  </r>
  <r>
    <n v="522"/>
    <x v="22"/>
    <n v="1"/>
    <n v="20"/>
    <x v="20"/>
    <x v="0"/>
    <x v="0"/>
    <n v="0"/>
    <x v="1"/>
    <x v="0"/>
    <n v="1"/>
    <x v="0"/>
    <x v="18"/>
    <n v="0.1061"/>
    <x v="42"/>
    <n v="0.25369999999999998"/>
    <n v="4"/>
    <n v="31"/>
    <n v="35"/>
  </r>
  <r>
    <n v="523"/>
    <x v="22"/>
    <n v="1"/>
    <n v="21"/>
    <x v="21"/>
    <x v="0"/>
    <x v="0"/>
    <n v="0"/>
    <x v="1"/>
    <x v="0"/>
    <n v="1"/>
    <x v="0"/>
    <x v="18"/>
    <n v="0.1061"/>
    <x v="42"/>
    <n v="0.19400000000000001"/>
    <n v="5"/>
    <n v="20"/>
    <n v="25"/>
  </r>
  <r>
    <n v="524"/>
    <x v="22"/>
    <n v="1"/>
    <n v="22"/>
    <x v="22"/>
    <x v="0"/>
    <x v="0"/>
    <n v="0"/>
    <x v="1"/>
    <x v="0"/>
    <n v="1"/>
    <x v="0"/>
    <x v="19"/>
    <n v="9.0899999999999995E-2"/>
    <x v="41"/>
    <n v="0.19400000000000001"/>
    <n v="5"/>
    <n v="23"/>
    <n v="28"/>
  </r>
  <r>
    <n v="525"/>
    <x v="22"/>
    <n v="1"/>
    <n v="23"/>
    <x v="23"/>
    <x v="0"/>
    <x v="0"/>
    <n v="0"/>
    <x v="1"/>
    <x v="0"/>
    <n v="1"/>
    <x v="0"/>
    <x v="20"/>
    <n v="6.0600000000000001E-2"/>
    <x v="48"/>
    <n v="0.22389999999999999"/>
    <n v="4"/>
    <n v="17"/>
    <n v="21"/>
  </r>
  <r>
    <n v="526"/>
    <x v="23"/>
    <n v="1"/>
    <n v="0"/>
    <x v="0"/>
    <x v="0"/>
    <x v="0"/>
    <n v="1"/>
    <x v="2"/>
    <x v="1"/>
    <n v="1"/>
    <x v="0"/>
    <x v="20"/>
    <n v="6.0600000000000001E-2"/>
    <x v="48"/>
    <n v="0.19400000000000001"/>
    <n v="0"/>
    <n v="7"/>
    <n v="7"/>
  </r>
  <r>
    <n v="527"/>
    <x v="23"/>
    <n v="1"/>
    <n v="1"/>
    <x v="1"/>
    <x v="0"/>
    <x v="0"/>
    <n v="1"/>
    <x v="2"/>
    <x v="1"/>
    <n v="1"/>
    <x v="0"/>
    <x v="21"/>
    <n v="4.5499999999999999E-2"/>
    <x v="49"/>
    <n v="0.19400000000000001"/>
    <n v="0"/>
    <n v="1"/>
    <n v="1"/>
  </r>
  <r>
    <n v="528"/>
    <x v="23"/>
    <n v="1"/>
    <n v="3"/>
    <x v="3"/>
    <x v="0"/>
    <x v="0"/>
    <n v="1"/>
    <x v="2"/>
    <x v="1"/>
    <n v="1"/>
    <x v="0"/>
    <x v="21"/>
    <n v="3.0300000000000001E-2"/>
    <x v="49"/>
    <n v="0.25369999999999998"/>
    <n v="0"/>
    <n v="1"/>
    <n v="1"/>
  </r>
  <r>
    <n v="529"/>
    <x v="23"/>
    <n v="1"/>
    <n v="4"/>
    <x v="4"/>
    <x v="0"/>
    <x v="0"/>
    <n v="1"/>
    <x v="2"/>
    <x v="1"/>
    <n v="1"/>
    <x v="0"/>
    <x v="22"/>
    <n v="6.0600000000000001E-2"/>
    <x v="37"/>
    <n v="0.1343"/>
    <n v="0"/>
    <n v="1"/>
    <n v="1"/>
  </r>
  <r>
    <n v="530"/>
    <x v="23"/>
    <n v="1"/>
    <n v="5"/>
    <x v="5"/>
    <x v="1"/>
    <x v="0"/>
    <n v="1"/>
    <x v="2"/>
    <x v="1"/>
    <n v="1"/>
    <x v="0"/>
    <x v="22"/>
    <n v="6.0600000000000001E-2"/>
    <x v="37"/>
    <n v="0.1343"/>
    <n v="0"/>
    <n v="5"/>
    <n v="5"/>
  </r>
  <r>
    <n v="531"/>
    <x v="23"/>
    <n v="1"/>
    <n v="6"/>
    <x v="6"/>
    <x v="1"/>
    <x v="0"/>
    <n v="1"/>
    <x v="2"/>
    <x v="1"/>
    <n v="1"/>
    <x v="0"/>
    <x v="22"/>
    <n v="7.5800000000000006E-2"/>
    <x v="37"/>
    <n v="8.9599999999999999E-2"/>
    <n v="0"/>
    <n v="15"/>
    <n v="15"/>
  </r>
  <r>
    <n v="532"/>
    <x v="23"/>
    <n v="1"/>
    <n v="7"/>
    <x v="7"/>
    <x v="1"/>
    <x v="0"/>
    <n v="1"/>
    <x v="2"/>
    <x v="1"/>
    <n v="1"/>
    <x v="0"/>
    <x v="22"/>
    <n v="0.1212"/>
    <x v="37"/>
    <n v="0"/>
    <n v="5"/>
    <n v="79"/>
    <n v="84"/>
  </r>
  <r>
    <n v="533"/>
    <x v="23"/>
    <n v="1"/>
    <n v="8"/>
    <x v="8"/>
    <x v="1"/>
    <x v="0"/>
    <n v="1"/>
    <x v="2"/>
    <x v="1"/>
    <n v="1"/>
    <x v="0"/>
    <x v="21"/>
    <n v="0.13639999999999999"/>
    <x v="36"/>
    <n v="0"/>
    <n v="6"/>
    <n v="171"/>
    <n v="177"/>
  </r>
  <r>
    <n v="534"/>
    <x v="23"/>
    <n v="1"/>
    <n v="9"/>
    <x v="9"/>
    <x v="1"/>
    <x v="0"/>
    <n v="1"/>
    <x v="2"/>
    <x v="1"/>
    <n v="1"/>
    <x v="0"/>
    <x v="20"/>
    <n v="0.1515"/>
    <x v="48"/>
    <n v="0"/>
    <n v="4"/>
    <n v="98"/>
    <n v="102"/>
  </r>
  <r>
    <n v="535"/>
    <x v="23"/>
    <n v="1"/>
    <n v="10"/>
    <x v="10"/>
    <x v="1"/>
    <x v="0"/>
    <n v="1"/>
    <x v="2"/>
    <x v="1"/>
    <n v="1"/>
    <x v="0"/>
    <x v="18"/>
    <n v="0.13639999999999999"/>
    <x v="16"/>
    <n v="0"/>
    <n v="6"/>
    <n v="34"/>
    <n v="40"/>
  </r>
  <r>
    <n v="536"/>
    <x v="23"/>
    <n v="1"/>
    <n v="11"/>
    <x v="11"/>
    <x v="1"/>
    <x v="0"/>
    <n v="1"/>
    <x v="2"/>
    <x v="1"/>
    <n v="1"/>
    <x v="0"/>
    <x v="18"/>
    <n v="0.1212"/>
    <x v="15"/>
    <n v="0.1343"/>
    <n v="3"/>
    <n v="43"/>
    <n v="46"/>
  </r>
  <r>
    <n v="537"/>
    <x v="23"/>
    <n v="1"/>
    <n v="12"/>
    <x v="12"/>
    <x v="2"/>
    <x v="0"/>
    <n v="1"/>
    <x v="2"/>
    <x v="1"/>
    <n v="2"/>
    <x v="1"/>
    <x v="16"/>
    <n v="0.13639999999999999"/>
    <x v="16"/>
    <n v="0.19400000000000001"/>
    <n v="11"/>
    <n v="52"/>
    <n v="63"/>
  </r>
  <r>
    <n v="538"/>
    <x v="23"/>
    <n v="1"/>
    <n v="13"/>
    <x v="13"/>
    <x v="2"/>
    <x v="0"/>
    <n v="1"/>
    <x v="2"/>
    <x v="1"/>
    <n v="2"/>
    <x v="1"/>
    <x v="14"/>
    <n v="0.13639999999999999"/>
    <x v="21"/>
    <n v="0.22389999999999999"/>
    <n v="6"/>
    <n v="54"/>
    <n v="60"/>
  </r>
  <r>
    <n v="539"/>
    <x v="23"/>
    <n v="1"/>
    <n v="14"/>
    <x v="14"/>
    <x v="2"/>
    <x v="0"/>
    <n v="1"/>
    <x v="2"/>
    <x v="1"/>
    <n v="2"/>
    <x v="1"/>
    <x v="14"/>
    <n v="0.13639999999999999"/>
    <x v="15"/>
    <n v="0.22389999999999999"/>
    <n v="2"/>
    <n v="43"/>
    <n v="45"/>
  </r>
  <r>
    <n v="540"/>
    <x v="23"/>
    <n v="1"/>
    <n v="15"/>
    <x v="15"/>
    <x v="2"/>
    <x v="0"/>
    <n v="1"/>
    <x v="2"/>
    <x v="1"/>
    <n v="1"/>
    <x v="0"/>
    <x v="13"/>
    <n v="0.16669999999999999"/>
    <x v="22"/>
    <n v="0.16420000000000001"/>
    <n v="7"/>
    <n v="50"/>
    <n v="57"/>
  </r>
  <r>
    <n v="541"/>
    <x v="23"/>
    <n v="1"/>
    <n v="16"/>
    <x v="16"/>
    <x v="3"/>
    <x v="0"/>
    <n v="1"/>
    <x v="2"/>
    <x v="1"/>
    <n v="1"/>
    <x v="0"/>
    <x v="13"/>
    <n v="0.1515"/>
    <x v="19"/>
    <n v="0.25369999999999998"/>
    <n v="4"/>
    <n v="66"/>
    <n v="70"/>
  </r>
  <r>
    <n v="542"/>
    <x v="23"/>
    <n v="1"/>
    <n v="17"/>
    <x v="17"/>
    <x v="3"/>
    <x v="0"/>
    <n v="1"/>
    <x v="2"/>
    <x v="1"/>
    <n v="1"/>
    <x v="0"/>
    <x v="14"/>
    <n v="0.1212"/>
    <x v="20"/>
    <n v="0.25369999999999998"/>
    <n v="6"/>
    <n v="178"/>
    <n v="184"/>
  </r>
  <r>
    <n v="543"/>
    <x v="23"/>
    <n v="1"/>
    <n v="18"/>
    <x v="18"/>
    <x v="3"/>
    <x v="0"/>
    <n v="1"/>
    <x v="2"/>
    <x v="1"/>
    <n v="1"/>
    <x v="0"/>
    <x v="14"/>
    <n v="0.13639999999999999"/>
    <x v="29"/>
    <n v="0.19400000000000001"/>
    <n v="8"/>
    <n v="145"/>
    <n v="153"/>
  </r>
  <r>
    <n v="544"/>
    <x v="23"/>
    <n v="1"/>
    <n v="19"/>
    <x v="19"/>
    <x v="3"/>
    <x v="0"/>
    <n v="1"/>
    <x v="2"/>
    <x v="1"/>
    <n v="1"/>
    <x v="0"/>
    <x v="14"/>
    <n v="0.1515"/>
    <x v="47"/>
    <n v="0.16420000000000001"/>
    <n v="5"/>
    <n v="101"/>
    <n v="106"/>
  </r>
  <r>
    <n v="545"/>
    <x v="23"/>
    <n v="1"/>
    <n v="20"/>
    <x v="20"/>
    <x v="0"/>
    <x v="0"/>
    <n v="1"/>
    <x v="2"/>
    <x v="1"/>
    <n v="1"/>
    <x v="0"/>
    <x v="14"/>
    <n v="0.13639999999999999"/>
    <x v="29"/>
    <n v="0.19400000000000001"/>
    <n v="1"/>
    <n v="80"/>
    <n v="81"/>
  </r>
  <r>
    <n v="546"/>
    <x v="23"/>
    <n v="1"/>
    <n v="21"/>
    <x v="21"/>
    <x v="0"/>
    <x v="0"/>
    <n v="1"/>
    <x v="2"/>
    <x v="1"/>
    <n v="1"/>
    <x v="0"/>
    <x v="14"/>
    <n v="0.1515"/>
    <x v="30"/>
    <n v="0.16420000000000001"/>
    <n v="6"/>
    <n v="53"/>
    <n v="59"/>
  </r>
  <r>
    <n v="547"/>
    <x v="23"/>
    <n v="1"/>
    <n v="22"/>
    <x v="22"/>
    <x v="0"/>
    <x v="0"/>
    <n v="1"/>
    <x v="2"/>
    <x v="1"/>
    <n v="2"/>
    <x v="1"/>
    <x v="14"/>
    <n v="0.13639999999999999"/>
    <x v="30"/>
    <n v="0.22389999999999999"/>
    <n v="3"/>
    <n v="32"/>
    <n v="35"/>
  </r>
  <r>
    <n v="548"/>
    <x v="23"/>
    <n v="1"/>
    <n v="23"/>
    <x v="23"/>
    <x v="0"/>
    <x v="0"/>
    <n v="1"/>
    <x v="2"/>
    <x v="1"/>
    <n v="2"/>
    <x v="1"/>
    <x v="13"/>
    <n v="0.1515"/>
    <x v="26"/>
    <n v="0.25369999999999998"/>
    <n v="3"/>
    <n v="21"/>
    <n v="24"/>
  </r>
  <r>
    <n v="549"/>
    <x v="24"/>
    <n v="1"/>
    <n v="0"/>
    <x v="0"/>
    <x v="0"/>
    <x v="0"/>
    <n v="2"/>
    <x v="3"/>
    <x v="1"/>
    <n v="2"/>
    <x v="1"/>
    <x v="13"/>
    <n v="0.13639999999999999"/>
    <x v="27"/>
    <n v="0.28360000000000002"/>
    <n v="3"/>
    <n v="6"/>
    <n v="9"/>
  </r>
  <r>
    <n v="550"/>
    <x v="24"/>
    <n v="1"/>
    <n v="1"/>
    <x v="1"/>
    <x v="0"/>
    <x v="0"/>
    <n v="2"/>
    <x v="3"/>
    <x v="1"/>
    <n v="2"/>
    <x v="1"/>
    <x v="13"/>
    <n v="0.16669999999999999"/>
    <x v="27"/>
    <n v="0.16420000000000001"/>
    <n v="0"/>
    <n v="5"/>
    <n v="5"/>
  </r>
  <r>
    <n v="551"/>
    <x v="24"/>
    <n v="1"/>
    <n v="2"/>
    <x v="2"/>
    <x v="0"/>
    <x v="0"/>
    <n v="2"/>
    <x v="3"/>
    <x v="1"/>
    <n v="1"/>
    <x v="0"/>
    <x v="13"/>
    <n v="0.1515"/>
    <x v="27"/>
    <n v="0.22389999999999999"/>
    <n v="0"/>
    <n v="2"/>
    <n v="2"/>
  </r>
  <r>
    <n v="552"/>
    <x v="24"/>
    <n v="1"/>
    <n v="4"/>
    <x v="4"/>
    <x v="0"/>
    <x v="0"/>
    <n v="2"/>
    <x v="3"/>
    <x v="1"/>
    <n v="1"/>
    <x v="0"/>
    <x v="14"/>
    <n v="0.16669999999999999"/>
    <x v="32"/>
    <n v="0.1045"/>
    <n v="0"/>
    <n v="1"/>
    <n v="1"/>
  </r>
  <r>
    <n v="553"/>
    <x v="24"/>
    <n v="1"/>
    <n v="5"/>
    <x v="5"/>
    <x v="1"/>
    <x v="0"/>
    <n v="2"/>
    <x v="3"/>
    <x v="1"/>
    <n v="1"/>
    <x v="0"/>
    <x v="14"/>
    <n v="0.13639999999999999"/>
    <x v="32"/>
    <n v="0.22389999999999999"/>
    <n v="0"/>
    <n v="9"/>
    <n v="9"/>
  </r>
  <r>
    <n v="554"/>
    <x v="24"/>
    <n v="1"/>
    <n v="6"/>
    <x v="6"/>
    <x v="1"/>
    <x v="0"/>
    <n v="2"/>
    <x v="3"/>
    <x v="1"/>
    <n v="1"/>
    <x v="0"/>
    <x v="13"/>
    <n v="0.18179999999999999"/>
    <x v="32"/>
    <n v="0.1045"/>
    <n v="1"/>
    <n v="35"/>
    <n v="36"/>
  </r>
  <r>
    <n v="555"/>
    <x v="24"/>
    <n v="1"/>
    <n v="7"/>
    <x v="7"/>
    <x v="1"/>
    <x v="0"/>
    <n v="2"/>
    <x v="3"/>
    <x v="1"/>
    <n v="1"/>
    <x v="0"/>
    <x v="13"/>
    <n v="0.1515"/>
    <x v="32"/>
    <n v="0.22389999999999999"/>
    <n v="5"/>
    <n v="103"/>
    <n v="108"/>
  </r>
  <r>
    <n v="556"/>
    <x v="24"/>
    <n v="1"/>
    <n v="8"/>
    <x v="8"/>
    <x v="1"/>
    <x v="0"/>
    <n v="2"/>
    <x v="3"/>
    <x v="1"/>
    <n v="2"/>
    <x v="1"/>
    <x v="13"/>
    <n v="0.18179999999999999"/>
    <x v="32"/>
    <n v="0.1343"/>
    <n v="5"/>
    <n v="233"/>
    <n v="238"/>
  </r>
  <r>
    <n v="557"/>
    <x v="24"/>
    <n v="1"/>
    <n v="9"/>
    <x v="9"/>
    <x v="1"/>
    <x v="0"/>
    <n v="2"/>
    <x v="3"/>
    <x v="1"/>
    <n v="2"/>
    <x v="1"/>
    <x v="2"/>
    <n v="0.2273"/>
    <x v="26"/>
    <n v="8.9599999999999999E-2"/>
    <n v="10"/>
    <n v="134"/>
    <n v="144"/>
  </r>
  <r>
    <n v="558"/>
    <x v="24"/>
    <n v="1"/>
    <n v="10"/>
    <x v="10"/>
    <x v="1"/>
    <x v="0"/>
    <n v="2"/>
    <x v="3"/>
    <x v="1"/>
    <n v="2"/>
    <x v="1"/>
    <x v="1"/>
    <n v="0.2424"/>
    <x v="54"/>
    <n v="0.1045"/>
    <n v="6"/>
    <n v="49"/>
    <n v="55"/>
  </r>
  <r>
    <n v="559"/>
    <x v="24"/>
    <n v="1"/>
    <n v="11"/>
    <x v="11"/>
    <x v="1"/>
    <x v="0"/>
    <n v="2"/>
    <x v="3"/>
    <x v="1"/>
    <n v="2"/>
    <x v="1"/>
    <x v="0"/>
    <n v="0.2424"/>
    <x v="54"/>
    <n v="0.1343"/>
    <n v="6"/>
    <n v="55"/>
    <n v="61"/>
  </r>
  <r>
    <n v="560"/>
    <x v="24"/>
    <n v="1"/>
    <n v="12"/>
    <x v="12"/>
    <x v="2"/>
    <x v="0"/>
    <n v="2"/>
    <x v="3"/>
    <x v="1"/>
    <n v="2"/>
    <x v="1"/>
    <x v="12"/>
    <n v="0.28789999999999999"/>
    <x v="34"/>
    <n v="8.9599999999999999E-2"/>
    <n v="21"/>
    <n v="85"/>
    <n v="106"/>
  </r>
  <r>
    <n v="561"/>
    <x v="24"/>
    <n v="1"/>
    <n v="13"/>
    <x v="13"/>
    <x v="2"/>
    <x v="0"/>
    <n v="2"/>
    <x v="3"/>
    <x v="1"/>
    <n v="2"/>
    <x v="1"/>
    <x v="12"/>
    <n v="0.2727"/>
    <x v="34"/>
    <n v="0.1343"/>
    <n v="21"/>
    <n v="72"/>
    <n v="93"/>
  </r>
  <r>
    <n v="562"/>
    <x v="24"/>
    <n v="1"/>
    <n v="14"/>
    <x v="14"/>
    <x v="2"/>
    <x v="0"/>
    <n v="2"/>
    <x v="3"/>
    <x v="1"/>
    <n v="2"/>
    <x v="1"/>
    <x v="11"/>
    <n v="0.33329999999999999"/>
    <x v="49"/>
    <n v="0"/>
    <n v="11"/>
    <n v="57"/>
    <n v="68"/>
  </r>
  <r>
    <n v="563"/>
    <x v="24"/>
    <n v="1"/>
    <n v="15"/>
    <x v="15"/>
    <x v="2"/>
    <x v="0"/>
    <n v="2"/>
    <x v="3"/>
    <x v="1"/>
    <n v="2"/>
    <x v="1"/>
    <x v="3"/>
    <n v="0.34849999999999998"/>
    <x v="16"/>
    <n v="0"/>
    <n v="21"/>
    <n v="63"/>
    <n v="84"/>
  </r>
  <r>
    <n v="564"/>
    <x v="24"/>
    <n v="1"/>
    <n v="16"/>
    <x v="16"/>
    <x v="3"/>
    <x v="0"/>
    <n v="2"/>
    <x v="3"/>
    <x v="1"/>
    <n v="2"/>
    <x v="1"/>
    <x v="3"/>
    <n v="0.34849999999999998"/>
    <x v="16"/>
    <n v="0"/>
    <n v="14"/>
    <n v="102"/>
    <n v="116"/>
  </r>
  <r>
    <n v="565"/>
    <x v="24"/>
    <n v="1"/>
    <n v="17"/>
    <x v="17"/>
    <x v="3"/>
    <x v="0"/>
    <n v="2"/>
    <x v="3"/>
    <x v="1"/>
    <n v="1"/>
    <x v="0"/>
    <x v="11"/>
    <n v="0.33329999999999999"/>
    <x v="49"/>
    <n v="0"/>
    <n v="14"/>
    <n v="208"/>
    <n v="222"/>
  </r>
  <r>
    <n v="566"/>
    <x v="24"/>
    <n v="1"/>
    <n v="18"/>
    <x v="18"/>
    <x v="3"/>
    <x v="0"/>
    <n v="2"/>
    <x v="3"/>
    <x v="1"/>
    <n v="2"/>
    <x v="1"/>
    <x v="11"/>
    <n v="0.31819999999999998"/>
    <x v="36"/>
    <n v="8.9599999999999999E-2"/>
    <n v="7"/>
    <n v="218"/>
    <n v="225"/>
  </r>
  <r>
    <n v="567"/>
    <x v="24"/>
    <n v="1"/>
    <n v="19"/>
    <x v="19"/>
    <x v="3"/>
    <x v="0"/>
    <n v="2"/>
    <x v="3"/>
    <x v="1"/>
    <n v="2"/>
    <x v="1"/>
    <x v="12"/>
    <n v="0.2576"/>
    <x v="55"/>
    <n v="0.16420000000000001"/>
    <n v="13"/>
    <n v="133"/>
    <n v="146"/>
  </r>
  <r>
    <n v="568"/>
    <x v="24"/>
    <n v="1"/>
    <n v="20"/>
    <x v="20"/>
    <x v="0"/>
    <x v="0"/>
    <n v="2"/>
    <x v="3"/>
    <x v="1"/>
    <n v="1"/>
    <x v="0"/>
    <x v="0"/>
    <n v="0.2273"/>
    <x v="55"/>
    <n v="0.19400000000000001"/>
    <n v="16"/>
    <n v="103"/>
    <n v="119"/>
  </r>
  <r>
    <n v="569"/>
    <x v="24"/>
    <n v="1"/>
    <n v="21"/>
    <x v="21"/>
    <x v="0"/>
    <x v="0"/>
    <n v="2"/>
    <x v="3"/>
    <x v="1"/>
    <n v="1"/>
    <x v="0"/>
    <x v="0"/>
    <n v="0.2273"/>
    <x v="55"/>
    <n v="0.19400000000000001"/>
    <n v="5"/>
    <n v="40"/>
    <n v="45"/>
  </r>
  <r>
    <n v="570"/>
    <x v="24"/>
    <n v="1"/>
    <n v="22"/>
    <x v="22"/>
    <x v="0"/>
    <x v="0"/>
    <n v="2"/>
    <x v="3"/>
    <x v="1"/>
    <n v="1"/>
    <x v="0"/>
    <x v="1"/>
    <n v="0.2273"/>
    <x v="26"/>
    <n v="0.16420000000000001"/>
    <n v="4"/>
    <n v="49"/>
    <n v="53"/>
  </r>
  <r>
    <n v="571"/>
    <x v="24"/>
    <n v="1"/>
    <n v="23"/>
    <x v="23"/>
    <x v="0"/>
    <x v="0"/>
    <n v="2"/>
    <x v="3"/>
    <x v="1"/>
    <n v="2"/>
    <x v="1"/>
    <x v="1"/>
    <n v="0.2273"/>
    <x v="26"/>
    <n v="0.16420000000000001"/>
    <n v="3"/>
    <n v="37"/>
    <n v="40"/>
  </r>
  <r>
    <n v="572"/>
    <x v="25"/>
    <n v="1"/>
    <n v="0"/>
    <x v="0"/>
    <x v="0"/>
    <x v="0"/>
    <n v="3"/>
    <x v="4"/>
    <x v="1"/>
    <n v="2"/>
    <x v="1"/>
    <x v="1"/>
    <n v="0.2273"/>
    <x v="27"/>
    <n v="0.1343"/>
    <n v="3"/>
    <n v="14"/>
    <n v="17"/>
  </r>
  <r>
    <n v="573"/>
    <x v="25"/>
    <n v="1"/>
    <n v="1"/>
    <x v="1"/>
    <x v="0"/>
    <x v="0"/>
    <n v="3"/>
    <x v="4"/>
    <x v="1"/>
    <n v="2"/>
    <x v="1"/>
    <x v="0"/>
    <n v="0.2424"/>
    <x v="55"/>
    <n v="0.1343"/>
    <n v="0"/>
    <n v="5"/>
    <n v="5"/>
  </r>
  <r>
    <n v="574"/>
    <x v="25"/>
    <n v="1"/>
    <n v="2"/>
    <x v="2"/>
    <x v="0"/>
    <x v="0"/>
    <n v="3"/>
    <x v="4"/>
    <x v="1"/>
    <n v="3"/>
    <x v="2"/>
    <x v="1"/>
    <n v="0.2273"/>
    <x v="27"/>
    <n v="0.19400000000000001"/>
    <n v="3"/>
    <n v="7"/>
    <n v="10"/>
  </r>
  <r>
    <n v="575"/>
    <x v="25"/>
    <n v="1"/>
    <n v="5"/>
    <x v="5"/>
    <x v="1"/>
    <x v="0"/>
    <n v="3"/>
    <x v="4"/>
    <x v="1"/>
    <n v="3"/>
    <x v="2"/>
    <x v="2"/>
    <n v="0.18179999999999999"/>
    <x v="3"/>
    <n v="0.28360000000000002"/>
    <n v="0"/>
    <n v="1"/>
    <n v="1"/>
  </r>
  <r>
    <n v="576"/>
    <x v="25"/>
    <n v="1"/>
    <n v="6"/>
    <x v="6"/>
    <x v="1"/>
    <x v="0"/>
    <n v="3"/>
    <x v="4"/>
    <x v="1"/>
    <n v="3"/>
    <x v="2"/>
    <x v="2"/>
    <n v="0.18179999999999999"/>
    <x v="3"/>
    <n v="0.28360000000000002"/>
    <n v="0"/>
    <n v="8"/>
    <n v="8"/>
  </r>
  <r>
    <n v="577"/>
    <x v="25"/>
    <n v="1"/>
    <n v="7"/>
    <x v="7"/>
    <x v="1"/>
    <x v="0"/>
    <n v="3"/>
    <x v="4"/>
    <x v="1"/>
    <n v="3"/>
    <x v="2"/>
    <x v="1"/>
    <n v="0.21210000000000001"/>
    <x v="9"/>
    <n v="0.29849999999999999"/>
    <n v="1"/>
    <n v="29"/>
    <n v="30"/>
  </r>
  <r>
    <n v="578"/>
    <x v="25"/>
    <n v="1"/>
    <n v="8"/>
    <x v="8"/>
    <x v="1"/>
    <x v="0"/>
    <n v="3"/>
    <x v="4"/>
    <x v="1"/>
    <n v="3"/>
    <x v="2"/>
    <x v="1"/>
    <n v="0.21210000000000001"/>
    <x v="9"/>
    <n v="0.29849999999999999"/>
    <n v="3"/>
    <n v="69"/>
    <n v="72"/>
  </r>
  <r>
    <n v="579"/>
    <x v="25"/>
    <n v="1"/>
    <n v="9"/>
    <x v="9"/>
    <x v="1"/>
    <x v="0"/>
    <n v="3"/>
    <x v="4"/>
    <x v="1"/>
    <n v="3"/>
    <x v="2"/>
    <x v="1"/>
    <n v="0.21210000000000001"/>
    <x v="9"/>
    <n v="0.29849999999999999"/>
    <n v="3"/>
    <n v="55"/>
    <n v="58"/>
  </r>
  <r>
    <n v="580"/>
    <x v="25"/>
    <n v="1"/>
    <n v="10"/>
    <x v="10"/>
    <x v="1"/>
    <x v="0"/>
    <n v="3"/>
    <x v="4"/>
    <x v="1"/>
    <n v="3"/>
    <x v="2"/>
    <x v="1"/>
    <n v="0.21210000000000001"/>
    <x v="43"/>
    <n v="0.28360000000000002"/>
    <n v="2"/>
    <n v="26"/>
    <n v="28"/>
  </r>
  <r>
    <n v="581"/>
    <x v="25"/>
    <n v="1"/>
    <n v="11"/>
    <x v="11"/>
    <x v="1"/>
    <x v="0"/>
    <n v="3"/>
    <x v="4"/>
    <x v="1"/>
    <n v="3"/>
    <x v="2"/>
    <x v="1"/>
    <n v="0.19700000000000001"/>
    <x v="43"/>
    <n v="0.32840000000000003"/>
    <n v="6"/>
    <n v="35"/>
    <n v="41"/>
  </r>
  <r>
    <n v="582"/>
    <x v="25"/>
    <n v="1"/>
    <n v="12"/>
    <x v="12"/>
    <x v="2"/>
    <x v="0"/>
    <n v="3"/>
    <x v="4"/>
    <x v="1"/>
    <n v="3"/>
    <x v="2"/>
    <x v="1"/>
    <n v="0.19700000000000001"/>
    <x v="43"/>
    <n v="0.32840000000000003"/>
    <n v="7"/>
    <n v="41"/>
    <n v="48"/>
  </r>
  <r>
    <n v="583"/>
    <x v="25"/>
    <n v="1"/>
    <n v="13"/>
    <x v="13"/>
    <x v="2"/>
    <x v="0"/>
    <n v="3"/>
    <x v="4"/>
    <x v="1"/>
    <n v="3"/>
    <x v="2"/>
    <x v="1"/>
    <n v="0.19700000000000001"/>
    <x v="43"/>
    <n v="0.32840000000000003"/>
    <n v="4"/>
    <n v="43"/>
    <n v="47"/>
  </r>
  <r>
    <n v="584"/>
    <x v="25"/>
    <n v="1"/>
    <n v="14"/>
    <x v="14"/>
    <x v="2"/>
    <x v="0"/>
    <n v="3"/>
    <x v="4"/>
    <x v="1"/>
    <n v="3"/>
    <x v="2"/>
    <x v="1"/>
    <n v="0.19700000000000001"/>
    <x v="43"/>
    <n v="0.35820000000000002"/>
    <n v="0"/>
    <n v="36"/>
    <n v="36"/>
  </r>
  <r>
    <n v="585"/>
    <x v="25"/>
    <n v="1"/>
    <n v="15"/>
    <x v="15"/>
    <x v="2"/>
    <x v="0"/>
    <n v="3"/>
    <x v="4"/>
    <x v="1"/>
    <n v="3"/>
    <x v="2"/>
    <x v="1"/>
    <n v="0.18179999999999999"/>
    <x v="43"/>
    <n v="0.4627"/>
    <n v="1"/>
    <n v="42"/>
    <n v="43"/>
  </r>
  <r>
    <n v="586"/>
    <x v="25"/>
    <n v="1"/>
    <n v="16"/>
    <x v="16"/>
    <x v="3"/>
    <x v="0"/>
    <n v="3"/>
    <x v="4"/>
    <x v="1"/>
    <n v="4"/>
    <x v="3"/>
    <x v="1"/>
    <n v="0.19700000000000001"/>
    <x v="43"/>
    <n v="0.32840000000000003"/>
    <n v="1"/>
    <n v="35"/>
    <n v="36"/>
  </r>
  <r>
    <n v="587"/>
    <x v="25"/>
    <n v="1"/>
    <n v="17"/>
    <x v="17"/>
    <x v="3"/>
    <x v="0"/>
    <n v="3"/>
    <x v="4"/>
    <x v="1"/>
    <n v="3"/>
    <x v="2"/>
    <x v="2"/>
    <n v="0.18179999999999999"/>
    <x v="43"/>
    <n v="0.35820000000000002"/>
    <n v="0"/>
    <n v="26"/>
    <n v="26"/>
  </r>
  <r>
    <n v="588"/>
    <x v="26"/>
    <n v="1"/>
    <n v="16"/>
    <x v="16"/>
    <x v="3"/>
    <x v="0"/>
    <n v="4"/>
    <x v="5"/>
    <x v="1"/>
    <n v="1"/>
    <x v="0"/>
    <x v="1"/>
    <n v="0.2273"/>
    <x v="28"/>
    <n v="0.19400000000000001"/>
    <n v="1"/>
    <n v="23"/>
    <n v="24"/>
  </r>
  <r>
    <n v="589"/>
    <x v="26"/>
    <n v="1"/>
    <n v="17"/>
    <x v="17"/>
    <x v="3"/>
    <x v="0"/>
    <n v="4"/>
    <x v="5"/>
    <x v="1"/>
    <n v="1"/>
    <x v="0"/>
    <x v="1"/>
    <n v="0.2424"/>
    <x v="28"/>
    <n v="0.1045"/>
    <n v="2"/>
    <n v="82"/>
    <n v="84"/>
  </r>
  <r>
    <n v="590"/>
    <x v="26"/>
    <n v="1"/>
    <n v="18"/>
    <x v="18"/>
    <x v="3"/>
    <x v="0"/>
    <n v="4"/>
    <x v="5"/>
    <x v="1"/>
    <n v="1"/>
    <x v="0"/>
    <x v="2"/>
    <n v="0.2273"/>
    <x v="27"/>
    <n v="8.9599999999999999E-2"/>
    <n v="3"/>
    <n v="101"/>
    <n v="104"/>
  </r>
  <r>
    <n v="591"/>
    <x v="26"/>
    <n v="1"/>
    <n v="19"/>
    <x v="19"/>
    <x v="3"/>
    <x v="0"/>
    <n v="4"/>
    <x v="5"/>
    <x v="1"/>
    <n v="1"/>
    <x v="0"/>
    <x v="2"/>
    <n v="0.2273"/>
    <x v="27"/>
    <n v="8.9599999999999999E-2"/>
    <n v="3"/>
    <n v="76"/>
    <n v="79"/>
  </r>
  <r>
    <n v="592"/>
    <x v="26"/>
    <n v="1"/>
    <n v="20"/>
    <x v="20"/>
    <x v="0"/>
    <x v="0"/>
    <n v="4"/>
    <x v="5"/>
    <x v="1"/>
    <n v="1"/>
    <x v="0"/>
    <x v="15"/>
    <n v="0.21210000000000001"/>
    <x v="32"/>
    <n v="8.9599999999999999E-2"/>
    <n v="4"/>
    <n v="55"/>
    <n v="59"/>
  </r>
  <r>
    <n v="593"/>
    <x v="26"/>
    <n v="1"/>
    <n v="21"/>
    <x v="21"/>
    <x v="0"/>
    <x v="0"/>
    <n v="4"/>
    <x v="5"/>
    <x v="1"/>
    <n v="1"/>
    <x v="0"/>
    <x v="15"/>
    <n v="0.21210000000000001"/>
    <x v="32"/>
    <n v="8.9599999999999999E-2"/>
    <n v="2"/>
    <n v="36"/>
    <n v="38"/>
  </r>
  <r>
    <n v="594"/>
    <x v="26"/>
    <n v="1"/>
    <n v="22"/>
    <x v="22"/>
    <x v="0"/>
    <x v="0"/>
    <n v="4"/>
    <x v="5"/>
    <x v="1"/>
    <n v="1"/>
    <x v="0"/>
    <x v="15"/>
    <n v="0.21210000000000001"/>
    <x v="32"/>
    <n v="8.9599999999999999E-2"/>
    <n v="0"/>
    <n v="27"/>
    <n v="27"/>
  </r>
  <r>
    <n v="595"/>
    <x v="26"/>
    <n v="1"/>
    <n v="23"/>
    <x v="23"/>
    <x v="0"/>
    <x v="0"/>
    <n v="4"/>
    <x v="5"/>
    <x v="1"/>
    <n v="1"/>
    <x v="0"/>
    <x v="15"/>
    <n v="0.19700000000000001"/>
    <x v="1"/>
    <n v="0.16420000000000001"/>
    <n v="0"/>
    <n v="16"/>
    <n v="16"/>
  </r>
  <r>
    <n v="596"/>
    <x v="27"/>
    <n v="1"/>
    <n v="0"/>
    <x v="0"/>
    <x v="0"/>
    <x v="0"/>
    <n v="5"/>
    <x v="6"/>
    <x v="1"/>
    <n v="2"/>
    <x v="1"/>
    <x v="2"/>
    <n v="0.21210000000000001"/>
    <x v="2"/>
    <n v="0.1343"/>
    <n v="0"/>
    <n v="9"/>
    <n v="9"/>
  </r>
  <r>
    <n v="597"/>
    <x v="27"/>
    <n v="1"/>
    <n v="1"/>
    <x v="1"/>
    <x v="0"/>
    <x v="0"/>
    <n v="5"/>
    <x v="6"/>
    <x v="1"/>
    <n v="2"/>
    <x v="1"/>
    <x v="2"/>
    <n v="0.21210000000000001"/>
    <x v="2"/>
    <n v="0.1343"/>
    <n v="1"/>
    <n v="2"/>
    <n v="3"/>
  </r>
  <r>
    <n v="598"/>
    <x v="27"/>
    <n v="1"/>
    <n v="2"/>
    <x v="2"/>
    <x v="0"/>
    <x v="0"/>
    <n v="5"/>
    <x v="6"/>
    <x v="1"/>
    <n v="2"/>
    <x v="1"/>
    <x v="2"/>
    <n v="0.21210000000000001"/>
    <x v="2"/>
    <n v="0.16420000000000001"/>
    <n v="0"/>
    <n v="2"/>
    <n v="2"/>
  </r>
  <r>
    <n v="599"/>
    <x v="27"/>
    <n v="1"/>
    <n v="3"/>
    <x v="3"/>
    <x v="0"/>
    <x v="0"/>
    <n v="5"/>
    <x v="6"/>
    <x v="1"/>
    <n v="2"/>
    <x v="1"/>
    <x v="2"/>
    <n v="0.2273"/>
    <x v="2"/>
    <n v="0.1045"/>
    <n v="1"/>
    <n v="0"/>
    <n v="1"/>
  </r>
  <r>
    <n v="600"/>
    <x v="27"/>
    <n v="1"/>
    <n v="5"/>
    <x v="5"/>
    <x v="1"/>
    <x v="0"/>
    <n v="5"/>
    <x v="6"/>
    <x v="1"/>
    <n v="2"/>
    <x v="1"/>
    <x v="15"/>
    <n v="0.21210000000000001"/>
    <x v="1"/>
    <n v="0.1045"/>
    <n v="0"/>
    <n v="4"/>
    <n v="4"/>
  </r>
  <r>
    <n v="601"/>
    <x v="27"/>
    <n v="1"/>
    <n v="6"/>
    <x v="6"/>
    <x v="1"/>
    <x v="0"/>
    <n v="5"/>
    <x v="6"/>
    <x v="1"/>
    <n v="2"/>
    <x v="1"/>
    <x v="15"/>
    <n v="0.19700000000000001"/>
    <x v="1"/>
    <n v="0.1343"/>
    <n v="0"/>
    <n v="16"/>
    <n v="16"/>
  </r>
  <r>
    <n v="602"/>
    <x v="27"/>
    <n v="1"/>
    <n v="7"/>
    <x v="7"/>
    <x v="1"/>
    <x v="0"/>
    <n v="5"/>
    <x v="6"/>
    <x v="1"/>
    <n v="2"/>
    <x v="1"/>
    <x v="13"/>
    <n v="0.19700000000000001"/>
    <x v="3"/>
    <n v="8.9599999999999999E-2"/>
    <n v="2"/>
    <n v="58"/>
    <n v="60"/>
  </r>
  <r>
    <n v="603"/>
    <x v="27"/>
    <n v="1"/>
    <n v="8"/>
    <x v="8"/>
    <x v="1"/>
    <x v="0"/>
    <n v="5"/>
    <x v="6"/>
    <x v="1"/>
    <n v="2"/>
    <x v="1"/>
    <x v="13"/>
    <n v="0.19700000000000001"/>
    <x v="3"/>
    <n v="8.9599999999999999E-2"/>
    <n v="2"/>
    <n v="155"/>
    <n v="157"/>
  </r>
  <r>
    <n v="604"/>
    <x v="27"/>
    <n v="1"/>
    <n v="9"/>
    <x v="9"/>
    <x v="1"/>
    <x v="0"/>
    <n v="5"/>
    <x v="6"/>
    <x v="1"/>
    <n v="3"/>
    <x v="2"/>
    <x v="15"/>
    <n v="0.21210000000000001"/>
    <x v="3"/>
    <n v="8.9599999999999999E-2"/>
    <n v="6"/>
    <n v="95"/>
    <n v="101"/>
  </r>
  <r>
    <n v="605"/>
    <x v="27"/>
    <n v="1"/>
    <n v="10"/>
    <x v="10"/>
    <x v="1"/>
    <x v="0"/>
    <n v="5"/>
    <x v="6"/>
    <x v="1"/>
    <n v="3"/>
    <x v="2"/>
    <x v="15"/>
    <n v="0.21210000000000001"/>
    <x v="3"/>
    <n v="0.1045"/>
    <n v="0"/>
    <n v="49"/>
    <n v="49"/>
  </r>
  <r>
    <n v="606"/>
    <x v="27"/>
    <n v="1"/>
    <n v="11"/>
    <x v="11"/>
    <x v="1"/>
    <x v="0"/>
    <n v="5"/>
    <x v="6"/>
    <x v="1"/>
    <n v="3"/>
    <x v="2"/>
    <x v="15"/>
    <n v="0.21210000000000001"/>
    <x v="43"/>
    <n v="0.1045"/>
    <n v="0"/>
    <n v="30"/>
    <n v="30"/>
  </r>
  <r>
    <n v="607"/>
    <x v="27"/>
    <n v="1"/>
    <n v="12"/>
    <x v="12"/>
    <x v="2"/>
    <x v="0"/>
    <n v="5"/>
    <x v="6"/>
    <x v="1"/>
    <n v="3"/>
    <x v="2"/>
    <x v="15"/>
    <n v="0.21210000000000001"/>
    <x v="43"/>
    <n v="0.1045"/>
    <n v="1"/>
    <n v="28"/>
    <n v="29"/>
  </r>
  <r>
    <n v="608"/>
    <x v="27"/>
    <n v="1"/>
    <n v="13"/>
    <x v="13"/>
    <x v="2"/>
    <x v="0"/>
    <n v="5"/>
    <x v="6"/>
    <x v="1"/>
    <n v="3"/>
    <x v="2"/>
    <x v="15"/>
    <n v="0.21210000000000001"/>
    <x v="43"/>
    <n v="0.1045"/>
    <n v="0"/>
    <n v="31"/>
    <n v="31"/>
  </r>
  <r>
    <n v="609"/>
    <x v="27"/>
    <n v="1"/>
    <n v="14"/>
    <x v="14"/>
    <x v="2"/>
    <x v="0"/>
    <n v="5"/>
    <x v="6"/>
    <x v="1"/>
    <n v="3"/>
    <x v="2"/>
    <x v="1"/>
    <n v="0.2727"/>
    <x v="1"/>
    <n v="0"/>
    <n v="2"/>
    <n v="36"/>
    <n v="38"/>
  </r>
  <r>
    <n v="610"/>
    <x v="27"/>
    <n v="1"/>
    <n v="15"/>
    <x v="15"/>
    <x v="2"/>
    <x v="0"/>
    <n v="5"/>
    <x v="6"/>
    <x v="1"/>
    <n v="2"/>
    <x v="1"/>
    <x v="2"/>
    <n v="0.2576"/>
    <x v="3"/>
    <n v="0"/>
    <n v="1"/>
    <n v="40"/>
    <n v="41"/>
  </r>
  <r>
    <n v="611"/>
    <x v="27"/>
    <n v="1"/>
    <n v="16"/>
    <x v="16"/>
    <x v="3"/>
    <x v="0"/>
    <n v="5"/>
    <x v="6"/>
    <x v="1"/>
    <n v="1"/>
    <x v="0"/>
    <x v="1"/>
    <n v="0.2727"/>
    <x v="1"/>
    <n v="0"/>
    <n v="10"/>
    <n v="70"/>
    <n v="80"/>
  </r>
  <r>
    <n v="612"/>
    <x v="27"/>
    <n v="1"/>
    <n v="17"/>
    <x v="17"/>
    <x v="3"/>
    <x v="0"/>
    <n v="5"/>
    <x v="6"/>
    <x v="1"/>
    <n v="1"/>
    <x v="0"/>
    <x v="0"/>
    <n v="0.2424"/>
    <x v="2"/>
    <n v="0.1343"/>
    <n v="2"/>
    <n v="147"/>
    <n v="149"/>
  </r>
  <r>
    <n v="613"/>
    <x v="27"/>
    <n v="1"/>
    <n v="18"/>
    <x v="18"/>
    <x v="3"/>
    <x v="0"/>
    <n v="5"/>
    <x v="6"/>
    <x v="1"/>
    <n v="1"/>
    <x v="0"/>
    <x v="0"/>
    <n v="0.2273"/>
    <x v="2"/>
    <n v="0.19400000000000001"/>
    <n v="2"/>
    <n v="107"/>
    <n v="109"/>
  </r>
  <r>
    <n v="614"/>
    <x v="27"/>
    <n v="1"/>
    <n v="19"/>
    <x v="19"/>
    <x v="3"/>
    <x v="0"/>
    <n v="5"/>
    <x v="6"/>
    <x v="1"/>
    <n v="2"/>
    <x v="1"/>
    <x v="0"/>
    <n v="0.2424"/>
    <x v="2"/>
    <n v="0.1343"/>
    <n v="5"/>
    <n v="84"/>
    <n v="89"/>
  </r>
  <r>
    <n v="615"/>
    <x v="27"/>
    <n v="1"/>
    <n v="20"/>
    <x v="20"/>
    <x v="0"/>
    <x v="0"/>
    <n v="5"/>
    <x v="6"/>
    <x v="1"/>
    <n v="2"/>
    <x v="1"/>
    <x v="0"/>
    <n v="0.2273"/>
    <x v="56"/>
    <n v="0.19400000000000001"/>
    <n v="1"/>
    <n v="61"/>
    <n v="62"/>
  </r>
  <r>
    <n v="616"/>
    <x v="27"/>
    <n v="1"/>
    <n v="21"/>
    <x v="21"/>
    <x v="0"/>
    <x v="0"/>
    <n v="5"/>
    <x v="6"/>
    <x v="1"/>
    <n v="2"/>
    <x v="1"/>
    <x v="1"/>
    <n v="0.2273"/>
    <x v="2"/>
    <n v="0.1343"/>
    <n v="1"/>
    <n v="57"/>
    <n v="58"/>
  </r>
  <r>
    <n v="617"/>
    <x v="27"/>
    <n v="1"/>
    <n v="22"/>
    <x v="22"/>
    <x v="0"/>
    <x v="0"/>
    <n v="5"/>
    <x v="6"/>
    <x v="1"/>
    <n v="1"/>
    <x v="0"/>
    <x v="0"/>
    <n v="0.21210000000000001"/>
    <x v="55"/>
    <n v="0.35820000000000002"/>
    <n v="0"/>
    <n v="26"/>
    <n v="26"/>
  </r>
  <r>
    <n v="618"/>
    <x v="27"/>
    <n v="1"/>
    <n v="23"/>
    <x v="23"/>
    <x v="0"/>
    <x v="0"/>
    <n v="5"/>
    <x v="6"/>
    <x v="1"/>
    <n v="1"/>
    <x v="0"/>
    <x v="0"/>
    <n v="0.2273"/>
    <x v="54"/>
    <n v="0.22389999999999999"/>
    <n v="1"/>
    <n v="22"/>
    <n v="23"/>
  </r>
  <r>
    <n v="619"/>
    <x v="28"/>
    <n v="1"/>
    <n v="0"/>
    <x v="0"/>
    <x v="0"/>
    <x v="0"/>
    <n v="6"/>
    <x v="0"/>
    <x v="0"/>
    <n v="1"/>
    <x v="0"/>
    <x v="1"/>
    <n v="0.19700000000000001"/>
    <x v="26"/>
    <n v="0.35820000000000002"/>
    <n v="2"/>
    <n v="26"/>
    <n v="28"/>
  </r>
  <r>
    <n v="620"/>
    <x v="28"/>
    <n v="1"/>
    <n v="1"/>
    <x v="1"/>
    <x v="0"/>
    <x v="0"/>
    <n v="6"/>
    <x v="0"/>
    <x v="0"/>
    <n v="1"/>
    <x v="0"/>
    <x v="1"/>
    <n v="0.2273"/>
    <x v="26"/>
    <n v="0.19400000000000001"/>
    <n v="0"/>
    <n v="20"/>
    <n v="20"/>
  </r>
  <r>
    <n v="621"/>
    <x v="28"/>
    <n v="1"/>
    <n v="2"/>
    <x v="2"/>
    <x v="0"/>
    <x v="0"/>
    <n v="6"/>
    <x v="0"/>
    <x v="0"/>
    <n v="1"/>
    <x v="0"/>
    <x v="1"/>
    <n v="0.2273"/>
    <x v="26"/>
    <n v="0.16420000000000001"/>
    <n v="0"/>
    <n v="15"/>
    <n v="15"/>
  </r>
  <r>
    <n v="622"/>
    <x v="28"/>
    <n v="1"/>
    <n v="3"/>
    <x v="3"/>
    <x v="0"/>
    <x v="0"/>
    <n v="6"/>
    <x v="0"/>
    <x v="0"/>
    <n v="1"/>
    <x v="0"/>
    <x v="2"/>
    <n v="0.21210000000000001"/>
    <x v="26"/>
    <n v="0.1343"/>
    <n v="3"/>
    <n v="5"/>
    <n v="8"/>
  </r>
  <r>
    <n v="623"/>
    <x v="28"/>
    <n v="1"/>
    <n v="4"/>
    <x v="4"/>
    <x v="0"/>
    <x v="0"/>
    <n v="6"/>
    <x v="0"/>
    <x v="0"/>
    <n v="1"/>
    <x v="0"/>
    <x v="13"/>
    <n v="0.18179999999999999"/>
    <x v="27"/>
    <n v="0.1045"/>
    <n v="1"/>
    <n v="2"/>
    <n v="3"/>
  </r>
  <r>
    <n v="624"/>
    <x v="28"/>
    <n v="1"/>
    <n v="6"/>
    <x v="6"/>
    <x v="1"/>
    <x v="0"/>
    <n v="6"/>
    <x v="0"/>
    <x v="0"/>
    <n v="1"/>
    <x v="0"/>
    <x v="13"/>
    <n v="0.18179999999999999"/>
    <x v="26"/>
    <n v="0.1343"/>
    <n v="0"/>
    <n v="2"/>
    <n v="2"/>
  </r>
  <r>
    <n v="625"/>
    <x v="28"/>
    <n v="1"/>
    <n v="7"/>
    <x v="7"/>
    <x v="1"/>
    <x v="0"/>
    <n v="6"/>
    <x v="0"/>
    <x v="0"/>
    <n v="1"/>
    <x v="0"/>
    <x v="13"/>
    <n v="0.18179999999999999"/>
    <x v="29"/>
    <n v="0.1045"/>
    <n v="1"/>
    <n v="4"/>
    <n v="5"/>
  </r>
  <r>
    <n v="626"/>
    <x v="28"/>
    <n v="1"/>
    <n v="8"/>
    <x v="8"/>
    <x v="1"/>
    <x v="0"/>
    <n v="6"/>
    <x v="0"/>
    <x v="0"/>
    <n v="1"/>
    <x v="0"/>
    <x v="15"/>
    <n v="0.19700000000000001"/>
    <x v="28"/>
    <n v="0.16420000000000001"/>
    <n v="3"/>
    <n v="31"/>
    <n v="34"/>
  </r>
  <r>
    <n v="627"/>
    <x v="28"/>
    <n v="1"/>
    <n v="9"/>
    <x v="9"/>
    <x v="1"/>
    <x v="0"/>
    <n v="6"/>
    <x v="0"/>
    <x v="0"/>
    <n v="1"/>
    <x v="0"/>
    <x v="15"/>
    <n v="0.21210000000000001"/>
    <x v="29"/>
    <n v="8.9599999999999999E-2"/>
    <n v="0"/>
    <n v="34"/>
    <n v="34"/>
  </r>
  <r>
    <n v="628"/>
    <x v="28"/>
    <n v="1"/>
    <n v="10"/>
    <x v="10"/>
    <x v="1"/>
    <x v="0"/>
    <n v="6"/>
    <x v="0"/>
    <x v="0"/>
    <n v="2"/>
    <x v="1"/>
    <x v="15"/>
    <n v="0.21210000000000001"/>
    <x v="26"/>
    <n v="0.1045"/>
    <n v="4"/>
    <n v="51"/>
    <n v="55"/>
  </r>
  <r>
    <n v="629"/>
    <x v="28"/>
    <n v="1"/>
    <n v="11"/>
    <x v="11"/>
    <x v="1"/>
    <x v="0"/>
    <n v="6"/>
    <x v="0"/>
    <x v="0"/>
    <n v="2"/>
    <x v="1"/>
    <x v="15"/>
    <n v="0.19700000000000001"/>
    <x v="26"/>
    <n v="0.1343"/>
    <n v="4"/>
    <n v="60"/>
    <n v="64"/>
  </r>
  <r>
    <n v="630"/>
    <x v="28"/>
    <n v="1"/>
    <n v="12"/>
    <x v="12"/>
    <x v="2"/>
    <x v="0"/>
    <n v="6"/>
    <x v="0"/>
    <x v="0"/>
    <n v="2"/>
    <x v="1"/>
    <x v="2"/>
    <n v="0.19700000000000001"/>
    <x v="29"/>
    <n v="0.19400000000000001"/>
    <n v="12"/>
    <n v="66"/>
    <n v="78"/>
  </r>
  <r>
    <n v="631"/>
    <x v="28"/>
    <n v="1"/>
    <n v="13"/>
    <x v="13"/>
    <x v="2"/>
    <x v="0"/>
    <n v="6"/>
    <x v="0"/>
    <x v="0"/>
    <n v="2"/>
    <x v="1"/>
    <x v="1"/>
    <n v="0.2273"/>
    <x v="28"/>
    <n v="0.16420000000000001"/>
    <n v="9"/>
    <n v="56"/>
    <n v="65"/>
  </r>
  <r>
    <n v="632"/>
    <x v="28"/>
    <n v="1"/>
    <n v="14"/>
    <x v="14"/>
    <x v="2"/>
    <x v="0"/>
    <n v="6"/>
    <x v="0"/>
    <x v="0"/>
    <n v="2"/>
    <x v="1"/>
    <x v="1"/>
    <n v="0.2273"/>
    <x v="54"/>
    <n v="0.1343"/>
    <n v="10"/>
    <n v="89"/>
    <n v="99"/>
  </r>
  <r>
    <n v="633"/>
    <x v="28"/>
    <n v="1"/>
    <n v="15"/>
    <x v="15"/>
    <x v="2"/>
    <x v="0"/>
    <n v="6"/>
    <x v="0"/>
    <x v="0"/>
    <n v="1"/>
    <x v="0"/>
    <x v="1"/>
    <n v="0.21210000000000001"/>
    <x v="27"/>
    <n v="0.25369999999999998"/>
    <n v="22"/>
    <n v="98"/>
    <n v="120"/>
  </r>
  <r>
    <n v="634"/>
    <x v="28"/>
    <n v="1"/>
    <n v="16"/>
    <x v="16"/>
    <x v="3"/>
    <x v="0"/>
    <n v="6"/>
    <x v="0"/>
    <x v="0"/>
    <n v="1"/>
    <x v="0"/>
    <x v="0"/>
    <n v="0.2424"/>
    <x v="54"/>
    <n v="0.16420000000000001"/>
    <n v="19"/>
    <n v="88"/>
    <n v="107"/>
  </r>
  <r>
    <n v="635"/>
    <x v="28"/>
    <n v="1"/>
    <n v="17"/>
    <x v="17"/>
    <x v="3"/>
    <x v="0"/>
    <n v="6"/>
    <x v="0"/>
    <x v="0"/>
    <n v="1"/>
    <x v="0"/>
    <x v="0"/>
    <n v="0.28789999999999999"/>
    <x v="54"/>
    <n v="0"/>
    <n v="9"/>
    <n v="82"/>
    <n v="91"/>
  </r>
  <r>
    <n v="636"/>
    <x v="28"/>
    <n v="1"/>
    <n v="18"/>
    <x v="18"/>
    <x v="3"/>
    <x v="0"/>
    <n v="6"/>
    <x v="0"/>
    <x v="0"/>
    <n v="1"/>
    <x v="0"/>
    <x v="1"/>
    <n v="0.2273"/>
    <x v="27"/>
    <n v="0.1343"/>
    <n v="9"/>
    <n v="59"/>
    <n v="68"/>
  </r>
  <r>
    <n v="637"/>
    <x v="28"/>
    <n v="1"/>
    <n v="19"/>
    <x v="19"/>
    <x v="3"/>
    <x v="0"/>
    <n v="6"/>
    <x v="0"/>
    <x v="0"/>
    <n v="2"/>
    <x v="1"/>
    <x v="1"/>
    <n v="0.21210000000000001"/>
    <x v="27"/>
    <n v="0.25369999999999998"/>
    <n v="6"/>
    <n v="52"/>
    <n v="58"/>
  </r>
  <r>
    <n v="638"/>
    <x v="28"/>
    <n v="1"/>
    <n v="20"/>
    <x v="20"/>
    <x v="0"/>
    <x v="0"/>
    <n v="6"/>
    <x v="0"/>
    <x v="0"/>
    <n v="1"/>
    <x v="0"/>
    <x v="15"/>
    <n v="0.21210000000000001"/>
    <x v="32"/>
    <n v="8.9599999999999999E-2"/>
    <n v="1"/>
    <n v="42"/>
    <n v="43"/>
  </r>
  <r>
    <n v="639"/>
    <x v="28"/>
    <n v="1"/>
    <n v="21"/>
    <x v="21"/>
    <x v="0"/>
    <x v="0"/>
    <n v="6"/>
    <x v="0"/>
    <x v="0"/>
    <n v="1"/>
    <x v="0"/>
    <x v="15"/>
    <n v="0.21210000000000001"/>
    <x v="32"/>
    <n v="8.9599999999999999E-2"/>
    <n v="1"/>
    <n v="35"/>
    <n v="36"/>
  </r>
  <r>
    <n v="640"/>
    <x v="28"/>
    <n v="1"/>
    <n v="22"/>
    <x v="22"/>
    <x v="0"/>
    <x v="0"/>
    <n v="6"/>
    <x v="0"/>
    <x v="0"/>
    <n v="1"/>
    <x v="0"/>
    <x v="13"/>
    <n v="0.19700000000000001"/>
    <x v="1"/>
    <n v="8.9599999999999999E-2"/>
    <n v="4"/>
    <n v="28"/>
    <n v="32"/>
  </r>
  <r>
    <n v="641"/>
    <x v="28"/>
    <n v="1"/>
    <n v="23"/>
    <x v="23"/>
    <x v="0"/>
    <x v="0"/>
    <n v="6"/>
    <x v="0"/>
    <x v="0"/>
    <n v="1"/>
    <x v="0"/>
    <x v="13"/>
    <n v="0.19700000000000001"/>
    <x v="1"/>
    <n v="8.9599999999999999E-2"/>
    <n v="3"/>
    <n v="30"/>
    <n v="33"/>
  </r>
  <r>
    <n v="642"/>
    <x v="29"/>
    <n v="1"/>
    <n v="0"/>
    <x v="0"/>
    <x v="0"/>
    <x v="0"/>
    <n v="0"/>
    <x v="1"/>
    <x v="0"/>
    <n v="1"/>
    <x v="0"/>
    <x v="13"/>
    <n v="0.18179999999999999"/>
    <x v="1"/>
    <n v="0.1045"/>
    <n v="0"/>
    <n v="33"/>
    <n v="33"/>
  </r>
  <r>
    <n v="643"/>
    <x v="29"/>
    <n v="1"/>
    <n v="1"/>
    <x v="1"/>
    <x v="0"/>
    <x v="0"/>
    <n v="0"/>
    <x v="1"/>
    <x v="0"/>
    <n v="1"/>
    <x v="0"/>
    <x v="14"/>
    <n v="0.21210000000000001"/>
    <x v="1"/>
    <n v="0"/>
    <n v="7"/>
    <n v="22"/>
    <n v="29"/>
  </r>
  <r>
    <n v="644"/>
    <x v="29"/>
    <n v="1"/>
    <n v="2"/>
    <x v="2"/>
    <x v="0"/>
    <x v="0"/>
    <n v="0"/>
    <x v="1"/>
    <x v="0"/>
    <n v="1"/>
    <x v="0"/>
    <x v="13"/>
    <n v="0.2273"/>
    <x v="1"/>
    <n v="0"/>
    <n v="1"/>
    <n v="10"/>
    <n v="11"/>
  </r>
  <r>
    <n v="645"/>
    <x v="29"/>
    <n v="1"/>
    <n v="3"/>
    <x v="3"/>
    <x v="0"/>
    <x v="0"/>
    <n v="0"/>
    <x v="1"/>
    <x v="0"/>
    <n v="1"/>
    <x v="0"/>
    <x v="14"/>
    <n v="0.21210000000000001"/>
    <x v="43"/>
    <n v="0"/>
    <n v="1"/>
    <n v="7"/>
    <n v="8"/>
  </r>
  <r>
    <n v="646"/>
    <x v="29"/>
    <n v="1"/>
    <n v="4"/>
    <x v="4"/>
    <x v="0"/>
    <x v="0"/>
    <n v="0"/>
    <x v="1"/>
    <x v="0"/>
    <n v="1"/>
    <x v="0"/>
    <x v="14"/>
    <n v="0.21210000000000001"/>
    <x v="43"/>
    <n v="0"/>
    <n v="0"/>
    <n v="1"/>
    <n v="1"/>
  </r>
  <r>
    <n v="647"/>
    <x v="29"/>
    <n v="1"/>
    <n v="5"/>
    <x v="5"/>
    <x v="1"/>
    <x v="0"/>
    <n v="0"/>
    <x v="1"/>
    <x v="0"/>
    <n v="1"/>
    <x v="0"/>
    <x v="14"/>
    <n v="0.21210000000000001"/>
    <x v="3"/>
    <n v="0"/>
    <n v="0"/>
    <n v="3"/>
    <n v="3"/>
  </r>
  <r>
    <n v="648"/>
    <x v="29"/>
    <n v="1"/>
    <n v="7"/>
    <x v="7"/>
    <x v="1"/>
    <x v="0"/>
    <n v="0"/>
    <x v="1"/>
    <x v="0"/>
    <n v="1"/>
    <x v="0"/>
    <x v="14"/>
    <n v="0.21210000000000001"/>
    <x v="3"/>
    <n v="0"/>
    <n v="0"/>
    <n v="3"/>
    <n v="3"/>
  </r>
  <r>
    <n v="649"/>
    <x v="29"/>
    <n v="1"/>
    <n v="8"/>
    <x v="8"/>
    <x v="1"/>
    <x v="0"/>
    <n v="0"/>
    <x v="1"/>
    <x v="0"/>
    <n v="2"/>
    <x v="1"/>
    <x v="14"/>
    <n v="0.21210000000000001"/>
    <x v="3"/>
    <n v="0"/>
    <n v="1"/>
    <n v="11"/>
    <n v="12"/>
  </r>
  <r>
    <n v="650"/>
    <x v="29"/>
    <n v="1"/>
    <n v="9"/>
    <x v="9"/>
    <x v="1"/>
    <x v="0"/>
    <n v="0"/>
    <x v="1"/>
    <x v="0"/>
    <n v="2"/>
    <x v="1"/>
    <x v="13"/>
    <n v="0.2273"/>
    <x v="1"/>
    <n v="0"/>
    <n v="4"/>
    <n v="34"/>
    <n v="38"/>
  </r>
  <r>
    <n v="651"/>
    <x v="29"/>
    <n v="1"/>
    <n v="10"/>
    <x v="10"/>
    <x v="1"/>
    <x v="0"/>
    <n v="0"/>
    <x v="1"/>
    <x v="0"/>
    <n v="2"/>
    <x v="1"/>
    <x v="15"/>
    <n v="0.2424"/>
    <x v="1"/>
    <n v="0"/>
    <n v="7"/>
    <n v="57"/>
    <n v="64"/>
  </r>
  <r>
    <n v="652"/>
    <x v="29"/>
    <n v="1"/>
    <n v="11"/>
    <x v="11"/>
    <x v="1"/>
    <x v="0"/>
    <n v="0"/>
    <x v="1"/>
    <x v="0"/>
    <n v="1"/>
    <x v="0"/>
    <x v="1"/>
    <n v="0.2727"/>
    <x v="2"/>
    <n v="0"/>
    <n v="9"/>
    <n v="50"/>
    <n v="59"/>
  </r>
  <r>
    <n v="653"/>
    <x v="29"/>
    <n v="1"/>
    <n v="12"/>
    <x v="12"/>
    <x v="2"/>
    <x v="0"/>
    <n v="0"/>
    <x v="1"/>
    <x v="0"/>
    <n v="1"/>
    <x v="0"/>
    <x v="11"/>
    <n v="0.31819999999999998"/>
    <x v="35"/>
    <n v="0.1045"/>
    <n v="10"/>
    <n v="87"/>
    <n v="97"/>
  </r>
  <r>
    <n v="654"/>
    <x v="29"/>
    <n v="1"/>
    <n v="13"/>
    <x v="13"/>
    <x v="2"/>
    <x v="0"/>
    <n v="0"/>
    <x v="1"/>
    <x v="0"/>
    <n v="1"/>
    <x v="0"/>
    <x v="17"/>
    <n v="0.28789999999999999"/>
    <x v="53"/>
    <n v="0.1045"/>
    <n v="13"/>
    <n v="71"/>
    <n v="84"/>
  </r>
  <r>
    <n v="655"/>
    <x v="29"/>
    <n v="1"/>
    <n v="14"/>
    <x v="14"/>
    <x v="2"/>
    <x v="0"/>
    <n v="0"/>
    <x v="1"/>
    <x v="0"/>
    <n v="1"/>
    <x v="0"/>
    <x v="17"/>
    <n v="0.30299999999999999"/>
    <x v="53"/>
    <n v="8.9599999999999999E-2"/>
    <n v="18"/>
    <n v="104"/>
    <n v="122"/>
  </r>
  <r>
    <n v="656"/>
    <x v="29"/>
    <n v="1"/>
    <n v="15"/>
    <x v="15"/>
    <x v="2"/>
    <x v="0"/>
    <n v="0"/>
    <x v="1"/>
    <x v="0"/>
    <n v="1"/>
    <x v="0"/>
    <x v="11"/>
    <n v="0.33329999999999999"/>
    <x v="34"/>
    <n v="0"/>
    <n v="14"/>
    <n v="95"/>
    <n v="109"/>
  </r>
  <r>
    <n v="657"/>
    <x v="29"/>
    <n v="1"/>
    <n v="16"/>
    <x v="16"/>
    <x v="3"/>
    <x v="0"/>
    <n v="0"/>
    <x v="1"/>
    <x v="0"/>
    <n v="1"/>
    <x v="0"/>
    <x v="11"/>
    <n v="0.33329999999999999"/>
    <x v="34"/>
    <n v="0"/>
    <n v="19"/>
    <n v="104"/>
    <n v="123"/>
  </r>
  <r>
    <n v="658"/>
    <x v="29"/>
    <n v="1"/>
    <n v="17"/>
    <x v="17"/>
    <x v="3"/>
    <x v="0"/>
    <n v="0"/>
    <x v="1"/>
    <x v="0"/>
    <n v="1"/>
    <x v="0"/>
    <x v="11"/>
    <n v="0.28789999999999999"/>
    <x v="34"/>
    <n v="0.19400000000000001"/>
    <n v="6"/>
    <n v="71"/>
    <n v="77"/>
  </r>
  <r>
    <n v="659"/>
    <x v="29"/>
    <n v="1"/>
    <n v="18"/>
    <x v="18"/>
    <x v="3"/>
    <x v="0"/>
    <n v="0"/>
    <x v="1"/>
    <x v="0"/>
    <n v="1"/>
    <x v="0"/>
    <x v="12"/>
    <n v="0.2576"/>
    <x v="55"/>
    <n v="0.16420000000000001"/>
    <n v="8"/>
    <n v="57"/>
    <n v="65"/>
  </r>
  <r>
    <n v="660"/>
    <x v="29"/>
    <n v="1"/>
    <n v="19"/>
    <x v="19"/>
    <x v="3"/>
    <x v="0"/>
    <n v="0"/>
    <x v="1"/>
    <x v="0"/>
    <n v="1"/>
    <x v="0"/>
    <x v="12"/>
    <n v="0.2576"/>
    <x v="55"/>
    <n v="0.19400000000000001"/>
    <n v="9"/>
    <n v="46"/>
    <n v="55"/>
  </r>
  <r>
    <n v="661"/>
    <x v="29"/>
    <n v="1"/>
    <n v="20"/>
    <x v="20"/>
    <x v="0"/>
    <x v="0"/>
    <n v="0"/>
    <x v="1"/>
    <x v="0"/>
    <n v="2"/>
    <x v="1"/>
    <x v="12"/>
    <n v="0.2727"/>
    <x v="55"/>
    <n v="0.1045"/>
    <n v="3"/>
    <n v="30"/>
    <n v="33"/>
  </r>
  <r>
    <n v="662"/>
    <x v="29"/>
    <n v="1"/>
    <n v="21"/>
    <x v="21"/>
    <x v="0"/>
    <x v="0"/>
    <n v="0"/>
    <x v="1"/>
    <x v="0"/>
    <n v="2"/>
    <x v="1"/>
    <x v="0"/>
    <n v="0.2424"/>
    <x v="56"/>
    <n v="0.16420000000000001"/>
    <n v="3"/>
    <n v="25"/>
    <n v="28"/>
  </r>
  <r>
    <n v="663"/>
    <x v="29"/>
    <n v="1"/>
    <n v="22"/>
    <x v="22"/>
    <x v="0"/>
    <x v="0"/>
    <n v="0"/>
    <x v="1"/>
    <x v="0"/>
    <n v="2"/>
    <x v="1"/>
    <x v="0"/>
    <n v="0.2273"/>
    <x v="56"/>
    <n v="0.19400000000000001"/>
    <n v="2"/>
    <n v="19"/>
    <n v="21"/>
  </r>
  <r>
    <n v="664"/>
    <x v="29"/>
    <n v="1"/>
    <n v="23"/>
    <x v="23"/>
    <x v="0"/>
    <x v="0"/>
    <n v="0"/>
    <x v="1"/>
    <x v="0"/>
    <n v="2"/>
    <x v="1"/>
    <x v="0"/>
    <n v="0.21210000000000001"/>
    <x v="55"/>
    <n v="0.28360000000000002"/>
    <n v="5"/>
    <n v="16"/>
    <n v="21"/>
  </r>
  <r>
    <n v="665"/>
    <x v="30"/>
    <n v="1"/>
    <n v="0"/>
    <x v="0"/>
    <x v="0"/>
    <x v="0"/>
    <n v="1"/>
    <x v="2"/>
    <x v="1"/>
    <n v="2"/>
    <x v="1"/>
    <x v="0"/>
    <n v="0.2273"/>
    <x v="55"/>
    <n v="0.22389999999999999"/>
    <n v="1"/>
    <n v="6"/>
    <n v="7"/>
  </r>
  <r>
    <n v="666"/>
    <x v="30"/>
    <n v="1"/>
    <n v="1"/>
    <x v="1"/>
    <x v="0"/>
    <x v="0"/>
    <n v="1"/>
    <x v="2"/>
    <x v="1"/>
    <n v="1"/>
    <x v="0"/>
    <x v="1"/>
    <n v="0.21210000000000001"/>
    <x v="26"/>
    <n v="0.25369999999999998"/>
    <n v="2"/>
    <n v="5"/>
    <n v="7"/>
  </r>
  <r>
    <n v="667"/>
    <x v="30"/>
    <n v="1"/>
    <n v="2"/>
    <x v="2"/>
    <x v="0"/>
    <x v="0"/>
    <n v="1"/>
    <x v="2"/>
    <x v="1"/>
    <n v="1"/>
    <x v="0"/>
    <x v="1"/>
    <n v="0.2273"/>
    <x v="26"/>
    <n v="0.19400000000000001"/>
    <n v="0"/>
    <n v="1"/>
    <n v="1"/>
  </r>
  <r>
    <n v="668"/>
    <x v="30"/>
    <n v="1"/>
    <n v="3"/>
    <x v="3"/>
    <x v="0"/>
    <x v="0"/>
    <n v="1"/>
    <x v="2"/>
    <x v="1"/>
    <n v="1"/>
    <x v="0"/>
    <x v="1"/>
    <n v="0.2273"/>
    <x v="26"/>
    <n v="0.19400000000000001"/>
    <n v="0"/>
    <n v="2"/>
    <n v="2"/>
  </r>
  <r>
    <n v="669"/>
    <x v="30"/>
    <n v="1"/>
    <n v="4"/>
    <x v="4"/>
    <x v="0"/>
    <x v="0"/>
    <n v="1"/>
    <x v="2"/>
    <x v="1"/>
    <n v="1"/>
    <x v="0"/>
    <x v="2"/>
    <n v="0.19700000000000001"/>
    <x v="29"/>
    <n v="0.22389999999999999"/>
    <n v="0"/>
    <n v="2"/>
    <n v="2"/>
  </r>
  <r>
    <n v="670"/>
    <x v="30"/>
    <n v="1"/>
    <n v="5"/>
    <x v="5"/>
    <x v="1"/>
    <x v="0"/>
    <n v="1"/>
    <x v="2"/>
    <x v="1"/>
    <n v="1"/>
    <x v="0"/>
    <x v="15"/>
    <n v="0.16669999999999999"/>
    <x v="26"/>
    <n v="0.28360000000000002"/>
    <n v="0"/>
    <n v="8"/>
    <n v="8"/>
  </r>
  <r>
    <n v="671"/>
    <x v="30"/>
    <n v="1"/>
    <n v="6"/>
    <x v="6"/>
    <x v="1"/>
    <x v="0"/>
    <n v="1"/>
    <x v="2"/>
    <x v="1"/>
    <n v="1"/>
    <x v="0"/>
    <x v="13"/>
    <n v="0.13639999999999999"/>
    <x v="27"/>
    <n v="0.32840000000000003"/>
    <n v="0"/>
    <n v="37"/>
    <n v="37"/>
  </r>
  <r>
    <n v="672"/>
    <x v="30"/>
    <n v="1"/>
    <n v="7"/>
    <x v="7"/>
    <x v="1"/>
    <x v="0"/>
    <n v="1"/>
    <x v="2"/>
    <x v="1"/>
    <n v="2"/>
    <x v="1"/>
    <x v="13"/>
    <n v="0.13639999999999999"/>
    <x v="26"/>
    <n v="0.28360000000000002"/>
    <n v="1"/>
    <n v="71"/>
    <n v="72"/>
  </r>
  <r>
    <n v="673"/>
    <x v="30"/>
    <n v="1"/>
    <n v="8"/>
    <x v="8"/>
    <x v="1"/>
    <x v="0"/>
    <n v="1"/>
    <x v="2"/>
    <x v="1"/>
    <n v="2"/>
    <x v="1"/>
    <x v="13"/>
    <n v="0.13639999999999999"/>
    <x v="29"/>
    <n v="0.28360000000000002"/>
    <n v="3"/>
    <n v="182"/>
    <n v="185"/>
  </r>
  <r>
    <n v="674"/>
    <x v="30"/>
    <n v="1"/>
    <n v="9"/>
    <x v="9"/>
    <x v="1"/>
    <x v="0"/>
    <n v="1"/>
    <x v="2"/>
    <x v="1"/>
    <n v="2"/>
    <x v="1"/>
    <x v="13"/>
    <n v="0.13639999999999999"/>
    <x v="29"/>
    <n v="0.29849999999999999"/>
    <n v="0"/>
    <n v="112"/>
    <n v="112"/>
  </r>
  <r>
    <n v="675"/>
    <x v="30"/>
    <n v="1"/>
    <n v="10"/>
    <x v="10"/>
    <x v="1"/>
    <x v="0"/>
    <n v="1"/>
    <x v="2"/>
    <x v="1"/>
    <n v="2"/>
    <x v="1"/>
    <x v="13"/>
    <n v="0.1515"/>
    <x v="29"/>
    <n v="0.19400000000000001"/>
    <n v="1"/>
    <n v="68"/>
    <n v="69"/>
  </r>
  <r>
    <n v="676"/>
    <x v="30"/>
    <n v="1"/>
    <n v="11"/>
    <x v="11"/>
    <x v="1"/>
    <x v="0"/>
    <n v="1"/>
    <x v="2"/>
    <x v="1"/>
    <n v="2"/>
    <x v="1"/>
    <x v="13"/>
    <n v="0.1515"/>
    <x v="29"/>
    <n v="0.19400000000000001"/>
    <n v="2"/>
    <n v="46"/>
    <n v="48"/>
  </r>
  <r>
    <n v="677"/>
    <x v="30"/>
    <n v="1"/>
    <n v="12"/>
    <x v="12"/>
    <x v="2"/>
    <x v="0"/>
    <n v="1"/>
    <x v="2"/>
    <x v="1"/>
    <n v="2"/>
    <x v="1"/>
    <x v="15"/>
    <n v="0.21210000000000001"/>
    <x v="28"/>
    <n v="0.1045"/>
    <n v="6"/>
    <n v="62"/>
    <n v="68"/>
  </r>
  <r>
    <n v="678"/>
    <x v="30"/>
    <n v="1"/>
    <n v="13"/>
    <x v="13"/>
    <x v="2"/>
    <x v="0"/>
    <n v="1"/>
    <x v="2"/>
    <x v="1"/>
    <n v="2"/>
    <x v="1"/>
    <x v="13"/>
    <n v="0.2273"/>
    <x v="29"/>
    <n v="0"/>
    <n v="2"/>
    <n v="52"/>
    <n v="54"/>
  </r>
  <r>
    <n v="679"/>
    <x v="30"/>
    <n v="1"/>
    <n v="14"/>
    <x v="14"/>
    <x v="2"/>
    <x v="0"/>
    <n v="1"/>
    <x v="2"/>
    <x v="1"/>
    <n v="2"/>
    <x v="1"/>
    <x v="15"/>
    <n v="0.19700000000000001"/>
    <x v="28"/>
    <n v="0.1343"/>
    <n v="1"/>
    <n v="85"/>
    <n v="86"/>
  </r>
  <r>
    <n v="680"/>
    <x v="30"/>
    <n v="1"/>
    <n v="15"/>
    <x v="15"/>
    <x v="2"/>
    <x v="0"/>
    <n v="1"/>
    <x v="2"/>
    <x v="1"/>
    <n v="2"/>
    <x v="1"/>
    <x v="13"/>
    <n v="0.18179999999999999"/>
    <x v="29"/>
    <n v="0.1343"/>
    <n v="3"/>
    <n v="41"/>
    <n v="44"/>
  </r>
  <r>
    <n v="681"/>
    <x v="30"/>
    <n v="1"/>
    <n v="16"/>
    <x v="16"/>
    <x v="3"/>
    <x v="0"/>
    <n v="1"/>
    <x v="2"/>
    <x v="1"/>
    <n v="2"/>
    <x v="1"/>
    <x v="13"/>
    <n v="0.18179999999999999"/>
    <x v="34"/>
    <n v="0.19400000000000001"/>
    <n v="3"/>
    <n v="83"/>
    <n v="86"/>
  </r>
  <r>
    <n v="682"/>
    <x v="30"/>
    <n v="1"/>
    <n v="17"/>
    <x v="17"/>
    <x v="3"/>
    <x v="0"/>
    <n v="1"/>
    <x v="2"/>
    <x v="1"/>
    <n v="2"/>
    <x v="1"/>
    <x v="13"/>
    <n v="0.1515"/>
    <x v="29"/>
    <n v="0.19400000000000001"/>
    <n v="6"/>
    <n v="155"/>
    <n v="161"/>
  </r>
  <r>
    <n v="683"/>
    <x v="30"/>
    <n v="1"/>
    <n v="18"/>
    <x v="18"/>
    <x v="3"/>
    <x v="0"/>
    <n v="1"/>
    <x v="2"/>
    <x v="1"/>
    <n v="2"/>
    <x v="1"/>
    <x v="13"/>
    <n v="0.1515"/>
    <x v="28"/>
    <n v="0.22389999999999999"/>
    <n v="3"/>
    <n v="153"/>
    <n v="156"/>
  </r>
  <r>
    <n v="684"/>
    <x v="30"/>
    <n v="1"/>
    <n v="19"/>
    <x v="19"/>
    <x v="3"/>
    <x v="0"/>
    <n v="1"/>
    <x v="2"/>
    <x v="1"/>
    <n v="1"/>
    <x v="0"/>
    <x v="11"/>
    <n v="0.31819999999999998"/>
    <x v="53"/>
    <n v="0.1045"/>
    <n v="3"/>
    <n v="108"/>
    <n v="111"/>
  </r>
  <r>
    <n v="685"/>
    <x v="30"/>
    <n v="1"/>
    <n v="20"/>
    <x v="20"/>
    <x v="0"/>
    <x v="0"/>
    <n v="1"/>
    <x v="2"/>
    <x v="1"/>
    <n v="3"/>
    <x v="2"/>
    <x v="13"/>
    <n v="0.16669999999999999"/>
    <x v="29"/>
    <n v="0.16420000000000001"/>
    <n v="0"/>
    <n v="78"/>
    <n v="78"/>
  </r>
  <r>
    <n v="686"/>
    <x v="30"/>
    <n v="1"/>
    <n v="21"/>
    <x v="21"/>
    <x v="0"/>
    <x v="0"/>
    <n v="1"/>
    <x v="2"/>
    <x v="1"/>
    <n v="3"/>
    <x v="2"/>
    <x v="13"/>
    <n v="0.19700000000000001"/>
    <x v="29"/>
    <n v="8.9599999999999999E-2"/>
    <n v="3"/>
    <n v="53"/>
    <n v="56"/>
  </r>
  <r>
    <n v="687"/>
    <x v="30"/>
    <n v="1"/>
    <n v="22"/>
    <x v="22"/>
    <x v="0"/>
    <x v="0"/>
    <n v="1"/>
    <x v="2"/>
    <x v="1"/>
    <n v="2"/>
    <x v="1"/>
    <x v="13"/>
    <n v="0.18179999999999999"/>
    <x v="29"/>
    <n v="0.1045"/>
    <n v="0"/>
    <n v="34"/>
    <n v="34"/>
  </r>
  <r>
    <n v="688"/>
    <x v="30"/>
    <n v="1"/>
    <n v="23"/>
    <x v="23"/>
    <x v="0"/>
    <x v="0"/>
    <n v="1"/>
    <x v="2"/>
    <x v="1"/>
    <n v="2"/>
    <x v="1"/>
    <x v="13"/>
    <n v="0.19700000000000001"/>
    <x v="26"/>
    <n v="8.9599999999999999E-2"/>
    <n v="2"/>
    <n v="15"/>
    <n v="17"/>
  </r>
  <r>
    <n v="689"/>
    <x v="31"/>
    <n v="2"/>
    <n v="0"/>
    <x v="0"/>
    <x v="0"/>
    <x v="0"/>
    <n v="2"/>
    <x v="3"/>
    <x v="1"/>
    <n v="2"/>
    <x v="1"/>
    <x v="13"/>
    <n v="0.18179999999999999"/>
    <x v="26"/>
    <n v="0.1045"/>
    <n v="2"/>
    <n v="6"/>
    <n v="8"/>
  </r>
  <r>
    <n v="690"/>
    <x v="31"/>
    <n v="2"/>
    <n v="1"/>
    <x v="1"/>
    <x v="0"/>
    <x v="0"/>
    <n v="2"/>
    <x v="3"/>
    <x v="1"/>
    <n v="2"/>
    <x v="1"/>
    <x v="13"/>
    <n v="0.18179999999999999"/>
    <x v="27"/>
    <n v="0.1045"/>
    <n v="0"/>
    <n v="3"/>
    <n v="3"/>
  </r>
  <r>
    <n v="691"/>
    <x v="31"/>
    <n v="2"/>
    <n v="2"/>
    <x v="2"/>
    <x v="0"/>
    <x v="0"/>
    <n v="2"/>
    <x v="3"/>
    <x v="1"/>
    <n v="2"/>
    <x v="1"/>
    <x v="13"/>
    <n v="0.2273"/>
    <x v="27"/>
    <n v="0"/>
    <n v="0"/>
    <n v="2"/>
    <n v="2"/>
  </r>
  <r>
    <n v="692"/>
    <x v="31"/>
    <n v="2"/>
    <n v="3"/>
    <x v="3"/>
    <x v="0"/>
    <x v="0"/>
    <n v="2"/>
    <x v="3"/>
    <x v="1"/>
    <n v="2"/>
    <x v="1"/>
    <x v="13"/>
    <n v="0.2273"/>
    <x v="27"/>
    <n v="0"/>
    <n v="0"/>
    <n v="2"/>
    <n v="2"/>
  </r>
  <r>
    <n v="693"/>
    <x v="31"/>
    <n v="2"/>
    <n v="5"/>
    <x v="5"/>
    <x v="1"/>
    <x v="0"/>
    <n v="2"/>
    <x v="3"/>
    <x v="1"/>
    <n v="3"/>
    <x v="2"/>
    <x v="14"/>
    <n v="0.21210000000000001"/>
    <x v="43"/>
    <n v="0"/>
    <n v="0"/>
    <n v="3"/>
    <n v="3"/>
  </r>
  <r>
    <n v="694"/>
    <x v="31"/>
    <n v="2"/>
    <n v="6"/>
    <x v="6"/>
    <x v="1"/>
    <x v="0"/>
    <n v="2"/>
    <x v="3"/>
    <x v="1"/>
    <n v="3"/>
    <x v="2"/>
    <x v="14"/>
    <n v="0.21210000000000001"/>
    <x v="43"/>
    <n v="0"/>
    <n v="0"/>
    <n v="22"/>
    <n v="22"/>
  </r>
  <r>
    <n v="695"/>
    <x v="31"/>
    <n v="2"/>
    <n v="7"/>
    <x v="7"/>
    <x v="1"/>
    <x v="0"/>
    <n v="2"/>
    <x v="3"/>
    <x v="1"/>
    <n v="3"/>
    <x v="2"/>
    <x v="13"/>
    <n v="0.2273"/>
    <x v="43"/>
    <n v="0"/>
    <n v="0"/>
    <n v="52"/>
    <n v="52"/>
  </r>
  <r>
    <n v="696"/>
    <x v="31"/>
    <n v="2"/>
    <n v="8"/>
    <x v="8"/>
    <x v="1"/>
    <x v="0"/>
    <n v="2"/>
    <x v="3"/>
    <x v="1"/>
    <n v="3"/>
    <x v="2"/>
    <x v="13"/>
    <n v="0.2273"/>
    <x v="43"/>
    <n v="0"/>
    <n v="3"/>
    <n v="132"/>
    <n v="135"/>
  </r>
  <r>
    <n v="697"/>
    <x v="31"/>
    <n v="2"/>
    <n v="9"/>
    <x v="9"/>
    <x v="1"/>
    <x v="0"/>
    <n v="2"/>
    <x v="3"/>
    <x v="1"/>
    <n v="2"/>
    <x v="1"/>
    <x v="13"/>
    <n v="0.2273"/>
    <x v="43"/>
    <n v="0"/>
    <n v="2"/>
    <n v="114"/>
    <n v="116"/>
  </r>
  <r>
    <n v="698"/>
    <x v="31"/>
    <n v="2"/>
    <n v="10"/>
    <x v="10"/>
    <x v="1"/>
    <x v="0"/>
    <n v="2"/>
    <x v="3"/>
    <x v="1"/>
    <n v="2"/>
    <x v="1"/>
    <x v="13"/>
    <n v="0.2273"/>
    <x v="43"/>
    <n v="0"/>
    <n v="0"/>
    <n v="47"/>
    <n v="47"/>
  </r>
  <r>
    <n v="699"/>
    <x v="31"/>
    <n v="2"/>
    <n v="11"/>
    <x v="11"/>
    <x v="1"/>
    <x v="0"/>
    <n v="2"/>
    <x v="3"/>
    <x v="1"/>
    <n v="2"/>
    <x v="1"/>
    <x v="15"/>
    <n v="0.2424"/>
    <x v="3"/>
    <n v="0"/>
    <n v="2"/>
    <n v="49"/>
    <n v="51"/>
  </r>
  <r>
    <n v="700"/>
    <x v="31"/>
    <n v="2"/>
    <n v="12"/>
    <x v="12"/>
    <x v="2"/>
    <x v="0"/>
    <n v="2"/>
    <x v="3"/>
    <x v="1"/>
    <n v="2"/>
    <x v="1"/>
    <x v="2"/>
    <n v="0.2576"/>
    <x v="3"/>
    <n v="0"/>
    <n v="2"/>
    <n v="53"/>
    <n v="55"/>
  </r>
  <r>
    <n v="701"/>
    <x v="31"/>
    <n v="2"/>
    <n v="13"/>
    <x v="13"/>
    <x v="2"/>
    <x v="0"/>
    <n v="2"/>
    <x v="3"/>
    <x v="1"/>
    <n v="2"/>
    <x v="1"/>
    <x v="2"/>
    <n v="0.2576"/>
    <x v="3"/>
    <n v="0"/>
    <n v="3"/>
    <n v="49"/>
    <n v="52"/>
  </r>
  <r>
    <n v="702"/>
    <x v="31"/>
    <n v="2"/>
    <n v="14"/>
    <x v="14"/>
    <x v="2"/>
    <x v="0"/>
    <n v="2"/>
    <x v="3"/>
    <x v="1"/>
    <n v="2"/>
    <x v="1"/>
    <x v="1"/>
    <n v="0.2576"/>
    <x v="1"/>
    <n v="8.9599999999999999E-2"/>
    <n v="5"/>
    <n v="49"/>
    <n v="54"/>
  </r>
  <r>
    <n v="703"/>
    <x v="31"/>
    <n v="2"/>
    <n v="15"/>
    <x v="15"/>
    <x v="2"/>
    <x v="0"/>
    <n v="2"/>
    <x v="3"/>
    <x v="1"/>
    <n v="2"/>
    <x v="1"/>
    <x v="0"/>
    <n v="0.28789999999999999"/>
    <x v="2"/>
    <n v="0"/>
    <n v="7"/>
    <n v="45"/>
    <n v="52"/>
  </r>
  <r>
    <n v="704"/>
    <x v="31"/>
    <n v="2"/>
    <n v="16"/>
    <x v="16"/>
    <x v="3"/>
    <x v="0"/>
    <n v="2"/>
    <x v="3"/>
    <x v="1"/>
    <n v="2"/>
    <x v="1"/>
    <x v="0"/>
    <n v="0.2424"/>
    <x v="2"/>
    <n v="0.1343"/>
    <n v="3"/>
    <n v="61"/>
    <n v="64"/>
  </r>
  <r>
    <n v="705"/>
    <x v="31"/>
    <n v="2"/>
    <n v="17"/>
    <x v="17"/>
    <x v="3"/>
    <x v="0"/>
    <n v="2"/>
    <x v="3"/>
    <x v="1"/>
    <n v="2"/>
    <x v="1"/>
    <x v="0"/>
    <n v="0.28789999999999999"/>
    <x v="2"/>
    <n v="0"/>
    <n v="4"/>
    <n v="172"/>
    <n v="176"/>
  </r>
  <r>
    <n v="706"/>
    <x v="31"/>
    <n v="2"/>
    <n v="18"/>
    <x v="18"/>
    <x v="3"/>
    <x v="0"/>
    <n v="2"/>
    <x v="3"/>
    <x v="1"/>
    <n v="2"/>
    <x v="1"/>
    <x v="0"/>
    <n v="0.2576"/>
    <x v="0"/>
    <n v="0.1045"/>
    <n v="3"/>
    <n v="165"/>
    <n v="168"/>
  </r>
  <r>
    <n v="707"/>
    <x v="31"/>
    <n v="2"/>
    <n v="19"/>
    <x v="19"/>
    <x v="3"/>
    <x v="0"/>
    <n v="2"/>
    <x v="3"/>
    <x v="1"/>
    <n v="2"/>
    <x v="1"/>
    <x v="0"/>
    <n v="0.2424"/>
    <x v="0"/>
    <n v="0.1343"/>
    <n v="3"/>
    <n v="105"/>
    <n v="108"/>
  </r>
  <r>
    <n v="708"/>
    <x v="31"/>
    <n v="2"/>
    <n v="20"/>
    <x v="20"/>
    <x v="0"/>
    <x v="0"/>
    <n v="2"/>
    <x v="3"/>
    <x v="1"/>
    <n v="2"/>
    <x v="1"/>
    <x v="1"/>
    <n v="0.2273"/>
    <x v="9"/>
    <n v="0.1343"/>
    <n v="5"/>
    <n v="69"/>
    <n v="74"/>
  </r>
  <r>
    <n v="709"/>
    <x v="31"/>
    <n v="2"/>
    <n v="21"/>
    <x v="21"/>
    <x v="0"/>
    <x v="0"/>
    <n v="2"/>
    <x v="3"/>
    <x v="1"/>
    <n v="2"/>
    <x v="1"/>
    <x v="1"/>
    <n v="0.2273"/>
    <x v="9"/>
    <n v="0.1343"/>
    <n v="0"/>
    <n v="64"/>
    <n v="64"/>
  </r>
  <r>
    <n v="710"/>
    <x v="31"/>
    <n v="2"/>
    <n v="22"/>
    <x v="22"/>
    <x v="0"/>
    <x v="0"/>
    <n v="2"/>
    <x v="3"/>
    <x v="1"/>
    <n v="2"/>
    <x v="1"/>
    <x v="1"/>
    <n v="0.2576"/>
    <x v="9"/>
    <n v="8.9599999999999999E-2"/>
    <n v="2"/>
    <n v="34"/>
    <n v="36"/>
  </r>
  <r>
    <n v="711"/>
    <x v="31"/>
    <n v="2"/>
    <n v="23"/>
    <x v="23"/>
    <x v="0"/>
    <x v="0"/>
    <n v="2"/>
    <x v="3"/>
    <x v="1"/>
    <n v="3"/>
    <x v="2"/>
    <x v="2"/>
    <n v="0.19700000000000001"/>
    <x v="43"/>
    <n v="0.19400000000000001"/>
    <n v="1"/>
    <n v="15"/>
    <n v="16"/>
  </r>
  <r>
    <n v="712"/>
    <x v="32"/>
    <n v="2"/>
    <n v="0"/>
    <x v="0"/>
    <x v="0"/>
    <x v="0"/>
    <n v="3"/>
    <x v="4"/>
    <x v="1"/>
    <n v="3"/>
    <x v="2"/>
    <x v="1"/>
    <n v="0.2424"/>
    <x v="43"/>
    <n v="0.1045"/>
    <n v="0"/>
    <n v="2"/>
    <n v="2"/>
  </r>
  <r>
    <n v="713"/>
    <x v="32"/>
    <n v="2"/>
    <n v="1"/>
    <x v="1"/>
    <x v="0"/>
    <x v="0"/>
    <n v="3"/>
    <x v="4"/>
    <x v="1"/>
    <n v="3"/>
    <x v="2"/>
    <x v="1"/>
    <n v="0.2273"/>
    <x v="43"/>
    <n v="0.19400000000000001"/>
    <n v="0"/>
    <n v="3"/>
    <n v="3"/>
  </r>
  <r>
    <n v="714"/>
    <x v="32"/>
    <n v="2"/>
    <n v="2"/>
    <x v="2"/>
    <x v="0"/>
    <x v="0"/>
    <n v="3"/>
    <x v="4"/>
    <x v="1"/>
    <n v="3"/>
    <x v="2"/>
    <x v="1"/>
    <n v="0.2273"/>
    <x v="43"/>
    <n v="0.1343"/>
    <n v="4"/>
    <n v="0"/>
    <n v="4"/>
  </r>
  <r>
    <n v="715"/>
    <x v="32"/>
    <n v="2"/>
    <n v="3"/>
    <x v="3"/>
    <x v="0"/>
    <x v="0"/>
    <n v="3"/>
    <x v="4"/>
    <x v="1"/>
    <n v="3"/>
    <x v="2"/>
    <x v="1"/>
    <n v="0.2273"/>
    <x v="43"/>
    <n v="0.1343"/>
    <n v="0"/>
    <n v="1"/>
    <n v="1"/>
  </r>
  <r>
    <n v="716"/>
    <x v="32"/>
    <n v="2"/>
    <n v="4"/>
    <x v="4"/>
    <x v="0"/>
    <x v="0"/>
    <n v="3"/>
    <x v="4"/>
    <x v="1"/>
    <n v="3"/>
    <x v="2"/>
    <x v="1"/>
    <n v="0.21210000000000001"/>
    <x v="43"/>
    <n v="0.28360000000000002"/>
    <n v="0"/>
    <n v="1"/>
    <n v="1"/>
  </r>
  <r>
    <n v="717"/>
    <x v="32"/>
    <n v="2"/>
    <n v="5"/>
    <x v="5"/>
    <x v="1"/>
    <x v="0"/>
    <n v="3"/>
    <x v="4"/>
    <x v="1"/>
    <n v="3"/>
    <x v="2"/>
    <x v="1"/>
    <n v="0.2424"/>
    <x v="43"/>
    <n v="0.1045"/>
    <n v="0"/>
    <n v="3"/>
    <n v="3"/>
  </r>
  <r>
    <n v="718"/>
    <x v="32"/>
    <n v="2"/>
    <n v="6"/>
    <x v="6"/>
    <x v="1"/>
    <x v="0"/>
    <n v="3"/>
    <x v="4"/>
    <x v="1"/>
    <n v="3"/>
    <x v="2"/>
    <x v="1"/>
    <n v="0.2424"/>
    <x v="43"/>
    <n v="0.1045"/>
    <n v="1"/>
    <n v="17"/>
    <n v="18"/>
  </r>
  <r>
    <n v="719"/>
    <x v="32"/>
    <n v="2"/>
    <n v="7"/>
    <x v="7"/>
    <x v="1"/>
    <x v="0"/>
    <n v="3"/>
    <x v="4"/>
    <x v="1"/>
    <n v="3"/>
    <x v="2"/>
    <x v="1"/>
    <n v="0.21210000000000001"/>
    <x v="43"/>
    <n v="0.22389999999999999"/>
    <n v="1"/>
    <n v="48"/>
    <n v="49"/>
  </r>
  <r>
    <n v="720"/>
    <x v="32"/>
    <n v="2"/>
    <n v="8"/>
    <x v="8"/>
    <x v="1"/>
    <x v="0"/>
    <n v="3"/>
    <x v="4"/>
    <x v="1"/>
    <n v="3"/>
    <x v="2"/>
    <x v="1"/>
    <n v="0.21210000000000001"/>
    <x v="43"/>
    <n v="0.22389999999999999"/>
    <n v="1"/>
    <n v="154"/>
    <n v="155"/>
  </r>
  <r>
    <n v="721"/>
    <x v="32"/>
    <n v="2"/>
    <n v="9"/>
    <x v="9"/>
    <x v="1"/>
    <x v="0"/>
    <n v="3"/>
    <x v="4"/>
    <x v="1"/>
    <n v="2"/>
    <x v="1"/>
    <x v="0"/>
    <n v="0.2576"/>
    <x v="43"/>
    <n v="8.9599999999999999E-2"/>
    <n v="4"/>
    <n v="119"/>
    <n v="123"/>
  </r>
  <r>
    <n v="722"/>
    <x v="32"/>
    <n v="2"/>
    <n v="10"/>
    <x v="10"/>
    <x v="1"/>
    <x v="0"/>
    <n v="3"/>
    <x v="4"/>
    <x v="1"/>
    <n v="2"/>
    <x v="1"/>
    <x v="1"/>
    <n v="0.2727"/>
    <x v="11"/>
    <n v="0"/>
    <n v="2"/>
    <n v="59"/>
    <n v="61"/>
  </r>
  <r>
    <n v="723"/>
    <x v="32"/>
    <n v="2"/>
    <n v="11"/>
    <x v="11"/>
    <x v="1"/>
    <x v="0"/>
    <n v="3"/>
    <x v="4"/>
    <x v="1"/>
    <n v="2"/>
    <x v="1"/>
    <x v="0"/>
    <n v="0.2273"/>
    <x v="43"/>
    <n v="0.19400000000000001"/>
    <n v="5"/>
    <n v="47"/>
    <n v="52"/>
  </r>
  <r>
    <n v="724"/>
    <x v="32"/>
    <n v="2"/>
    <n v="12"/>
    <x v="12"/>
    <x v="2"/>
    <x v="0"/>
    <n v="3"/>
    <x v="4"/>
    <x v="1"/>
    <n v="2"/>
    <x v="1"/>
    <x v="0"/>
    <n v="0.2273"/>
    <x v="43"/>
    <n v="0.22389999999999999"/>
    <n v="3"/>
    <n v="61"/>
    <n v="64"/>
  </r>
  <r>
    <n v="725"/>
    <x v="32"/>
    <n v="2"/>
    <n v="13"/>
    <x v="13"/>
    <x v="2"/>
    <x v="0"/>
    <n v="3"/>
    <x v="4"/>
    <x v="1"/>
    <n v="1"/>
    <x v="0"/>
    <x v="10"/>
    <n v="0.33329999999999999"/>
    <x v="43"/>
    <n v="0.16420000000000001"/>
    <n v="1"/>
    <n v="74"/>
    <n v="75"/>
  </r>
  <r>
    <n v="726"/>
    <x v="32"/>
    <n v="2"/>
    <n v="14"/>
    <x v="14"/>
    <x v="2"/>
    <x v="0"/>
    <n v="3"/>
    <x v="4"/>
    <x v="1"/>
    <n v="1"/>
    <x v="0"/>
    <x v="4"/>
    <n v="0.39389999999999997"/>
    <x v="7"/>
    <n v="0.3881"/>
    <n v="2"/>
    <n v="61"/>
    <n v="63"/>
  </r>
  <r>
    <n v="727"/>
    <x v="32"/>
    <n v="2"/>
    <n v="15"/>
    <x v="15"/>
    <x v="2"/>
    <x v="0"/>
    <n v="3"/>
    <x v="4"/>
    <x v="1"/>
    <n v="1"/>
    <x v="0"/>
    <x v="4"/>
    <n v="0.39389999999999997"/>
    <x v="4"/>
    <n v="0.32840000000000003"/>
    <n v="10"/>
    <n v="66"/>
    <n v="76"/>
  </r>
  <r>
    <n v="728"/>
    <x v="32"/>
    <n v="2"/>
    <n v="16"/>
    <x v="16"/>
    <x v="3"/>
    <x v="0"/>
    <n v="3"/>
    <x v="4"/>
    <x v="1"/>
    <n v="1"/>
    <x v="0"/>
    <x v="5"/>
    <n v="0.33329999999999999"/>
    <x v="12"/>
    <n v="0.29849999999999999"/>
    <n v="8"/>
    <n v="95"/>
    <n v="103"/>
  </r>
  <r>
    <n v="729"/>
    <x v="32"/>
    <n v="2"/>
    <n v="17"/>
    <x v="17"/>
    <x v="3"/>
    <x v="0"/>
    <n v="3"/>
    <x v="4"/>
    <x v="1"/>
    <n v="1"/>
    <x v="0"/>
    <x v="5"/>
    <n v="0.31819999999999998"/>
    <x v="45"/>
    <n v="0.52239999999999998"/>
    <n v="7"/>
    <n v="183"/>
    <n v="190"/>
  </r>
  <r>
    <n v="730"/>
    <x v="32"/>
    <n v="2"/>
    <n v="18"/>
    <x v="18"/>
    <x v="3"/>
    <x v="0"/>
    <n v="3"/>
    <x v="4"/>
    <x v="1"/>
    <n v="1"/>
    <x v="0"/>
    <x v="10"/>
    <n v="0.28789999999999999"/>
    <x v="16"/>
    <n v="0.55220000000000002"/>
    <n v="7"/>
    <n v="175"/>
    <n v="182"/>
  </r>
  <r>
    <n v="731"/>
    <x v="32"/>
    <n v="2"/>
    <n v="19"/>
    <x v="19"/>
    <x v="3"/>
    <x v="0"/>
    <n v="3"/>
    <x v="4"/>
    <x v="1"/>
    <n v="1"/>
    <x v="0"/>
    <x v="17"/>
    <n v="0.2424"/>
    <x v="49"/>
    <n v="0.49249999999999999"/>
    <n v="3"/>
    <n v="88"/>
    <n v="91"/>
  </r>
  <r>
    <n v="732"/>
    <x v="32"/>
    <n v="2"/>
    <n v="20"/>
    <x v="20"/>
    <x v="0"/>
    <x v="0"/>
    <n v="3"/>
    <x v="4"/>
    <x v="1"/>
    <n v="1"/>
    <x v="0"/>
    <x v="0"/>
    <n v="0.19700000000000001"/>
    <x v="37"/>
    <n v="0.55220000000000002"/>
    <n v="4"/>
    <n v="71"/>
    <n v="75"/>
  </r>
  <r>
    <n v="733"/>
    <x v="32"/>
    <n v="2"/>
    <n v="21"/>
    <x v="21"/>
    <x v="0"/>
    <x v="0"/>
    <n v="3"/>
    <x v="4"/>
    <x v="1"/>
    <n v="1"/>
    <x v="0"/>
    <x v="1"/>
    <n v="0.19700000000000001"/>
    <x v="19"/>
    <n v="0.32840000000000003"/>
    <n v="1"/>
    <n v="62"/>
    <n v="63"/>
  </r>
  <r>
    <n v="734"/>
    <x v="32"/>
    <n v="2"/>
    <n v="22"/>
    <x v="22"/>
    <x v="0"/>
    <x v="0"/>
    <n v="3"/>
    <x v="4"/>
    <x v="1"/>
    <n v="1"/>
    <x v="0"/>
    <x v="1"/>
    <n v="0.21210000000000001"/>
    <x v="18"/>
    <n v="0.25369999999999998"/>
    <n v="5"/>
    <n v="35"/>
    <n v="40"/>
  </r>
  <r>
    <n v="735"/>
    <x v="32"/>
    <n v="2"/>
    <n v="23"/>
    <x v="23"/>
    <x v="0"/>
    <x v="0"/>
    <n v="3"/>
    <x v="4"/>
    <x v="1"/>
    <n v="1"/>
    <x v="0"/>
    <x v="2"/>
    <n v="0.16669999999999999"/>
    <x v="18"/>
    <n v="0.44779999999999998"/>
    <n v="3"/>
    <n v="29"/>
    <n v="32"/>
  </r>
  <r>
    <n v="736"/>
    <x v="33"/>
    <n v="2"/>
    <n v="0"/>
    <x v="0"/>
    <x v="0"/>
    <x v="0"/>
    <n v="4"/>
    <x v="5"/>
    <x v="1"/>
    <n v="1"/>
    <x v="0"/>
    <x v="2"/>
    <n v="0.16669999999999999"/>
    <x v="22"/>
    <n v="0.44779999999999998"/>
    <n v="1"/>
    <n v="11"/>
    <n v="12"/>
  </r>
  <r>
    <n v="737"/>
    <x v="33"/>
    <n v="2"/>
    <n v="1"/>
    <x v="1"/>
    <x v="0"/>
    <x v="0"/>
    <n v="4"/>
    <x v="5"/>
    <x v="1"/>
    <n v="1"/>
    <x v="0"/>
    <x v="2"/>
    <n v="0.1515"/>
    <x v="18"/>
    <n v="0.52239999999999998"/>
    <n v="0"/>
    <n v="5"/>
    <n v="5"/>
  </r>
  <r>
    <n v="738"/>
    <x v="33"/>
    <n v="2"/>
    <n v="2"/>
    <x v="2"/>
    <x v="0"/>
    <x v="0"/>
    <n v="4"/>
    <x v="5"/>
    <x v="1"/>
    <n v="1"/>
    <x v="0"/>
    <x v="15"/>
    <n v="0.16669999999999999"/>
    <x v="21"/>
    <n v="0.25369999999999998"/>
    <n v="0"/>
    <n v="2"/>
    <n v="2"/>
  </r>
  <r>
    <n v="739"/>
    <x v="33"/>
    <n v="2"/>
    <n v="3"/>
    <x v="3"/>
    <x v="0"/>
    <x v="0"/>
    <n v="4"/>
    <x v="5"/>
    <x v="1"/>
    <n v="1"/>
    <x v="0"/>
    <x v="15"/>
    <n v="0.16669999999999999"/>
    <x v="21"/>
    <n v="0.25369999999999998"/>
    <n v="0"/>
    <n v="1"/>
    <n v="1"/>
  </r>
  <r>
    <n v="740"/>
    <x v="33"/>
    <n v="2"/>
    <n v="5"/>
    <x v="5"/>
    <x v="1"/>
    <x v="0"/>
    <n v="4"/>
    <x v="5"/>
    <x v="1"/>
    <n v="1"/>
    <x v="0"/>
    <x v="13"/>
    <n v="0.13639999999999999"/>
    <x v="20"/>
    <n v="0.29849999999999999"/>
    <n v="0"/>
    <n v="2"/>
    <n v="2"/>
  </r>
  <r>
    <n v="741"/>
    <x v="33"/>
    <n v="2"/>
    <n v="6"/>
    <x v="6"/>
    <x v="1"/>
    <x v="0"/>
    <n v="4"/>
    <x v="5"/>
    <x v="1"/>
    <n v="1"/>
    <x v="0"/>
    <x v="13"/>
    <n v="0.13639999999999999"/>
    <x v="21"/>
    <n v="0.35820000000000002"/>
    <n v="0"/>
    <n v="39"/>
    <n v="39"/>
  </r>
  <r>
    <n v="742"/>
    <x v="33"/>
    <n v="2"/>
    <n v="7"/>
    <x v="7"/>
    <x v="1"/>
    <x v="0"/>
    <n v="4"/>
    <x v="5"/>
    <x v="1"/>
    <n v="1"/>
    <x v="0"/>
    <x v="14"/>
    <n v="0.1212"/>
    <x v="20"/>
    <n v="0.32840000000000003"/>
    <n v="1"/>
    <n v="86"/>
    <n v="87"/>
  </r>
  <r>
    <n v="743"/>
    <x v="33"/>
    <n v="2"/>
    <n v="8"/>
    <x v="8"/>
    <x v="1"/>
    <x v="0"/>
    <n v="4"/>
    <x v="5"/>
    <x v="1"/>
    <n v="1"/>
    <x v="0"/>
    <x v="14"/>
    <n v="0.1212"/>
    <x v="20"/>
    <n v="0.35820000000000002"/>
    <n v="4"/>
    <n v="184"/>
    <n v="188"/>
  </r>
  <r>
    <n v="744"/>
    <x v="33"/>
    <n v="2"/>
    <n v="9"/>
    <x v="9"/>
    <x v="1"/>
    <x v="0"/>
    <n v="4"/>
    <x v="5"/>
    <x v="1"/>
    <n v="1"/>
    <x v="0"/>
    <x v="13"/>
    <n v="0.13639999999999999"/>
    <x v="19"/>
    <n v="0.29849999999999999"/>
    <n v="6"/>
    <n v="127"/>
    <n v="133"/>
  </r>
  <r>
    <n v="745"/>
    <x v="33"/>
    <n v="2"/>
    <n v="10"/>
    <x v="10"/>
    <x v="1"/>
    <x v="0"/>
    <n v="4"/>
    <x v="5"/>
    <x v="1"/>
    <n v="1"/>
    <x v="0"/>
    <x v="15"/>
    <n v="0.1515"/>
    <x v="21"/>
    <n v="0.32840000000000003"/>
    <n v="2"/>
    <n v="50"/>
    <n v="52"/>
  </r>
  <r>
    <n v="746"/>
    <x v="33"/>
    <n v="2"/>
    <n v="11"/>
    <x v="11"/>
    <x v="1"/>
    <x v="0"/>
    <n v="4"/>
    <x v="5"/>
    <x v="1"/>
    <n v="1"/>
    <x v="0"/>
    <x v="15"/>
    <n v="0.13639999999999999"/>
    <x v="21"/>
    <n v="0.44779999999999998"/>
    <n v="9"/>
    <n v="55"/>
    <n v="64"/>
  </r>
  <r>
    <n v="747"/>
    <x v="33"/>
    <n v="2"/>
    <n v="12"/>
    <x v="12"/>
    <x v="2"/>
    <x v="0"/>
    <n v="4"/>
    <x v="5"/>
    <x v="1"/>
    <n v="1"/>
    <x v="0"/>
    <x v="2"/>
    <n v="0.18179999999999999"/>
    <x v="22"/>
    <n v="0.35820000000000002"/>
    <n v="2"/>
    <n v="67"/>
    <n v="69"/>
  </r>
  <r>
    <n v="748"/>
    <x v="33"/>
    <n v="2"/>
    <n v="13"/>
    <x v="13"/>
    <x v="2"/>
    <x v="0"/>
    <n v="4"/>
    <x v="5"/>
    <x v="1"/>
    <n v="1"/>
    <x v="0"/>
    <x v="2"/>
    <n v="0.16669999999999999"/>
    <x v="22"/>
    <n v="0.41789999999999999"/>
    <n v="4"/>
    <n v="47"/>
    <n v="51"/>
  </r>
  <r>
    <n v="749"/>
    <x v="33"/>
    <n v="2"/>
    <n v="14"/>
    <x v="14"/>
    <x v="2"/>
    <x v="0"/>
    <n v="4"/>
    <x v="5"/>
    <x v="1"/>
    <n v="1"/>
    <x v="0"/>
    <x v="1"/>
    <n v="0.19700000000000001"/>
    <x v="38"/>
    <n v="0.3881"/>
    <n v="4"/>
    <n v="43"/>
    <n v="47"/>
  </r>
  <r>
    <n v="750"/>
    <x v="33"/>
    <n v="2"/>
    <n v="15"/>
    <x v="15"/>
    <x v="2"/>
    <x v="0"/>
    <n v="4"/>
    <x v="5"/>
    <x v="1"/>
    <n v="1"/>
    <x v="0"/>
    <x v="1"/>
    <n v="0.19700000000000001"/>
    <x v="38"/>
    <n v="0.32840000000000003"/>
    <n v="4"/>
    <n v="56"/>
    <n v="60"/>
  </r>
  <r>
    <n v="751"/>
    <x v="33"/>
    <n v="2"/>
    <n v="16"/>
    <x v="16"/>
    <x v="3"/>
    <x v="0"/>
    <n v="4"/>
    <x v="5"/>
    <x v="1"/>
    <n v="1"/>
    <x v="0"/>
    <x v="1"/>
    <n v="0.21210000000000001"/>
    <x v="38"/>
    <n v="0.25369999999999998"/>
    <n v="5"/>
    <n v="73"/>
    <n v="78"/>
  </r>
  <r>
    <n v="752"/>
    <x v="33"/>
    <n v="2"/>
    <n v="17"/>
    <x v="17"/>
    <x v="3"/>
    <x v="0"/>
    <n v="4"/>
    <x v="5"/>
    <x v="1"/>
    <n v="1"/>
    <x v="0"/>
    <x v="2"/>
    <n v="0.19700000000000001"/>
    <x v="22"/>
    <n v="0.19400000000000001"/>
    <n v="5"/>
    <n v="170"/>
    <n v="175"/>
  </r>
  <r>
    <n v="753"/>
    <x v="33"/>
    <n v="2"/>
    <n v="18"/>
    <x v="18"/>
    <x v="3"/>
    <x v="0"/>
    <n v="4"/>
    <x v="5"/>
    <x v="1"/>
    <n v="1"/>
    <x v="0"/>
    <x v="2"/>
    <n v="0.21210000000000001"/>
    <x v="22"/>
    <n v="0.16420000000000001"/>
    <n v="2"/>
    <n v="145"/>
    <n v="147"/>
  </r>
  <r>
    <n v="754"/>
    <x v="33"/>
    <n v="2"/>
    <n v="19"/>
    <x v="19"/>
    <x v="3"/>
    <x v="0"/>
    <n v="4"/>
    <x v="5"/>
    <x v="1"/>
    <n v="1"/>
    <x v="0"/>
    <x v="2"/>
    <n v="0.2576"/>
    <x v="22"/>
    <n v="0"/>
    <n v="4"/>
    <n v="92"/>
    <n v="96"/>
  </r>
  <r>
    <n v="755"/>
    <x v="33"/>
    <n v="2"/>
    <n v="20"/>
    <x v="20"/>
    <x v="0"/>
    <x v="0"/>
    <n v="4"/>
    <x v="5"/>
    <x v="1"/>
    <n v="1"/>
    <x v="0"/>
    <x v="2"/>
    <n v="0.2273"/>
    <x v="19"/>
    <n v="8.9599999999999999E-2"/>
    <n v="1"/>
    <n v="108"/>
    <n v="109"/>
  </r>
  <r>
    <n v="756"/>
    <x v="33"/>
    <n v="2"/>
    <n v="21"/>
    <x v="21"/>
    <x v="0"/>
    <x v="0"/>
    <n v="4"/>
    <x v="5"/>
    <x v="1"/>
    <n v="1"/>
    <x v="0"/>
    <x v="15"/>
    <n v="0.21210000000000001"/>
    <x v="28"/>
    <n v="0.1045"/>
    <n v="1"/>
    <n v="53"/>
    <n v="54"/>
  </r>
  <r>
    <n v="757"/>
    <x v="33"/>
    <n v="2"/>
    <n v="22"/>
    <x v="22"/>
    <x v="0"/>
    <x v="0"/>
    <n v="4"/>
    <x v="5"/>
    <x v="1"/>
    <n v="1"/>
    <x v="0"/>
    <x v="15"/>
    <n v="0.21210000000000001"/>
    <x v="33"/>
    <n v="8.9599999999999999E-2"/>
    <n v="2"/>
    <n v="39"/>
    <n v="41"/>
  </r>
  <r>
    <n v="758"/>
    <x v="33"/>
    <n v="2"/>
    <n v="23"/>
    <x v="23"/>
    <x v="0"/>
    <x v="0"/>
    <n v="4"/>
    <x v="5"/>
    <x v="1"/>
    <n v="1"/>
    <x v="0"/>
    <x v="2"/>
    <n v="0.2273"/>
    <x v="19"/>
    <n v="0.1045"/>
    <n v="4"/>
    <n v="34"/>
    <n v="38"/>
  </r>
  <r>
    <n v="759"/>
    <x v="34"/>
    <n v="2"/>
    <n v="0"/>
    <x v="0"/>
    <x v="0"/>
    <x v="0"/>
    <n v="5"/>
    <x v="6"/>
    <x v="1"/>
    <n v="2"/>
    <x v="1"/>
    <x v="2"/>
    <n v="0.2576"/>
    <x v="18"/>
    <n v="0"/>
    <n v="3"/>
    <n v="10"/>
    <n v="13"/>
  </r>
  <r>
    <n v="760"/>
    <x v="34"/>
    <n v="2"/>
    <n v="1"/>
    <x v="1"/>
    <x v="0"/>
    <x v="0"/>
    <n v="5"/>
    <x v="6"/>
    <x v="1"/>
    <n v="2"/>
    <x v="1"/>
    <x v="13"/>
    <n v="0.2273"/>
    <x v="29"/>
    <n v="0"/>
    <n v="0"/>
    <n v="7"/>
    <n v="7"/>
  </r>
  <r>
    <n v="761"/>
    <x v="34"/>
    <n v="2"/>
    <n v="2"/>
    <x v="2"/>
    <x v="0"/>
    <x v="0"/>
    <n v="5"/>
    <x v="6"/>
    <x v="1"/>
    <n v="2"/>
    <x v="1"/>
    <x v="14"/>
    <n v="0.16669999999999999"/>
    <x v="30"/>
    <n v="0.1045"/>
    <n v="0"/>
    <n v="1"/>
    <n v="1"/>
  </r>
  <r>
    <n v="762"/>
    <x v="34"/>
    <n v="2"/>
    <n v="3"/>
    <x v="3"/>
    <x v="0"/>
    <x v="0"/>
    <n v="5"/>
    <x v="6"/>
    <x v="1"/>
    <n v="2"/>
    <x v="1"/>
    <x v="14"/>
    <n v="0.16669999999999999"/>
    <x v="30"/>
    <n v="0.1045"/>
    <n v="0"/>
    <n v="1"/>
    <n v="1"/>
  </r>
  <r>
    <n v="763"/>
    <x v="34"/>
    <n v="2"/>
    <n v="5"/>
    <x v="5"/>
    <x v="1"/>
    <x v="0"/>
    <n v="5"/>
    <x v="6"/>
    <x v="1"/>
    <n v="2"/>
    <x v="1"/>
    <x v="14"/>
    <n v="0.1515"/>
    <x v="30"/>
    <n v="0.1343"/>
    <n v="0"/>
    <n v="7"/>
    <n v="7"/>
  </r>
  <r>
    <n v="764"/>
    <x v="34"/>
    <n v="2"/>
    <n v="6"/>
    <x v="6"/>
    <x v="1"/>
    <x v="0"/>
    <n v="5"/>
    <x v="6"/>
    <x v="1"/>
    <n v="2"/>
    <x v="1"/>
    <x v="13"/>
    <n v="0.2273"/>
    <x v="28"/>
    <n v="0"/>
    <n v="2"/>
    <n v="26"/>
    <n v="28"/>
  </r>
  <r>
    <n v="765"/>
    <x v="34"/>
    <n v="2"/>
    <n v="7"/>
    <x v="7"/>
    <x v="1"/>
    <x v="0"/>
    <n v="5"/>
    <x v="6"/>
    <x v="1"/>
    <n v="1"/>
    <x v="0"/>
    <x v="14"/>
    <n v="0.21210000000000001"/>
    <x v="29"/>
    <n v="0"/>
    <n v="0"/>
    <n v="87"/>
    <n v="87"/>
  </r>
  <r>
    <n v="766"/>
    <x v="34"/>
    <n v="2"/>
    <n v="8"/>
    <x v="8"/>
    <x v="1"/>
    <x v="0"/>
    <n v="5"/>
    <x v="6"/>
    <x v="1"/>
    <n v="1"/>
    <x v="0"/>
    <x v="14"/>
    <n v="0.1515"/>
    <x v="32"/>
    <n v="0.1343"/>
    <n v="3"/>
    <n v="217"/>
    <n v="220"/>
  </r>
  <r>
    <n v="767"/>
    <x v="34"/>
    <n v="2"/>
    <n v="9"/>
    <x v="9"/>
    <x v="1"/>
    <x v="0"/>
    <n v="5"/>
    <x v="6"/>
    <x v="1"/>
    <n v="2"/>
    <x v="1"/>
    <x v="13"/>
    <n v="0.18179999999999999"/>
    <x v="1"/>
    <n v="0.1343"/>
    <n v="3"/>
    <n v="124"/>
    <n v="127"/>
  </r>
  <r>
    <n v="768"/>
    <x v="34"/>
    <n v="2"/>
    <n v="10"/>
    <x v="10"/>
    <x v="1"/>
    <x v="0"/>
    <n v="5"/>
    <x v="6"/>
    <x v="1"/>
    <n v="2"/>
    <x v="1"/>
    <x v="2"/>
    <n v="0.21210000000000001"/>
    <x v="33"/>
    <n v="0.1343"/>
    <n v="5"/>
    <n v="46"/>
    <n v="51"/>
  </r>
  <r>
    <n v="769"/>
    <x v="34"/>
    <n v="2"/>
    <n v="11"/>
    <x v="11"/>
    <x v="1"/>
    <x v="0"/>
    <n v="5"/>
    <x v="6"/>
    <x v="1"/>
    <n v="1"/>
    <x v="0"/>
    <x v="1"/>
    <n v="0.2273"/>
    <x v="33"/>
    <n v="0.16420000000000001"/>
    <n v="3"/>
    <n v="61"/>
    <n v="64"/>
  </r>
  <r>
    <n v="770"/>
    <x v="34"/>
    <n v="2"/>
    <n v="12"/>
    <x v="12"/>
    <x v="2"/>
    <x v="0"/>
    <n v="5"/>
    <x v="6"/>
    <x v="1"/>
    <n v="2"/>
    <x v="1"/>
    <x v="0"/>
    <n v="0.2424"/>
    <x v="37"/>
    <n v="0.16420000000000001"/>
    <n v="8"/>
    <n v="78"/>
    <n v="86"/>
  </r>
  <r>
    <n v="771"/>
    <x v="34"/>
    <n v="2"/>
    <n v="13"/>
    <x v="13"/>
    <x v="2"/>
    <x v="0"/>
    <n v="5"/>
    <x v="6"/>
    <x v="1"/>
    <n v="2"/>
    <x v="1"/>
    <x v="12"/>
    <n v="0.2576"/>
    <x v="20"/>
    <n v="0.22389999999999999"/>
    <n v="9"/>
    <n v="73"/>
    <n v="82"/>
  </r>
  <r>
    <n v="772"/>
    <x v="34"/>
    <n v="2"/>
    <n v="14"/>
    <x v="14"/>
    <x v="2"/>
    <x v="0"/>
    <n v="5"/>
    <x v="6"/>
    <x v="1"/>
    <n v="2"/>
    <x v="1"/>
    <x v="17"/>
    <n v="0.2727"/>
    <x v="49"/>
    <n v="0.16420000000000001"/>
    <n v="15"/>
    <n v="76"/>
    <n v="91"/>
  </r>
  <r>
    <n v="773"/>
    <x v="34"/>
    <n v="2"/>
    <n v="15"/>
    <x v="15"/>
    <x v="2"/>
    <x v="0"/>
    <n v="5"/>
    <x v="6"/>
    <x v="1"/>
    <n v="2"/>
    <x v="1"/>
    <x v="17"/>
    <n v="0.2727"/>
    <x v="37"/>
    <n v="0.25369999999999998"/>
    <n v="9"/>
    <n v="81"/>
    <n v="90"/>
  </r>
  <r>
    <n v="774"/>
    <x v="34"/>
    <n v="2"/>
    <n v="16"/>
    <x v="16"/>
    <x v="3"/>
    <x v="0"/>
    <n v="5"/>
    <x v="6"/>
    <x v="1"/>
    <n v="2"/>
    <x v="1"/>
    <x v="11"/>
    <n v="0.28789999999999999"/>
    <x v="16"/>
    <n v="0.22389999999999999"/>
    <n v="8"/>
    <n v="91"/>
    <n v="99"/>
  </r>
  <r>
    <n v="775"/>
    <x v="34"/>
    <n v="2"/>
    <n v="17"/>
    <x v="17"/>
    <x v="3"/>
    <x v="0"/>
    <n v="5"/>
    <x v="6"/>
    <x v="1"/>
    <n v="2"/>
    <x v="1"/>
    <x v="12"/>
    <n v="0.2727"/>
    <x v="34"/>
    <n v="0.1343"/>
    <n v="10"/>
    <n v="195"/>
    <n v="205"/>
  </r>
  <r>
    <n v="776"/>
    <x v="34"/>
    <n v="2"/>
    <n v="18"/>
    <x v="18"/>
    <x v="3"/>
    <x v="0"/>
    <n v="5"/>
    <x v="6"/>
    <x v="1"/>
    <n v="2"/>
    <x v="1"/>
    <x v="0"/>
    <n v="0.2576"/>
    <x v="54"/>
    <n v="0.1045"/>
    <n v="3"/>
    <n v="152"/>
    <n v="155"/>
  </r>
  <r>
    <n v="777"/>
    <x v="34"/>
    <n v="2"/>
    <n v="19"/>
    <x v="19"/>
    <x v="3"/>
    <x v="0"/>
    <n v="5"/>
    <x v="6"/>
    <x v="1"/>
    <n v="2"/>
    <x v="1"/>
    <x v="0"/>
    <n v="0.2424"/>
    <x v="55"/>
    <n v="0.1343"/>
    <n v="1"/>
    <n v="102"/>
    <n v="103"/>
  </r>
  <r>
    <n v="778"/>
    <x v="34"/>
    <n v="2"/>
    <n v="20"/>
    <x v="20"/>
    <x v="0"/>
    <x v="0"/>
    <n v="5"/>
    <x v="6"/>
    <x v="1"/>
    <n v="2"/>
    <x v="1"/>
    <x v="0"/>
    <n v="0.2424"/>
    <x v="55"/>
    <n v="0.16420000000000001"/>
    <n v="2"/>
    <n v="69"/>
    <n v="71"/>
  </r>
  <r>
    <n v="779"/>
    <x v="34"/>
    <n v="2"/>
    <n v="21"/>
    <x v="21"/>
    <x v="0"/>
    <x v="0"/>
    <n v="5"/>
    <x v="6"/>
    <x v="1"/>
    <n v="2"/>
    <x v="1"/>
    <x v="0"/>
    <n v="0.2424"/>
    <x v="56"/>
    <n v="0.16420000000000001"/>
    <n v="2"/>
    <n v="41"/>
    <n v="43"/>
  </r>
  <r>
    <n v="780"/>
    <x v="34"/>
    <n v="2"/>
    <n v="22"/>
    <x v="22"/>
    <x v="0"/>
    <x v="0"/>
    <n v="5"/>
    <x v="6"/>
    <x v="1"/>
    <n v="2"/>
    <x v="1"/>
    <x v="0"/>
    <n v="0.2424"/>
    <x v="55"/>
    <n v="0.16420000000000001"/>
    <n v="1"/>
    <n v="45"/>
    <n v="46"/>
  </r>
  <r>
    <n v="781"/>
    <x v="34"/>
    <n v="2"/>
    <n v="23"/>
    <x v="23"/>
    <x v="0"/>
    <x v="0"/>
    <n v="5"/>
    <x v="6"/>
    <x v="1"/>
    <n v="2"/>
    <x v="1"/>
    <x v="0"/>
    <n v="0.2424"/>
    <x v="56"/>
    <n v="0.1343"/>
    <n v="1"/>
    <n v="30"/>
    <n v="31"/>
  </r>
  <r>
    <n v="782"/>
    <x v="35"/>
    <n v="2"/>
    <n v="0"/>
    <x v="0"/>
    <x v="0"/>
    <x v="0"/>
    <n v="6"/>
    <x v="0"/>
    <x v="0"/>
    <n v="2"/>
    <x v="1"/>
    <x v="0"/>
    <n v="0.2424"/>
    <x v="56"/>
    <n v="0.16420000000000001"/>
    <n v="3"/>
    <n v="36"/>
    <n v="39"/>
  </r>
  <r>
    <n v="783"/>
    <x v="35"/>
    <n v="2"/>
    <n v="1"/>
    <x v="1"/>
    <x v="0"/>
    <x v="0"/>
    <n v="6"/>
    <x v="0"/>
    <x v="0"/>
    <n v="2"/>
    <x v="1"/>
    <x v="0"/>
    <n v="0.2424"/>
    <x v="55"/>
    <n v="0.16420000000000001"/>
    <n v="1"/>
    <n v="17"/>
    <n v="18"/>
  </r>
  <r>
    <n v="784"/>
    <x v="35"/>
    <n v="2"/>
    <n v="2"/>
    <x v="2"/>
    <x v="0"/>
    <x v="0"/>
    <n v="6"/>
    <x v="0"/>
    <x v="0"/>
    <n v="2"/>
    <x v="1"/>
    <x v="0"/>
    <n v="0.2424"/>
    <x v="2"/>
    <n v="0.16420000000000001"/>
    <n v="5"/>
    <n v="12"/>
    <n v="17"/>
  </r>
  <r>
    <n v="785"/>
    <x v="35"/>
    <n v="2"/>
    <n v="3"/>
    <x v="3"/>
    <x v="0"/>
    <x v="0"/>
    <n v="6"/>
    <x v="0"/>
    <x v="0"/>
    <n v="2"/>
    <x v="1"/>
    <x v="0"/>
    <n v="0.2424"/>
    <x v="2"/>
    <n v="0.16420000000000001"/>
    <n v="1"/>
    <n v="10"/>
    <n v="11"/>
  </r>
  <r>
    <n v="786"/>
    <x v="35"/>
    <n v="2"/>
    <n v="4"/>
    <x v="4"/>
    <x v="0"/>
    <x v="0"/>
    <n v="6"/>
    <x v="0"/>
    <x v="0"/>
    <n v="3"/>
    <x v="2"/>
    <x v="1"/>
    <n v="0.2273"/>
    <x v="43"/>
    <n v="0.1343"/>
    <n v="0"/>
    <n v="8"/>
    <n v="8"/>
  </r>
  <r>
    <n v="787"/>
    <x v="35"/>
    <n v="2"/>
    <n v="5"/>
    <x v="5"/>
    <x v="1"/>
    <x v="0"/>
    <n v="6"/>
    <x v="0"/>
    <x v="0"/>
    <n v="3"/>
    <x v="2"/>
    <x v="2"/>
    <n v="0.2273"/>
    <x v="11"/>
    <n v="8.9599999999999999E-2"/>
    <n v="0"/>
    <n v="9"/>
    <n v="9"/>
  </r>
  <r>
    <n v="788"/>
    <x v="35"/>
    <n v="2"/>
    <n v="6"/>
    <x v="6"/>
    <x v="1"/>
    <x v="0"/>
    <n v="6"/>
    <x v="0"/>
    <x v="0"/>
    <n v="3"/>
    <x v="2"/>
    <x v="2"/>
    <n v="0.2576"/>
    <x v="11"/>
    <n v="0"/>
    <n v="0"/>
    <n v="4"/>
    <n v="4"/>
  </r>
  <r>
    <n v="789"/>
    <x v="35"/>
    <n v="2"/>
    <n v="7"/>
    <x v="7"/>
    <x v="1"/>
    <x v="0"/>
    <n v="6"/>
    <x v="0"/>
    <x v="0"/>
    <n v="3"/>
    <x v="2"/>
    <x v="1"/>
    <n v="0.2576"/>
    <x v="43"/>
    <n v="8.9599999999999999E-2"/>
    <n v="0"/>
    <n v="4"/>
    <n v="4"/>
  </r>
  <r>
    <n v="790"/>
    <x v="35"/>
    <n v="2"/>
    <n v="8"/>
    <x v="8"/>
    <x v="1"/>
    <x v="0"/>
    <n v="6"/>
    <x v="0"/>
    <x v="0"/>
    <n v="3"/>
    <x v="2"/>
    <x v="2"/>
    <n v="0.2273"/>
    <x v="11"/>
    <n v="8.9599999999999999E-2"/>
    <n v="0"/>
    <n v="10"/>
    <n v="10"/>
  </r>
  <r>
    <n v="791"/>
    <x v="35"/>
    <n v="2"/>
    <n v="9"/>
    <x v="9"/>
    <x v="1"/>
    <x v="0"/>
    <n v="6"/>
    <x v="0"/>
    <x v="0"/>
    <n v="3"/>
    <x v="2"/>
    <x v="2"/>
    <n v="0.2273"/>
    <x v="11"/>
    <n v="8.9599999999999999E-2"/>
    <n v="3"/>
    <n v="17"/>
    <n v="20"/>
  </r>
  <r>
    <n v="792"/>
    <x v="35"/>
    <n v="2"/>
    <n v="10"/>
    <x v="10"/>
    <x v="1"/>
    <x v="0"/>
    <n v="6"/>
    <x v="0"/>
    <x v="0"/>
    <n v="3"/>
    <x v="2"/>
    <x v="2"/>
    <n v="0.21210000000000001"/>
    <x v="11"/>
    <n v="0.1343"/>
    <n v="3"/>
    <n v="31"/>
    <n v="34"/>
  </r>
  <r>
    <n v="793"/>
    <x v="35"/>
    <n v="2"/>
    <n v="11"/>
    <x v="11"/>
    <x v="1"/>
    <x v="0"/>
    <n v="6"/>
    <x v="0"/>
    <x v="0"/>
    <n v="3"/>
    <x v="2"/>
    <x v="1"/>
    <n v="0.2273"/>
    <x v="11"/>
    <n v="0.1343"/>
    <n v="1"/>
    <n v="46"/>
    <n v="47"/>
  </r>
  <r>
    <n v="794"/>
    <x v="35"/>
    <n v="2"/>
    <n v="12"/>
    <x v="12"/>
    <x v="2"/>
    <x v="0"/>
    <n v="6"/>
    <x v="0"/>
    <x v="0"/>
    <n v="3"/>
    <x v="2"/>
    <x v="1"/>
    <n v="0.2273"/>
    <x v="11"/>
    <n v="0.16420000000000001"/>
    <n v="10"/>
    <n v="42"/>
    <n v="52"/>
  </r>
  <r>
    <n v="795"/>
    <x v="35"/>
    <n v="2"/>
    <n v="13"/>
    <x v="13"/>
    <x v="2"/>
    <x v="0"/>
    <n v="6"/>
    <x v="0"/>
    <x v="0"/>
    <n v="3"/>
    <x v="2"/>
    <x v="1"/>
    <n v="0.2273"/>
    <x v="11"/>
    <n v="0.16420000000000001"/>
    <n v="10"/>
    <n v="62"/>
    <n v="72"/>
  </r>
  <r>
    <n v="796"/>
    <x v="35"/>
    <n v="2"/>
    <n v="14"/>
    <x v="14"/>
    <x v="2"/>
    <x v="0"/>
    <n v="6"/>
    <x v="0"/>
    <x v="0"/>
    <n v="3"/>
    <x v="2"/>
    <x v="1"/>
    <n v="0.2727"/>
    <x v="11"/>
    <n v="0"/>
    <n v="5"/>
    <n v="50"/>
    <n v="55"/>
  </r>
  <r>
    <n v="797"/>
    <x v="35"/>
    <n v="2"/>
    <n v="15"/>
    <x v="15"/>
    <x v="2"/>
    <x v="0"/>
    <n v="6"/>
    <x v="0"/>
    <x v="0"/>
    <n v="3"/>
    <x v="2"/>
    <x v="1"/>
    <n v="0.2727"/>
    <x v="11"/>
    <n v="0"/>
    <n v="11"/>
    <n v="49"/>
    <n v="60"/>
  </r>
  <r>
    <n v="798"/>
    <x v="35"/>
    <n v="2"/>
    <n v="16"/>
    <x v="16"/>
    <x v="3"/>
    <x v="0"/>
    <n v="6"/>
    <x v="0"/>
    <x v="0"/>
    <n v="3"/>
    <x v="2"/>
    <x v="1"/>
    <n v="0.2273"/>
    <x v="11"/>
    <n v="0.1343"/>
    <n v="8"/>
    <n v="63"/>
    <n v="71"/>
  </r>
  <r>
    <n v="799"/>
    <x v="35"/>
    <n v="2"/>
    <n v="17"/>
    <x v="17"/>
    <x v="3"/>
    <x v="0"/>
    <n v="6"/>
    <x v="0"/>
    <x v="0"/>
    <n v="2"/>
    <x v="1"/>
    <x v="0"/>
    <n v="0.21210000000000001"/>
    <x v="11"/>
    <n v="0.28360000000000002"/>
    <n v="14"/>
    <n v="64"/>
    <n v="78"/>
  </r>
  <r>
    <n v="800"/>
    <x v="35"/>
    <n v="2"/>
    <n v="18"/>
    <x v="18"/>
    <x v="3"/>
    <x v="0"/>
    <n v="6"/>
    <x v="0"/>
    <x v="0"/>
    <n v="2"/>
    <x v="1"/>
    <x v="17"/>
    <n v="0.2424"/>
    <x v="43"/>
    <n v="0.44779999999999998"/>
    <n v="2"/>
    <n v="81"/>
    <n v="83"/>
  </r>
  <r>
    <n v="801"/>
    <x v="35"/>
    <n v="2"/>
    <n v="19"/>
    <x v="19"/>
    <x v="3"/>
    <x v="0"/>
    <n v="6"/>
    <x v="0"/>
    <x v="0"/>
    <n v="2"/>
    <x v="1"/>
    <x v="17"/>
    <n v="0.2424"/>
    <x v="43"/>
    <n v="0.44779999999999998"/>
    <n v="6"/>
    <n v="78"/>
    <n v="84"/>
  </r>
  <r>
    <n v="802"/>
    <x v="35"/>
    <n v="2"/>
    <n v="20"/>
    <x v="20"/>
    <x v="0"/>
    <x v="0"/>
    <n v="6"/>
    <x v="0"/>
    <x v="0"/>
    <n v="1"/>
    <x v="0"/>
    <x v="11"/>
    <n v="0.28789999999999999"/>
    <x v="9"/>
    <n v="0.25369999999999998"/>
    <n v="5"/>
    <n v="64"/>
    <n v="69"/>
  </r>
  <r>
    <n v="803"/>
    <x v="35"/>
    <n v="2"/>
    <n v="21"/>
    <x v="21"/>
    <x v="0"/>
    <x v="0"/>
    <n v="6"/>
    <x v="0"/>
    <x v="0"/>
    <n v="1"/>
    <x v="0"/>
    <x v="12"/>
    <n v="0.2576"/>
    <x v="11"/>
    <n v="0.19400000000000001"/>
    <n v="3"/>
    <n v="53"/>
    <n v="56"/>
  </r>
  <r>
    <n v="804"/>
    <x v="35"/>
    <n v="2"/>
    <n v="22"/>
    <x v="22"/>
    <x v="0"/>
    <x v="0"/>
    <n v="6"/>
    <x v="0"/>
    <x v="0"/>
    <n v="1"/>
    <x v="0"/>
    <x v="12"/>
    <n v="0.2727"/>
    <x v="43"/>
    <n v="0.1343"/>
    <n v="2"/>
    <n v="43"/>
    <n v="45"/>
  </r>
  <r>
    <n v="805"/>
    <x v="35"/>
    <n v="2"/>
    <n v="23"/>
    <x v="23"/>
    <x v="0"/>
    <x v="0"/>
    <n v="6"/>
    <x v="0"/>
    <x v="0"/>
    <n v="1"/>
    <x v="0"/>
    <x v="12"/>
    <n v="0.2576"/>
    <x v="43"/>
    <n v="0.22389999999999999"/>
    <n v="7"/>
    <n v="52"/>
    <n v="59"/>
  </r>
  <r>
    <n v="806"/>
    <x v="36"/>
    <n v="2"/>
    <n v="0"/>
    <x v="0"/>
    <x v="0"/>
    <x v="0"/>
    <n v="0"/>
    <x v="1"/>
    <x v="0"/>
    <n v="1"/>
    <x v="0"/>
    <x v="12"/>
    <n v="0.2576"/>
    <x v="56"/>
    <n v="0.19400000000000001"/>
    <n v="2"/>
    <n v="37"/>
    <n v="39"/>
  </r>
  <r>
    <n v="807"/>
    <x v="36"/>
    <n v="2"/>
    <n v="1"/>
    <x v="1"/>
    <x v="0"/>
    <x v="0"/>
    <n v="0"/>
    <x v="1"/>
    <x v="0"/>
    <n v="1"/>
    <x v="0"/>
    <x v="12"/>
    <n v="0.2273"/>
    <x v="55"/>
    <n v="0.41789999999999999"/>
    <n v="4"/>
    <n v="40"/>
    <n v="44"/>
  </r>
  <r>
    <n v="808"/>
    <x v="36"/>
    <n v="2"/>
    <n v="2"/>
    <x v="2"/>
    <x v="0"/>
    <x v="0"/>
    <n v="0"/>
    <x v="1"/>
    <x v="0"/>
    <n v="1"/>
    <x v="0"/>
    <x v="12"/>
    <n v="0.2273"/>
    <x v="54"/>
    <n v="0.32840000000000003"/>
    <n v="0"/>
    <n v="20"/>
    <n v="20"/>
  </r>
  <r>
    <n v="809"/>
    <x v="36"/>
    <n v="2"/>
    <n v="3"/>
    <x v="3"/>
    <x v="0"/>
    <x v="0"/>
    <n v="0"/>
    <x v="1"/>
    <x v="0"/>
    <n v="1"/>
    <x v="0"/>
    <x v="12"/>
    <n v="0.28789999999999999"/>
    <x v="54"/>
    <n v="8.9599999999999999E-2"/>
    <n v="3"/>
    <n v="10"/>
    <n v="13"/>
  </r>
  <r>
    <n v="810"/>
    <x v="36"/>
    <n v="2"/>
    <n v="4"/>
    <x v="4"/>
    <x v="0"/>
    <x v="0"/>
    <n v="0"/>
    <x v="1"/>
    <x v="0"/>
    <n v="1"/>
    <x v="0"/>
    <x v="12"/>
    <n v="0.2273"/>
    <x v="54"/>
    <n v="0.35820000000000002"/>
    <n v="0"/>
    <n v="2"/>
    <n v="2"/>
  </r>
  <r>
    <n v="811"/>
    <x v="36"/>
    <n v="2"/>
    <n v="5"/>
    <x v="5"/>
    <x v="1"/>
    <x v="0"/>
    <n v="0"/>
    <x v="1"/>
    <x v="0"/>
    <n v="1"/>
    <x v="0"/>
    <x v="12"/>
    <n v="0.2576"/>
    <x v="54"/>
    <n v="0.22389999999999999"/>
    <n v="0"/>
    <n v="1"/>
    <n v="1"/>
  </r>
  <r>
    <n v="812"/>
    <x v="36"/>
    <n v="2"/>
    <n v="6"/>
    <x v="6"/>
    <x v="1"/>
    <x v="0"/>
    <n v="0"/>
    <x v="1"/>
    <x v="0"/>
    <n v="1"/>
    <x v="0"/>
    <x v="12"/>
    <n v="0.2576"/>
    <x v="54"/>
    <n v="0.22389999999999999"/>
    <n v="0"/>
    <n v="1"/>
    <n v="1"/>
  </r>
  <r>
    <n v="813"/>
    <x v="36"/>
    <n v="2"/>
    <n v="7"/>
    <x v="7"/>
    <x v="1"/>
    <x v="0"/>
    <n v="0"/>
    <x v="1"/>
    <x v="0"/>
    <n v="1"/>
    <x v="0"/>
    <x v="0"/>
    <n v="0.2424"/>
    <x v="55"/>
    <n v="0.16420000000000001"/>
    <n v="0"/>
    <n v="8"/>
    <n v="8"/>
  </r>
  <r>
    <n v="814"/>
    <x v="36"/>
    <n v="2"/>
    <n v="8"/>
    <x v="8"/>
    <x v="1"/>
    <x v="0"/>
    <n v="0"/>
    <x v="1"/>
    <x v="0"/>
    <n v="1"/>
    <x v="0"/>
    <x v="0"/>
    <n v="0.2576"/>
    <x v="55"/>
    <n v="0.1045"/>
    <n v="2"/>
    <n v="21"/>
    <n v="23"/>
  </r>
  <r>
    <n v="815"/>
    <x v="36"/>
    <n v="2"/>
    <n v="9"/>
    <x v="9"/>
    <x v="1"/>
    <x v="0"/>
    <n v="0"/>
    <x v="1"/>
    <x v="0"/>
    <n v="1"/>
    <x v="0"/>
    <x v="17"/>
    <n v="0.28789999999999999"/>
    <x v="34"/>
    <n v="0.1045"/>
    <n v="7"/>
    <n v="38"/>
    <n v="45"/>
  </r>
  <r>
    <n v="816"/>
    <x v="36"/>
    <n v="2"/>
    <n v="10"/>
    <x v="10"/>
    <x v="1"/>
    <x v="0"/>
    <n v="0"/>
    <x v="1"/>
    <x v="0"/>
    <n v="1"/>
    <x v="0"/>
    <x v="11"/>
    <n v="0.28789999999999999"/>
    <x v="35"/>
    <n v="0.25369999999999998"/>
    <n v="15"/>
    <n v="74"/>
    <n v="89"/>
  </r>
  <r>
    <n v="817"/>
    <x v="36"/>
    <n v="2"/>
    <n v="11"/>
    <x v="11"/>
    <x v="1"/>
    <x v="0"/>
    <n v="0"/>
    <x v="1"/>
    <x v="0"/>
    <n v="1"/>
    <x v="0"/>
    <x v="3"/>
    <n v="0.30299999999999999"/>
    <x v="36"/>
    <n v="0.25369999999999998"/>
    <n v="28"/>
    <n v="89"/>
    <n v="117"/>
  </r>
  <r>
    <n v="818"/>
    <x v="36"/>
    <n v="2"/>
    <n v="12"/>
    <x v="12"/>
    <x v="2"/>
    <x v="0"/>
    <n v="0"/>
    <x v="1"/>
    <x v="0"/>
    <n v="1"/>
    <x v="0"/>
    <x v="10"/>
    <n v="0.33329999999999999"/>
    <x v="15"/>
    <n v="0"/>
    <n v="48"/>
    <n v="126"/>
    <n v="174"/>
  </r>
  <r>
    <n v="819"/>
    <x v="36"/>
    <n v="2"/>
    <n v="13"/>
    <x v="13"/>
    <x v="2"/>
    <x v="0"/>
    <n v="0"/>
    <x v="1"/>
    <x v="0"/>
    <n v="1"/>
    <x v="0"/>
    <x v="10"/>
    <n v="0.36359999999999998"/>
    <x v="15"/>
    <n v="0"/>
    <n v="47"/>
    <n v="135"/>
    <n v="182"/>
  </r>
  <r>
    <n v="820"/>
    <x v="36"/>
    <n v="2"/>
    <n v="14"/>
    <x v="14"/>
    <x v="2"/>
    <x v="0"/>
    <n v="0"/>
    <x v="1"/>
    <x v="0"/>
    <n v="1"/>
    <x v="0"/>
    <x v="10"/>
    <n v="0.34849999999999998"/>
    <x v="15"/>
    <n v="8.9599999999999999E-2"/>
    <n v="47"/>
    <n v="114"/>
    <n v="161"/>
  </r>
  <r>
    <n v="821"/>
    <x v="36"/>
    <n v="2"/>
    <n v="15"/>
    <x v="15"/>
    <x v="2"/>
    <x v="0"/>
    <n v="0"/>
    <x v="1"/>
    <x v="0"/>
    <n v="1"/>
    <x v="0"/>
    <x v="10"/>
    <n v="0.34849999999999998"/>
    <x v="15"/>
    <n v="8.9599999999999999E-2"/>
    <n v="52"/>
    <n v="130"/>
    <n v="182"/>
  </r>
  <r>
    <n v="822"/>
    <x v="36"/>
    <n v="2"/>
    <n v="16"/>
    <x v="16"/>
    <x v="3"/>
    <x v="0"/>
    <n v="0"/>
    <x v="1"/>
    <x v="0"/>
    <n v="1"/>
    <x v="0"/>
    <x v="10"/>
    <n v="0.34849999999999998"/>
    <x v="36"/>
    <n v="0.1045"/>
    <n v="42"/>
    <n v="115"/>
    <n v="157"/>
  </r>
  <r>
    <n v="823"/>
    <x v="36"/>
    <n v="2"/>
    <n v="17"/>
    <x v="17"/>
    <x v="3"/>
    <x v="0"/>
    <n v="0"/>
    <x v="1"/>
    <x v="0"/>
    <n v="1"/>
    <x v="0"/>
    <x v="10"/>
    <n v="0.36359999999999998"/>
    <x v="15"/>
    <n v="0"/>
    <n v="24"/>
    <n v="97"/>
    <n v="121"/>
  </r>
  <r>
    <n v="824"/>
    <x v="36"/>
    <n v="2"/>
    <n v="18"/>
    <x v="18"/>
    <x v="3"/>
    <x v="0"/>
    <n v="0"/>
    <x v="1"/>
    <x v="0"/>
    <n v="1"/>
    <x v="0"/>
    <x v="11"/>
    <n v="0.30299999999999999"/>
    <x v="34"/>
    <n v="0.16420000000000001"/>
    <n v="13"/>
    <n v="65"/>
    <n v="78"/>
  </r>
  <r>
    <n v="825"/>
    <x v="36"/>
    <n v="2"/>
    <n v="19"/>
    <x v="19"/>
    <x v="3"/>
    <x v="0"/>
    <n v="0"/>
    <x v="1"/>
    <x v="0"/>
    <n v="1"/>
    <x v="0"/>
    <x v="17"/>
    <n v="0.28789999999999999"/>
    <x v="53"/>
    <n v="0.1343"/>
    <n v="1"/>
    <n v="20"/>
    <n v="21"/>
  </r>
  <r>
    <n v="826"/>
    <x v="36"/>
    <n v="2"/>
    <n v="20"/>
    <x v="20"/>
    <x v="0"/>
    <x v="0"/>
    <n v="0"/>
    <x v="1"/>
    <x v="0"/>
    <n v="1"/>
    <x v="0"/>
    <x v="17"/>
    <n v="0.28789999999999999"/>
    <x v="53"/>
    <n v="0.1045"/>
    <n v="5"/>
    <n v="21"/>
    <n v="26"/>
  </r>
  <r>
    <n v="827"/>
    <x v="36"/>
    <n v="2"/>
    <n v="21"/>
    <x v="21"/>
    <x v="0"/>
    <x v="0"/>
    <n v="0"/>
    <x v="1"/>
    <x v="0"/>
    <n v="1"/>
    <x v="0"/>
    <x v="12"/>
    <n v="0.30299999999999999"/>
    <x v="54"/>
    <n v="0"/>
    <n v="5"/>
    <n v="22"/>
    <n v="27"/>
  </r>
  <r>
    <n v="828"/>
    <x v="36"/>
    <n v="2"/>
    <n v="22"/>
    <x v="22"/>
    <x v="0"/>
    <x v="0"/>
    <n v="0"/>
    <x v="1"/>
    <x v="0"/>
    <n v="1"/>
    <x v="0"/>
    <x v="12"/>
    <n v="0.30299999999999999"/>
    <x v="54"/>
    <n v="0"/>
    <n v="5"/>
    <n v="57"/>
    <n v="62"/>
  </r>
  <r>
    <n v="829"/>
    <x v="36"/>
    <n v="2"/>
    <n v="23"/>
    <x v="23"/>
    <x v="0"/>
    <x v="0"/>
    <n v="0"/>
    <x v="1"/>
    <x v="0"/>
    <n v="1"/>
    <x v="0"/>
    <x v="0"/>
    <n v="0.28789999999999999"/>
    <x v="55"/>
    <n v="0"/>
    <n v="4"/>
    <n v="26"/>
    <n v="30"/>
  </r>
  <r>
    <n v="830"/>
    <x v="37"/>
    <n v="2"/>
    <n v="0"/>
    <x v="0"/>
    <x v="0"/>
    <x v="0"/>
    <n v="1"/>
    <x v="2"/>
    <x v="1"/>
    <n v="1"/>
    <x v="0"/>
    <x v="0"/>
    <n v="0.28789999999999999"/>
    <x v="55"/>
    <n v="0"/>
    <n v="1"/>
    <n v="14"/>
    <n v="15"/>
  </r>
  <r>
    <n v="831"/>
    <x v="37"/>
    <n v="2"/>
    <n v="1"/>
    <x v="1"/>
    <x v="0"/>
    <x v="0"/>
    <n v="1"/>
    <x v="2"/>
    <x v="1"/>
    <n v="1"/>
    <x v="0"/>
    <x v="1"/>
    <n v="0.2727"/>
    <x v="2"/>
    <n v="0"/>
    <n v="1"/>
    <n v="4"/>
    <n v="5"/>
  </r>
  <r>
    <n v="832"/>
    <x v="37"/>
    <n v="2"/>
    <n v="2"/>
    <x v="2"/>
    <x v="0"/>
    <x v="0"/>
    <n v="1"/>
    <x v="2"/>
    <x v="1"/>
    <n v="1"/>
    <x v="0"/>
    <x v="2"/>
    <n v="0.2576"/>
    <x v="1"/>
    <n v="0"/>
    <n v="0"/>
    <n v="3"/>
    <n v="3"/>
  </r>
  <r>
    <n v="833"/>
    <x v="37"/>
    <n v="2"/>
    <n v="3"/>
    <x v="3"/>
    <x v="0"/>
    <x v="0"/>
    <n v="1"/>
    <x v="2"/>
    <x v="1"/>
    <n v="1"/>
    <x v="0"/>
    <x v="2"/>
    <n v="0.2576"/>
    <x v="3"/>
    <n v="0"/>
    <n v="0"/>
    <n v="1"/>
    <n v="1"/>
  </r>
  <r>
    <n v="834"/>
    <x v="37"/>
    <n v="2"/>
    <n v="4"/>
    <x v="4"/>
    <x v="0"/>
    <x v="0"/>
    <n v="1"/>
    <x v="2"/>
    <x v="1"/>
    <n v="1"/>
    <x v="0"/>
    <x v="2"/>
    <n v="0.2576"/>
    <x v="3"/>
    <n v="0"/>
    <n v="1"/>
    <n v="1"/>
    <n v="2"/>
  </r>
  <r>
    <n v="835"/>
    <x v="37"/>
    <n v="2"/>
    <n v="5"/>
    <x v="5"/>
    <x v="1"/>
    <x v="0"/>
    <n v="1"/>
    <x v="2"/>
    <x v="1"/>
    <n v="1"/>
    <x v="0"/>
    <x v="2"/>
    <n v="0.2576"/>
    <x v="3"/>
    <n v="0"/>
    <n v="1"/>
    <n v="9"/>
    <n v="10"/>
  </r>
  <r>
    <n v="836"/>
    <x v="37"/>
    <n v="2"/>
    <n v="6"/>
    <x v="6"/>
    <x v="1"/>
    <x v="0"/>
    <n v="1"/>
    <x v="2"/>
    <x v="1"/>
    <n v="1"/>
    <x v="0"/>
    <x v="15"/>
    <n v="0.2424"/>
    <x v="43"/>
    <n v="0"/>
    <n v="1"/>
    <n v="29"/>
    <n v="30"/>
  </r>
  <r>
    <n v="837"/>
    <x v="37"/>
    <n v="2"/>
    <n v="7"/>
    <x v="7"/>
    <x v="1"/>
    <x v="0"/>
    <n v="1"/>
    <x v="2"/>
    <x v="1"/>
    <n v="1"/>
    <x v="0"/>
    <x v="15"/>
    <n v="0.2424"/>
    <x v="3"/>
    <n v="0"/>
    <n v="6"/>
    <n v="89"/>
    <n v="95"/>
  </r>
  <r>
    <n v="838"/>
    <x v="37"/>
    <n v="2"/>
    <n v="8"/>
    <x v="8"/>
    <x v="1"/>
    <x v="0"/>
    <n v="1"/>
    <x v="2"/>
    <x v="1"/>
    <n v="2"/>
    <x v="1"/>
    <x v="13"/>
    <n v="0.2273"/>
    <x v="11"/>
    <n v="0"/>
    <n v="7"/>
    <n v="223"/>
    <n v="230"/>
  </r>
  <r>
    <n v="839"/>
    <x v="37"/>
    <n v="2"/>
    <n v="9"/>
    <x v="9"/>
    <x v="1"/>
    <x v="0"/>
    <n v="1"/>
    <x v="2"/>
    <x v="1"/>
    <n v="1"/>
    <x v="0"/>
    <x v="1"/>
    <n v="0.2727"/>
    <x v="1"/>
    <n v="0"/>
    <n v="3"/>
    <n v="115"/>
    <n v="118"/>
  </r>
  <r>
    <n v="840"/>
    <x v="37"/>
    <n v="2"/>
    <n v="10"/>
    <x v="10"/>
    <x v="1"/>
    <x v="0"/>
    <n v="1"/>
    <x v="2"/>
    <x v="1"/>
    <n v="1"/>
    <x v="0"/>
    <x v="0"/>
    <n v="0.2576"/>
    <x v="2"/>
    <n v="0.1045"/>
    <n v="6"/>
    <n v="49"/>
    <n v="55"/>
  </r>
  <r>
    <n v="841"/>
    <x v="37"/>
    <n v="2"/>
    <n v="11"/>
    <x v="11"/>
    <x v="1"/>
    <x v="0"/>
    <n v="1"/>
    <x v="2"/>
    <x v="1"/>
    <n v="1"/>
    <x v="0"/>
    <x v="11"/>
    <n v="0.31819999999999998"/>
    <x v="55"/>
    <n v="8.9599999999999999E-2"/>
    <n v="11"/>
    <n v="36"/>
    <n v="47"/>
  </r>
  <r>
    <n v="842"/>
    <x v="37"/>
    <n v="2"/>
    <n v="12"/>
    <x v="12"/>
    <x v="2"/>
    <x v="0"/>
    <n v="1"/>
    <x v="2"/>
    <x v="1"/>
    <n v="2"/>
    <x v="1"/>
    <x v="3"/>
    <n v="0.34849999999999998"/>
    <x v="51"/>
    <n v="0"/>
    <n v="7"/>
    <n v="59"/>
    <n v="66"/>
  </r>
  <r>
    <n v="843"/>
    <x v="37"/>
    <n v="2"/>
    <n v="13"/>
    <x v="13"/>
    <x v="2"/>
    <x v="0"/>
    <n v="1"/>
    <x v="2"/>
    <x v="1"/>
    <n v="2"/>
    <x v="1"/>
    <x v="5"/>
    <n v="0.36359999999999998"/>
    <x v="14"/>
    <n v="8.9599999999999999E-2"/>
    <n v="10"/>
    <n v="54"/>
    <n v="64"/>
  </r>
  <r>
    <n v="844"/>
    <x v="37"/>
    <n v="2"/>
    <n v="14"/>
    <x v="14"/>
    <x v="2"/>
    <x v="0"/>
    <n v="1"/>
    <x v="2"/>
    <x v="1"/>
    <n v="2"/>
    <x v="1"/>
    <x v="5"/>
    <n v="0.36359999999999998"/>
    <x v="14"/>
    <n v="8.9599999999999999E-2"/>
    <n v="8"/>
    <n v="52"/>
    <n v="60"/>
  </r>
  <r>
    <n v="845"/>
    <x v="37"/>
    <n v="2"/>
    <n v="15"/>
    <x v="15"/>
    <x v="2"/>
    <x v="0"/>
    <n v="1"/>
    <x v="2"/>
    <x v="1"/>
    <n v="2"/>
    <x v="1"/>
    <x v="4"/>
    <n v="0.39389999999999997"/>
    <x v="47"/>
    <n v="8.9599999999999999E-2"/>
    <n v="4"/>
    <n v="46"/>
    <n v="50"/>
  </r>
  <r>
    <n v="846"/>
    <x v="37"/>
    <n v="2"/>
    <n v="16"/>
    <x v="16"/>
    <x v="3"/>
    <x v="0"/>
    <n v="1"/>
    <x v="2"/>
    <x v="1"/>
    <n v="2"/>
    <x v="1"/>
    <x v="5"/>
    <n v="0.34849999999999998"/>
    <x v="14"/>
    <n v="0.1343"/>
    <n v="16"/>
    <n v="98"/>
    <n v="114"/>
  </r>
  <r>
    <n v="847"/>
    <x v="37"/>
    <n v="2"/>
    <n v="17"/>
    <x v="17"/>
    <x v="3"/>
    <x v="0"/>
    <n v="1"/>
    <x v="2"/>
    <x v="1"/>
    <n v="2"/>
    <x v="1"/>
    <x v="3"/>
    <n v="0.31819999999999998"/>
    <x v="56"/>
    <n v="0.16420000000000001"/>
    <n v="9"/>
    <n v="207"/>
    <n v="216"/>
  </r>
  <r>
    <n v="848"/>
    <x v="37"/>
    <n v="2"/>
    <n v="18"/>
    <x v="18"/>
    <x v="3"/>
    <x v="0"/>
    <n v="1"/>
    <x v="2"/>
    <x v="1"/>
    <n v="2"/>
    <x v="1"/>
    <x v="10"/>
    <n v="0.33329999999999999"/>
    <x v="13"/>
    <n v="0.1343"/>
    <n v="5"/>
    <n v="170"/>
    <n v="175"/>
  </r>
  <r>
    <n v="849"/>
    <x v="37"/>
    <n v="2"/>
    <n v="19"/>
    <x v="19"/>
    <x v="3"/>
    <x v="0"/>
    <n v="1"/>
    <x v="2"/>
    <x v="1"/>
    <n v="2"/>
    <x v="1"/>
    <x v="3"/>
    <n v="0.34849999999999998"/>
    <x v="56"/>
    <n v="0"/>
    <n v="5"/>
    <n v="123"/>
    <n v="128"/>
  </r>
  <r>
    <n v="850"/>
    <x v="37"/>
    <n v="2"/>
    <n v="20"/>
    <x v="20"/>
    <x v="0"/>
    <x v="0"/>
    <n v="1"/>
    <x v="2"/>
    <x v="1"/>
    <n v="2"/>
    <x v="1"/>
    <x v="3"/>
    <n v="0.33329999999999999"/>
    <x v="56"/>
    <n v="0.1045"/>
    <n v="6"/>
    <n v="82"/>
    <n v="88"/>
  </r>
  <r>
    <n v="851"/>
    <x v="37"/>
    <n v="2"/>
    <n v="21"/>
    <x v="21"/>
    <x v="0"/>
    <x v="0"/>
    <n v="1"/>
    <x v="2"/>
    <x v="1"/>
    <n v="1"/>
    <x v="0"/>
    <x v="3"/>
    <n v="0.34849999999999998"/>
    <x v="56"/>
    <n v="0"/>
    <n v="3"/>
    <n v="75"/>
    <n v="78"/>
  </r>
  <r>
    <n v="852"/>
    <x v="37"/>
    <n v="2"/>
    <n v="22"/>
    <x v="22"/>
    <x v="0"/>
    <x v="0"/>
    <n v="1"/>
    <x v="2"/>
    <x v="1"/>
    <n v="1"/>
    <x v="0"/>
    <x v="17"/>
    <n v="0.30299999999999999"/>
    <x v="0"/>
    <n v="8.9599999999999999E-2"/>
    <n v="3"/>
    <n v="34"/>
    <n v="37"/>
  </r>
  <r>
    <n v="853"/>
    <x v="37"/>
    <n v="2"/>
    <n v="23"/>
    <x v="23"/>
    <x v="0"/>
    <x v="0"/>
    <n v="1"/>
    <x v="2"/>
    <x v="1"/>
    <n v="2"/>
    <x v="1"/>
    <x v="11"/>
    <n v="0.33329999999999999"/>
    <x v="0"/>
    <n v="0"/>
    <n v="6"/>
    <n v="19"/>
    <n v="25"/>
  </r>
  <r>
    <n v="854"/>
    <x v="38"/>
    <n v="2"/>
    <n v="0"/>
    <x v="0"/>
    <x v="0"/>
    <x v="0"/>
    <n v="2"/>
    <x v="3"/>
    <x v="1"/>
    <n v="2"/>
    <x v="1"/>
    <x v="17"/>
    <n v="0.31819999999999998"/>
    <x v="9"/>
    <n v="0"/>
    <n v="4"/>
    <n v="6"/>
    <n v="10"/>
  </r>
  <r>
    <n v="855"/>
    <x v="38"/>
    <n v="2"/>
    <n v="1"/>
    <x v="1"/>
    <x v="0"/>
    <x v="0"/>
    <n v="2"/>
    <x v="3"/>
    <x v="1"/>
    <n v="2"/>
    <x v="1"/>
    <x v="17"/>
    <n v="0.31819999999999998"/>
    <x v="9"/>
    <n v="0"/>
    <n v="0"/>
    <n v="4"/>
    <n v="4"/>
  </r>
  <r>
    <n v="856"/>
    <x v="38"/>
    <n v="2"/>
    <n v="2"/>
    <x v="2"/>
    <x v="0"/>
    <x v="0"/>
    <n v="2"/>
    <x v="3"/>
    <x v="1"/>
    <n v="2"/>
    <x v="1"/>
    <x v="12"/>
    <n v="0.2727"/>
    <x v="43"/>
    <n v="0.1045"/>
    <n v="1"/>
    <n v="1"/>
    <n v="2"/>
  </r>
  <r>
    <n v="857"/>
    <x v="38"/>
    <n v="2"/>
    <n v="3"/>
    <x v="3"/>
    <x v="0"/>
    <x v="0"/>
    <n v="2"/>
    <x v="3"/>
    <x v="1"/>
    <n v="3"/>
    <x v="2"/>
    <x v="17"/>
    <n v="0.2727"/>
    <x v="43"/>
    <n v="0.16420000000000001"/>
    <n v="0"/>
    <n v="1"/>
    <n v="1"/>
  </r>
  <r>
    <n v="858"/>
    <x v="38"/>
    <n v="2"/>
    <n v="4"/>
    <x v="4"/>
    <x v="0"/>
    <x v="0"/>
    <n v="2"/>
    <x v="3"/>
    <x v="1"/>
    <n v="1"/>
    <x v="0"/>
    <x v="12"/>
    <n v="0.2576"/>
    <x v="43"/>
    <n v="0.16420000000000001"/>
    <n v="0"/>
    <n v="3"/>
    <n v="3"/>
  </r>
  <r>
    <n v="859"/>
    <x v="38"/>
    <n v="2"/>
    <n v="5"/>
    <x v="5"/>
    <x v="1"/>
    <x v="0"/>
    <n v="2"/>
    <x v="3"/>
    <x v="1"/>
    <n v="1"/>
    <x v="0"/>
    <x v="12"/>
    <n v="0.2273"/>
    <x v="0"/>
    <n v="0.32840000000000003"/>
    <n v="0"/>
    <n v="2"/>
    <n v="2"/>
  </r>
  <r>
    <n v="860"/>
    <x v="38"/>
    <n v="2"/>
    <n v="6"/>
    <x v="6"/>
    <x v="1"/>
    <x v="0"/>
    <n v="2"/>
    <x v="3"/>
    <x v="1"/>
    <n v="1"/>
    <x v="0"/>
    <x v="12"/>
    <n v="0.2273"/>
    <x v="56"/>
    <n v="0.32840000000000003"/>
    <n v="0"/>
    <n v="39"/>
    <n v="39"/>
  </r>
  <r>
    <n v="861"/>
    <x v="38"/>
    <n v="2"/>
    <n v="7"/>
    <x v="7"/>
    <x v="1"/>
    <x v="0"/>
    <n v="2"/>
    <x v="3"/>
    <x v="1"/>
    <n v="1"/>
    <x v="0"/>
    <x v="0"/>
    <n v="0.19700000000000001"/>
    <x v="55"/>
    <n v="0.41789999999999999"/>
    <n v="3"/>
    <n v="97"/>
    <n v="100"/>
  </r>
  <r>
    <n v="862"/>
    <x v="38"/>
    <n v="2"/>
    <n v="8"/>
    <x v="8"/>
    <x v="1"/>
    <x v="0"/>
    <n v="2"/>
    <x v="3"/>
    <x v="1"/>
    <n v="1"/>
    <x v="0"/>
    <x v="0"/>
    <n v="0.19700000000000001"/>
    <x v="34"/>
    <n v="0.49249999999999999"/>
    <n v="7"/>
    <n v="236"/>
    <n v="243"/>
  </r>
  <r>
    <n v="863"/>
    <x v="38"/>
    <n v="2"/>
    <n v="9"/>
    <x v="9"/>
    <x v="1"/>
    <x v="0"/>
    <n v="2"/>
    <x v="3"/>
    <x v="1"/>
    <n v="1"/>
    <x v="0"/>
    <x v="0"/>
    <n v="0.19700000000000001"/>
    <x v="35"/>
    <n v="0.49249999999999999"/>
    <n v="7"/>
    <n v="128"/>
    <n v="135"/>
  </r>
  <r>
    <n v="864"/>
    <x v="38"/>
    <n v="2"/>
    <n v="10"/>
    <x v="10"/>
    <x v="1"/>
    <x v="0"/>
    <n v="2"/>
    <x v="3"/>
    <x v="1"/>
    <n v="1"/>
    <x v="0"/>
    <x v="1"/>
    <n v="0.18179999999999999"/>
    <x v="19"/>
    <n v="0.55220000000000002"/>
    <n v="4"/>
    <n v="44"/>
    <n v="48"/>
  </r>
  <r>
    <n v="865"/>
    <x v="38"/>
    <n v="2"/>
    <n v="11"/>
    <x v="11"/>
    <x v="1"/>
    <x v="0"/>
    <n v="2"/>
    <x v="3"/>
    <x v="1"/>
    <n v="1"/>
    <x v="0"/>
    <x v="1"/>
    <n v="0.18179999999999999"/>
    <x v="19"/>
    <n v="0.4627"/>
    <n v="1"/>
    <n v="49"/>
    <n v="50"/>
  </r>
  <r>
    <n v="866"/>
    <x v="38"/>
    <n v="2"/>
    <n v="12"/>
    <x v="12"/>
    <x v="2"/>
    <x v="0"/>
    <n v="2"/>
    <x v="3"/>
    <x v="1"/>
    <n v="1"/>
    <x v="0"/>
    <x v="0"/>
    <n v="0.19700000000000001"/>
    <x v="41"/>
    <n v="0.49249999999999999"/>
    <n v="2"/>
    <n v="63"/>
    <n v="65"/>
  </r>
  <r>
    <n v="867"/>
    <x v="38"/>
    <n v="2"/>
    <n v="13"/>
    <x v="13"/>
    <x v="2"/>
    <x v="0"/>
    <n v="2"/>
    <x v="3"/>
    <x v="1"/>
    <n v="2"/>
    <x v="1"/>
    <x v="0"/>
    <n v="0.19700000000000001"/>
    <x v="25"/>
    <n v="0.44779999999999998"/>
    <n v="2"/>
    <n v="48"/>
    <n v="50"/>
  </r>
  <r>
    <n v="868"/>
    <x v="38"/>
    <n v="2"/>
    <n v="14"/>
    <x v="14"/>
    <x v="2"/>
    <x v="0"/>
    <n v="2"/>
    <x v="3"/>
    <x v="1"/>
    <n v="1"/>
    <x v="0"/>
    <x v="1"/>
    <n v="0.19700000000000001"/>
    <x v="38"/>
    <n v="0.41789999999999999"/>
    <n v="3"/>
    <n v="61"/>
    <n v="64"/>
  </r>
  <r>
    <n v="869"/>
    <x v="38"/>
    <n v="2"/>
    <n v="15"/>
    <x v="15"/>
    <x v="2"/>
    <x v="0"/>
    <n v="2"/>
    <x v="3"/>
    <x v="1"/>
    <n v="1"/>
    <x v="0"/>
    <x v="1"/>
    <n v="0.19700000000000001"/>
    <x v="23"/>
    <n v="0.3881"/>
    <n v="6"/>
    <n v="45"/>
    <n v="51"/>
  </r>
  <r>
    <n v="870"/>
    <x v="38"/>
    <n v="2"/>
    <n v="16"/>
    <x v="16"/>
    <x v="3"/>
    <x v="0"/>
    <n v="2"/>
    <x v="3"/>
    <x v="1"/>
    <n v="1"/>
    <x v="0"/>
    <x v="1"/>
    <n v="0.18179999999999999"/>
    <x v="23"/>
    <n v="0.52239999999999998"/>
    <n v="4"/>
    <n v="79"/>
    <n v="83"/>
  </r>
  <r>
    <n v="871"/>
    <x v="38"/>
    <n v="2"/>
    <n v="17"/>
    <x v="17"/>
    <x v="3"/>
    <x v="0"/>
    <n v="2"/>
    <x v="3"/>
    <x v="1"/>
    <n v="1"/>
    <x v="0"/>
    <x v="1"/>
    <n v="0.18179999999999999"/>
    <x v="25"/>
    <n v="0.58209999999999995"/>
    <n v="4"/>
    <n v="172"/>
    <n v="176"/>
  </r>
  <r>
    <n v="872"/>
    <x v="38"/>
    <n v="2"/>
    <n v="18"/>
    <x v="18"/>
    <x v="3"/>
    <x v="0"/>
    <n v="2"/>
    <x v="3"/>
    <x v="1"/>
    <n v="1"/>
    <x v="0"/>
    <x v="2"/>
    <n v="0.18179999999999999"/>
    <x v="25"/>
    <n v="0.3881"/>
    <n v="1"/>
    <n v="151"/>
    <n v="152"/>
  </r>
  <r>
    <n v="873"/>
    <x v="38"/>
    <n v="2"/>
    <n v="19"/>
    <x v="19"/>
    <x v="3"/>
    <x v="0"/>
    <n v="2"/>
    <x v="3"/>
    <x v="1"/>
    <n v="1"/>
    <x v="0"/>
    <x v="13"/>
    <n v="0.1212"/>
    <x v="22"/>
    <n v="0.4627"/>
    <n v="1"/>
    <n v="100"/>
    <n v="101"/>
  </r>
  <r>
    <n v="874"/>
    <x v="38"/>
    <n v="2"/>
    <n v="20"/>
    <x v="20"/>
    <x v="0"/>
    <x v="0"/>
    <n v="2"/>
    <x v="3"/>
    <x v="1"/>
    <n v="1"/>
    <x v="0"/>
    <x v="13"/>
    <n v="0.13639999999999999"/>
    <x v="22"/>
    <n v="0.32840000000000003"/>
    <n v="3"/>
    <n v="53"/>
    <n v="56"/>
  </r>
  <r>
    <n v="875"/>
    <x v="38"/>
    <n v="2"/>
    <n v="21"/>
    <x v="21"/>
    <x v="0"/>
    <x v="0"/>
    <n v="2"/>
    <x v="3"/>
    <x v="1"/>
    <n v="1"/>
    <x v="0"/>
    <x v="14"/>
    <n v="0.1061"/>
    <x v="39"/>
    <n v="0.4627"/>
    <n v="8"/>
    <n v="46"/>
    <n v="54"/>
  </r>
  <r>
    <n v="876"/>
    <x v="38"/>
    <n v="2"/>
    <n v="22"/>
    <x v="22"/>
    <x v="0"/>
    <x v="0"/>
    <n v="2"/>
    <x v="3"/>
    <x v="1"/>
    <n v="1"/>
    <x v="0"/>
    <x v="16"/>
    <n v="0.1061"/>
    <x v="39"/>
    <n v="0.35820000000000002"/>
    <n v="0"/>
    <n v="29"/>
    <n v="29"/>
  </r>
  <r>
    <n v="877"/>
    <x v="38"/>
    <n v="2"/>
    <n v="23"/>
    <x v="23"/>
    <x v="0"/>
    <x v="0"/>
    <n v="2"/>
    <x v="3"/>
    <x v="1"/>
    <n v="1"/>
    <x v="0"/>
    <x v="16"/>
    <n v="0.1061"/>
    <x v="39"/>
    <n v="0.32840000000000003"/>
    <n v="3"/>
    <n v="9"/>
    <n v="12"/>
  </r>
  <r>
    <n v="878"/>
    <x v="39"/>
    <n v="2"/>
    <n v="0"/>
    <x v="0"/>
    <x v="0"/>
    <x v="0"/>
    <n v="3"/>
    <x v="4"/>
    <x v="1"/>
    <n v="1"/>
    <x v="0"/>
    <x v="18"/>
    <n v="7.5800000000000006E-2"/>
    <x v="42"/>
    <n v="0.35820000000000002"/>
    <n v="0"/>
    <n v="17"/>
    <n v="17"/>
  </r>
  <r>
    <n v="879"/>
    <x v="39"/>
    <n v="2"/>
    <n v="1"/>
    <x v="1"/>
    <x v="0"/>
    <x v="0"/>
    <n v="3"/>
    <x v="4"/>
    <x v="1"/>
    <n v="1"/>
    <x v="0"/>
    <x v="18"/>
    <n v="0.1061"/>
    <x v="42"/>
    <n v="0.22389999999999999"/>
    <n v="0"/>
    <n v="7"/>
    <n v="7"/>
  </r>
  <r>
    <n v="880"/>
    <x v="39"/>
    <n v="2"/>
    <n v="2"/>
    <x v="2"/>
    <x v="0"/>
    <x v="0"/>
    <n v="3"/>
    <x v="4"/>
    <x v="1"/>
    <n v="1"/>
    <x v="0"/>
    <x v="19"/>
    <n v="7.5800000000000006E-2"/>
    <x v="41"/>
    <n v="0.28360000000000002"/>
    <n v="1"/>
    <n v="2"/>
    <n v="3"/>
  </r>
  <r>
    <n v="881"/>
    <x v="39"/>
    <n v="2"/>
    <n v="3"/>
    <x v="3"/>
    <x v="0"/>
    <x v="0"/>
    <n v="3"/>
    <x v="4"/>
    <x v="1"/>
    <n v="1"/>
    <x v="0"/>
    <x v="20"/>
    <n v="7.5800000000000006E-2"/>
    <x v="49"/>
    <n v="0.1343"/>
    <n v="0"/>
    <n v="2"/>
    <n v="2"/>
  </r>
  <r>
    <n v="882"/>
    <x v="39"/>
    <n v="2"/>
    <n v="5"/>
    <x v="5"/>
    <x v="1"/>
    <x v="0"/>
    <n v="3"/>
    <x v="4"/>
    <x v="1"/>
    <n v="1"/>
    <x v="0"/>
    <x v="20"/>
    <n v="0.1061"/>
    <x v="49"/>
    <n v="0.1045"/>
    <n v="0"/>
    <n v="7"/>
    <n v="7"/>
  </r>
  <r>
    <n v="883"/>
    <x v="39"/>
    <n v="2"/>
    <n v="6"/>
    <x v="6"/>
    <x v="1"/>
    <x v="0"/>
    <n v="3"/>
    <x v="4"/>
    <x v="1"/>
    <n v="1"/>
    <x v="0"/>
    <x v="20"/>
    <n v="0.1515"/>
    <x v="49"/>
    <n v="0"/>
    <n v="0"/>
    <n v="43"/>
    <n v="43"/>
  </r>
  <r>
    <n v="884"/>
    <x v="39"/>
    <n v="2"/>
    <n v="7"/>
    <x v="7"/>
    <x v="1"/>
    <x v="0"/>
    <n v="3"/>
    <x v="4"/>
    <x v="1"/>
    <n v="1"/>
    <x v="0"/>
    <x v="20"/>
    <n v="0.1061"/>
    <x v="36"/>
    <n v="0.1045"/>
    <n v="4"/>
    <n v="95"/>
    <n v="99"/>
  </r>
  <r>
    <n v="885"/>
    <x v="39"/>
    <n v="2"/>
    <n v="8"/>
    <x v="8"/>
    <x v="1"/>
    <x v="0"/>
    <n v="3"/>
    <x v="4"/>
    <x v="1"/>
    <n v="1"/>
    <x v="0"/>
    <x v="18"/>
    <n v="0.13639999999999999"/>
    <x v="16"/>
    <n v="0"/>
    <n v="1"/>
    <n v="198"/>
    <n v="199"/>
  </r>
  <r>
    <n v="886"/>
    <x v="39"/>
    <n v="2"/>
    <n v="9"/>
    <x v="9"/>
    <x v="1"/>
    <x v="0"/>
    <n v="3"/>
    <x v="4"/>
    <x v="1"/>
    <n v="1"/>
    <x v="0"/>
    <x v="16"/>
    <n v="0.13639999999999999"/>
    <x v="17"/>
    <n v="0.16420000000000001"/>
    <n v="4"/>
    <n v="119"/>
    <n v="123"/>
  </r>
  <r>
    <n v="887"/>
    <x v="39"/>
    <n v="2"/>
    <n v="10"/>
    <x v="10"/>
    <x v="1"/>
    <x v="0"/>
    <n v="3"/>
    <x v="4"/>
    <x v="1"/>
    <n v="1"/>
    <x v="0"/>
    <x v="14"/>
    <n v="0.18179999999999999"/>
    <x v="42"/>
    <n v="0"/>
    <n v="8"/>
    <n v="51"/>
    <n v="59"/>
  </r>
  <r>
    <n v="888"/>
    <x v="39"/>
    <n v="2"/>
    <n v="11"/>
    <x v="11"/>
    <x v="1"/>
    <x v="0"/>
    <n v="3"/>
    <x v="4"/>
    <x v="1"/>
    <n v="2"/>
    <x v="1"/>
    <x v="14"/>
    <n v="0.1515"/>
    <x v="21"/>
    <n v="0.16420000000000001"/>
    <n v="1"/>
    <n v="40"/>
    <n v="41"/>
  </r>
  <r>
    <n v="889"/>
    <x v="39"/>
    <n v="2"/>
    <n v="12"/>
    <x v="12"/>
    <x v="2"/>
    <x v="0"/>
    <n v="3"/>
    <x v="4"/>
    <x v="1"/>
    <n v="2"/>
    <x v="1"/>
    <x v="15"/>
    <n v="0.18179999999999999"/>
    <x v="22"/>
    <n v="0.22389999999999999"/>
    <n v="4"/>
    <n v="57"/>
    <n v="61"/>
  </r>
  <r>
    <n v="890"/>
    <x v="39"/>
    <n v="2"/>
    <n v="13"/>
    <x v="13"/>
    <x v="2"/>
    <x v="0"/>
    <n v="3"/>
    <x v="4"/>
    <x v="1"/>
    <n v="1"/>
    <x v="0"/>
    <x v="15"/>
    <n v="0.16669999999999999"/>
    <x v="22"/>
    <n v="0.25369999999999998"/>
    <n v="2"/>
    <n v="67"/>
    <n v="69"/>
  </r>
  <r>
    <n v="891"/>
    <x v="39"/>
    <n v="2"/>
    <n v="14"/>
    <x v="14"/>
    <x v="2"/>
    <x v="0"/>
    <n v="3"/>
    <x v="4"/>
    <x v="1"/>
    <n v="1"/>
    <x v="0"/>
    <x v="2"/>
    <n v="0.18179999999999999"/>
    <x v="46"/>
    <n v="0.29849999999999999"/>
    <n v="2"/>
    <n v="56"/>
    <n v="58"/>
  </r>
  <r>
    <n v="892"/>
    <x v="39"/>
    <n v="2"/>
    <n v="15"/>
    <x v="15"/>
    <x v="2"/>
    <x v="0"/>
    <n v="3"/>
    <x v="4"/>
    <x v="1"/>
    <n v="2"/>
    <x v="1"/>
    <x v="2"/>
    <n v="0.18179999999999999"/>
    <x v="46"/>
    <n v="0.28360000000000002"/>
    <n v="3"/>
    <n v="61"/>
    <n v="64"/>
  </r>
  <r>
    <n v="893"/>
    <x v="39"/>
    <n v="2"/>
    <n v="16"/>
    <x v="16"/>
    <x v="3"/>
    <x v="0"/>
    <n v="3"/>
    <x v="4"/>
    <x v="1"/>
    <n v="2"/>
    <x v="1"/>
    <x v="2"/>
    <n v="0.19700000000000001"/>
    <x v="38"/>
    <n v="0.25369999999999998"/>
    <n v="7"/>
    <n v="72"/>
    <n v="79"/>
  </r>
  <r>
    <n v="894"/>
    <x v="39"/>
    <n v="2"/>
    <n v="17"/>
    <x v="17"/>
    <x v="3"/>
    <x v="0"/>
    <n v="3"/>
    <x v="4"/>
    <x v="1"/>
    <n v="2"/>
    <x v="1"/>
    <x v="2"/>
    <n v="0.19700000000000001"/>
    <x v="46"/>
    <n v="0.25369999999999998"/>
    <n v="9"/>
    <n v="157"/>
    <n v="166"/>
  </r>
  <r>
    <n v="895"/>
    <x v="39"/>
    <n v="2"/>
    <n v="18"/>
    <x v="18"/>
    <x v="3"/>
    <x v="0"/>
    <n v="3"/>
    <x v="4"/>
    <x v="1"/>
    <n v="2"/>
    <x v="1"/>
    <x v="15"/>
    <n v="0.16669999999999999"/>
    <x v="19"/>
    <n v="0.29849999999999999"/>
    <n v="2"/>
    <n v="168"/>
    <n v="170"/>
  </r>
  <r>
    <n v="896"/>
    <x v="39"/>
    <n v="2"/>
    <n v="19"/>
    <x v="19"/>
    <x v="3"/>
    <x v="0"/>
    <n v="3"/>
    <x v="4"/>
    <x v="1"/>
    <n v="3"/>
    <x v="2"/>
    <x v="14"/>
    <n v="0.1212"/>
    <x v="3"/>
    <n v="0.25369999999999998"/>
    <n v="1"/>
    <n v="87"/>
    <n v="88"/>
  </r>
  <r>
    <n v="897"/>
    <x v="39"/>
    <n v="2"/>
    <n v="20"/>
    <x v="20"/>
    <x v="0"/>
    <x v="0"/>
    <n v="3"/>
    <x v="4"/>
    <x v="1"/>
    <n v="3"/>
    <x v="2"/>
    <x v="14"/>
    <n v="0.1515"/>
    <x v="3"/>
    <n v="0.16420000000000001"/>
    <n v="0"/>
    <n v="84"/>
    <n v="84"/>
  </r>
  <r>
    <n v="898"/>
    <x v="39"/>
    <n v="2"/>
    <n v="21"/>
    <x v="21"/>
    <x v="0"/>
    <x v="0"/>
    <n v="3"/>
    <x v="4"/>
    <x v="1"/>
    <n v="2"/>
    <x v="1"/>
    <x v="14"/>
    <n v="0.1515"/>
    <x v="3"/>
    <n v="0.16420000000000001"/>
    <n v="0"/>
    <n v="83"/>
    <n v="83"/>
  </r>
  <r>
    <n v="899"/>
    <x v="39"/>
    <n v="2"/>
    <n v="22"/>
    <x v="22"/>
    <x v="0"/>
    <x v="0"/>
    <n v="3"/>
    <x v="4"/>
    <x v="1"/>
    <n v="3"/>
    <x v="2"/>
    <x v="13"/>
    <n v="0.16669999999999999"/>
    <x v="1"/>
    <n v="0.16420000000000001"/>
    <n v="4"/>
    <n v="42"/>
    <n v="46"/>
  </r>
  <r>
    <n v="900"/>
    <x v="39"/>
    <n v="2"/>
    <n v="23"/>
    <x v="23"/>
    <x v="0"/>
    <x v="0"/>
    <n v="3"/>
    <x v="4"/>
    <x v="1"/>
    <n v="3"/>
    <x v="2"/>
    <x v="13"/>
    <n v="0.1515"/>
    <x v="1"/>
    <n v="0.19400000000000001"/>
    <n v="0"/>
    <n v="37"/>
    <n v="37"/>
  </r>
  <r>
    <n v="901"/>
    <x v="40"/>
    <n v="2"/>
    <n v="0"/>
    <x v="0"/>
    <x v="0"/>
    <x v="0"/>
    <n v="4"/>
    <x v="5"/>
    <x v="1"/>
    <n v="3"/>
    <x v="2"/>
    <x v="14"/>
    <n v="0.13639999999999999"/>
    <x v="3"/>
    <n v="0.19400000000000001"/>
    <n v="0"/>
    <n v="16"/>
    <n v="16"/>
  </r>
  <r>
    <n v="902"/>
    <x v="40"/>
    <n v="2"/>
    <n v="1"/>
    <x v="1"/>
    <x v="0"/>
    <x v="0"/>
    <n v="4"/>
    <x v="5"/>
    <x v="1"/>
    <n v="3"/>
    <x v="2"/>
    <x v="14"/>
    <n v="0.1515"/>
    <x v="1"/>
    <n v="0.1343"/>
    <n v="0"/>
    <n v="7"/>
    <n v="7"/>
  </r>
  <r>
    <n v="903"/>
    <x v="40"/>
    <n v="2"/>
    <n v="2"/>
    <x v="2"/>
    <x v="0"/>
    <x v="0"/>
    <n v="4"/>
    <x v="5"/>
    <x v="1"/>
    <n v="3"/>
    <x v="2"/>
    <x v="14"/>
    <n v="0.1515"/>
    <x v="1"/>
    <n v="0.1343"/>
    <n v="0"/>
    <n v="3"/>
    <n v="3"/>
  </r>
  <r>
    <n v="904"/>
    <x v="40"/>
    <n v="2"/>
    <n v="4"/>
    <x v="4"/>
    <x v="0"/>
    <x v="0"/>
    <n v="4"/>
    <x v="5"/>
    <x v="1"/>
    <n v="2"/>
    <x v="1"/>
    <x v="14"/>
    <n v="0.13639999999999999"/>
    <x v="29"/>
    <n v="0.22389999999999999"/>
    <n v="0"/>
    <n v="1"/>
    <n v="1"/>
  </r>
  <r>
    <n v="905"/>
    <x v="40"/>
    <n v="2"/>
    <n v="5"/>
    <x v="5"/>
    <x v="1"/>
    <x v="0"/>
    <n v="4"/>
    <x v="5"/>
    <x v="1"/>
    <n v="2"/>
    <x v="1"/>
    <x v="16"/>
    <n v="0.1212"/>
    <x v="20"/>
    <n v="0.22389999999999999"/>
    <n v="0"/>
    <n v="6"/>
    <n v="6"/>
  </r>
  <r>
    <n v="906"/>
    <x v="40"/>
    <n v="2"/>
    <n v="6"/>
    <x v="6"/>
    <x v="1"/>
    <x v="0"/>
    <n v="4"/>
    <x v="5"/>
    <x v="1"/>
    <n v="2"/>
    <x v="1"/>
    <x v="16"/>
    <n v="0.1212"/>
    <x v="47"/>
    <n v="0.28360000000000002"/>
    <n v="0"/>
    <n v="26"/>
    <n v="26"/>
  </r>
  <r>
    <n v="907"/>
    <x v="40"/>
    <n v="2"/>
    <n v="7"/>
    <x v="7"/>
    <x v="1"/>
    <x v="0"/>
    <n v="4"/>
    <x v="5"/>
    <x v="1"/>
    <n v="1"/>
    <x v="0"/>
    <x v="18"/>
    <n v="7.5800000000000006E-2"/>
    <x v="20"/>
    <n v="0.41789999999999999"/>
    <n v="0"/>
    <n v="99"/>
    <n v="99"/>
  </r>
  <r>
    <n v="908"/>
    <x v="40"/>
    <n v="2"/>
    <n v="8"/>
    <x v="8"/>
    <x v="1"/>
    <x v="0"/>
    <n v="4"/>
    <x v="5"/>
    <x v="1"/>
    <n v="1"/>
    <x v="0"/>
    <x v="18"/>
    <n v="7.5800000000000006E-2"/>
    <x v="36"/>
    <n v="0.32840000000000003"/>
    <n v="5"/>
    <n v="173"/>
    <n v="178"/>
  </r>
  <r>
    <n v="909"/>
    <x v="40"/>
    <n v="2"/>
    <n v="9"/>
    <x v="9"/>
    <x v="1"/>
    <x v="0"/>
    <n v="4"/>
    <x v="5"/>
    <x v="1"/>
    <n v="1"/>
    <x v="0"/>
    <x v="16"/>
    <n v="0.1061"/>
    <x v="16"/>
    <n v="0.35820000000000002"/>
    <n v="1"/>
    <n v="121"/>
    <n v="122"/>
  </r>
  <r>
    <n v="910"/>
    <x v="40"/>
    <n v="2"/>
    <n v="10"/>
    <x v="10"/>
    <x v="1"/>
    <x v="0"/>
    <n v="4"/>
    <x v="5"/>
    <x v="1"/>
    <n v="1"/>
    <x v="0"/>
    <x v="16"/>
    <n v="0.1061"/>
    <x v="16"/>
    <n v="0.29849999999999999"/>
    <n v="1"/>
    <n v="34"/>
    <n v="35"/>
  </r>
  <r>
    <n v="911"/>
    <x v="40"/>
    <n v="2"/>
    <n v="11"/>
    <x v="11"/>
    <x v="1"/>
    <x v="0"/>
    <n v="4"/>
    <x v="5"/>
    <x v="1"/>
    <n v="1"/>
    <x v="0"/>
    <x v="14"/>
    <n v="0.1212"/>
    <x v="17"/>
    <n v="0.35820000000000002"/>
    <n v="1"/>
    <n v="44"/>
    <n v="45"/>
  </r>
  <r>
    <n v="912"/>
    <x v="40"/>
    <n v="2"/>
    <n v="12"/>
    <x v="12"/>
    <x v="2"/>
    <x v="0"/>
    <n v="4"/>
    <x v="5"/>
    <x v="1"/>
    <n v="1"/>
    <x v="0"/>
    <x v="13"/>
    <n v="0.13639999999999999"/>
    <x v="46"/>
    <n v="0.3881"/>
    <n v="4"/>
    <n v="65"/>
    <n v="69"/>
  </r>
  <r>
    <n v="913"/>
    <x v="40"/>
    <n v="2"/>
    <n v="13"/>
    <x v="13"/>
    <x v="2"/>
    <x v="0"/>
    <n v="4"/>
    <x v="5"/>
    <x v="1"/>
    <n v="1"/>
    <x v="0"/>
    <x v="15"/>
    <n v="0.16669999999999999"/>
    <x v="44"/>
    <n v="0.29849999999999999"/>
    <n v="3"/>
    <n v="59"/>
    <n v="62"/>
  </r>
  <r>
    <n v="914"/>
    <x v="40"/>
    <n v="2"/>
    <n v="14"/>
    <x v="14"/>
    <x v="2"/>
    <x v="0"/>
    <n v="4"/>
    <x v="5"/>
    <x v="1"/>
    <n v="1"/>
    <x v="0"/>
    <x v="2"/>
    <n v="0.18179999999999999"/>
    <x v="57"/>
    <n v="0.28360000000000002"/>
    <n v="6"/>
    <n v="42"/>
    <n v="48"/>
  </r>
  <r>
    <n v="915"/>
    <x v="40"/>
    <n v="2"/>
    <n v="15"/>
    <x v="15"/>
    <x v="2"/>
    <x v="0"/>
    <n v="4"/>
    <x v="5"/>
    <x v="1"/>
    <n v="1"/>
    <x v="0"/>
    <x v="2"/>
    <n v="0.19700000000000001"/>
    <x v="59"/>
    <n v="0.25369999999999998"/>
    <n v="0"/>
    <n v="50"/>
    <n v="50"/>
  </r>
  <r>
    <n v="916"/>
    <x v="40"/>
    <n v="2"/>
    <n v="16"/>
    <x v="16"/>
    <x v="3"/>
    <x v="0"/>
    <n v="4"/>
    <x v="5"/>
    <x v="1"/>
    <n v="1"/>
    <x v="0"/>
    <x v="2"/>
    <n v="0.18179999999999999"/>
    <x v="57"/>
    <n v="0.29849999999999999"/>
    <n v="4"/>
    <n v="76"/>
    <n v="80"/>
  </r>
  <r>
    <n v="917"/>
    <x v="40"/>
    <n v="2"/>
    <n v="17"/>
    <x v="17"/>
    <x v="3"/>
    <x v="0"/>
    <n v="4"/>
    <x v="5"/>
    <x v="1"/>
    <n v="1"/>
    <x v="0"/>
    <x v="15"/>
    <n v="0.18179999999999999"/>
    <x v="60"/>
    <n v="0.19400000000000001"/>
    <n v="6"/>
    <n v="159"/>
    <n v="165"/>
  </r>
  <r>
    <n v="918"/>
    <x v="40"/>
    <n v="2"/>
    <n v="18"/>
    <x v="18"/>
    <x v="3"/>
    <x v="0"/>
    <n v="4"/>
    <x v="5"/>
    <x v="1"/>
    <n v="1"/>
    <x v="0"/>
    <x v="13"/>
    <n v="0.18179999999999999"/>
    <x v="40"/>
    <n v="0.1343"/>
    <n v="3"/>
    <n v="157"/>
    <n v="160"/>
  </r>
  <r>
    <n v="919"/>
    <x v="40"/>
    <n v="2"/>
    <n v="19"/>
    <x v="19"/>
    <x v="3"/>
    <x v="0"/>
    <n v="4"/>
    <x v="5"/>
    <x v="1"/>
    <n v="1"/>
    <x v="0"/>
    <x v="14"/>
    <n v="0.16669999999999999"/>
    <x v="40"/>
    <n v="0.1045"/>
    <n v="2"/>
    <n v="110"/>
    <n v="112"/>
  </r>
  <r>
    <n v="920"/>
    <x v="40"/>
    <n v="2"/>
    <n v="20"/>
    <x v="20"/>
    <x v="0"/>
    <x v="0"/>
    <n v="4"/>
    <x v="5"/>
    <x v="1"/>
    <n v="1"/>
    <x v="0"/>
    <x v="14"/>
    <n v="0.18179999999999999"/>
    <x v="61"/>
    <n v="8.9599999999999999E-2"/>
    <n v="4"/>
    <n v="93"/>
    <n v="97"/>
  </r>
  <r>
    <n v="921"/>
    <x v="40"/>
    <n v="2"/>
    <n v="21"/>
    <x v="21"/>
    <x v="0"/>
    <x v="0"/>
    <n v="4"/>
    <x v="5"/>
    <x v="1"/>
    <n v="1"/>
    <x v="0"/>
    <x v="14"/>
    <n v="0.21210000000000001"/>
    <x v="17"/>
    <n v="0"/>
    <n v="2"/>
    <n v="70"/>
    <n v="72"/>
  </r>
  <r>
    <n v="922"/>
    <x v="40"/>
    <n v="2"/>
    <n v="22"/>
    <x v="22"/>
    <x v="0"/>
    <x v="0"/>
    <n v="4"/>
    <x v="5"/>
    <x v="1"/>
    <n v="1"/>
    <x v="0"/>
    <x v="16"/>
    <n v="0.19700000000000001"/>
    <x v="17"/>
    <n v="0"/>
    <n v="4"/>
    <n v="47"/>
    <n v="51"/>
  </r>
  <r>
    <n v="923"/>
    <x v="40"/>
    <n v="2"/>
    <n v="23"/>
    <x v="23"/>
    <x v="0"/>
    <x v="0"/>
    <n v="4"/>
    <x v="5"/>
    <x v="1"/>
    <n v="1"/>
    <x v="0"/>
    <x v="16"/>
    <n v="0.1515"/>
    <x v="16"/>
    <n v="0.1045"/>
    <n v="1"/>
    <n v="33"/>
    <n v="34"/>
  </r>
  <r>
    <n v="924"/>
    <x v="41"/>
    <n v="2"/>
    <n v="0"/>
    <x v="0"/>
    <x v="0"/>
    <x v="0"/>
    <n v="5"/>
    <x v="6"/>
    <x v="1"/>
    <n v="1"/>
    <x v="0"/>
    <x v="18"/>
    <n v="0.13639999999999999"/>
    <x v="36"/>
    <n v="0.1045"/>
    <n v="2"/>
    <n v="12"/>
    <n v="14"/>
  </r>
  <r>
    <n v="925"/>
    <x v="41"/>
    <n v="2"/>
    <n v="1"/>
    <x v="1"/>
    <x v="0"/>
    <x v="0"/>
    <n v="5"/>
    <x v="6"/>
    <x v="1"/>
    <n v="1"/>
    <x v="0"/>
    <x v="18"/>
    <n v="0.13639999999999999"/>
    <x v="47"/>
    <n v="8.9599999999999999E-2"/>
    <n v="1"/>
    <n v="6"/>
    <n v="7"/>
  </r>
  <r>
    <n v="926"/>
    <x v="41"/>
    <n v="2"/>
    <n v="2"/>
    <x v="2"/>
    <x v="0"/>
    <x v="0"/>
    <n v="5"/>
    <x v="6"/>
    <x v="1"/>
    <n v="1"/>
    <x v="0"/>
    <x v="18"/>
    <n v="0.13639999999999999"/>
    <x v="47"/>
    <n v="8.9599999999999999E-2"/>
    <n v="0"/>
    <n v="3"/>
    <n v="3"/>
  </r>
  <r>
    <n v="927"/>
    <x v="41"/>
    <n v="2"/>
    <n v="5"/>
    <x v="5"/>
    <x v="1"/>
    <x v="0"/>
    <n v="5"/>
    <x v="6"/>
    <x v="1"/>
    <n v="1"/>
    <x v="0"/>
    <x v="19"/>
    <n v="0.1212"/>
    <x v="30"/>
    <n v="8.9599999999999999E-2"/>
    <n v="0"/>
    <n v="4"/>
    <n v="4"/>
  </r>
  <r>
    <n v="928"/>
    <x v="41"/>
    <n v="2"/>
    <n v="6"/>
    <x v="6"/>
    <x v="1"/>
    <x v="0"/>
    <n v="5"/>
    <x v="6"/>
    <x v="1"/>
    <n v="1"/>
    <x v="0"/>
    <x v="18"/>
    <n v="0.18179999999999999"/>
    <x v="31"/>
    <n v="0"/>
    <n v="1"/>
    <n v="23"/>
    <n v="24"/>
  </r>
  <r>
    <n v="929"/>
    <x v="41"/>
    <n v="2"/>
    <n v="7"/>
    <x v="7"/>
    <x v="1"/>
    <x v="0"/>
    <n v="5"/>
    <x v="6"/>
    <x v="1"/>
    <n v="1"/>
    <x v="0"/>
    <x v="19"/>
    <n v="0.16669999999999999"/>
    <x v="62"/>
    <n v="0"/>
    <n v="1"/>
    <n v="73"/>
    <n v="74"/>
  </r>
  <r>
    <n v="930"/>
    <x v="41"/>
    <n v="2"/>
    <n v="8"/>
    <x v="8"/>
    <x v="1"/>
    <x v="0"/>
    <n v="5"/>
    <x v="6"/>
    <x v="1"/>
    <n v="1"/>
    <x v="0"/>
    <x v="18"/>
    <n v="0.1212"/>
    <x v="32"/>
    <n v="0.16420000000000001"/>
    <n v="4"/>
    <n v="212"/>
    <n v="216"/>
  </r>
  <r>
    <n v="931"/>
    <x v="41"/>
    <n v="2"/>
    <n v="9"/>
    <x v="9"/>
    <x v="1"/>
    <x v="0"/>
    <n v="5"/>
    <x v="6"/>
    <x v="1"/>
    <n v="1"/>
    <x v="0"/>
    <x v="16"/>
    <n v="0.1212"/>
    <x v="32"/>
    <n v="0.22389999999999999"/>
    <n v="8"/>
    <n v="132"/>
    <n v="140"/>
  </r>
  <r>
    <n v="932"/>
    <x v="41"/>
    <n v="2"/>
    <n v="10"/>
    <x v="10"/>
    <x v="1"/>
    <x v="0"/>
    <n v="5"/>
    <x v="6"/>
    <x v="1"/>
    <n v="1"/>
    <x v="0"/>
    <x v="14"/>
    <n v="0.13639999999999999"/>
    <x v="27"/>
    <n v="0.19400000000000001"/>
    <n v="5"/>
    <n v="39"/>
    <n v="44"/>
  </r>
  <r>
    <n v="933"/>
    <x v="41"/>
    <n v="2"/>
    <n v="11"/>
    <x v="11"/>
    <x v="1"/>
    <x v="0"/>
    <n v="5"/>
    <x v="6"/>
    <x v="1"/>
    <n v="1"/>
    <x v="0"/>
    <x v="1"/>
    <n v="0.2273"/>
    <x v="19"/>
    <n v="0.1343"/>
    <n v="12"/>
    <n v="52"/>
    <n v="64"/>
  </r>
  <r>
    <n v="934"/>
    <x v="41"/>
    <n v="2"/>
    <n v="12"/>
    <x v="12"/>
    <x v="2"/>
    <x v="0"/>
    <n v="5"/>
    <x v="6"/>
    <x v="1"/>
    <n v="1"/>
    <x v="0"/>
    <x v="1"/>
    <n v="0.2273"/>
    <x v="19"/>
    <n v="0.1343"/>
    <n v="7"/>
    <n v="64"/>
    <n v="71"/>
  </r>
  <r>
    <n v="935"/>
    <x v="41"/>
    <n v="2"/>
    <n v="13"/>
    <x v="13"/>
    <x v="2"/>
    <x v="0"/>
    <n v="5"/>
    <x v="6"/>
    <x v="1"/>
    <n v="1"/>
    <x v="0"/>
    <x v="0"/>
    <n v="0.2273"/>
    <x v="23"/>
    <n v="0.19400000000000001"/>
    <n v="21"/>
    <n v="89"/>
    <n v="110"/>
  </r>
  <r>
    <n v="936"/>
    <x v="41"/>
    <n v="2"/>
    <n v="14"/>
    <x v="14"/>
    <x v="2"/>
    <x v="0"/>
    <n v="5"/>
    <x v="6"/>
    <x v="1"/>
    <n v="1"/>
    <x v="0"/>
    <x v="11"/>
    <n v="0.28789999999999999"/>
    <x v="60"/>
    <n v="0.25369999999999998"/>
    <n v="17"/>
    <n v="67"/>
    <n v="84"/>
  </r>
  <r>
    <n v="937"/>
    <x v="41"/>
    <n v="2"/>
    <n v="15"/>
    <x v="15"/>
    <x v="2"/>
    <x v="0"/>
    <n v="5"/>
    <x v="6"/>
    <x v="1"/>
    <n v="1"/>
    <x v="0"/>
    <x v="3"/>
    <n v="0.31819999999999998"/>
    <x v="58"/>
    <n v="0.16420000000000001"/>
    <n v="12"/>
    <n v="62"/>
    <n v="74"/>
  </r>
  <r>
    <n v="938"/>
    <x v="41"/>
    <n v="2"/>
    <n v="16"/>
    <x v="16"/>
    <x v="3"/>
    <x v="0"/>
    <n v="5"/>
    <x v="6"/>
    <x v="1"/>
    <n v="1"/>
    <x v="0"/>
    <x v="11"/>
    <n v="0.28789999999999999"/>
    <x v="40"/>
    <n v="0.19400000000000001"/>
    <n v="14"/>
    <n v="111"/>
    <n v="125"/>
  </r>
  <r>
    <n v="939"/>
    <x v="41"/>
    <n v="2"/>
    <n v="17"/>
    <x v="17"/>
    <x v="3"/>
    <x v="0"/>
    <n v="5"/>
    <x v="6"/>
    <x v="1"/>
    <n v="1"/>
    <x v="0"/>
    <x v="11"/>
    <n v="0.33329999999999999"/>
    <x v="63"/>
    <n v="0"/>
    <n v="18"/>
    <n v="193"/>
    <n v="211"/>
  </r>
  <r>
    <n v="940"/>
    <x v="41"/>
    <n v="2"/>
    <n v="18"/>
    <x v="18"/>
    <x v="3"/>
    <x v="0"/>
    <n v="5"/>
    <x v="6"/>
    <x v="1"/>
    <n v="1"/>
    <x v="0"/>
    <x v="17"/>
    <n v="0.31819999999999998"/>
    <x v="40"/>
    <n v="0"/>
    <n v="9"/>
    <n v="165"/>
    <n v="174"/>
  </r>
  <r>
    <n v="941"/>
    <x v="41"/>
    <n v="2"/>
    <n v="19"/>
    <x v="19"/>
    <x v="3"/>
    <x v="0"/>
    <n v="5"/>
    <x v="6"/>
    <x v="1"/>
    <n v="1"/>
    <x v="0"/>
    <x v="12"/>
    <n v="0.30299999999999999"/>
    <x v="39"/>
    <n v="0"/>
    <n v="7"/>
    <n v="94"/>
    <n v="101"/>
  </r>
  <r>
    <n v="942"/>
    <x v="41"/>
    <n v="2"/>
    <n v="20"/>
    <x v="20"/>
    <x v="0"/>
    <x v="0"/>
    <n v="5"/>
    <x v="6"/>
    <x v="1"/>
    <n v="1"/>
    <x v="0"/>
    <x v="1"/>
    <n v="0.2273"/>
    <x v="28"/>
    <n v="0.1343"/>
    <n v="2"/>
    <n v="61"/>
    <n v="63"/>
  </r>
  <r>
    <n v="943"/>
    <x v="41"/>
    <n v="2"/>
    <n v="21"/>
    <x v="21"/>
    <x v="0"/>
    <x v="0"/>
    <n v="5"/>
    <x v="6"/>
    <x v="1"/>
    <n v="1"/>
    <x v="0"/>
    <x v="2"/>
    <n v="0.21210000000000001"/>
    <x v="29"/>
    <n v="0.1343"/>
    <n v="1"/>
    <n v="46"/>
    <n v="47"/>
  </r>
  <r>
    <n v="944"/>
    <x v="41"/>
    <n v="2"/>
    <n v="22"/>
    <x v="22"/>
    <x v="0"/>
    <x v="0"/>
    <n v="5"/>
    <x v="6"/>
    <x v="1"/>
    <n v="1"/>
    <x v="0"/>
    <x v="2"/>
    <n v="0.2273"/>
    <x v="26"/>
    <n v="8.9599999999999999E-2"/>
    <n v="2"/>
    <n v="41"/>
    <n v="43"/>
  </r>
  <r>
    <n v="945"/>
    <x v="41"/>
    <n v="2"/>
    <n v="23"/>
    <x v="23"/>
    <x v="0"/>
    <x v="0"/>
    <n v="5"/>
    <x v="6"/>
    <x v="1"/>
    <n v="1"/>
    <x v="0"/>
    <x v="15"/>
    <n v="0.2424"/>
    <x v="27"/>
    <n v="0"/>
    <n v="5"/>
    <n v="48"/>
    <n v="53"/>
  </r>
  <r>
    <n v="946"/>
    <x v="42"/>
    <n v="2"/>
    <n v="0"/>
    <x v="0"/>
    <x v="0"/>
    <x v="0"/>
    <n v="6"/>
    <x v="0"/>
    <x v="0"/>
    <n v="1"/>
    <x v="0"/>
    <x v="13"/>
    <n v="0.19700000000000001"/>
    <x v="27"/>
    <n v="8.9599999999999999E-2"/>
    <n v="3"/>
    <n v="27"/>
    <n v="30"/>
  </r>
  <r>
    <n v="947"/>
    <x v="42"/>
    <n v="2"/>
    <n v="1"/>
    <x v="1"/>
    <x v="0"/>
    <x v="0"/>
    <n v="6"/>
    <x v="0"/>
    <x v="0"/>
    <n v="1"/>
    <x v="0"/>
    <x v="14"/>
    <n v="0.21210000000000001"/>
    <x v="3"/>
    <n v="0"/>
    <n v="2"/>
    <n v="22"/>
    <n v="24"/>
  </r>
  <r>
    <n v="948"/>
    <x v="42"/>
    <n v="2"/>
    <n v="2"/>
    <x v="2"/>
    <x v="0"/>
    <x v="0"/>
    <n v="6"/>
    <x v="0"/>
    <x v="0"/>
    <n v="1"/>
    <x v="0"/>
    <x v="14"/>
    <n v="0.21210000000000001"/>
    <x v="1"/>
    <n v="0"/>
    <n v="2"/>
    <n v="13"/>
    <n v="15"/>
  </r>
  <r>
    <n v="949"/>
    <x v="42"/>
    <n v="2"/>
    <n v="3"/>
    <x v="3"/>
    <x v="0"/>
    <x v="0"/>
    <n v="6"/>
    <x v="0"/>
    <x v="0"/>
    <n v="1"/>
    <x v="0"/>
    <x v="16"/>
    <n v="0.19700000000000001"/>
    <x v="1"/>
    <n v="0"/>
    <n v="3"/>
    <n v="7"/>
    <n v="10"/>
  </r>
  <r>
    <n v="950"/>
    <x v="42"/>
    <n v="2"/>
    <n v="4"/>
    <x v="4"/>
    <x v="0"/>
    <x v="0"/>
    <n v="6"/>
    <x v="0"/>
    <x v="0"/>
    <n v="1"/>
    <x v="0"/>
    <x v="16"/>
    <n v="0.16669999999999999"/>
    <x v="32"/>
    <n v="8.9599999999999999E-2"/>
    <n v="0"/>
    <n v="4"/>
    <n v="4"/>
  </r>
  <r>
    <n v="951"/>
    <x v="42"/>
    <n v="2"/>
    <n v="5"/>
    <x v="5"/>
    <x v="1"/>
    <x v="0"/>
    <n v="6"/>
    <x v="0"/>
    <x v="0"/>
    <n v="1"/>
    <x v="0"/>
    <x v="16"/>
    <n v="0.16669999999999999"/>
    <x v="32"/>
    <n v="8.9599999999999999E-2"/>
    <n v="0"/>
    <n v="1"/>
    <n v="1"/>
  </r>
  <r>
    <n v="952"/>
    <x v="42"/>
    <n v="2"/>
    <n v="6"/>
    <x v="6"/>
    <x v="1"/>
    <x v="0"/>
    <n v="6"/>
    <x v="0"/>
    <x v="0"/>
    <n v="1"/>
    <x v="0"/>
    <x v="16"/>
    <n v="0.13639999999999999"/>
    <x v="43"/>
    <n v="0.19400000000000001"/>
    <n v="1"/>
    <n v="1"/>
    <n v="2"/>
  </r>
  <r>
    <n v="953"/>
    <x v="42"/>
    <n v="2"/>
    <n v="7"/>
    <x v="7"/>
    <x v="1"/>
    <x v="0"/>
    <n v="6"/>
    <x v="0"/>
    <x v="0"/>
    <n v="1"/>
    <x v="0"/>
    <x v="16"/>
    <n v="0.1515"/>
    <x v="1"/>
    <n v="0.1045"/>
    <n v="2"/>
    <n v="9"/>
    <n v="11"/>
  </r>
  <r>
    <n v="954"/>
    <x v="42"/>
    <n v="2"/>
    <n v="8"/>
    <x v="8"/>
    <x v="1"/>
    <x v="0"/>
    <n v="6"/>
    <x v="0"/>
    <x v="0"/>
    <n v="1"/>
    <x v="0"/>
    <x v="14"/>
    <n v="0.1515"/>
    <x v="3"/>
    <n v="0.1343"/>
    <n v="2"/>
    <n v="28"/>
    <n v="30"/>
  </r>
  <r>
    <n v="955"/>
    <x v="42"/>
    <n v="2"/>
    <n v="9"/>
    <x v="9"/>
    <x v="1"/>
    <x v="0"/>
    <n v="6"/>
    <x v="0"/>
    <x v="0"/>
    <n v="1"/>
    <x v="0"/>
    <x v="13"/>
    <n v="0.18179999999999999"/>
    <x v="26"/>
    <n v="0.1343"/>
    <n v="5"/>
    <n v="38"/>
    <n v="43"/>
  </r>
  <r>
    <n v="956"/>
    <x v="42"/>
    <n v="2"/>
    <n v="10"/>
    <x v="10"/>
    <x v="1"/>
    <x v="0"/>
    <n v="6"/>
    <x v="0"/>
    <x v="0"/>
    <n v="1"/>
    <x v="0"/>
    <x v="1"/>
    <n v="0.21210000000000001"/>
    <x v="48"/>
    <n v="0.25369999999999998"/>
    <n v="13"/>
    <n v="71"/>
    <n v="84"/>
  </r>
  <r>
    <n v="957"/>
    <x v="42"/>
    <n v="2"/>
    <n v="11"/>
    <x v="11"/>
    <x v="1"/>
    <x v="0"/>
    <n v="6"/>
    <x v="0"/>
    <x v="0"/>
    <n v="1"/>
    <x v="0"/>
    <x v="11"/>
    <n v="0.2727"/>
    <x v="40"/>
    <n v="0.32840000000000003"/>
    <n v="30"/>
    <n v="84"/>
    <n v="114"/>
  </r>
  <r>
    <n v="958"/>
    <x v="42"/>
    <n v="2"/>
    <n v="12"/>
    <x v="12"/>
    <x v="2"/>
    <x v="0"/>
    <n v="6"/>
    <x v="0"/>
    <x v="0"/>
    <n v="1"/>
    <x v="0"/>
    <x v="11"/>
    <n v="0.2727"/>
    <x v="17"/>
    <n v="0.4627"/>
    <n v="27"/>
    <n v="93"/>
    <n v="120"/>
  </r>
  <r>
    <n v="959"/>
    <x v="42"/>
    <n v="2"/>
    <n v="13"/>
    <x v="13"/>
    <x v="2"/>
    <x v="0"/>
    <n v="6"/>
    <x v="0"/>
    <x v="0"/>
    <n v="1"/>
    <x v="0"/>
    <x v="11"/>
    <n v="0.2727"/>
    <x v="17"/>
    <n v="0.41789999999999999"/>
    <n v="32"/>
    <n v="103"/>
    <n v="135"/>
  </r>
  <r>
    <n v="960"/>
    <x v="42"/>
    <n v="2"/>
    <n v="14"/>
    <x v="14"/>
    <x v="2"/>
    <x v="0"/>
    <n v="6"/>
    <x v="0"/>
    <x v="0"/>
    <n v="1"/>
    <x v="0"/>
    <x v="10"/>
    <n v="0.31819999999999998"/>
    <x v="61"/>
    <n v="0.28360000000000002"/>
    <n v="30"/>
    <n v="90"/>
    <n v="120"/>
  </r>
  <r>
    <n v="961"/>
    <x v="42"/>
    <n v="2"/>
    <n v="15"/>
    <x v="15"/>
    <x v="2"/>
    <x v="0"/>
    <n v="6"/>
    <x v="0"/>
    <x v="0"/>
    <n v="1"/>
    <x v="0"/>
    <x v="10"/>
    <n v="0.30299999999999999"/>
    <x v="44"/>
    <n v="0.41789999999999999"/>
    <n v="47"/>
    <n v="127"/>
    <n v="174"/>
  </r>
  <r>
    <n v="962"/>
    <x v="42"/>
    <n v="2"/>
    <n v="16"/>
    <x v="16"/>
    <x v="3"/>
    <x v="0"/>
    <n v="6"/>
    <x v="0"/>
    <x v="0"/>
    <n v="1"/>
    <x v="0"/>
    <x v="10"/>
    <n v="0.30299999999999999"/>
    <x v="44"/>
    <n v="0.41789999999999999"/>
    <n v="42"/>
    <n v="103"/>
    <n v="145"/>
  </r>
  <r>
    <n v="963"/>
    <x v="42"/>
    <n v="2"/>
    <n v="17"/>
    <x v="17"/>
    <x v="3"/>
    <x v="0"/>
    <n v="6"/>
    <x v="0"/>
    <x v="0"/>
    <n v="1"/>
    <x v="0"/>
    <x v="3"/>
    <n v="0.28789999999999999"/>
    <x v="61"/>
    <n v="0.52239999999999998"/>
    <n v="24"/>
    <n v="113"/>
    <n v="137"/>
  </r>
  <r>
    <n v="964"/>
    <x v="42"/>
    <n v="2"/>
    <n v="18"/>
    <x v="18"/>
    <x v="3"/>
    <x v="0"/>
    <n v="6"/>
    <x v="0"/>
    <x v="0"/>
    <n v="1"/>
    <x v="0"/>
    <x v="17"/>
    <n v="0.2576"/>
    <x v="41"/>
    <n v="0.32840000000000003"/>
    <n v="4"/>
    <n v="60"/>
    <n v="64"/>
  </r>
  <r>
    <n v="965"/>
    <x v="42"/>
    <n v="2"/>
    <n v="19"/>
    <x v="19"/>
    <x v="3"/>
    <x v="0"/>
    <n v="6"/>
    <x v="0"/>
    <x v="0"/>
    <n v="1"/>
    <x v="0"/>
    <x v="17"/>
    <n v="0.2727"/>
    <x v="41"/>
    <n v="0.16420000000000001"/>
    <n v="2"/>
    <n v="39"/>
    <n v="41"/>
  </r>
  <r>
    <n v="966"/>
    <x v="42"/>
    <n v="2"/>
    <n v="20"/>
    <x v="20"/>
    <x v="0"/>
    <x v="0"/>
    <n v="6"/>
    <x v="0"/>
    <x v="0"/>
    <n v="1"/>
    <x v="0"/>
    <x v="12"/>
    <n v="0.2576"/>
    <x v="48"/>
    <n v="0.22389999999999999"/>
    <n v="1"/>
    <n v="39"/>
    <n v="40"/>
  </r>
  <r>
    <n v="967"/>
    <x v="42"/>
    <n v="2"/>
    <n v="21"/>
    <x v="21"/>
    <x v="0"/>
    <x v="0"/>
    <n v="6"/>
    <x v="0"/>
    <x v="0"/>
    <n v="1"/>
    <x v="0"/>
    <x v="12"/>
    <n v="0.30299999999999999"/>
    <x v="48"/>
    <n v="0"/>
    <n v="9"/>
    <n v="42"/>
    <n v="51"/>
  </r>
  <r>
    <n v="968"/>
    <x v="42"/>
    <n v="2"/>
    <n v="22"/>
    <x v="22"/>
    <x v="0"/>
    <x v="0"/>
    <n v="6"/>
    <x v="0"/>
    <x v="0"/>
    <n v="1"/>
    <x v="0"/>
    <x v="0"/>
    <n v="0.2576"/>
    <x v="18"/>
    <n v="8.9599999999999999E-2"/>
    <n v="6"/>
    <n v="39"/>
    <n v="45"/>
  </r>
  <r>
    <n v="969"/>
    <x v="42"/>
    <n v="2"/>
    <n v="23"/>
    <x v="23"/>
    <x v="0"/>
    <x v="0"/>
    <n v="6"/>
    <x v="0"/>
    <x v="0"/>
    <n v="1"/>
    <x v="0"/>
    <x v="1"/>
    <n v="0.2273"/>
    <x v="33"/>
    <n v="0.1343"/>
    <n v="1"/>
    <n v="31"/>
    <n v="32"/>
  </r>
  <r>
    <n v="970"/>
    <x v="43"/>
    <n v="2"/>
    <n v="0"/>
    <x v="0"/>
    <x v="0"/>
    <x v="0"/>
    <n v="0"/>
    <x v="1"/>
    <x v="0"/>
    <n v="1"/>
    <x v="0"/>
    <x v="2"/>
    <n v="0.2273"/>
    <x v="26"/>
    <n v="0.1045"/>
    <n v="5"/>
    <n v="34"/>
    <n v="39"/>
  </r>
  <r>
    <n v="971"/>
    <x v="43"/>
    <n v="2"/>
    <n v="1"/>
    <x v="1"/>
    <x v="0"/>
    <x v="0"/>
    <n v="0"/>
    <x v="1"/>
    <x v="0"/>
    <n v="1"/>
    <x v="0"/>
    <x v="2"/>
    <n v="0.2273"/>
    <x v="29"/>
    <n v="8.9599999999999999E-2"/>
    <n v="1"/>
    <n v="23"/>
    <n v="24"/>
  </r>
  <r>
    <n v="972"/>
    <x v="43"/>
    <n v="2"/>
    <n v="2"/>
    <x v="2"/>
    <x v="0"/>
    <x v="0"/>
    <n v="0"/>
    <x v="1"/>
    <x v="0"/>
    <n v="2"/>
    <x v="1"/>
    <x v="2"/>
    <n v="0.2273"/>
    <x v="2"/>
    <n v="8.9599999999999999E-2"/>
    <n v="1"/>
    <n v="19"/>
    <n v="20"/>
  </r>
  <r>
    <n v="973"/>
    <x v="43"/>
    <n v="2"/>
    <n v="3"/>
    <x v="3"/>
    <x v="0"/>
    <x v="0"/>
    <n v="0"/>
    <x v="1"/>
    <x v="0"/>
    <n v="2"/>
    <x v="1"/>
    <x v="2"/>
    <n v="0.2273"/>
    <x v="27"/>
    <n v="0.1045"/>
    <n v="4"/>
    <n v="8"/>
    <n v="12"/>
  </r>
  <r>
    <n v="974"/>
    <x v="43"/>
    <n v="2"/>
    <n v="4"/>
    <x v="4"/>
    <x v="0"/>
    <x v="0"/>
    <n v="0"/>
    <x v="1"/>
    <x v="0"/>
    <n v="2"/>
    <x v="1"/>
    <x v="2"/>
    <n v="0.21210000000000001"/>
    <x v="27"/>
    <n v="0.16420000000000001"/>
    <n v="0"/>
    <n v="2"/>
    <n v="2"/>
  </r>
  <r>
    <n v="975"/>
    <x v="43"/>
    <n v="2"/>
    <n v="6"/>
    <x v="6"/>
    <x v="1"/>
    <x v="0"/>
    <n v="0"/>
    <x v="1"/>
    <x v="0"/>
    <n v="2"/>
    <x v="1"/>
    <x v="2"/>
    <n v="0.21210000000000001"/>
    <x v="27"/>
    <n v="0.1343"/>
    <n v="2"/>
    <n v="3"/>
    <n v="5"/>
  </r>
  <r>
    <n v="976"/>
    <x v="43"/>
    <n v="2"/>
    <n v="7"/>
    <x v="7"/>
    <x v="1"/>
    <x v="0"/>
    <n v="0"/>
    <x v="1"/>
    <x v="0"/>
    <n v="2"/>
    <x v="1"/>
    <x v="1"/>
    <n v="0.2727"/>
    <x v="28"/>
    <n v="0"/>
    <n v="0"/>
    <n v="3"/>
    <n v="3"/>
  </r>
  <r>
    <n v="977"/>
    <x v="43"/>
    <n v="2"/>
    <n v="8"/>
    <x v="8"/>
    <x v="1"/>
    <x v="0"/>
    <n v="0"/>
    <x v="1"/>
    <x v="0"/>
    <n v="2"/>
    <x v="1"/>
    <x v="1"/>
    <n v="0.2273"/>
    <x v="26"/>
    <n v="0.19400000000000001"/>
    <n v="1"/>
    <n v="11"/>
    <n v="12"/>
  </r>
  <r>
    <n v="978"/>
    <x v="43"/>
    <n v="2"/>
    <n v="9"/>
    <x v="9"/>
    <x v="1"/>
    <x v="0"/>
    <n v="0"/>
    <x v="1"/>
    <x v="0"/>
    <n v="2"/>
    <x v="1"/>
    <x v="0"/>
    <n v="0.2273"/>
    <x v="54"/>
    <n v="0.22389999999999999"/>
    <n v="12"/>
    <n v="35"/>
    <n v="47"/>
  </r>
  <r>
    <n v="979"/>
    <x v="43"/>
    <n v="2"/>
    <n v="10"/>
    <x v="10"/>
    <x v="1"/>
    <x v="0"/>
    <n v="0"/>
    <x v="1"/>
    <x v="0"/>
    <n v="1"/>
    <x v="0"/>
    <x v="11"/>
    <n v="0.2727"/>
    <x v="49"/>
    <n v="0.32840000000000003"/>
    <n v="19"/>
    <n v="86"/>
    <n v="105"/>
  </r>
  <r>
    <n v="980"/>
    <x v="43"/>
    <n v="2"/>
    <n v="11"/>
    <x v="11"/>
    <x v="1"/>
    <x v="0"/>
    <n v="0"/>
    <x v="1"/>
    <x v="0"/>
    <n v="1"/>
    <x v="0"/>
    <x v="3"/>
    <n v="0.28789999999999999"/>
    <x v="17"/>
    <n v="0.44779999999999998"/>
    <n v="26"/>
    <n v="86"/>
    <n v="112"/>
  </r>
  <r>
    <n v="981"/>
    <x v="43"/>
    <n v="2"/>
    <n v="12"/>
    <x v="12"/>
    <x v="2"/>
    <x v="0"/>
    <n v="0"/>
    <x v="1"/>
    <x v="0"/>
    <n v="1"/>
    <x v="0"/>
    <x v="5"/>
    <n v="0.31819999999999998"/>
    <x v="25"/>
    <n v="0.4627"/>
    <n v="58"/>
    <n v="94"/>
    <n v="152"/>
  </r>
  <r>
    <n v="982"/>
    <x v="43"/>
    <n v="2"/>
    <n v="13"/>
    <x v="13"/>
    <x v="2"/>
    <x v="0"/>
    <n v="0"/>
    <x v="1"/>
    <x v="0"/>
    <n v="1"/>
    <x v="0"/>
    <x v="4"/>
    <n v="0.39389999999999997"/>
    <x v="44"/>
    <n v="0.35820000000000002"/>
    <n v="62"/>
    <n v="92"/>
    <n v="154"/>
  </r>
  <r>
    <n v="983"/>
    <x v="43"/>
    <n v="2"/>
    <n v="14"/>
    <x v="14"/>
    <x v="2"/>
    <x v="0"/>
    <n v="0"/>
    <x v="1"/>
    <x v="0"/>
    <n v="2"/>
    <x v="1"/>
    <x v="9"/>
    <n v="0.40910000000000002"/>
    <x v="24"/>
    <n v="0.41789999999999999"/>
    <n v="51"/>
    <n v="110"/>
    <n v="161"/>
  </r>
  <r>
    <n v="984"/>
    <x v="43"/>
    <n v="2"/>
    <n v="15"/>
    <x v="15"/>
    <x v="2"/>
    <x v="0"/>
    <n v="0"/>
    <x v="1"/>
    <x v="0"/>
    <n v="2"/>
    <x v="1"/>
    <x v="9"/>
    <n v="0.40910000000000002"/>
    <x v="24"/>
    <n v="0.29849999999999999"/>
    <n v="40"/>
    <n v="122"/>
    <n v="162"/>
  </r>
  <r>
    <n v="985"/>
    <x v="43"/>
    <n v="2"/>
    <n v="16"/>
    <x v="16"/>
    <x v="3"/>
    <x v="0"/>
    <n v="0"/>
    <x v="1"/>
    <x v="0"/>
    <n v="2"/>
    <x v="1"/>
    <x v="6"/>
    <n v="0.42420000000000002"/>
    <x v="40"/>
    <n v="0.32840000000000003"/>
    <n v="28"/>
    <n v="106"/>
    <n v="134"/>
  </r>
  <r>
    <n v="986"/>
    <x v="43"/>
    <n v="2"/>
    <n v="17"/>
    <x v="17"/>
    <x v="3"/>
    <x v="0"/>
    <n v="0"/>
    <x v="1"/>
    <x v="0"/>
    <n v="1"/>
    <x v="0"/>
    <x v="6"/>
    <n v="0.42420000000000002"/>
    <x v="40"/>
    <n v="0.32840000000000003"/>
    <n v="30"/>
    <n v="95"/>
    <n v="125"/>
  </r>
  <r>
    <n v="987"/>
    <x v="43"/>
    <n v="2"/>
    <n v="18"/>
    <x v="18"/>
    <x v="3"/>
    <x v="0"/>
    <n v="0"/>
    <x v="1"/>
    <x v="0"/>
    <n v="1"/>
    <x v="0"/>
    <x v="9"/>
    <n v="0.40910000000000002"/>
    <x v="25"/>
    <n v="0.29849999999999999"/>
    <n v="17"/>
    <n v="78"/>
    <n v="95"/>
  </r>
  <r>
    <n v="988"/>
    <x v="43"/>
    <n v="2"/>
    <n v="19"/>
    <x v="19"/>
    <x v="3"/>
    <x v="0"/>
    <n v="0"/>
    <x v="1"/>
    <x v="0"/>
    <n v="1"/>
    <x v="0"/>
    <x v="9"/>
    <n v="0.40910000000000002"/>
    <x v="23"/>
    <n v="0.28360000000000002"/>
    <n v="11"/>
    <n v="50"/>
    <n v="61"/>
  </r>
  <r>
    <n v="989"/>
    <x v="43"/>
    <n v="2"/>
    <n v="20"/>
    <x v="20"/>
    <x v="0"/>
    <x v="0"/>
    <n v="0"/>
    <x v="1"/>
    <x v="0"/>
    <n v="1"/>
    <x v="0"/>
    <x v="9"/>
    <n v="0.40910000000000002"/>
    <x v="23"/>
    <n v="0.32840000000000003"/>
    <n v="15"/>
    <n v="32"/>
    <n v="47"/>
  </r>
  <r>
    <n v="990"/>
    <x v="43"/>
    <n v="2"/>
    <n v="21"/>
    <x v="21"/>
    <x v="0"/>
    <x v="0"/>
    <n v="0"/>
    <x v="1"/>
    <x v="0"/>
    <n v="1"/>
    <x v="0"/>
    <x v="9"/>
    <n v="0.40910000000000002"/>
    <x v="23"/>
    <n v="0.35820000000000002"/>
    <n v="6"/>
    <n v="45"/>
    <n v="51"/>
  </r>
  <r>
    <n v="991"/>
    <x v="43"/>
    <n v="2"/>
    <n v="22"/>
    <x v="22"/>
    <x v="0"/>
    <x v="0"/>
    <n v="0"/>
    <x v="1"/>
    <x v="0"/>
    <n v="1"/>
    <x v="0"/>
    <x v="9"/>
    <n v="0.40910000000000002"/>
    <x v="23"/>
    <n v="0.29849999999999999"/>
    <n v="5"/>
    <n v="31"/>
    <n v="36"/>
  </r>
  <r>
    <n v="992"/>
    <x v="43"/>
    <n v="2"/>
    <n v="23"/>
    <x v="23"/>
    <x v="0"/>
    <x v="0"/>
    <n v="0"/>
    <x v="1"/>
    <x v="0"/>
    <n v="1"/>
    <x v="0"/>
    <x v="9"/>
    <n v="0.40910000000000002"/>
    <x v="23"/>
    <n v="0.35820000000000002"/>
    <n v="3"/>
    <n v="27"/>
    <n v="30"/>
  </r>
  <r>
    <n v="993"/>
    <x v="44"/>
    <n v="2"/>
    <n v="0"/>
    <x v="0"/>
    <x v="0"/>
    <x v="0"/>
    <n v="1"/>
    <x v="2"/>
    <x v="1"/>
    <n v="1"/>
    <x v="0"/>
    <x v="4"/>
    <n v="0.39389999999999997"/>
    <x v="38"/>
    <n v="0.35820000000000002"/>
    <n v="3"/>
    <n v="8"/>
    <n v="11"/>
  </r>
  <r>
    <n v="994"/>
    <x v="44"/>
    <n v="2"/>
    <n v="1"/>
    <x v="1"/>
    <x v="0"/>
    <x v="0"/>
    <n v="1"/>
    <x v="2"/>
    <x v="1"/>
    <n v="1"/>
    <x v="0"/>
    <x v="4"/>
    <n v="0.39389999999999997"/>
    <x v="38"/>
    <n v="0.35820000000000002"/>
    <n v="1"/>
    <n v="6"/>
    <n v="7"/>
  </r>
  <r>
    <n v="995"/>
    <x v="44"/>
    <n v="2"/>
    <n v="2"/>
    <x v="2"/>
    <x v="0"/>
    <x v="0"/>
    <n v="1"/>
    <x v="2"/>
    <x v="1"/>
    <n v="1"/>
    <x v="0"/>
    <x v="5"/>
    <n v="0.33329999999999999"/>
    <x v="22"/>
    <n v="0.29849999999999999"/>
    <n v="0"/>
    <n v="2"/>
    <n v="2"/>
  </r>
  <r>
    <n v="996"/>
    <x v="44"/>
    <n v="2"/>
    <n v="3"/>
    <x v="3"/>
    <x v="0"/>
    <x v="0"/>
    <n v="1"/>
    <x v="2"/>
    <x v="1"/>
    <n v="1"/>
    <x v="0"/>
    <x v="10"/>
    <n v="0.31819999999999998"/>
    <x v="15"/>
    <n v="0.22389999999999999"/>
    <n v="1"/>
    <n v="1"/>
    <n v="2"/>
  </r>
  <r>
    <n v="997"/>
    <x v="44"/>
    <n v="2"/>
    <n v="4"/>
    <x v="4"/>
    <x v="0"/>
    <x v="0"/>
    <n v="1"/>
    <x v="2"/>
    <x v="1"/>
    <n v="1"/>
    <x v="0"/>
    <x v="3"/>
    <n v="0.30299999999999999"/>
    <x v="45"/>
    <n v="0.28360000000000002"/>
    <n v="0"/>
    <n v="2"/>
    <n v="2"/>
  </r>
  <r>
    <n v="998"/>
    <x v="44"/>
    <n v="2"/>
    <n v="5"/>
    <x v="5"/>
    <x v="1"/>
    <x v="0"/>
    <n v="1"/>
    <x v="2"/>
    <x v="1"/>
    <n v="1"/>
    <x v="0"/>
    <x v="3"/>
    <n v="0.30299999999999999"/>
    <x v="45"/>
    <n v="0.28360000000000002"/>
    <n v="0"/>
    <n v="3"/>
    <n v="3"/>
  </r>
  <r>
    <n v="999"/>
    <x v="44"/>
    <n v="2"/>
    <n v="6"/>
    <x v="6"/>
    <x v="1"/>
    <x v="0"/>
    <n v="1"/>
    <x v="2"/>
    <x v="1"/>
    <n v="1"/>
    <x v="0"/>
    <x v="10"/>
    <n v="0.30299999999999999"/>
    <x v="15"/>
    <n v="0.29849999999999999"/>
    <n v="1"/>
    <n v="25"/>
    <n v="26"/>
  </r>
  <r>
    <n v="1000"/>
    <x v="44"/>
    <n v="2"/>
    <n v="7"/>
    <x v="7"/>
    <x v="1"/>
    <x v="0"/>
    <n v="1"/>
    <x v="2"/>
    <x v="1"/>
    <n v="1"/>
    <x v="0"/>
    <x v="10"/>
    <n v="0.30299999999999999"/>
    <x v="15"/>
    <n v="0.29849999999999999"/>
    <n v="2"/>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B6909B-0408-44FD-A0C6-F13A85916DA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5:M6"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showAll="0"/>
    <pivotField showAll="0"/>
    <pivotField showAll="0"/>
    <pivotField showAll="0">
      <items count="3">
        <item x="1"/>
        <item x="0"/>
        <item t="default"/>
      </items>
    </pivotField>
    <pivotField showAll="0"/>
    <pivotField showAll="0">
      <items count="5">
        <item x="0"/>
        <item x="1"/>
        <item x="2"/>
        <item x="3"/>
        <item t="default"/>
      </items>
    </pivotField>
    <pivotField showAll="0"/>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gistered"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038672-3403-41D2-A729-FF2F35941D8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3:M4"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showAll="0"/>
    <pivotField showAll="0"/>
    <pivotField showAll="0"/>
    <pivotField showAll="0">
      <items count="3">
        <item x="1"/>
        <item x="0"/>
        <item t="default"/>
      </items>
    </pivotField>
    <pivotField showAll="0"/>
    <pivotField showAll="0">
      <items count="5">
        <item x="0"/>
        <item x="1"/>
        <item x="2"/>
        <item x="3"/>
        <item t="default"/>
      </items>
    </pivotField>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Casual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351551-1274-4331-AEE8-22A901F5804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rowHeaderCaption="Dates">
  <location ref="A3:B49"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showAll="0"/>
    <pivotField showAll="0"/>
    <pivotField showAll="0"/>
    <pivotField showAll="0">
      <items count="3">
        <item x="1"/>
        <item x="0"/>
        <item t="default"/>
      </items>
    </pivotField>
    <pivotField showAll="0"/>
    <pivotField showAll="0">
      <items count="5">
        <item x="0"/>
        <item x="1"/>
        <item x="2"/>
        <item x="3"/>
        <item t="default"/>
      </items>
    </pivotField>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1"/>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Total Rentals" fld="18" baseField="21" baseItem="1"/>
  </dataFields>
  <chartFormats count="4">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9C5E59-0A1D-4866-9EEE-245D27B08EDB}" name="PivotTable6"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7">
  <location ref="A3:B10"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showAll="0"/>
    <pivotField showAll="0"/>
    <pivotField axis="axisRow" showAll="0">
      <items count="8">
        <item x="1"/>
        <item x="2"/>
        <item x="3"/>
        <item x="4"/>
        <item x="5"/>
        <item x="6"/>
        <item x="0"/>
        <item t="default"/>
      </items>
    </pivotField>
    <pivotField showAll="0">
      <items count="3">
        <item x="1"/>
        <item x="0"/>
        <item t="default"/>
      </items>
    </pivotField>
    <pivotField showAll="0"/>
    <pivotField showAll="0">
      <items count="5">
        <item x="0"/>
        <item x="1"/>
        <item x="2"/>
        <item x="3"/>
        <item t="default"/>
      </items>
    </pivotField>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7">
    <i>
      <x/>
    </i>
    <i>
      <x v="1"/>
    </i>
    <i>
      <x v="2"/>
    </i>
    <i>
      <x v="3"/>
    </i>
    <i>
      <x v="4"/>
    </i>
    <i>
      <x v="5"/>
    </i>
    <i>
      <x v="6"/>
    </i>
  </rowItems>
  <colItems count="1">
    <i/>
  </colItems>
  <dataFields count="1">
    <dataField name="Avg Rentals" fld="18" subtotal="average" baseField="8" baseItem="0" numFmtId="1"/>
  </dataFields>
  <chartFormats count="2">
    <chartFormat chart="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B25475-1794-4797-A194-93DBDF360A4E}" name="PivotTable2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Time Slot">
  <location ref="A3:B8" firstHeaderRow="1" firstDataRow="1" firstDataCol="1" rowPageCount="1" colPageCount="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5">
        <item x="1"/>
        <item x="2"/>
        <item x="3"/>
        <item x="0"/>
        <item t="default"/>
      </items>
    </pivotField>
    <pivotField showAll="0"/>
    <pivotField showAll="0"/>
    <pivotField showAll="0"/>
    <pivotField axis="axisPage" showAll="0">
      <items count="3">
        <item x="1"/>
        <item x="0"/>
        <item t="default"/>
      </items>
    </pivotField>
    <pivotField showAll="0"/>
    <pivotField showAll="0">
      <items count="5">
        <item x="0"/>
        <item x="1"/>
        <item x="2"/>
        <item x="3"/>
        <item t="default"/>
      </items>
    </pivotField>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pageFields count="1">
    <pageField fld="9" hier="-1"/>
  </pageFields>
  <dataFields count="1">
    <dataField name="Total Rentals" fld="18"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9069CC-281D-4EC0-BD72-D21D30E143C0}" name="PivotTable26"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1" rowHeaderCaption="Time Slot">
  <location ref="I3:K7" firstHeaderRow="0" firstDataRow="1" firstDataCol="1" rowPageCount="1" colPageCount="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5">
        <item x="1"/>
        <item x="2"/>
        <item x="3"/>
        <item x="0"/>
        <item t="default"/>
      </items>
    </pivotField>
    <pivotField showAll="0"/>
    <pivotField showAll="0"/>
    <pivotField showAll="0"/>
    <pivotField axis="axisPage" showAll="0">
      <items count="3">
        <item x="1"/>
        <item x="0"/>
        <item t="default"/>
      </items>
    </pivotField>
    <pivotField showAll="0"/>
    <pivotField showAll="0">
      <items count="5">
        <item x="0"/>
        <item x="1"/>
        <item x="2"/>
        <item x="3"/>
        <item t="default"/>
      </items>
    </pivotField>
    <pivotField showAll="0"/>
    <pivotField showAll="0"/>
    <pivotField showAll="0"/>
    <pivotField showAll="0"/>
    <pivotField dataField="1" showAll="0"/>
    <pivotField dataField="1"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x v="3"/>
    </i>
  </rowItems>
  <colFields count="1">
    <field x="-2"/>
  </colFields>
  <colItems count="2">
    <i>
      <x/>
    </i>
    <i i="1">
      <x v="1"/>
    </i>
  </colItems>
  <pageFields count="1">
    <pageField fld="9" hier="-1"/>
  </pageFields>
  <dataFields count="2">
    <dataField name="Avg Casuals" fld="16" subtotal="average" baseField="5" baseItem="0" numFmtId="1"/>
    <dataField name="Avg Registered" fld="17" subtotal="average" baseField="5"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E2E5E7-026E-4B93-9DAE-F37018420B81}" name="PivotTable2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Weather Situation">
  <location ref="A3:C8"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showAll="0"/>
    <pivotField showAll="0"/>
    <pivotField showAll="0"/>
    <pivotField showAll="0">
      <items count="3">
        <item x="1"/>
        <item x="0"/>
        <item t="default"/>
      </items>
    </pivotField>
    <pivotField showAll="0"/>
    <pivotField axis="axisRow" showAll="0">
      <items count="5">
        <item x="0"/>
        <item x="1"/>
        <item x="2"/>
        <item x="3"/>
        <item t="default"/>
      </items>
    </pivotField>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5">
    <i>
      <x/>
    </i>
    <i>
      <x v="1"/>
    </i>
    <i>
      <x v="2"/>
    </i>
    <i>
      <x v="3"/>
    </i>
    <i t="grand">
      <x/>
    </i>
  </rowItems>
  <colFields count="1">
    <field x="-2"/>
  </colFields>
  <colItems count="2">
    <i>
      <x/>
    </i>
    <i i="1">
      <x v="1"/>
    </i>
  </colItems>
  <dataFields count="2">
    <dataField name="Total Rentals" fld="18" baseField="11" baseItem="0"/>
    <dataField name="Avg Rentals" fld="18" subtotal="average" baseField="11"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389549-CB8E-4D00-A8DC-D935BF3A2973}" name="PivotTable30" cacheId="0"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chartFormat="13" rowHeaderCaption="Holidays">
  <location ref="B25:D27"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axis="axisRow" showAll="0">
      <items count="3">
        <item x="0"/>
        <item x="1"/>
        <item t="default"/>
      </items>
    </pivotField>
    <pivotField showAll="0"/>
    <pivotField showAll="0"/>
    <pivotField showAll="0">
      <items count="3">
        <item x="1"/>
        <item x="0"/>
        <item t="default"/>
      </items>
    </pivotField>
    <pivotField showAll="0"/>
    <pivotField showAll="0">
      <items count="5">
        <item x="0"/>
        <item x="1"/>
        <item x="2"/>
        <item x="3"/>
        <item t="default"/>
      </items>
    </pivotField>
    <pivotField showAll="0"/>
    <pivotField showAll="0"/>
    <pivotField showAll="0"/>
    <pivotField showAll="0"/>
    <pivotField showAll="0"/>
    <pivotField showAll="0"/>
    <pivotField showAll="0"/>
    <pivotField dataField="1"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
    <i>
      <x/>
    </i>
    <i>
      <x v="1"/>
    </i>
  </rowItems>
  <colFields count="1">
    <field x="-2"/>
  </colFields>
  <colItems count="2">
    <i>
      <x/>
    </i>
    <i i="1">
      <x v="1"/>
    </i>
  </colItems>
  <dataFields count="2">
    <dataField name="Casuals%" fld="19" baseField="6" baseItem="0" numFmtId="10"/>
    <dataField name="Registered%" fld="20" baseField="6" baseItem="0" numFmtId="10"/>
  </dataField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06F975-31FE-4B51-ADFE-C0C9AE64A2BA}" name="PivotTable24"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8">
  <location ref="I4:K6"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showAll="0"/>
    <pivotField showAll="0"/>
    <pivotField showAll="0"/>
    <pivotField axis="axisRow" showAll="0">
      <items count="3">
        <item x="1"/>
        <item x="0"/>
        <item t="default"/>
      </items>
    </pivotField>
    <pivotField showAll="0"/>
    <pivotField showAll="0">
      <items count="5">
        <item x="0"/>
        <item x="1"/>
        <item x="2"/>
        <item x="3"/>
        <item t="default"/>
      </items>
    </pivotField>
    <pivotField showAll="0"/>
    <pivotField showAll="0"/>
    <pivotField showAll="0"/>
    <pivotField showAll="0"/>
    <pivotField dataField="1" showAll="0"/>
    <pivotField dataField="1"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
    <i>
      <x/>
    </i>
    <i>
      <x v="1"/>
    </i>
  </rowItems>
  <colFields count="1">
    <field x="-2"/>
  </colFields>
  <colItems count="2">
    <i>
      <x/>
    </i>
    <i i="1">
      <x v="1"/>
    </i>
  </colItems>
  <dataFields count="2">
    <dataField name="Avg Casuals" fld="16" subtotal="average" baseField="9" baseItem="0" numFmtId="1"/>
    <dataField name="Avg Registered" fld="17" subtotal="average" baseField="9" baseItem="0" numFmtId="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F220C2-CB71-4D7A-945B-1CD2C2E53FB7}" name="PivotTable23"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rowHeaderCaption="Days Type">
  <location ref="F1:H3"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showAll="0"/>
    <pivotField showAll="0"/>
    <pivotField showAll="0"/>
    <pivotField axis="axisRow" showAll="0">
      <items count="3">
        <item x="1"/>
        <item x="0"/>
        <item t="default"/>
      </items>
    </pivotField>
    <pivotField showAll="0"/>
    <pivotField showAll="0">
      <items count="5">
        <item x="0"/>
        <item x="1"/>
        <item x="2"/>
        <item x="3"/>
        <item t="default"/>
      </items>
    </pivotField>
    <pivotField showAll="0"/>
    <pivotField showAll="0"/>
    <pivotField showAll="0"/>
    <pivotField showAll="0"/>
    <pivotField showAll="0"/>
    <pivotField showAll="0"/>
    <pivotField showAll="0"/>
    <pivotField dataField="1"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
    <i>
      <x/>
    </i>
    <i>
      <x v="1"/>
    </i>
  </rowItems>
  <colFields count="1">
    <field x="-2"/>
  </colFields>
  <colItems count="2">
    <i>
      <x/>
    </i>
    <i i="1">
      <x v="1"/>
    </i>
  </colItems>
  <dataFields count="2">
    <dataField name="Avg Casuals%" fld="19" subtotal="average" baseField="9" baseItem="0" numFmtId="10"/>
    <dataField name="Avg Registered%" fld="20" subtotal="average" baseField="9"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3C0709-E934-4226-8592-1AF3930F7826}"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ays Type">
  <location ref="A3:C6"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showAll="0"/>
    <pivotField showAll="0"/>
    <pivotField showAll="0"/>
    <pivotField axis="axisRow" showAll="0">
      <items count="3">
        <item x="1"/>
        <item x="0"/>
        <item t="default"/>
      </items>
    </pivotField>
    <pivotField showAll="0"/>
    <pivotField showAll="0">
      <items count="5">
        <item x="0"/>
        <item x="1"/>
        <item x="2"/>
        <item x="3"/>
        <item t="default"/>
      </items>
    </pivotField>
    <pivotField showAll="0"/>
    <pivotField showAll="0"/>
    <pivotField showAll="0"/>
    <pivotField showAll="0"/>
    <pivotField dataField="1" showAll="0"/>
    <pivotField dataField="1"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3">
    <i>
      <x/>
    </i>
    <i>
      <x v="1"/>
    </i>
    <i t="grand">
      <x/>
    </i>
  </rowItems>
  <colFields count="1">
    <field x="-2"/>
  </colFields>
  <colItems count="2">
    <i>
      <x/>
    </i>
    <i i="1">
      <x v="1"/>
    </i>
  </colItems>
  <dataFields count="2">
    <dataField name="Total Casuals" fld="16" baseField="9" baseItem="0"/>
    <dataField name="Total Registered" fld="17" baseField="9"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08EC826-5064-4EB3-84C1-B076E3DAE1FD}" name="PivotTable31"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5" rowHeaderCaption="Holidays">
  <location ref="H25:I27"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axis="axisRow" showAll="0">
      <items count="3">
        <item x="0"/>
        <item x="1"/>
        <item t="default"/>
      </items>
    </pivotField>
    <pivotField showAll="0"/>
    <pivotField showAll="0"/>
    <pivotField showAll="0">
      <items count="3">
        <item x="1"/>
        <item x="0"/>
        <item t="default"/>
      </items>
    </pivotField>
    <pivotField showAll="0"/>
    <pivotField showAll="0">
      <items count="5">
        <item x="0"/>
        <item x="1"/>
        <item x="2"/>
        <item x="3"/>
        <item t="default"/>
      </items>
    </pivotField>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
    <i>
      <x/>
    </i>
    <i>
      <x v="1"/>
    </i>
  </rowItems>
  <colItems count="1">
    <i/>
  </colItems>
  <dataFields count="1">
    <dataField name="Avg Rentals/Hr" fld="18" subtotal="average" baseField="6" baseItem="0" numFmtId="1"/>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BB11FF4-0FDF-4553-881D-F61F0C177012}" name="PivotTable18"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Days" colHeaderCaption="Time Slot">
  <location ref="B2:F10"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Col" showAll="0">
      <items count="5">
        <item x="1"/>
        <item x="2"/>
        <item x="3"/>
        <item x="0"/>
        <item t="default"/>
      </items>
    </pivotField>
    <pivotField showAll="0"/>
    <pivotField showAll="0"/>
    <pivotField axis="axisRow" showAll="0">
      <items count="8">
        <item x="1"/>
        <item x="2"/>
        <item x="3"/>
        <item x="4"/>
        <item x="5"/>
        <item x="6"/>
        <item x="0"/>
        <item t="default"/>
      </items>
    </pivotField>
    <pivotField showAll="0">
      <items count="3">
        <item x="1"/>
        <item x="0"/>
        <item t="default"/>
      </items>
    </pivotField>
    <pivotField showAll="0"/>
    <pivotField showAll="0">
      <items count="5">
        <item x="0"/>
        <item x="1"/>
        <item x="2"/>
        <item x="3"/>
        <item t="default"/>
      </items>
    </pivotField>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7">
    <i>
      <x/>
    </i>
    <i>
      <x v="1"/>
    </i>
    <i>
      <x v="2"/>
    </i>
    <i>
      <x v="3"/>
    </i>
    <i>
      <x v="4"/>
    </i>
    <i>
      <x v="5"/>
    </i>
    <i>
      <x v="6"/>
    </i>
  </rowItems>
  <colFields count="1">
    <field x="5"/>
  </colFields>
  <colItems count="4">
    <i>
      <x/>
    </i>
    <i>
      <x v="1"/>
    </i>
    <i>
      <x v="2"/>
    </i>
    <i>
      <x v="3"/>
    </i>
  </colItems>
  <dataFields count="1">
    <dataField name="Avg Rentals/Hr" fld="18" subtotal="average" baseField="8" baseItem="0" numFmtId="1"/>
  </dataFields>
  <formats count="7">
    <format dxfId="177">
      <pivotArea type="all" dataOnly="0" outline="0" fieldPosition="0"/>
    </format>
    <format dxfId="176">
      <pivotArea type="origin" dataOnly="0" labelOnly="1" outline="0" fieldPosition="0"/>
    </format>
    <format dxfId="175">
      <pivotArea field="5" type="button" dataOnly="0" labelOnly="1" outline="0" axis="axisCol" fieldPosition="0"/>
    </format>
    <format dxfId="174">
      <pivotArea type="topRight" dataOnly="0" labelOnly="1" outline="0" fieldPosition="0"/>
    </format>
    <format dxfId="173">
      <pivotArea field="8" type="button" dataOnly="0" labelOnly="1" outline="0" axis="axisRow" fieldPosition="0"/>
    </format>
    <format dxfId="172">
      <pivotArea dataOnly="0" labelOnly="1" fieldPosition="0">
        <references count="1">
          <reference field="5" count="0"/>
        </references>
      </pivotArea>
    </format>
    <format dxfId="171">
      <pivotArea type="all" dataOnly="0" outline="0" fieldPosition="0"/>
    </format>
  </formats>
  <conditionalFormats count="1">
    <conditionalFormat scope="field" priority="1">
      <pivotAreas count="1">
        <pivotArea outline="0" collapsedLevelsAreSubtotals="1" fieldPosition="0">
          <references count="3">
            <reference field="4294967294" count="1" selected="0">
              <x v="0"/>
            </reference>
            <reference field="5"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9F6D67B-69E7-4578-8B04-4B0B16BCE88C}" name="PivotTable28"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Time Slot" colHeaderCaption="Weather Situation">
  <location ref="B3:F8"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5">
        <item x="1"/>
        <item x="2"/>
        <item x="3"/>
        <item x="0"/>
        <item t="default"/>
      </items>
    </pivotField>
    <pivotField showAll="0"/>
    <pivotField showAll="0"/>
    <pivotField showAll="0"/>
    <pivotField showAll="0">
      <items count="3">
        <item x="1"/>
        <item x="0"/>
        <item t="default"/>
      </items>
    </pivotField>
    <pivotField showAll="0"/>
    <pivotField axis="axisCol" showAll="0">
      <items count="5">
        <item x="0"/>
        <item x="1"/>
        <item x="2"/>
        <item x="3"/>
        <item t="default"/>
      </items>
    </pivotField>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x v="3"/>
    </i>
  </rowItems>
  <colFields count="1">
    <field x="11"/>
  </colFields>
  <colItems count="4">
    <i>
      <x/>
    </i>
    <i>
      <x v="1"/>
    </i>
    <i>
      <x v="2"/>
    </i>
    <i>
      <x v="3"/>
    </i>
  </colItems>
  <dataFields count="1">
    <dataField name="Avg Rentals/Hr" fld="18" subtotal="average" baseField="5" baseItem="0" numFmtId="1"/>
  </dataFields>
  <formats count="12">
    <format dxfId="170">
      <pivotArea type="all" dataOnly="0" outline="0" fieldPosition="0"/>
    </format>
    <format dxfId="169">
      <pivotArea outline="0" collapsedLevelsAreSubtotals="1" fieldPosition="0"/>
    </format>
    <format dxfId="168">
      <pivotArea type="origin" dataOnly="0" labelOnly="1" outline="0" fieldPosition="0"/>
    </format>
    <format dxfId="167">
      <pivotArea field="11" type="button" dataOnly="0" labelOnly="1" outline="0" axis="axisCol" fieldPosition="0"/>
    </format>
    <format dxfId="166">
      <pivotArea type="topRight" dataOnly="0" labelOnly="1" outline="0" fieldPosition="0"/>
    </format>
    <format dxfId="165">
      <pivotArea field="5" type="button" dataOnly="0" labelOnly="1" outline="0" axis="axisRow" fieldPosition="0"/>
    </format>
    <format dxfId="164">
      <pivotArea dataOnly="0" labelOnly="1" fieldPosition="0">
        <references count="1">
          <reference field="5" count="0"/>
        </references>
      </pivotArea>
    </format>
    <format dxfId="163">
      <pivotArea dataOnly="0" labelOnly="1" fieldPosition="0">
        <references count="1">
          <reference field="11" count="0"/>
        </references>
      </pivotArea>
    </format>
    <format dxfId="162">
      <pivotArea dataOnly="0" labelOnly="1" fieldPosition="0">
        <references count="1">
          <reference field="11" count="1">
            <x v="0"/>
          </reference>
        </references>
      </pivotArea>
    </format>
    <format dxfId="161">
      <pivotArea dataOnly="0" labelOnly="1" fieldPosition="0">
        <references count="1">
          <reference field="11" count="1">
            <x v="1"/>
          </reference>
        </references>
      </pivotArea>
    </format>
    <format dxfId="160">
      <pivotArea dataOnly="0" labelOnly="1" fieldPosition="0">
        <references count="1">
          <reference field="11" count="1">
            <x v="2"/>
          </reference>
        </references>
      </pivotArea>
    </format>
    <format dxfId="159">
      <pivotArea dataOnly="0" labelOnly="1" fieldPosition="0">
        <references count="1">
          <reference field="11" count="1">
            <x v="3"/>
          </reference>
        </references>
      </pivotArea>
    </format>
  </formats>
  <conditionalFormats count="1">
    <conditionalFormat scope="field" priority="1">
      <pivotAreas count="1">
        <pivotArea outline="0" collapsedLevelsAreSubtotals="1" fieldPosition="0">
          <references count="3">
            <reference field="4294967294" count="1" selected="0">
              <x v="0"/>
            </reference>
            <reference field="5" count="0" selected="0"/>
            <reference field="11"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AF1923B-6307-432B-8B0F-181DF6F20278}" name="PivotTable29"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10" rowHeaderCaption="Time Slot" colHeaderCaption="Weather Situation">
  <location ref="A14:E20"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5">
        <item x="1"/>
        <item x="2"/>
        <item x="3"/>
        <item x="0"/>
        <item t="default"/>
      </items>
    </pivotField>
    <pivotField showAll="0"/>
    <pivotField showAll="0"/>
    <pivotField showAll="0"/>
    <pivotField showAll="0">
      <items count="3">
        <item x="1"/>
        <item x="0"/>
        <item t="default"/>
      </items>
    </pivotField>
    <pivotField showAll="0"/>
    <pivotField axis="axisCol" showAll="0">
      <items count="5">
        <item x="0"/>
        <item x="1"/>
        <item x="2"/>
        <item x="3"/>
        <item t="default"/>
      </items>
    </pivotField>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Fields count="1">
    <field x="11"/>
  </colFields>
  <colItems count="4">
    <i>
      <x/>
    </i>
    <i>
      <x v="1"/>
    </i>
    <i>
      <x v="2"/>
    </i>
    <i>
      <x v="3"/>
    </i>
  </colItems>
  <dataFields count="1">
    <dataField name="Total Rentals" fld="18" baseField="5" baseItem="0"/>
  </dataFields>
  <chartFormats count="5">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C0B5DD8-7D37-4141-BE6B-D8E29EAE6E29}" name="PivotTable3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olHeaderCaption="Weather Situation">
  <location ref="A11:E15"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showAll="0"/>
    <pivotField showAll="0"/>
    <pivotField showAll="0"/>
    <pivotField showAll="0">
      <items count="3">
        <item x="1"/>
        <item x="0"/>
        <item t="default"/>
      </items>
    </pivotField>
    <pivotField showAll="0"/>
    <pivotField axis="axisCol" showAll="0">
      <items count="5">
        <item x="0"/>
        <item x="1"/>
        <item x="2"/>
        <item x="3"/>
        <item t="default"/>
      </items>
    </pivotField>
    <pivotField axis="axisRow" showAll="0">
      <items count="6">
        <item x="0"/>
        <item x="1"/>
        <item x="2"/>
        <item x="3"/>
        <item x="4"/>
        <item t="default"/>
      </items>
    </pivotField>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3">
    <i>
      <x v="1"/>
    </i>
    <i>
      <x v="2"/>
    </i>
    <i>
      <x v="3"/>
    </i>
  </rowItems>
  <colFields count="1">
    <field x="11"/>
  </colFields>
  <colItems count="4">
    <i>
      <x/>
    </i>
    <i>
      <x v="1"/>
    </i>
    <i>
      <x v="2"/>
    </i>
    <i>
      <x v="3"/>
    </i>
  </colItems>
  <dataFields count="1">
    <dataField name="Avg Rentals/Hr" fld="18" subtotal="average" baseField="12" baseItem="1" numFmtId="1"/>
  </dataFields>
  <formats count="29">
    <format dxfId="153">
      <pivotArea type="all" dataOnly="0" outline="0" fieldPosition="0"/>
    </format>
    <format dxfId="152">
      <pivotArea outline="0" collapsedLevelsAreSubtotals="1" fieldPosition="0"/>
    </format>
    <format dxfId="151">
      <pivotArea type="origin" dataOnly="0" labelOnly="1" outline="0" fieldPosition="0"/>
    </format>
    <format dxfId="150">
      <pivotArea field="11" type="button" dataOnly="0" labelOnly="1" outline="0" axis="axisCol" fieldPosition="0"/>
    </format>
    <format dxfId="149">
      <pivotArea type="topRight" dataOnly="0" labelOnly="1" outline="0" fieldPosition="0"/>
    </format>
    <format dxfId="148">
      <pivotArea field="12" type="button" dataOnly="0" labelOnly="1" outline="0" axis="axisRow" fieldPosition="0"/>
    </format>
    <format dxfId="147">
      <pivotArea dataOnly="0" labelOnly="1" fieldPosition="0">
        <references count="1">
          <reference field="12" count="3">
            <x v="1"/>
            <x v="2"/>
            <x v="3"/>
          </reference>
        </references>
      </pivotArea>
    </format>
    <format dxfId="146">
      <pivotArea dataOnly="0" labelOnly="1" grandRow="1" outline="0" fieldPosition="0"/>
    </format>
    <format dxfId="145">
      <pivotArea dataOnly="0" labelOnly="1" fieldPosition="0">
        <references count="1">
          <reference field="11" count="0"/>
        </references>
      </pivotArea>
    </format>
    <format dxfId="144">
      <pivotArea outline="0" fieldPosition="0">
        <references count="1">
          <reference field="4294967294" count="1">
            <x v="0"/>
          </reference>
        </references>
      </pivotArea>
    </format>
    <format dxfId="143">
      <pivotArea dataOnly="0" labelOnly="1" fieldPosition="0">
        <references count="1">
          <reference field="11" count="1">
            <x v="3"/>
          </reference>
        </references>
      </pivotArea>
    </format>
    <format dxfId="142">
      <pivotArea dataOnly="0" outline="0" fieldPosition="0">
        <references count="1">
          <reference field="11" count="0"/>
        </references>
      </pivotArea>
    </format>
    <format dxfId="141">
      <pivotArea type="all" dataOnly="0" outline="0" fieldPosition="0"/>
    </format>
    <format dxfId="140">
      <pivotArea outline="0" collapsedLevelsAreSubtotals="1" fieldPosition="0"/>
    </format>
    <format dxfId="139">
      <pivotArea type="origin" dataOnly="0" labelOnly="1" outline="0" fieldPosition="0"/>
    </format>
    <format dxfId="138">
      <pivotArea field="11" type="button" dataOnly="0" labelOnly="1" outline="0" axis="axisCol" fieldPosition="0"/>
    </format>
    <format dxfId="137">
      <pivotArea type="topRight" dataOnly="0" labelOnly="1" outline="0" fieldPosition="0"/>
    </format>
    <format dxfId="136">
      <pivotArea field="12" type="button" dataOnly="0" labelOnly="1" outline="0" axis="axisRow" fieldPosition="0"/>
    </format>
    <format dxfId="135">
      <pivotArea dataOnly="0" labelOnly="1" fieldPosition="0">
        <references count="1">
          <reference field="12" count="3">
            <x v="1"/>
            <x v="2"/>
            <x v="3"/>
          </reference>
        </references>
      </pivotArea>
    </format>
    <format dxfId="134">
      <pivotArea dataOnly="0" labelOnly="1" grandRow="1" outline="0" fieldPosition="0"/>
    </format>
    <format dxfId="133">
      <pivotArea dataOnly="0" labelOnly="1" fieldPosition="0">
        <references count="1">
          <reference field="11" count="0"/>
        </references>
      </pivotArea>
    </format>
    <format dxfId="132">
      <pivotArea type="all" dataOnly="0" outline="0" fieldPosition="0"/>
    </format>
    <format dxfId="131">
      <pivotArea outline="0" collapsedLevelsAreSubtotals="1" fieldPosition="0"/>
    </format>
    <format dxfId="130">
      <pivotArea dataOnly="0" labelOnly="1" fieldPosition="0">
        <references count="1">
          <reference field="12" count="3">
            <x v="1"/>
            <x v="2"/>
            <x v="3"/>
          </reference>
        </references>
      </pivotArea>
    </format>
    <format dxfId="129">
      <pivotArea type="origin" dataOnly="0" labelOnly="1" outline="0" fieldPosition="0"/>
    </format>
    <format dxfId="128">
      <pivotArea field="11" type="button" dataOnly="0" labelOnly="1" outline="0" axis="axisCol" fieldPosition="0"/>
    </format>
    <format dxfId="127">
      <pivotArea type="topRight" dataOnly="0" labelOnly="1" outline="0" fieldPosition="0"/>
    </format>
    <format dxfId="126">
      <pivotArea field="12" type="button" dataOnly="0" labelOnly="1" outline="0" axis="axisRow" fieldPosition="0"/>
    </format>
    <format dxfId="125">
      <pivotArea dataOnly="0" labelOnly="1" fieldPosition="0">
        <references count="1">
          <reference field="11" count="0"/>
        </references>
      </pivotArea>
    </format>
  </formats>
  <conditionalFormats count="1">
    <conditionalFormat scope="field" priority="1">
      <pivotAreas count="1">
        <pivotArea outline="0" collapsedLevelsAreSubtotals="1" fieldPosition="0">
          <references count="3">
            <reference field="4294967294" count="1" selected="0">
              <x v="0"/>
            </reference>
            <reference field="11" count="0" selected="0"/>
            <reference field="12"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78FDBA5-CF5E-42F5-BEF2-2AC203C1D64A}" name="PivotTable32" cacheId="0"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rowHeaderCaption="Temp">
  <location ref="A3:C6"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showAll="0"/>
    <pivotField showAll="0"/>
    <pivotField showAll="0"/>
    <pivotField showAll="0">
      <items count="3">
        <item x="1"/>
        <item x="0"/>
        <item t="default"/>
      </items>
    </pivotField>
    <pivotField showAll="0"/>
    <pivotField showAll="0">
      <items count="5">
        <item x="0"/>
        <item x="1"/>
        <item x="2"/>
        <item x="3"/>
        <item t="default"/>
      </items>
    </pivotField>
    <pivotField axis="axisRow" showAll="0">
      <items count="6">
        <item x="0"/>
        <item x="1"/>
        <item x="2"/>
        <item x="3"/>
        <item x="4"/>
        <item t="default"/>
      </items>
    </pivotField>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3">
    <i>
      <x v="1"/>
    </i>
    <i>
      <x v="2"/>
    </i>
    <i>
      <x v="3"/>
    </i>
  </rowItems>
  <colFields count="1">
    <field x="-2"/>
  </colFields>
  <colItems count="2">
    <i>
      <x/>
    </i>
    <i i="1">
      <x v="1"/>
    </i>
  </colItems>
  <dataFields count="2">
    <dataField name="Total Rentals" fld="18" baseField="12" baseItem="0" numFmtId="1"/>
    <dataField name="Avg Rentals" fld="18" subtotal="average" baseField="12" baseItem="1" numFmtId="1"/>
  </dataFields>
  <formats count="5">
    <format dxfId="158">
      <pivotArea type="all" dataOnly="0" outline="0" fieldPosition="0"/>
    </format>
    <format dxfId="157">
      <pivotArea outline="0" collapsedLevelsAreSubtotals="1" fieldPosition="0"/>
    </format>
    <format dxfId="156">
      <pivotArea field="12" type="button" dataOnly="0" labelOnly="1" outline="0" axis="axisRow" fieldPosition="0"/>
    </format>
    <format dxfId="155">
      <pivotArea dataOnly="0" labelOnly="1" fieldPosition="0">
        <references count="1">
          <reference field="12" count="3">
            <x v="1"/>
            <x v="2"/>
            <x v="3"/>
          </reference>
        </references>
      </pivotArea>
    </format>
    <format dxfId="15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36DC2AC-310E-43F0-A4B2-26E4980AF816}" name="PivotTable1"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rowHeaderCaption="Humidity">
  <location ref="A3:C6"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showAll="0"/>
    <pivotField showAll="0"/>
    <pivotField showAll="0"/>
    <pivotField showAll="0">
      <items count="3">
        <item x="1"/>
        <item x="0"/>
        <item t="default"/>
      </items>
    </pivotField>
    <pivotField showAll="0"/>
    <pivotField showAll="0">
      <items count="5">
        <item x="0"/>
        <item x="1"/>
        <item x="2"/>
        <item x="3"/>
        <item t="default"/>
      </items>
    </pivotField>
    <pivotField showAll="0"/>
    <pivotField showAll="0"/>
    <pivotField axis="axisRow" showAll="0">
      <items count="6">
        <item x="0"/>
        <item x="1"/>
        <item x="2"/>
        <item x="3"/>
        <item x="4"/>
        <item t="default"/>
      </items>
    </pivotField>
    <pivotField showAll="0"/>
    <pivotField showAll="0"/>
    <pivotField showAll="0"/>
    <pivotField dataFiel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3">
    <i>
      <x v="1"/>
    </i>
    <i>
      <x v="2"/>
    </i>
    <i>
      <x v="3"/>
    </i>
  </rowItems>
  <colFields count="1">
    <field x="-2"/>
  </colFields>
  <colItems count="2">
    <i>
      <x/>
    </i>
    <i i="1">
      <x v="1"/>
    </i>
  </colItems>
  <dataFields count="2">
    <dataField name="Total Rentals" fld="18" baseField="14" baseItem="0"/>
    <dataField name="Avg Rentals/Hr" fld="18" subtotal="average" baseField="14" baseItem="0" numFmtId="1"/>
  </dataFields>
  <formats count="5">
    <format dxfId="115">
      <pivotArea type="all" dataOnly="0" outline="0" fieldPosition="0"/>
    </format>
    <format dxfId="114">
      <pivotArea outline="0" collapsedLevelsAreSubtotals="1" fieldPosition="0"/>
    </format>
    <format dxfId="113">
      <pivotArea field="14" type="button" dataOnly="0" labelOnly="1" outline="0" axis="axisRow" fieldPosition="0"/>
    </format>
    <format dxfId="112">
      <pivotArea dataOnly="0" labelOnly="1" fieldPosition="0">
        <references count="1">
          <reference field="14" count="3">
            <x v="1"/>
            <x v="2"/>
            <x v="3"/>
          </reference>
        </references>
      </pivotArea>
    </format>
    <format dxfId="11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4BA1EE4-B7A9-43FC-9E54-1A6B7F5D0DC2}"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Humidity" colHeaderCaption="Time Slot">
  <location ref="A10:E14" firstHeaderRow="1" firstDataRow="2" firstDataCol="1" rowPageCount="1" colPageCount="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Col" showAll="0">
      <items count="5">
        <item x="1"/>
        <item x="2"/>
        <item x="3"/>
        <item x="0"/>
        <item t="default"/>
      </items>
    </pivotField>
    <pivotField showAll="0"/>
    <pivotField showAll="0"/>
    <pivotField showAll="0"/>
    <pivotField showAll="0">
      <items count="3">
        <item x="1"/>
        <item x="0"/>
        <item t="default"/>
      </items>
    </pivotField>
    <pivotField showAll="0"/>
    <pivotField axis="axisPage" multipleItemSelectionAllowed="1" showAll="0">
      <items count="5">
        <item x="0"/>
        <item x="3"/>
        <item x="2"/>
        <item x="1"/>
        <item t="default"/>
      </items>
    </pivotField>
    <pivotField showAll="0"/>
    <pivotField showAll="0"/>
    <pivotField axis="axisRow" showAll="0">
      <items count="6">
        <item x="0"/>
        <item x="1"/>
        <item x="2"/>
        <item x="3"/>
        <item x="4"/>
        <item t="default"/>
      </items>
    </pivotField>
    <pivotField showAll="0"/>
    <pivotField showAll="0"/>
    <pivotField showAll="0"/>
    <pivotField dataFiel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3">
    <i>
      <x v="1"/>
    </i>
    <i>
      <x v="2"/>
    </i>
    <i>
      <x v="3"/>
    </i>
  </rowItems>
  <colFields count="1">
    <field x="5"/>
  </colFields>
  <colItems count="4">
    <i>
      <x/>
    </i>
    <i>
      <x v="1"/>
    </i>
    <i>
      <x v="2"/>
    </i>
    <i>
      <x v="3"/>
    </i>
  </colItems>
  <pageFields count="1">
    <pageField fld="11" hier="-1"/>
  </pageFields>
  <dataFields count="1">
    <dataField name="Avg Rentals/Hr" fld="18" subtotal="average" baseField="5" baseItem="0" numFmtId="1"/>
  </dataFields>
  <formats count="9">
    <format dxfId="124">
      <pivotArea outline="0" collapsedLevelsAreSubtotals="1" fieldPosition="0"/>
    </format>
    <format dxfId="123">
      <pivotArea field="14" type="button" dataOnly="0" labelOnly="1" outline="0" axis="axisRow" fieldPosition="0"/>
    </format>
    <format dxfId="122">
      <pivotArea dataOnly="0" labelOnly="1" fieldPosition="0">
        <references count="1">
          <reference field="14" count="3">
            <x v="1"/>
            <x v="2"/>
            <x v="3"/>
          </reference>
        </references>
      </pivotArea>
    </format>
    <format dxfId="121">
      <pivotArea dataOnly="0" labelOnly="1" fieldPosition="0">
        <references count="1">
          <reference field="5" count="0"/>
        </references>
      </pivotArea>
    </format>
    <format dxfId="120">
      <pivotArea outline="0" collapsedLevelsAreSubtotals="1" fieldPosition="0"/>
    </format>
    <format dxfId="119">
      <pivotArea field="5" type="button" dataOnly="0" labelOnly="1" outline="0" axis="axisCol" fieldPosition="0"/>
    </format>
    <format dxfId="118">
      <pivotArea type="topRight" dataOnly="0" labelOnly="1" outline="0" fieldPosition="0"/>
    </format>
    <format dxfId="117">
      <pivotArea dataOnly="0" labelOnly="1" fieldPosition="0">
        <references count="1">
          <reference field="5" count="0"/>
        </references>
      </pivotArea>
    </format>
    <format dxfId="116">
      <pivotArea type="all" dataOnly="0" outline="0" fieldPosition="0"/>
    </format>
  </formats>
  <conditionalFormats count="1">
    <conditionalFormat scope="field" priority="1">
      <pivotAreas count="1">
        <pivotArea outline="0" collapsedLevelsAreSubtotals="1" fieldPosition="0">
          <references count="3">
            <reference field="4294967294" count="1" selected="0">
              <x v="0"/>
            </reference>
            <reference field="5" count="0" selected="0"/>
            <reference field="14"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7B83421-52F0-442E-A881-00DEA5E9976E}" name="PivotTable2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Time">
  <location ref="A3:B4"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sortType="ascending"/>
    <pivotField axis="axisRow" showAll="0" measureFilter="1" sortType="descending">
      <items count="25">
        <item x="1"/>
        <item x="13"/>
        <item x="10"/>
        <item x="22"/>
        <item x="11"/>
        <item x="23"/>
        <item x="0"/>
        <item x="12"/>
        <item x="2"/>
        <item x="14"/>
        <item x="3"/>
        <item x="15"/>
        <item x="4"/>
        <item x="16"/>
        <item x="5"/>
        <item x="17"/>
        <item x="6"/>
        <item x="18"/>
        <item x="7"/>
        <item x="19"/>
        <item x="8"/>
        <item x="20"/>
        <item x="9"/>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multipleItemSelectionAllowe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
    <i>
      <x v="15"/>
    </i>
  </rowItems>
  <colItems count="1">
    <i/>
  </colItems>
  <dataFields count="1">
    <dataField name="Avg Rentals" fld="18" subtotal="average" baseField="4" baseItem="15" numFmtId="1"/>
  </dataFields>
  <formats count="33">
    <format dxfId="42">
      <pivotArea type="all" dataOnly="0" outline="0" fieldPosition="0"/>
    </format>
    <format dxfId="41">
      <pivotArea outline="0" collapsedLevelsAreSubtotals="1" fieldPosition="0"/>
    </format>
    <format dxfId="40">
      <pivotArea dataOnly="0" labelOnly="1" fieldPosition="0">
        <references count="1">
          <reference field="4" count="3">
            <x v="15"/>
            <x v="17"/>
            <x v="20"/>
          </reference>
        </references>
      </pivotArea>
    </format>
    <format dxfId="39">
      <pivotArea type="all" dataOnly="0" outline="0" fieldPosition="0"/>
    </format>
    <format dxfId="38">
      <pivotArea outline="0" collapsedLevelsAreSubtotals="1" fieldPosition="0"/>
    </format>
    <format dxfId="37">
      <pivotArea field="4" type="button" dataOnly="0" labelOnly="1" outline="0" axis="axisRow" fieldPosition="0"/>
    </format>
    <format dxfId="36">
      <pivotArea dataOnly="0" labelOnly="1" fieldPosition="0">
        <references count="1">
          <reference field="4" count="3">
            <x v="15"/>
            <x v="17"/>
            <x v="20"/>
          </reference>
        </references>
      </pivotArea>
    </format>
    <format dxfId="35">
      <pivotArea dataOnly="0" labelOnly="1" outline="0" axis="axisValues" fieldPosition="0"/>
    </format>
    <format dxfId="34">
      <pivotArea field="4" type="button" dataOnly="0" labelOnly="1" outline="0" axis="axisRow" fieldPosition="0"/>
    </format>
    <format dxfId="33">
      <pivotArea dataOnly="0" labelOnly="1" outline="0" axis="axisValues" fieldPosition="0"/>
    </format>
    <format dxfId="32">
      <pivotArea dataOnly="0" fieldPosition="0">
        <references count="1">
          <reference field="4" count="3">
            <x v="15"/>
            <x v="17"/>
            <x v="20"/>
          </reference>
        </references>
      </pivotArea>
    </format>
    <format dxfId="31">
      <pivotArea field="4" type="button" dataOnly="0" labelOnly="1" outline="0" axis="axisRow" fieldPosition="0"/>
    </format>
    <format dxfId="30">
      <pivotArea dataOnly="0" labelOnly="1" outline="0" axis="axisValues" fieldPosition="0"/>
    </format>
    <format dxfId="29">
      <pivotArea dataOnly="0" fieldPosition="0">
        <references count="1">
          <reference field="4" count="3">
            <x v="15"/>
            <x v="17"/>
            <x v="20"/>
          </reference>
        </references>
      </pivotArea>
    </format>
    <format dxfId="28">
      <pivotArea type="all" dataOnly="0" outline="0" fieldPosition="0"/>
    </format>
    <format dxfId="27">
      <pivotArea outline="0" collapsedLevelsAreSubtotals="1" fieldPosition="0"/>
    </format>
    <format dxfId="26">
      <pivotArea field="4" type="button" dataOnly="0" labelOnly="1" outline="0" axis="axisRow" fieldPosition="0"/>
    </format>
    <format dxfId="25">
      <pivotArea dataOnly="0" labelOnly="1" fieldPosition="0">
        <references count="1">
          <reference field="4" count="5">
            <x v="13"/>
            <x v="15"/>
            <x v="17"/>
            <x v="20"/>
            <x v="22"/>
          </reference>
        </references>
      </pivotArea>
    </format>
    <format dxfId="24">
      <pivotArea dataOnly="0" labelOnly="1" outline="0" axis="axisValues" fieldPosition="0"/>
    </format>
    <format dxfId="23">
      <pivotArea field="4" type="button" dataOnly="0" labelOnly="1" outline="0" axis="axisRow" fieldPosition="0"/>
    </format>
    <format dxfId="22">
      <pivotArea dataOnly="0" labelOnly="1" outline="0" axis="axisValues" fieldPosition="0"/>
    </format>
    <format dxfId="21">
      <pivotArea outline="0" collapsedLevelsAreSubtotals="1" fieldPosition="0"/>
    </format>
    <format dxfId="20">
      <pivotArea dataOnly="0" labelOnly="1" fieldPosition="0">
        <references count="1">
          <reference field="4" count="0"/>
        </references>
      </pivotArea>
    </format>
    <format dxfId="19">
      <pivotArea type="all" dataOnly="0" outline="0" fieldPosition="0"/>
    </format>
    <format dxfId="18">
      <pivotArea outline="0" collapsedLevelsAreSubtotals="1" fieldPosition="0"/>
    </format>
    <format dxfId="17">
      <pivotArea field="4" type="button" dataOnly="0" labelOnly="1" outline="0" axis="axisRow" fieldPosition="0"/>
    </format>
    <format dxfId="16">
      <pivotArea dataOnly="0" labelOnly="1" fieldPosition="0">
        <references count="1">
          <reference field="4" count="0"/>
        </references>
      </pivotArea>
    </format>
    <format dxfId="15">
      <pivotArea dataOnly="0" labelOnly="1" outline="0" axis="axisValues" fieldPosition="0"/>
    </format>
    <format dxfId="14">
      <pivotArea field="4" type="button" dataOnly="0" labelOnly="1" outline="0" axis="axisRow" fieldPosition="0"/>
    </format>
    <format dxfId="13">
      <pivotArea dataOnly="0" labelOnly="1" outline="0" axis="axisValues" fieldPosition="0"/>
    </format>
    <format dxfId="12">
      <pivotArea field="4" type="button" dataOnly="0" labelOnly="1" outline="0" axis="axisRow" fieldPosition="0"/>
    </format>
    <format dxfId="11">
      <pivotArea dataOnly="0" labelOnly="1" outline="0" axis="axisValues" fieldPosition="0"/>
    </format>
    <format dxfId="10">
      <pivotArea dataOnly="0" fieldPosition="0">
        <references count="1">
          <reference field="4" count="1">
            <x v="15"/>
          </reference>
        </references>
      </pivotArea>
    </format>
  </formats>
  <pivotTableStyleInfo name="PivotStyleLight16" showRowHeaders="1" showColHeaders="1" showRowStripes="0" showColStripes="0" showLastColumn="1"/>
  <filters count="1">
    <filter fld="4" type="count" evalOrder="-1" id="8"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4581771-0816-4636-8400-7DFC81F32913}"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Time Slot">
  <location ref="E10:F11"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measureFilter="1">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
    <i>
      <x v="2"/>
    </i>
  </rowItems>
  <colItems count="1">
    <i/>
  </colItems>
  <dataFields count="1">
    <dataField name="Avg Rentals/Hr" fld="18" subtotal="average" baseField="5" baseItem="0" numFmtId="1"/>
  </dataFields>
  <formats count="28">
    <format dxfId="70">
      <pivotArea field="5" type="button" dataOnly="0" labelOnly="1" outline="0" axis="axisRow" fieldPosition="0"/>
    </format>
    <format dxfId="69">
      <pivotArea dataOnly="0" labelOnly="1" outline="0" axis="axisValues" fieldPosition="0"/>
    </format>
    <format dxfId="68">
      <pivotArea outline="0" collapsedLevelsAreSubtotals="1" fieldPosition="0"/>
    </format>
    <format dxfId="67">
      <pivotArea dataOnly="0" labelOnly="1" fieldPosition="0">
        <references count="1">
          <reference field="5" count="0"/>
        </references>
      </pivotArea>
    </format>
    <format dxfId="66">
      <pivotArea type="all" dataOnly="0" outline="0" fieldPosition="0"/>
    </format>
    <format dxfId="65">
      <pivotArea outline="0" collapsedLevelsAreSubtotals="1" fieldPosition="0"/>
    </format>
    <format dxfId="64">
      <pivotArea field="5" type="button" dataOnly="0" labelOnly="1" outline="0" axis="axisRow" fieldPosition="0"/>
    </format>
    <format dxfId="63">
      <pivotArea dataOnly="0" labelOnly="1" fieldPosition="0">
        <references count="1">
          <reference field="5" count="0"/>
        </references>
      </pivotArea>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5" type="button" dataOnly="0" labelOnly="1" outline="0" axis="axisRow" fieldPosition="0"/>
    </format>
    <format dxfId="58">
      <pivotArea dataOnly="0" labelOnly="1" fieldPosition="0">
        <references count="1">
          <reference field="5" count="0"/>
        </references>
      </pivotArea>
    </format>
    <format dxfId="57">
      <pivotArea dataOnly="0" labelOnly="1" outline="0" axis="axisValues" fieldPosition="0"/>
    </format>
    <format dxfId="56">
      <pivotArea outline="0" collapsedLevelsAreSubtotals="1" fieldPosition="0"/>
    </format>
    <format dxfId="55">
      <pivotArea dataOnly="0" labelOnly="1" fieldPosition="0">
        <references count="1">
          <reference field="5" count="0"/>
        </references>
      </pivotArea>
    </format>
    <format dxfId="54">
      <pivotArea field="5" type="button" dataOnly="0" labelOnly="1" outline="0" axis="axisRow" fieldPosition="0"/>
    </format>
    <format dxfId="53">
      <pivotArea dataOnly="0" labelOnly="1" outline="0" axis="axisValues" fieldPosition="0"/>
    </format>
    <format dxfId="52">
      <pivotArea outline="0" collapsedLevelsAreSubtotals="1" fieldPosition="0"/>
    </format>
    <format dxfId="51">
      <pivotArea dataOnly="0" labelOnly="1" fieldPosition="0">
        <references count="1">
          <reference field="5" count="0"/>
        </references>
      </pivotArea>
    </format>
    <format dxfId="50">
      <pivotArea outline="0" collapsedLevelsAreSubtotals="1" fieldPosition="0"/>
    </format>
    <format dxfId="49">
      <pivotArea dataOnly="0" labelOnly="1" fieldPosition="0">
        <references count="1">
          <reference field="5" count="0"/>
        </references>
      </pivotArea>
    </format>
    <format dxfId="48">
      <pivotArea field="5" type="button" dataOnly="0" labelOnly="1" outline="0" axis="axisRow" fieldPosition="0"/>
    </format>
    <format dxfId="47">
      <pivotArea dataOnly="0" labelOnly="1" outline="0" axis="axisValues" fieldPosition="0"/>
    </format>
    <format dxfId="46">
      <pivotArea field="5" type="button" dataOnly="0" labelOnly="1" outline="0" axis="axisRow" fieldPosition="0"/>
    </format>
    <format dxfId="45">
      <pivotArea dataOnly="0" labelOnly="1" outline="0" axis="axisValues" fieldPosition="0"/>
    </format>
    <format dxfId="44">
      <pivotArea outline="0" collapsedLevelsAreSubtotals="1" fieldPosition="0"/>
    </format>
    <format dxfId="43">
      <pivotArea dataOnly="0" labelOnly="1" fieldPosition="0">
        <references count="1">
          <reference field="5" count="1">
            <x v="2"/>
          </reference>
        </references>
      </pivotArea>
    </format>
  </formats>
  <pivotTableStyleInfo name="PivotStyleLight16" showRowHeaders="1" showColHeaders="1" showRowStripes="0" showColStripes="0" showLastColumn="1"/>
  <filters count="1">
    <filter fld="5"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E2A4262-2534-44CB-BDD9-F4F55B9AED62}" name="PivotTable2"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Weather Situation">
  <location ref="E3:F4"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axis="axisRow" showAll="0" measureFilter="1">
      <items count="5">
        <item x="0"/>
        <item x="1"/>
        <item x="2"/>
        <item x="3"/>
        <item t="default"/>
      </items>
    </pivotField>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
    <i>
      <x/>
    </i>
  </rowItems>
  <colItems count="1">
    <i/>
  </colItems>
  <dataFields count="1">
    <dataField name="Avg Rentals/Hr" fld="18" subtotal="average" baseField="11" baseItem="0" numFmtId="1"/>
  </dataFields>
  <formats count="24">
    <format dxfId="94">
      <pivotArea field="11" type="button" dataOnly="0" labelOnly="1" outline="0" axis="axisRow" fieldPosition="0"/>
    </format>
    <format dxfId="93">
      <pivotArea dataOnly="0" labelOnly="1" outline="0" axis="axisValues" fieldPosition="0"/>
    </format>
    <format dxfId="92">
      <pivotArea field="11" type="button" dataOnly="0" labelOnly="1" outline="0" axis="axisRow" fieldPosition="0"/>
    </format>
    <format dxfId="91">
      <pivotArea dataOnly="0" labelOnly="1" outline="0" axis="axisValues" fieldPosition="0"/>
    </format>
    <format dxfId="90">
      <pivotArea outline="0" collapsedLevelsAreSubtotals="1" fieldPosition="0"/>
    </format>
    <format dxfId="89">
      <pivotArea dataOnly="0" labelOnly="1" fieldPosition="0">
        <references count="1">
          <reference field="11" count="0"/>
        </references>
      </pivotArea>
    </format>
    <format dxfId="88">
      <pivotArea outline="0" collapsedLevelsAreSubtotals="1" fieldPosition="0"/>
    </format>
    <format dxfId="87">
      <pivotArea dataOnly="0" labelOnly="1" fieldPosition="0">
        <references count="1">
          <reference field="11" count="0"/>
        </references>
      </pivotArea>
    </format>
    <format dxfId="86">
      <pivotArea outline="0" collapsedLevelsAreSubtotals="1" fieldPosition="0"/>
    </format>
    <format dxfId="85">
      <pivotArea dataOnly="0" labelOnly="1" fieldPosition="0">
        <references count="1">
          <reference field="11" count="0"/>
        </references>
      </pivotArea>
    </format>
    <format dxfId="84">
      <pivotArea type="all" dataOnly="0" outline="0" fieldPosition="0"/>
    </format>
    <format dxfId="83">
      <pivotArea field="11" type="button" dataOnly="0" labelOnly="1" outline="0" axis="axisRow" fieldPosition="0"/>
    </format>
    <format dxfId="82">
      <pivotArea dataOnly="0" labelOnly="1" outline="0" axis="axisValues" fieldPosition="0"/>
    </format>
    <format dxfId="81">
      <pivotArea field="11" type="button" dataOnly="0" labelOnly="1" outline="0" axis="axisRow" fieldPosition="0"/>
    </format>
    <format dxfId="80">
      <pivotArea dataOnly="0" labelOnly="1" outline="0" axis="axisValues" fieldPosition="0"/>
    </format>
    <format dxfId="79">
      <pivotArea outline="0" collapsedLevelsAreSubtotals="1" fieldPosition="0"/>
    </format>
    <format dxfId="78">
      <pivotArea dataOnly="0" labelOnly="1" fieldPosition="0">
        <references count="1">
          <reference field="11" count="0"/>
        </references>
      </pivotArea>
    </format>
    <format dxfId="77">
      <pivotArea outline="0" collapsedLevelsAreSubtotals="1" fieldPosition="0"/>
    </format>
    <format dxfId="76">
      <pivotArea dataOnly="0" labelOnly="1" fieldPosition="0">
        <references count="1">
          <reference field="11" count="0"/>
        </references>
      </pivotArea>
    </format>
    <format dxfId="75">
      <pivotArea field="11" type="button" dataOnly="0" labelOnly="1" outline="0" axis="axisRow" fieldPosition="0"/>
    </format>
    <format dxfId="74">
      <pivotArea dataOnly="0" labelOnly="1" outline="0" axis="axisValues" fieldPosition="0"/>
    </format>
    <format dxfId="73">
      <pivotArea field="11" type="button" dataOnly="0" labelOnly="1" outline="0" axis="axisRow" fieldPosition="0"/>
    </format>
    <format dxfId="72">
      <pivotArea dataOnly="0" labelOnly="1" outline="0" axis="axisValues" fieldPosition="0"/>
    </format>
    <format dxfId="71">
      <pivotArea dataOnly="0" fieldPosition="0">
        <references count="1">
          <reference field="11" count="1">
            <x v="0"/>
          </reference>
        </references>
      </pivotArea>
    </format>
  </formats>
  <pivotTableStyleInfo name="PivotStyleLight16" showRowHeaders="1" showColHeaders="1" showRowStripes="0" showColStripes="0" showLastColumn="1"/>
  <filters count="1">
    <filter fld="11"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8E3DA78-2D20-4A94-8CDB-B0F06757479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0:K11"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g Rentals" fld="18" subtotal="average" baseField="0" baseItem="0" numFmtId="1"/>
  </dataFields>
  <formats count="8">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dataOnly="0" labelOnly="1" outline="0" axis="axisValues" fieldPosition="0"/>
    </format>
    <format dxfId="98">
      <pivotArea outline="0" collapsedLevelsAreSubtotals="1" fieldPosition="0"/>
    </format>
    <format dxfId="97">
      <pivotArea dataOnly="0" outline="0" axis="axisValues" fieldPosition="0"/>
    </format>
    <format dxfId="96">
      <pivotArea dataOnly="0" outline="0" axis="axisValues" fieldPosition="0"/>
    </format>
    <format dxfId="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2275AB3-5F00-48DF-A6E5-20F75A172B2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ntals" fld="18" baseField="0" baseItem="0"/>
  </dataFields>
  <formats count="8">
    <format dxfId="110">
      <pivotArea type="all" dataOnly="0" outline="0" fieldPosition="0"/>
    </format>
    <format dxfId="109">
      <pivotArea outline="0" collapsedLevelsAreSubtotals="1" fieldPosition="0"/>
    </format>
    <format dxfId="108">
      <pivotArea dataOnly="0" labelOnly="1" outline="0" axis="axisValues" fieldPosition="0"/>
    </format>
    <format dxfId="107">
      <pivotArea dataOnly="0" labelOnly="1" outline="0" axis="axisValues" fieldPosition="0"/>
    </format>
    <format dxfId="106">
      <pivotArea outline="0" collapsedLevelsAreSubtotals="1" fieldPosition="0"/>
    </format>
    <format dxfId="105">
      <pivotArea dataOnly="0" labelOnly="1" outline="0" axis="axisValues" fieldPosition="0"/>
    </format>
    <format dxfId="104">
      <pivotArea dataOnly="0" labelOnly="1" outline="0" axis="axisValues" fieldPosition="0"/>
    </format>
    <format dxfId="1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C115BAA-9324-422D-B075-D180975E054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E11"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showAll="0"/>
    <pivotField showAll="0"/>
    <pivotField showAll="0"/>
    <pivotField showAll="0">
      <items count="3">
        <item x="1"/>
        <item x="0"/>
        <item t="default"/>
      </items>
    </pivotField>
    <pivotField showAll="0"/>
    <pivotField showAll="0">
      <items count="5">
        <item x="0"/>
        <item x="1"/>
        <item x="2"/>
        <item x="3"/>
        <item t="default"/>
      </items>
    </pivotField>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g Rentals" fld="18" subtotal="average" baseField="0" baseItem="0" numFmtId="1"/>
  </dataFields>
  <formats count="13">
    <format dxfId="204">
      <pivotArea type="all" dataOnly="0" outline="0" fieldPosition="0"/>
    </format>
    <format dxfId="203">
      <pivotArea outline="0" collapsedLevelsAreSubtotals="1" fieldPosition="0"/>
    </format>
    <format dxfId="202">
      <pivotArea dataOnly="0" labelOnly="1" outline="0" axis="axisValues" fieldPosition="0"/>
    </format>
    <format dxfId="201">
      <pivotArea dataOnly="0" labelOnly="1" outline="0" axis="axisValues" fieldPosition="0"/>
    </format>
    <format dxfId="200">
      <pivotArea dataOnly="0" labelOnly="1" outline="0" axis="axisValues" fieldPosition="0"/>
    </format>
    <format dxfId="199">
      <pivotArea dataOnly="0" labelOnly="1" outline="0" axis="axisValues" fieldPosition="0"/>
    </format>
    <format dxfId="198">
      <pivotArea outline="0" collapsedLevelsAreSubtotals="1"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dataOnly="0" labelOnly="1" outline="0" axis="axisValues" fieldPosition="0"/>
    </format>
    <format dxfId="193">
      <pivotArea outline="0" collapsedLevelsAreSubtotals="1" fieldPosition="0"/>
    </format>
    <format dxfId="1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9B62AC3-D738-4931-B1DE-3A409AFAB715}" name="PivotTable11"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Best Weather ">
  <location ref="J10:K11"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showAll="0"/>
    <pivotField showAll="0"/>
    <pivotField showAll="0"/>
    <pivotField showAll="0">
      <items count="3">
        <item x="1"/>
        <item x="0"/>
        <item t="default"/>
      </items>
    </pivotField>
    <pivotField showAll="0"/>
    <pivotField axis="axisRow" showAll="0" measureFilter="1">
      <items count="5">
        <item x="0"/>
        <item x="1"/>
        <item x="2"/>
        <item x="3"/>
        <item t="default"/>
      </items>
    </pivotField>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
    <i>
      <x/>
    </i>
  </rowItems>
  <colItems count="1">
    <i/>
  </colItems>
  <dataFields count="1">
    <dataField name="Avg Rentals/Hr" fld="18" subtotal="average" baseField="11" baseItem="0" numFmtId="1"/>
  </dataFields>
  <formats count="34">
    <format dxfId="238">
      <pivotArea field="11" type="button" dataOnly="0" labelOnly="1" outline="0" axis="axisRow" fieldPosition="0"/>
    </format>
    <format dxfId="237">
      <pivotArea dataOnly="0" labelOnly="1" outline="0" axis="axisValues" fieldPosition="0"/>
    </format>
    <format dxfId="236">
      <pivotArea field="11" type="button" dataOnly="0" labelOnly="1" outline="0" axis="axisRow" fieldPosition="0"/>
    </format>
    <format dxfId="235">
      <pivotArea dataOnly="0" labelOnly="1" outline="0" axis="axisValues" fieldPosition="0"/>
    </format>
    <format dxfId="234">
      <pivotArea outline="0" collapsedLevelsAreSubtotals="1" fieldPosition="0"/>
    </format>
    <format dxfId="233">
      <pivotArea dataOnly="0" labelOnly="1" fieldPosition="0">
        <references count="1">
          <reference field="11" count="0"/>
        </references>
      </pivotArea>
    </format>
    <format dxfId="232">
      <pivotArea outline="0" collapsedLevelsAreSubtotals="1" fieldPosition="0"/>
    </format>
    <format dxfId="231">
      <pivotArea dataOnly="0" labelOnly="1" fieldPosition="0">
        <references count="1">
          <reference field="11" count="0"/>
        </references>
      </pivotArea>
    </format>
    <format dxfId="230">
      <pivotArea outline="0" collapsedLevelsAreSubtotals="1" fieldPosition="0"/>
    </format>
    <format dxfId="229">
      <pivotArea dataOnly="0" labelOnly="1" fieldPosition="0">
        <references count="1">
          <reference field="11" count="0"/>
        </references>
      </pivotArea>
    </format>
    <format dxfId="228">
      <pivotArea type="all" dataOnly="0" outline="0" fieldPosition="0"/>
    </format>
    <format dxfId="227">
      <pivotArea outline="0" collapsedLevelsAreSubtotals="1" fieldPosition="0"/>
    </format>
    <format dxfId="226">
      <pivotArea field="11" type="button" dataOnly="0" labelOnly="1" outline="0" axis="axisRow" fieldPosition="0"/>
    </format>
    <format dxfId="225">
      <pivotArea dataOnly="0" labelOnly="1" fieldPosition="0">
        <references count="1">
          <reference field="11" count="0"/>
        </references>
      </pivotArea>
    </format>
    <format dxfId="224">
      <pivotArea dataOnly="0" labelOnly="1" outline="0" axis="axisValues" fieldPosition="0"/>
    </format>
    <format dxfId="223">
      <pivotArea field="11" type="button" dataOnly="0" labelOnly="1" outline="0" axis="axisRow" fieldPosition="0"/>
    </format>
    <format dxfId="222">
      <pivotArea field="11" type="button" dataOnly="0" labelOnly="1" outline="0" axis="axisRow" fieldPosition="0"/>
    </format>
    <format dxfId="221">
      <pivotArea dataOnly="0" labelOnly="1" outline="0" axis="axisValues" fieldPosition="0"/>
    </format>
    <format dxfId="220">
      <pivotArea outline="0" collapsedLevelsAreSubtotals="1" fieldPosition="0"/>
    </format>
    <format dxfId="219">
      <pivotArea dataOnly="0" labelOnly="1" fieldPosition="0">
        <references count="1">
          <reference field="11" count="1">
            <x v="0"/>
          </reference>
        </references>
      </pivotArea>
    </format>
    <format dxfId="218">
      <pivotArea field="11" type="button" dataOnly="0" labelOnly="1" outline="0" axis="axisRow" fieldPosition="0"/>
    </format>
    <format dxfId="217">
      <pivotArea dataOnly="0" labelOnly="1" outline="0" axis="axisValues" fieldPosition="0"/>
    </format>
    <format dxfId="216">
      <pivotArea type="all" dataOnly="0" outline="0" fieldPosition="0"/>
    </format>
    <format dxfId="215">
      <pivotArea outline="0" collapsedLevelsAreSubtotals="1" fieldPosition="0"/>
    </format>
    <format dxfId="214">
      <pivotArea field="11" type="button" dataOnly="0" labelOnly="1" outline="0" axis="axisRow" fieldPosition="0"/>
    </format>
    <format dxfId="213">
      <pivotArea dataOnly="0" labelOnly="1" fieldPosition="0">
        <references count="1">
          <reference field="11" count="1">
            <x v="0"/>
          </reference>
        </references>
      </pivotArea>
    </format>
    <format dxfId="212">
      <pivotArea dataOnly="0" labelOnly="1" outline="0" axis="axisValues" fieldPosition="0"/>
    </format>
    <format dxfId="211">
      <pivotArea outline="0" collapsedLevelsAreSubtotals="1" fieldPosition="0"/>
    </format>
    <format dxfId="210">
      <pivotArea outline="0" collapsedLevelsAreSubtotals="1" fieldPosition="0"/>
    </format>
    <format dxfId="209">
      <pivotArea dataOnly="0" labelOnly="1" outline="0" axis="axisValues" fieldPosition="0"/>
    </format>
    <format dxfId="208">
      <pivotArea dataOnly="0" fieldPosition="0">
        <references count="1">
          <reference field="11" count="0"/>
        </references>
      </pivotArea>
    </format>
    <format dxfId="207">
      <pivotArea dataOnly="0" fieldPosition="0">
        <references count="1">
          <reference field="11" count="0"/>
        </references>
      </pivotArea>
    </format>
    <format dxfId="206">
      <pivotArea outline="0" collapsedLevelsAreSubtotals="1" fieldPosition="0"/>
    </format>
    <format dxfId="205">
      <pivotArea dataOnly="0" labelOnly="1" fieldPosition="0">
        <references count="1">
          <reference field="11" count="1">
            <x v="0"/>
          </reference>
        </references>
      </pivotArea>
    </format>
  </formats>
  <pivotTableStyleInfo name="PivotStyleLight16" showRowHeaders="1" showColHeaders="1" showRowStripes="0" showColStripes="0" showLastColumn="1"/>
  <filters count="1">
    <filter fld="11" type="count" evalOrder="-1" id="7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23FA3E1-527B-4683-AF6F-EC29B7A5E94B}" name="PivotTable1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Time Slot" colHeaderCaption="Weather Situation">
  <location ref="C70:G75"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5">
        <item x="1"/>
        <item x="2"/>
        <item x="3"/>
        <item x="0"/>
        <item t="default"/>
      </items>
    </pivotField>
    <pivotField showAll="0"/>
    <pivotField showAll="0"/>
    <pivotField showAll="0"/>
    <pivotField showAll="0">
      <items count="3">
        <item x="1"/>
        <item x="0"/>
        <item t="default"/>
      </items>
    </pivotField>
    <pivotField showAll="0"/>
    <pivotField axis="axisCol" showAll="0">
      <items count="5">
        <item x="0"/>
        <item x="1"/>
        <item x="2"/>
        <item x="3"/>
        <item t="default"/>
      </items>
    </pivotField>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x v="3"/>
    </i>
  </rowItems>
  <colFields count="1">
    <field x="11"/>
  </colFields>
  <colItems count="4">
    <i>
      <x/>
    </i>
    <i>
      <x v="1"/>
    </i>
    <i>
      <x v="2"/>
    </i>
    <i>
      <x v="3"/>
    </i>
  </colItems>
  <dataFields count="1">
    <dataField name="Avg Rentals/Hr" fld="18" subtotal="average" baseField="5" baseItem="0" numFmtId="1"/>
  </dataFields>
  <formats count="9">
    <format dxfId="247">
      <pivotArea type="all" dataOnly="0" outline="0" fieldPosition="0"/>
    </format>
    <format dxfId="246">
      <pivotArea outline="0" collapsedLevelsAreSubtotals="1" fieldPosition="0"/>
    </format>
    <format dxfId="245">
      <pivotArea type="origin" dataOnly="0" labelOnly="1" outline="0" fieldPosition="0"/>
    </format>
    <format dxfId="244">
      <pivotArea field="11" type="button" dataOnly="0" labelOnly="1" outline="0" axis="axisCol" fieldPosition="0"/>
    </format>
    <format dxfId="243">
      <pivotArea type="topRight" dataOnly="0" labelOnly="1" outline="0" fieldPosition="0"/>
    </format>
    <format dxfId="242">
      <pivotArea field="5" type="button" dataOnly="0" labelOnly="1" outline="0" axis="axisRow" fieldPosition="0"/>
    </format>
    <format dxfId="241">
      <pivotArea dataOnly="0" labelOnly="1" fieldPosition="0">
        <references count="1">
          <reference field="5" count="0"/>
        </references>
      </pivotArea>
    </format>
    <format dxfId="240">
      <pivotArea dataOnly="0" labelOnly="1" fieldPosition="0">
        <references count="1">
          <reference field="11" count="0"/>
        </references>
      </pivotArea>
    </format>
    <format dxfId="239">
      <pivotArea type="all" dataOnly="0" outline="0" fieldPosition="0"/>
    </format>
  </formats>
  <conditionalFormats count="1">
    <conditionalFormat scope="field" priority="2">
      <pivotAreas count="1">
        <pivotArea outline="0" collapsedLevelsAreSubtotals="1" fieldPosition="0">
          <references count="3">
            <reference field="4294967294" count="1" selected="0">
              <x v="0"/>
            </reference>
            <reference field="5" count="0" selected="0"/>
            <reference field="11"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0C33803-D99F-420F-94AE-9E2EAD6B45F4}"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eak Time">
  <location ref="G10:H11"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sortType="ascending"/>
    <pivotField axis="axisRow" showAll="0" measureFilter="1" sortType="descending">
      <items count="25">
        <item x="1"/>
        <item x="13"/>
        <item x="10"/>
        <item x="22"/>
        <item x="11"/>
        <item x="23"/>
        <item x="0"/>
        <item x="12"/>
        <item x="2"/>
        <item x="14"/>
        <item x="3"/>
        <item x="15"/>
        <item x="4"/>
        <item x="16"/>
        <item x="5"/>
        <item x="17"/>
        <item x="6"/>
        <item x="18"/>
        <item x="7"/>
        <item x="19"/>
        <item x="8"/>
        <item x="20"/>
        <item x="9"/>
        <item x="2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items count="3">
        <item x="1"/>
        <item x="0"/>
        <item t="default"/>
      </items>
    </pivotField>
    <pivotField showAll="0"/>
    <pivotField showAll="0">
      <items count="5">
        <item x="0"/>
        <item x="1"/>
        <item x="2"/>
        <item x="3"/>
        <item t="default"/>
      </items>
    </pivotField>
    <pivotField showAll="0"/>
    <pivotField showAll="0"/>
    <pivotField showAll="0"/>
    <pivotField showAll="0"/>
    <pivotField showAll="0"/>
    <pivotField showAll="0"/>
    <pivotField dataField="1" multipleItemSelectionAllowe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
    <i>
      <x v="15"/>
    </i>
  </rowItems>
  <colItems count="1">
    <i/>
  </colItems>
  <dataFields count="1">
    <dataField name="Avg Rentals" fld="18" subtotal="average" baseField="4" baseItem="15" numFmtId="1"/>
  </dataFields>
  <formats count="42">
    <format dxfId="289">
      <pivotArea type="all" dataOnly="0" outline="0" fieldPosition="0"/>
    </format>
    <format dxfId="288">
      <pivotArea outline="0" collapsedLevelsAreSubtotals="1" fieldPosition="0"/>
    </format>
    <format dxfId="287">
      <pivotArea dataOnly="0" labelOnly="1" fieldPosition="0">
        <references count="1">
          <reference field="4" count="3">
            <x v="15"/>
            <x v="17"/>
            <x v="20"/>
          </reference>
        </references>
      </pivotArea>
    </format>
    <format dxfId="286">
      <pivotArea type="all" dataOnly="0" outline="0" fieldPosition="0"/>
    </format>
    <format dxfId="285">
      <pivotArea outline="0" collapsedLevelsAreSubtotals="1" fieldPosition="0"/>
    </format>
    <format dxfId="284">
      <pivotArea field="4" type="button" dataOnly="0" labelOnly="1" outline="0" axis="axisRow" fieldPosition="0"/>
    </format>
    <format dxfId="283">
      <pivotArea dataOnly="0" labelOnly="1" fieldPosition="0">
        <references count="1">
          <reference field="4" count="3">
            <x v="15"/>
            <x v="17"/>
            <x v="20"/>
          </reference>
        </references>
      </pivotArea>
    </format>
    <format dxfId="282">
      <pivotArea dataOnly="0" labelOnly="1" outline="0" axis="axisValues" fieldPosition="0"/>
    </format>
    <format dxfId="281">
      <pivotArea field="4" type="button" dataOnly="0" labelOnly="1" outline="0" axis="axisRow" fieldPosition="0"/>
    </format>
    <format dxfId="280">
      <pivotArea dataOnly="0" labelOnly="1" outline="0" axis="axisValues" fieldPosition="0"/>
    </format>
    <format dxfId="279">
      <pivotArea dataOnly="0" fieldPosition="0">
        <references count="1">
          <reference field="4" count="3">
            <x v="15"/>
            <x v="17"/>
            <x v="20"/>
          </reference>
        </references>
      </pivotArea>
    </format>
    <format dxfId="278">
      <pivotArea field="4" type="button" dataOnly="0" labelOnly="1" outline="0" axis="axisRow" fieldPosition="0"/>
    </format>
    <format dxfId="277">
      <pivotArea dataOnly="0" labelOnly="1" outline="0" axis="axisValues" fieldPosition="0"/>
    </format>
    <format dxfId="276">
      <pivotArea dataOnly="0" fieldPosition="0">
        <references count="1">
          <reference field="4" count="3">
            <x v="15"/>
            <x v="17"/>
            <x v="20"/>
          </reference>
        </references>
      </pivotArea>
    </format>
    <format dxfId="275">
      <pivotArea type="all" dataOnly="0" outline="0" fieldPosition="0"/>
    </format>
    <format dxfId="274">
      <pivotArea outline="0" collapsedLevelsAreSubtotals="1" fieldPosition="0"/>
    </format>
    <format dxfId="273">
      <pivotArea field="4" type="button" dataOnly="0" labelOnly="1" outline="0" axis="axisRow" fieldPosition="0"/>
    </format>
    <format dxfId="272">
      <pivotArea dataOnly="0" labelOnly="1" fieldPosition="0">
        <references count="1">
          <reference field="4" count="5">
            <x v="13"/>
            <x v="15"/>
            <x v="17"/>
            <x v="20"/>
            <x v="22"/>
          </reference>
        </references>
      </pivotArea>
    </format>
    <format dxfId="271">
      <pivotArea dataOnly="0" labelOnly="1" outline="0" axis="axisValues" fieldPosition="0"/>
    </format>
    <format dxfId="270">
      <pivotArea outline="0" collapsedLevelsAreSubtotals="1" fieldPosition="0"/>
    </format>
    <format dxfId="269">
      <pivotArea dataOnly="0" labelOnly="1" fieldPosition="0">
        <references count="1">
          <reference field="4" count="5">
            <x v="13"/>
            <x v="15"/>
            <x v="17"/>
            <x v="20"/>
            <x v="22"/>
          </reference>
        </references>
      </pivotArea>
    </format>
    <format dxfId="268">
      <pivotArea field="4" type="button" dataOnly="0" labelOnly="1" outline="0" axis="axisRow" fieldPosition="0"/>
    </format>
    <format dxfId="267">
      <pivotArea dataOnly="0" labelOnly="1" outline="0" axis="axisValues" fieldPosition="0"/>
    </format>
    <format dxfId="266">
      <pivotArea field="4" type="button" dataOnly="0" labelOnly="1" outline="0" axis="axisRow" fieldPosition="0"/>
    </format>
    <format dxfId="265">
      <pivotArea dataOnly="0" labelOnly="1" outline="0" axis="axisValues" fieldPosition="0"/>
    </format>
    <format dxfId="264">
      <pivotArea field="4" type="button" dataOnly="0" labelOnly="1" outline="0" axis="axisRow" fieldPosition="0"/>
    </format>
    <format dxfId="263">
      <pivotArea dataOnly="0" labelOnly="1" outline="0" axis="axisValues" fieldPosition="0"/>
    </format>
    <format dxfId="262">
      <pivotArea outline="0" collapsedLevelsAreSubtotals="1" fieldPosition="0"/>
    </format>
    <format dxfId="261">
      <pivotArea dataOnly="0" labelOnly="1" fieldPosition="0">
        <references count="1">
          <reference field="4" count="1">
            <x v="15"/>
          </reference>
        </references>
      </pivotArea>
    </format>
    <format dxfId="260">
      <pivotArea field="4" type="button" dataOnly="0" labelOnly="1" outline="0" axis="axisRow" fieldPosition="0"/>
    </format>
    <format dxfId="259">
      <pivotArea dataOnly="0" labelOnly="1" outline="0" axis="axisValues" fieldPosition="0"/>
    </format>
    <format dxfId="258">
      <pivotArea type="all" dataOnly="0" outline="0" fieldPosition="0"/>
    </format>
    <format dxfId="257">
      <pivotArea outline="0" collapsedLevelsAreSubtotals="1" fieldPosition="0"/>
    </format>
    <format dxfId="256">
      <pivotArea field="4" type="button" dataOnly="0" labelOnly="1" outline="0" axis="axisRow" fieldPosition="0"/>
    </format>
    <format dxfId="255">
      <pivotArea dataOnly="0" labelOnly="1" fieldPosition="0">
        <references count="1">
          <reference field="4" count="1">
            <x v="15"/>
          </reference>
        </references>
      </pivotArea>
    </format>
    <format dxfId="254">
      <pivotArea dataOnly="0" labelOnly="1" outline="0" axis="axisValues" fieldPosition="0"/>
    </format>
    <format dxfId="253">
      <pivotArea outline="0" collapsedLevelsAreSubtotals="1" fieldPosition="0"/>
    </format>
    <format dxfId="252">
      <pivotArea outline="0" collapsedLevelsAreSubtotals="1" fieldPosition="0"/>
    </format>
    <format dxfId="251">
      <pivotArea dataOnly="0" labelOnly="1" fieldPosition="0">
        <references count="1">
          <reference field="4" count="0"/>
        </references>
      </pivotArea>
    </format>
    <format dxfId="250">
      <pivotArea outline="0" collapsedLevelsAreSubtotals="1" fieldPosition="0"/>
    </format>
    <format dxfId="249">
      <pivotArea dataOnly="0" labelOnly="1" fieldPosition="0">
        <references count="1">
          <reference field="4" count="0"/>
        </references>
      </pivotArea>
    </format>
    <format dxfId="248">
      <pivotArea dataOnly="0" fieldPosition="0">
        <references count="1">
          <reference field="4" count="1">
            <x v="15"/>
          </reference>
        </references>
      </pivotArea>
    </format>
  </formats>
  <pivotTableStyleInfo name="PivotStyleLight16" showRowHeaders="1" showColHeaders="1" showRowStripes="0" showColStripes="0" showLastColumn="1"/>
  <filters count="1">
    <filter fld="4" type="count" evalOrder="-1" id="10"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AF25B02-D650-4F93-B354-3D8942964BC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C11"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5">
        <item x="1"/>
        <item x="2"/>
        <item x="3"/>
        <item x="0"/>
        <item t="default"/>
      </items>
    </pivotField>
    <pivotField showAll="0"/>
    <pivotField showAll="0"/>
    <pivotField showAll="0"/>
    <pivotField showAll="0">
      <items count="3">
        <item x="1"/>
        <item x="0"/>
        <item t="default"/>
      </items>
    </pivotField>
    <pivotField showAll="0"/>
    <pivotField showAll="0">
      <items count="5">
        <item x="0"/>
        <item x="1"/>
        <item x="2"/>
        <item x="3"/>
        <item t="default"/>
      </items>
    </pivotField>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ntals" fld="18" baseField="0" baseItem="0"/>
  </dataFields>
  <formats count="13">
    <format dxfId="302">
      <pivotArea type="all" dataOnly="0" outline="0" fieldPosition="0"/>
    </format>
    <format dxfId="301">
      <pivotArea outline="0" collapsedLevelsAreSubtotals="1" fieldPosition="0"/>
    </format>
    <format dxfId="300">
      <pivotArea dataOnly="0" labelOnly="1" outline="0" axis="axisValues" fieldPosition="0"/>
    </format>
    <format dxfId="299">
      <pivotArea dataOnly="0" labelOnly="1" outline="0" axis="axisValues" fieldPosition="0"/>
    </format>
    <format dxfId="298">
      <pivotArea outline="0" collapsedLevelsAreSubtotals="1" fieldPosition="0"/>
    </format>
    <format dxfId="297">
      <pivotArea dataOnly="0" outline="0" axis="axisValues" fieldPosition="0"/>
    </format>
    <format dxfId="296">
      <pivotArea dataOnly="0" outline="0" axis="axisValues" fieldPosition="0"/>
    </format>
    <format dxfId="295">
      <pivotArea dataOnly="0" labelOnly="1" outline="0" axis="axisValues" fieldPosition="0"/>
    </format>
    <format dxfId="294">
      <pivotArea dataOnly="0" labelOnly="1" outline="0" axis="axisValues" fieldPosition="0"/>
    </format>
    <format dxfId="293">
      <pivotArea outline="0" collapsedLevelsAreSubtotals="1" fieldPosition="0"/>
    </format>
    <format dxfId="292">
      <pivotArea type="all" dataOnly="0" outline="0" fieldPosition="0"/>
    </format>
    <format dxfId="291">
      <pivotArea outline="0" collapsedLevelsAreSubtotals="1" fieldPosition="0"/>
    </format>
    <format dxfId="2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C371B45C-3A46-45F0-99DB-DF8CD0BE3649}"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eak Slot">
  <location ref="M10:N11"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measureFilter="1">
      <items count="5">
        <item x="1"/>
        <item x="2"/>
        <item x="3"/>
        <item x="0"/>
        <item t="default"/>
      </items>
    </pivotField>
    <pivotField showAll="0"/>
    <pivotField showAll="0"/>
    <pivotField showAll="0"/>
    <pivotField showAll="0">
      <items count="3">
        <item x="1"/>
        <item x="0"/>
        <item t="default"/>
      </items>
    </pivotField>
    <pivotField showAll="0"/>
    <pivotField showAll="0">
      <items count="5">
        <item x="0"/>
        <item x="1"/>
        <item x="2"/>
        <item x="3"/>
        <item t="default"/>
      </items>
    </pivotField>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
    <i>
      <x v="2"/>
    </i>
  </rowItems>
  <colItems count="1">
    <i/>
  </colItems>
  <dataFields count="1">
    <dataField name="Avg Rentals/Hr" fld="18" subtotal="average" baseField="5" baseItem="0" numFmtId="1"/>
  </dataFields>
  <formats count="33">
    <format dxfId="335">
      <pivotArea field="5" type="button" dataOnly="0" labelOnly="1" outline="0" axis="axisRow" fieldPosition="0"/>
    </format>
    <format dxfId="334">
      <pivotArea dataOnly="0" labelOnly="1" outline="0" axis="axisValues" fieldPosition="0"/>
    </format>
    <format dxfId="333">
      <pivotArea outline="0" collapsedLevelsAreSubtotals="1" fieldPosition="0"/>
    </format>
    <format dxfId="332">
      <pivotArea dataOnly="0" labelOnly="1" fieldPosition="0">
        <references count="1">
          <reference field="5" count="0"/>
        </references>
      </pivotArea>
    </format>
    <format dxfId="331">
      <pivotArea type="all" dataOnly="0" outline="0" fieldPosition="0"/>
    </format>
    <format dxfId="330">
      <pivotArea outline="0" collapsedLevelsAreSubtotals="1" fieldPosition="0"/>
    </format>
    <format dxfId="329">
      <pivotArea field="5" type="button" dataOnly="0" labelOnly="1" outline="0" axis="axisRow" fieldPosition="0"/>
    </format>
    <format dxfId="328">
      <pivotArea dataOnly="0" labelOnly="1" fieldPosition="0">
        <references count="1">
          <reference field="5" count="0"/>
        </references>
      </pivotArea>
    </format>
    <format dxfId="327">
      <pivotArea dataOnly="0" labelOnly="1" outline="0" axis="axisValues" fieldPosition="0"/>
    </format>
    <format dxfId="326">
      <pivotArea type="all" dataOnly="0" outline="0" fieldPosition="0"/>
    </format>
    <format dxfId="325">
      <pivotArea field="5" type="button" dataOnly="0" labelOnly="1" outline="0" axis="axisRow" fieldPosition="0"/>
    </format>
    <format dxfId="324">
      <pivotArea dataOnly="0" labelOnly="1" fieldPosition="0">
        <references count="1">
          <reference field="5" count="0"/>
        </references>
      </pivotArea>
    </format>
    <format dxfId="323">
      <pivotArea outline="0" collapsedLevelsAreSubtotals="1" fieldPosition="0"/>
    </format>
    <format dxfId="322">
      <pivotArea dataOnly="0" labelOnly="1" fieldPosition="0">
        <references count="1">
          <reference field="5" count="0"/>
        </references>
      </pivotArea>
    </format>
    <format dxfId="321">
      <pivotArea field="5" type="button" dataOnly="0" labelOnly="1" outline="0" axis="axisRow" fieldPosition="0"/>
    </format>
    <format dxfId="320">
      <pivotArea field="5" type="button" dataOnly="0" labelOnly="1" outline="0" axis="axisRow" fieldPosition="0"/>
    </format>
    <format dxfId="319">
      <pivotArea dataOnly="0" labelOnly="1" outline="0" axis="axisValues" fieldPosition="0"/>
    </format>
    <format dxfId="318">
      <pivotArea outline="0" collapsedLevelsAreSubtotals="1" fieldPosition="0"/>
    </format>
    <format dxfId="317">
      <pivotArea dataOnly="0" labelOnly="1" fieldPosition="0">
        <references count="1">
          <reference field="5" count="1">
            <x v="2"/>
          </reference>
        </references>
      </pivotArea>
    </format>
    <format dxfId="316">
      <pivotArea dataOnly="0" labelOnly="1" outline="0" axis="axisValues" fieldPosition="0"/>
    </format>
    <format dxfId="315">
      <pivotArea field="5" type="button" dataOnly="0" labelOnly="1" outline="0" axis="axisRow" fieldPosition="0"/>
    </format>
    <format dxfId="314">
      <pivotArea type="all" dataOnly="0" outline="0" fieldPosition="0"/>
    </format>
    <format dxfId="313">
      <pivotArea outline="0" collapsedLevelsAreSubtotals="1" fieldPosition="0"/>
    </format>
    <format dxfId="312">
      <pivotArea field="5" type="button" dataOnly="0" labelOnly="1" outline="0" axis="axisRow" fieldPosition="0"/>
    </format>
    <format dxfId="311">
      <pivotArea dataOnly="0" labelOnly="1" fieldPosition="0">
        <references count="1">
          <reference field="5" count="1">
            <x v="2"/>
          </reference>
        </references>
      </pivotArea>
    </format>
    <format dxfId="310">
      <pivotArea dataOnly="0" labelOnly="1" outline="0" axis="axisValues" fieldPosition="0"/>
    </format>
    <format dxfId="309">
      <pivotArea outline="0" collapsedLevelsAreSubtotals="1" fieldPosition="0"/>
    </format>
    <format dxfId="308">
      <pivotArea outline="0" collapsedLevelsAreSubtotals="1" fieldPosition="0"/>
    </format>
    <format dxfId="307">
      <pivotArea dataOnly="0" labelOnly="1" outline="0" axis="axisValues" fieldPosition="0"/>
    </format>
    <format dxfId="306">
      <pivotArea dataOnly="0" fieldPosition="0">
        <references count="1">
          <reference field="5" count="0"/>
        </references>
      </pivotArea>
    </format>
    <format dxfId="305">
      <pivotArea dataOnly="0" fieldPosition="0">
        <references count="1">
          <reference field="5" count="0"/>
        </references>
      </pivotArea>
    </format>
    <format dxfId="304">
      <pivotArea outline="0" collapsedLevelsAreSubtotals="1" fieldPosition="0"/>
    </format>
    <format dxfId="303">
      <pivotArea dataOnly="0" labelOnly="1" fieldPosition="0">
        <references count="1">
          <reference field="5" count="1">
            <x v="2"/>
          </reference>
        </references>
      </pivotArea>
    </format>
  </formats>
  <pivotTableStyleInfo name="PivotStyleLight16" showRowHeaders="1" showColHeaders="1" showRowStripes="0" showColStripes="0" showLastColumn="1"/>
  <filters count="1">
    <filter fld="5" type="count" evalOrder="-1" id="69"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F9F37F5C-AE25-4D22-8FBB-D6F3CEB865D1}" name="PivotTable19"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Days" colHeaderCaption="Time Slot">
  <location ref="C80:G88"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Col" showAll="0">
      <items count="5">
        <item x="1"/>
        <item x="2"/>
        <item x="3"/>
        <item x="0"/>
        <item t="default"/>
      </items>
    </pivotField>
    <pivotField showAll="0"/>
    <pivotField showAll="0"/>
    <pivotField axis="axisRow" showAll="0">
      <items count="8">
        <item x="1"/>
        <item x="2"/>
        <item x="3"/>
        <item x="4"/>
        <item x="5"/>
        <item x="6"/>
        <item x="0"/>
        <item t="default"/>
      </items>
    </pivotField>
    <pivotField showAll="0">
      <items count="3">
        <item x="1"/>
        <item x="0"/>
        <item t="default"/>
      </items>
    </pivotField>
    <pivotField showAll="0"/>
    <pivotField showAll="0">
      <items count="5">
        <item x="0"/>
        <item x="1"/>
        <item x="2"/>
        <item x="3"/>
        <item t="default"/>
      </items>
    </pivotField>
    <pivotField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7">
    <i>
      <x/>
    </i>
    <i>
      <x v="1"/>
    </i>
    <i>
      <x v="2"/>
    </i>
    <i>
      <x v="3"/>
    </i>
    <i>
      <x v="4"/>
    </i>
    <i>
      <x v="5"/>
    </i>
    <i>
      <x v="6"/>
    </i>
  </rowItems>
  <colFields count="1">
    <field x="5"/>
  </colFields>
  <colItems count="4">
    <i>
      <x/>
    </i>
    <i>
      <x v="1"/>
    </i>
    <i>
      <x v="2"/>
    </i>
    <i>
      <x v="3"/>
    </i>
  </colItems>
  <dataFields count="1">
    <dataField name="Avg Rentals/Hr" fld="18" subtotal="average" baseField="8" baseItem="0" numFmtId="1"/>
  </dataFields>
  <formats count="8">
    <format dxfId="343">
      <pivotArea type="all" dataOnly="0" outline="0" fieldPosition="0"/>
    </format>
    <format dxfId="342">
      <pivotArea type="origin" dataOnly="0" labelOnly="1" outline="0" fieldPosition="0"/>
    </format>
    <format dxfId="341">
      <pivotArea field="5" type="button" dataOnly="0" labelOnly="1" outline="0" axis="axisCol" fieldPosition="0"/>
    </format>
    <format dxfId="340">
      <pivotArea type="topRight" dataOnly="0" labelOnly="1" outline="0" fieldPosition="0"/>
    </format>
    <format dxfId="339">
      <pivotArea field="8" type="button" dataOnly="0" labelOnly="1" outline="0" axis="axisRow" fieldPosition="0"/>
    </format>
    <format dxfId="338">
      <pivotArea dataOnly="0" labelOnly="1" fieldPosition="0">
        <references count="1">
          <reference field="5" count="0"/>
        </references>
      </pivotArea>
    </format>
    <format dxfId="337">
      <pivotArea type="all" dataOnly="0" outline="0" fieldPosition="0"/>
    </format>
    <format dxfId="336">
      <pivotArea type="all" dataOnly="0" outline="0" fieldPosition="0"/>
    </format>
  </formats>
  <conditionalFormats count="1">
    <conditionalFormat scope="field" priority="1">
      <pivotAreas count="1">
        <pivotArea outline="0" collapsedLevelsAreSubtotals="1" fieldPosition="0">
          <references count="3">
            <reference field="4294967294" count="1" selected="0">
              <x v="0"/>
            </reference>
            <reference field="5"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22FF383D-D70C-411D-921A-E702E94D740F}"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53233F96-18A8-44E8-8184-06A955A59674}"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E4174F43-3064-44E0-A968-40F4B52C83BC}"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635FDA79-F6A8-45FD-BEA8-1AECDEB62376}" autoFormatId="16" applyNumberFormats="0" applyBorderFormats="0" applyFontFormats="0" applyPatternFormats="0" applyAlignmentFormats="0" applyWidthHeightFormats="0">
  <queryTableRefresh nextId="22">
    <queryTableFields count="19">
      <queryTableField id="1" name="instant" tableColumnId="1"/>
      <queryTableField id="2" name="dteday" tableColumnId="2"/>
      <queryTableField id="5" name="mnth" tableColumnId="5"/>
      <queryTableField id="6" name="hr" tableColumnId="6"/>
      <queryTableField id="21" dataBound="0" tableColumnId="22"/>
      <queryTableField id="19" dataBound="0" tableColumnId="20"/>
      <queryTableField id="7" name="holiday" tableColumnId="7"/>
      <queryTableField id="8" name="weekday" tableColumnId="8"/>
      <queryTableField id="17" dataBound="0" tableColumnId="17"/>
      <queryTableField id="20" dataBound="0" tableColumnId="21"/>
      <queryTableField id="9" name="weathersit" tableColumnId="9"/>
      <queryTableField id="18" dataBound="0" tableColumnId="18"/>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DeletedFields count="2">
      <deletedField name="season"/>
      <deletedField name="yr"/>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 xr10:uid="{30ECD71F-CDF1-440C-B3E7-F7371EAEF95D}" sourceName="Time_Slot">
  <pivotTables>
    <pivotTable tabId="31" name="PivotTable27"/>
    <pivotTable tabId="39" name="PivotTable5"/>
    <pivotTable tabId="36" name="PivotTable1"/>
    <pivotTable tabId="36" name="PivotTable2"/>
    <pivotTable tabId="53" name="PivotTable17"/>
    <pivotTable tabId="53" name="PivotTable19"/>
    <pivotTable tabId="54" name="PivotTable18"/>
    <pivotTable tabId="30" name="PivotTable25"/>
    <pivotTable tabId="30" name="PivotTable26"/>
    <pivotTable tabId="33" name="PivotTable32"/>
    <pivotTable tabId="33" name="PivotTable33"/>
    <pivotTable tabId="32" name="PivotTable28"/>
    <pivotTable tabId="32" name="PivotTable29"/>
    <pivotTable tabId="40" name="PivotTable6"/>
    <pivotTable tabId="29" name="PivotTable22"/>
    <pivotTable tabId="29" name="PivotTable23"/>
    <pivotTable tabId="29" name="PivotTable24"/>
    <pivotTable tabId="29" name="PivotTable30"/>
    <pivotTable tabId="29" name="PivotTable31"/>
    <pivotTable tabId="47" name="PivotTable2"/>
    <pivotTable tabId="47" name="PivotTable3"/>
  </pivotTables>
  <data>
    <tabular pivotCacheId="1490533428">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C7BA2D3C-0D2E-4FA6-B5FA-E6218C6EC776}" sourceName="Day_Type">
  <pivotTables>
    <pivotTable tabId="31" name="PivotTable27"/>
    <pivotTable tabId="39" name="PivotTable5"/>
    <pivotTable tabId="36" name="PivotTable1"/>
    <pivotTable tabId="36" name="PivotTable2"/>
    <pivotTable tabId="53" name="PivotTable17"/>
    <pivotTable tabId="53" name="PivotTable19"/>
    <pivotTable tabId="54" name="PivotTable18"/>
    <pivotTable tabId="30" name="PivotTable25"/>
    <pivotTable tabId="30" name="PivotTable26"/>
    <pivotTable tabId="33" name="PivotTable32"/>
    <pivotTable tabId="33" name="PivotTable33"/>
    <pivotTable tabId="32" name="PivotTable28"/>
    <pivotTable tabId="32" name="PivotTable29"/>
    <pivotTable tabId="40" name="PivotTable6"/>
    <pivotTable tabId="29" name="PivotTable22"/>
    <pivotTable tabId="29" name="PivotTable23"/>
    <pivotTable tabId="29" name="PivotTable24"/>
    <pivotTable tabId="29" name="PivotTable30"/>
    <pivotTable tabId="29" name="PivotTable31"/>
    <pivotTable tabId="47" name="PivotTable2"/>
    <pivotTable tabId="47" name="PivotTable3"/>
  </pivotTables>
  <data>
    <tabular pivotCacheId="149053342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 xr10:uid="{942BC610-0BD1-486C-A08C-F2D307967591}" sourceName="Weather_Type">
  <pivotTables>
    <pivotTable tabId="31" name="PivotTable27"/>
    <pivotTable tabId="39" name="PivotTable5"/>
    <pivotTable tabId="36" name="PivotTable1"/>
    <pivotTable tabId="36" name="PivotTable2"/>
    <pivotTable tabId="53" name="PivotTable17"/>
    <pivotTable tabId="53" name="PivotTable19"/>
    <pivotTable tabId="54" name="PivotTable18"/>
    <pivotTable tabId="30" name="PivotTable25"/>
    <pivotTable tabId="30" name="PivotTable26"/>
    <pivotTable tabId="33" name="PivotTable32"/>
    <pivotTable tabId="33" name="PivotTable33"/>
    <pivotTable tabId="32" name="PivotTable28"/>
    <pivotTable tabId="32" name="PivotTable29"/>
    <pivotTable tabId="40" name="PivotTable6"/>
    <pivotTable tabId="29" name="PivotTable22"/>
    <pivotTable tabId="29" name="PivotTable23"/>
    <pivotTable tabId="29" name="PivotTable24"/>
    <pivotTable tabId="29" name="PivotTable30"/>
    <pivotTable tabId="29" name="PivotTable31"/>
    <pivotTable tabId="47" name="PivotTable2"/>
    <pivotTable tabId="47" name="PivotTable3"/>
  </pivotTables>
  <data>
    <tabular pivotCacheId="149053342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Slot" xr10:uid="{598A8EB9-5723-4D6C-9CF8-A22D32AD6D9B}" cache="Slicer_Time_Slot" caption="Time_Slot" rowHeight="234950"/>
  <slicer name="Day_Type" xr10:uid="{E6A0FC78-2048-47F4-824D-F77267429E07}" cache="Slicer_Day_Type" caption="Day_Type" rowHeight="234950"/>
  <slicer name="Weather_Type" xr10:uid="{DA35B860-A28A-4776-A694-066074C11756}" cache="Slicer_Weather_Type" caption="Weather_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47EA78-BCDB-46F8-B9A1-2C5F040A36D0}" name="DataSet_3" displayName="DataSet_3" ref="A1:P391" tableType="queryTable" totalsRowShown="0">
  <autoFilter ref="A1:P391" xr:uid="{F247EA78-BCDB-46F8-B9A1-2C5F040A36D0}"/>
  <tableColumns count="16">
    <tableColumn id="1" xr3:uid="{76057980-9C58-41DC-94F7-B00353541552}" uniqueName="1" name="instant" queryTableFieldId="1"/>
    <tableColumn id="2" xr3:uid="{C620FBA7-7F5E-4182-ABC5-22F303BE9431}" uniqueName="2" name="dteday" queryTableFieldId="2" dataDxfId="191"/>
    <tableColumn id="3" xr3:uid="{E53E5023-705B-46AF-84F2-4B0304F6C383}" uniqueName="3" name="season" queryTableFieldId="3"/>
    <tableColumn id="4" xr3:uid="{C39FFF2C-D6CC-4A21-A983-17203C91F29F}" uniqueName="4" name="yr" queryTableFieldId="4"/>
    <tableColumn id="5" xr3:uid="{17AD6F67-7C52-4DB2-A77E-C67A6812950D}" uniqueName="5" name="mnth" queryTableFieldId="5"/>
    <tableColumn id="6" xr3:uid="{C4C4CB8F-C76E-4ACC-AACE-441998501F02}" uniqueName="6" name="hr" queryTableFieldId="6"/>
    <tableColumn id="7" xr3:uid="{7C7E6DC2-3228-4620-9543-1DD670CF7201}" uniqueName="7" name="holiday" queryTableFieldId="7"/>
    <tableColumn id="8" xr3:uid="{DB42F55B-94A3-4047-9673-A3B6972B9E78}" uniqueName="8" name="weekday" queryTableFieldId="8"/>
    <tableColumn id="9" xr3:uid="{3F40BD53-6E30-4BD4-ADB4-BBE48C94A2C7}" uniqueName="9" name="weathersit" queryTableFieldId="9"/>
    <tableColumn id="10" xr3:uid="{E68EF53B-CDE5-40CA-AE10-7E8069EAAD2B}" uniqueName="10" name="temp" queryTableFieldId="10"/>
    <tableColumn id="11" xr3:uid="{E7226DBA-8F50-4D5C-A707-6E9D22188575}" uniqueName="11" name="atemp" queryTableFieldId="11"/>
    <tableColumn id="12" xr3:uid="{2926849D-BB06-4DBD-BB08-FEE2FFF7800C}" uniqueName="12" name="hum" queryTableFieldId="12"/>
    <tableColumn id="13" xr3:uid="{B8352752-574C-4064-8405-34683FD1E538}" uniqueName="13" name="windspeed" queryTableFieldId="13"/>
    <tableColumn id="14" xr3:uid="{AACBE57C-2615-4C57-B7EC-259DECF73673}" uniqueName="14" name="casual" queryTableFieldId="14"/>
    <tableColumn id="15" xr3:uid="{BB4B2A12-CAA0-485D-8AD1-7C5F4F26D195}" uniqueName="15" name="registered" queryTableFieldId="15"/>
    <tableColumn id="16" xr3:uid="{00CFC83A-22C0-4BED-A213-F983AEA2DC13}" uniqueName="16" name="cnt"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1B14AB-4B41-416F-99E2-8D7141823418}" name="DataSet_A" displayName="DataSet_A" ref="A1:P611" tableType="queryTable" totalsRowShown="0">
  <autoFilter ref="A1:P611" xr:uid="{6B1B14AB-4B41-416F-99E2-8D7141823418}"/>
  <tableColumns count="16">
    <tableColumn id="1" xr3:uid="{8A5FF0C6-EA4F-4B09-8AF1-9593D47A709A}" uniqueName="1" name="instant" queryTableFieldId="1"/>
    <tableColumn id="2" xr3:uid="{61C077E4-7E20-4011-8875-831BE2640D27}" uniqueName="2" name="dteday" queryTableFieldId="2" dataDxfId="190"/>
    <tableColumn id="3" xr3:uid="{32166D38-CCAA-48D2-8ABB-FF55CA2EE769}" uniqueName="3" name="season" queryTableFieldId="3"/>
    <tableColumn id="4" xr3:uid="{602B8A6A-7A2A-4F3A-B53A-AB30FCC5409D}" uniqueName="4" name="yr" queryTableFieldId="4"/>
    <tableColumn id="5" xr3:uid="{6D2461A7-B7BD-4A7D-9CE0-B5EF9018A34E}" uniqueName="5" name="mnth" queryTableFieldId="5"/>
    <tableColumn id="6" xr3:uid="{FBFE96FB-3FC6-46A8-92ED-3A36704360DE}" uniqueName="6" name="hr" queryTableFieldId="6"/>
    <tableColumn id="7" xr3:uid="{1EDB4702-B615-478B-A954-93499309894D}" uniqueName="7" name="holiday" queryTableFieldId="7"/>
    <tableColumn id="8" xr3:uid="{C28CCB72-6489-4B9D-85CE-7717703EF0DE}" uniqueName="8" name="weekday" queryTableFieldId="8"/>
    <tableColumn id="9" xr3:uid="{8BEB59D4-CAA4-473E-B122-CF5DEAC51E5C}" uniqueName="9" name="weathersit" queryTableFieldId="9"/>
    <tableColumn id="10" xr3:uid="{54D0CE54-066A-40BE-B221-5AA0D16D92CE}" uniqueName="10" name="temp" queryTableFieldId="10"/>
    <tableColumn id="11" xr3:uid="{C455E3C2-34B9-4BAA-8624-3BDBD6D88DE1}" uniqueName="11" name="atemp" queryTableFieldId="11"/>
    <tableColumn id="12" xr3:uid="{2323E063-8577-43FD-87F6-2D75371B43BC}" uniqueName="12" name="hum" queryTableFieldId="12"/>
    <tableColumn id="13" xr3:uid="{4E5EDA91-28E9-4054-974E-A71E642048AC}" uniqueName="13" name="windspeed" queryTableFieldId="13"/>
    <tableColumn id="14" xr3:uid="{FF4E7095-C894-4DA4-BBB5-2C3741681DC7}" uniqueName="14" name="casual" queryTableFieldId="14"/>
    <tableColumn id="15" xr3:uid="{4D7E4B51-779F-4689-AE25-8276D8CDBA05}" uniqueName="15" name="registered" queryTableFieldId="15"/>
    <tableColumn id="16" xr3:uid="{E843857F-25DE-4E4C-B837-C8A540D7E6A4}" uniqueName="16" name="cnt"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5EA47C-C00F-4719-94DF-CF78747E5C89}" name="Append1" displayName="Append1" ref="A1:P1001" tableType="queryTable" totalsRowShown="0" headerRowDxfId="189">
  <autoFilter ref="A1:P1001" xr:uid="{E95EA47C-C00F-4719-94DF-CF78747E5C89}"/>
  <tableColumns count="16">
    <tableColumn id="1" xr3:uid="{7ADB8F9C-AB9F-4841-A9B7-D74802612C20}" uniqueName="1" name="instant" queryTableFieldId="1"/>
    <tableColumn id="2" xr3:uid="{B3433DBA-0F1F-441F-BAF4-631C02D56E7F}" uniqueName="2" name="dteday" queryTableFieldId="2" dataDxfId="188"/>
    <tableColumn id="3" xr3:uid="{C4F3FAB1-4CB5-4CCB-97B6-9A7FF0943A17}" uniqueName="3" name="season" queryTableFieldId="3"/>
    <tableColumn id="4" xr3:uid="{346C0E3A-DAF8-4BC0-8397-F1CEDB1BF1FD}" uniqueName="4" name="yr" queryTableFieldId="4"/>
    <tableColumn id="5" xr3:uid="{3621D39D-6429-47CD-8AFE-1C8439BF397E}" uniqueName="5" name="mnth" queryTableFieldId="5"/>
    <tableColumn id="6" xr3:uid="{2E6762D7-FB6D-4C55-B347-202CF0CD02A8}" uniqueName="6" name="hr" queryTableFieldId="6"/>
    <tableColumn id="7" xr3:uid="{31442F14-AF42-4946-BFDB-681016C81B85}" uniqueName="7" name="holiday" queryTableFieldId="7"/>
    <tableColumn id="8" xr3:uid="{A8DDE8E6-DC42-4657-B046-68F13E91C34C}" uniqueName="8" name="weekday" queryTableFieldId="8"/>
    <tableColumn id="9" xr3:uid="{C9F6021A-3EE6-437B-85B5-8A5F4D60D1D2}" uniqueName="9" name="weathersit" queryTableFieldId="9"/>
    <tableColumn id="10" xr3:uid="{D47A751E-22ED-458B-9E51-525D644B2FC6}" uniqueName="10" name="temp" queryTableFieldId="10"/>
    <tableColumn id="11" xr3:uid="{87E23508-4F52-426D-8966-BC06AA1EF7FA}" uniqueName="11" name="atemp" queryTableFieldId="11"/>
    <tableColumn id="12" xr3:uid="{3F759DD2-8836-4130-8A5B-1798A1120A1E}" uniqueName="12" name="hum" queryTableFieldId="12"/>
    <tableColumn id="13" xr3:uid="{AB042B1A-6323-4CB3-9261-66E63CC4607D}" uniqueName="13" name="windspeed" queryTableFieldId="13"/>
    <tableColumn id="14" xr3:uid="{54BFC191-B801-4370-A6FD-4C10AB285945}" uniqueName="14" name="casual" queryTableFieldId="14"/>
    <tableColumn id="15" xr3:uid="{3C624B23-F5B8-4913-8B75-7601B39F3003}" uniqueName="15" name="registered" queryTableFieldId="15"/>
    <tableColumn id="16" xr3:uid="{2B360632-0C14-482F-90C5-0E1EC8580790}" uniqueName="16" name="cnt" queryTableFieldId="16"/>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4376E7-30CD-4FB3-ABEB-0D3ACC0A2708}" name="Append15" displayName="Append15" ref="A1:S1001" tableType="queryTable" totalsRowShown="0" headerRowDxfId="187">
  <autoFilter ref="A1:S1001" xr:uid="{154376E7-30CD-4FB3-ABEB-0D3ACC0A2708}"/>
  <tableColumns count="19">
    <tableColumn id="1" xr3:uid="{7B40908B-88D9-436E-843E-B496FBE1BEAE}" uniqueName="1" name="Instant" queryTableFieldId="1"/>
    <tableColumn id="2" xr3:uid="{DCF40A8D-D807-4B59-BA12-0E118A0ACED1}" uniqueName="2" name="Date" queryTableFieldId="2" dataDxfId="186"/>
    <tableColumn id="5" xr3:uid="{15A3CA63-D9B1-4A5E-82A3-0023BA4DC43C}" uniqueName="5" name="Month" queryTableFieldId="5"/>
    <tableColumn id="6" xr3:uid="{A94E7099-DDB1-4D94-894C-2591DD810C2D}" uniqueName="6" name="Hour" queryTableFieldId="6"/>
    <tableColumn id="22" xr3:uid="{426344FD-5909-42C9-993A-9C0A6733E541}" uniqueName="22" name="Time" queryTableFieldId="21" dataDxfId="185">
      <calculatedColumnFormula>TEXT(D2/24,"h AM/PM")</calculatedColumnFormula>
    </tableColumn>
    <tableColumn id="20" xr3:uid="{BD4CA0C2-475C-4ABD-961E-6344FDC9AF70}" uniqueName="20" name="Time_Slot" queryTableFieldId="19" dataDxfId="184">
      <calculatedColumnFormula>IF(D2&lt;5,"Night",
IF(D2&lt;=11,"Morning",
IF(D2&lt;16,"AfterNoon",
IF(D2&lt;20,"Evening","Night"))))</calculatedColumnFormula>
    </tableColumn>
    <tableColumn id="7" xr3:uid="{18B0115C-4F35-4150-9D43-0F28A0D12534}" uniqueName="7" name="Holiday" queryTableFieldId="7"/>
    <tableColumn id="8" xr3:uid="{D848F5D1-5E46-4D15-AEB2-538DA79F5F10}" uniqueName="8" name="Week day" queryTableFieldId="8"/>
    <tableColumn id="17" xr3:uid="{DAB92EEE-A4BE-4CB0-B4E1-984C99951754}" uniqueName="17" name="Days" queryTableFieldId="17" dataDxfId="183">
      <calculatedColumnFormula>_xlfn.XLOOKUP(Append15[[#This Row],[Week day]],Mappings!$B$3:$B$9,Mappings!$C$3:$C$9)</calculatedColumnFormula>
    </tableColumn>
    <tableColumn id="21" xr3:uid="{1889C6A0-526D-43CC-8E5B-BAD02A03E9B7}" uniqueName="21" name="Day_Type" queryTableFieldId="20" dataDxfId="182">
      <calculatedColumnFormula>IF(OR(H2=0,H2=6),"Weekend","Weekday")</calculatedColumnFormula>
    </tableColumn>
    <tableColumn id="9" xr3:uid="{BED93838-C100-43E3-8708-FC2D4503B425}" uniqueName="9" name="WeatherSituation" queryTableFieldId="9"/>
    <tableColumn id="18" xr3:uid="{8CAEF46E-6DD3-46C8-A898-50B5E026B63B}" uniqueName="18" name="Weather_Type" queryTableFieldId="18" dataDxfId="181">
      <calculatedColumnFormula>_xlfn.XLOOKUP(Append15[[#This Row],[WeatherSituation]],Mappings!$E$3:$E$6,Mappings!$F$3:$F$6)</calculatedColumnFormula>
    </tableColumn>
    <tableColumn id="10" xr3:uid="{C59F7CF5-C830-45D1-AF8D-88BC0258BA69}" uniqueName="10" name="Temp" queryTableFieldId="10"/>
    <tableColumn id="11" xr3:uid="{E503FA42-CDA1-4C2C-9D8B-087BF40EAE4A}" uniqueName="11" name="ATemp" queryTableFieldId="11"/>
    <tableColumn id="12" xr3:uid="{CF741134-6ED6-4D19-90C7-36A04892596D}" uniqueName="12" name="Humidity" queryTableFieldId="12"/>
    <tableColumn id="13" xr3:uid="{6197F8B6-2A77-4615-88EC-554F56CDEF42}" uniqueName="13" name="WindSpeed" queryTableFieldId="13"/>
    <tableColumn id="14" xr3:uid="{923DC11B-4081-4512-91AD-B4B913819E88}" uniqueName="14" name="Casuals" queryTableFieldId="14"/>
    <tableColumn id="15" xr3:uid="{47AC95C0-67EF-4AA8-ADAD-3FEDAFFAE929}" uniqueName="15" name="Registered" queryTableFieldId="15"/>
    <tableColumn id="16" xr3:uid="{94F2CDA3-704F-4D0D-A742-8ADE1F7A4AD6}" uniqueName="16" name="Total_Rentals" queryTableFieldId="16"/>
  </tableColumns>
  <tableStyleInfo name="TableStyleLight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2570620-CECA-4400-B8B3-637EC1145A59}" name="Table8" displayName="Table8" ref="A1:E78" totalsRowShown="0">
  <autoFilter ref="A1:E78" xr:uid="{42570620-CECA-4400-B8B3-637EC1145A59}"/>
  <tableColumns count="5">
    <tableColumn id="1" xr3:uid="{62CF9D8D-3F93-4229-B5C4-A19C1C737B93}" name="Date" dataDxfId="180"/>
    <tableColumn id="2" xr3:uid="{5CFC9FFF-0C76-4375-BECB-84215C3FEC38}" name="Total Rentals"/>
    <tableColumn id="3" xr3:uid="{E856C40A-8D9C-4857-9663-7F2D759A6E80}" name="Forecast(Total Rentals)">
      <calculatedColumnFormula>_xlfn.FORECAST.ETS(A2,$B$2:$B$46,$A$2:$A$46,7,1)</calculatedColumnFormula>
    </tableColumn>
    <tableColumn id="4" xr3:uid="{E5C26F35-81BE-4FAC-B135-F4F9505099DD}" name="Lower Confidence Bound(Total Rentals)" dataDxfId="179">
      <calculatedColumnFormula>C2-_xlfn.FORECAST.ETS.CONFINT(A2,$B$2:$B$46,$A$2:$A$46,0.95,7,1)</calculatedColumnFormula>
    </tableColumn>
    <tableColumn id="5" xr3:uid="{5B9B096A-5733-49DA-A1F1-2A0267566411}" name="Upper Confidence Bound(Total Rentals)" dataDxfId="178">
      <calculatedColumnFormula>C2+_xlfn.FORECAST.ETS.CONFINT(A2,$B$2:$B$46,$A$2:$A$46,0.95,7,1)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C7AB610-B043-4A87-A462-3D798FD51320}" sourceName="Date">
  <pivotTables>
    <pivotTable tabId="39" name="PivotTable5"/>
    <pivotTable tabId="36" name="PivotTable1"/>
    <pivotTable tabId="36" name="PivotTable2"/>
    <pivotTable tabId="53" name="PivotTable17"/>
    <pivotTable tabId="53" name="PivotTable19"/>
    <pivotTable tabId="54" name="PivotTable18"/>
    <pivotTable tabId="30" name="PivotTable25"/>
    <pivotTable tabId="30" name="PivotTable26"/>
    <pivotTable tabId="33" name="PivotTable32"/>
    <pivotTable tabId="33" name="PivotTable33"/>
    <pivotTable tabId="32" name="PivotTable28"/>
    <pivotTable tabId="32" name="PivotTable29"/>
    <pivotTable tabId="31" name="PivotTable27"/>
    <pivotTable tabId="40" name="PivotTable6"/>
    <pivotTable tabId="29" name="PivotTable22"/>
    <pivotTable tabId="29" name="PivotTable23"/>
    <pivotTable tabId="29" name="PivotTable24"/>
    <pivotTable tabId="29" name="PivotTable30"/>
    <pivotTable tabId="29" name="PivotTable31"/>
    <pivotTable tabId="47" name="PivotTable2"/>
    <pivotTable tabId="47" name="PivotTable3"/>
  </pivotTables>
  <state minimalRefreshVersion="6" lastRefreshVersion="6" pivotCacheId="1490533428"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E3590EE-18FD-4B3C-88EC-F6C62764D218}" cache="NativeTimeline_Date" caption="Date" level="2" selectionLevel="2" scrollPosition="2011-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7.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_rels/sheet27.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27.xml"/><Relationship Id="rId7" Type="http://schemas.openxmlformats.org/officeDocument/2006/relationships/pivotTable" Target="../pivotTables/pivotTable31.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11" Type="http://schemas.microsoft.com/office/2011/relationships/timeline" Target="../timelines/timeline1.xml"/><Relationship Id="rId5" Type="http://schemas.openxmlformats.org/officeDocument/2006/relationships/pivotTable" Target="../pivotTables/pivotTable29.xml"/><Relationship Id="rId10" Type="http://schemas.microsoft.com/office/2007/relationships/slicer" Target="../slicers/slicer1.xml"/><Relationship Id="rId4" Type="http://schemas.openxmlformats.org/officeDocument/2006/relationships/pivotTable" Target="../pivotTables/pivotTable28.xml"/><Relationship Id="rId9"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303CE-1298-4B80-9D97-83ACAD1E362C}">
  <dimension ref="B2:B10"/>
  <sheetViews>
    <sheetView workbookViewId="0">
      <selection activeCell="E13" sqref="E13"/>
    </sheetView>
  </sheetViews>
  <sheetFormatPr defaultRowHeight="14.4" x14ac:dyDescent="0.3"/>
  <sheetData>
    <row r="2" spans="2:2" x14ac:dyDescent="0.3">
      <c r="B2" t="s">
        <v>44</v>
      </c>
    </row>
    <row r="3" spans="2:2" x14ac:dyDescent="0.3">
      <c r="B3" t="s">
        <v>45</v>
      </c>
    </row>
    <row r="4" spans="2:2" x14ac:dyDescent="0.3">
      <c r="B4" t="s">
        <v>46</v>
      </c>
    </row>
    <row r="5" spans="2:2" x14ac:dyDescent="0.3">
      <c r="B5" t="s">
        <v>47</v>
      </c>
    </row>
    <row r="6" spans="2:2" x14ac:dyDescent="0.3">
      <c r="B6" t="s">
        <v>156</v>
      </c>
    </row>
    <row r="7" spans="2:2" x14ac:dyDescent="0.3">
      <c r="B7" t="s">
        <v>157</v>
      </c>
    </row>
    <row r="9" spans="2:2" x14ac:dyDescent="0.3">
      <c r="B9" t="s">
        <v>170</v>
      </c>
    </row>
    <row r="10" spans="2:2" x14ac:dyDescent="0.3">
      <c r="B10" t="s">
        <v>171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77A40-6A42-417D-98A2-77838925C186}">
  <dimension ref="A1:R391"/>
  <sheetViews>
    <sheetView workbookViewId="0">
      <selection sqref="A1:P391"/>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8" x14ac:dyDescent="0.3">
      <c r="A2">
        <v>611</v>
      </c>
      <c r="B2" s="4">
        <v>40571</v>
      </c>
      <c r="C2">
        <v>1</v>
      </c>
      <c r="D2">
        <v>0</v>
      </c>
      <c r="E2">
        <v>1</v>
      </c>
      <c r="F2">
        <v>16</v>
      </c>
      <c r="G2" t="b">
        <v>0</v>
      </c>
      <c r="H2">
        <v>5</v>
      </c>
      <c r="I2">
        <v>1</v>
      </c>
      <c r="J2">
        <v>0.22</v>
      </c>
      <c r="K2">
        <v>0.2727</v>
      </c>
      <c r="L2">
        <v>0.8</v>
      </c>
      <c r="M2">
        <v>0</v>
      </c>
      <c r="N2">
        <v>10</v>
      </c>
      <c r="O2">
        <v>70</v>
      </c>
      <c r="P2">
        <v>80</v>
      </c>
      <c r="R2" s="5" t="s">
        <v>73</v>
      </c>
    </row>
    <row r="3" spans="1:18" x14ac:dyDescent="0.3">
      <c r="A3">
        <v>612</v>
      </c>
      <c r="B3" s="4">
        <v>40571</v>
      </c>
      <c r="C3">
        <v>1</v>
      </c>
      <c r="D3">
        <v>0</v>
      </c>
      <c r="E3">
        <v>1</v>
      </c>
      <c r="F3">
        <v>17</v>
      </c>
      <c r="G3" t="b">
        <v>0</v>
      </c>
      <c r="H3">
        <v>5</v>
      </c>
      <c r="I3">
        <v>1</v>
      </c>
      <c r="J3">
        <v>0.24</v>
      </c>
      <c r="K3">
        <v>0.2424</v>
      </c>
      <c r="L3">
        <v>0.75</v>
      </c>
      <c r="M3">
        <v>0.1343</v>
      </c>
      <c r="N3">
        <v>2</v>
      </c>
      <c r="O3">
        <v>147</v>
      </c>
      <c r="P3">
        <v>149</v>
      </c>
    </row>
    <row r="4" spans="1:18" x14ac:dyDescent="0.3">
      <c r="A4">
        <v>613</v>
      </c>
      <c r="B4" s="4">
        <v>40571</v>
      </c>
      <c r="C4">
        <v>1</v>
      </c>
      <c r="D4">
        <v>0</v>
      </c>
      <c r="E4">
        <v>1</v>
      </c>
      <c r="F4">
        <v>18</v>
      </c>
      <c r="G4" t="b">
        <v>0</v>
      </c>
      <c r="H4">
        <v>5</v>
      </c>
      <c r="I4">
        <v>1</v>
      </c>
      <c r="J4">
        <v>0.24</v>
      </c>
      <c r="K4">
        <v>0.2273</v>
      </c>
      <c r="L4">
        <v>0.75</v>
      </c>
      <c r="M4">
        <v>0.19400000000000001</v>
      </c>
      <c r="N4">
        <v>2</v>
      </c>
      <c r="O4">
        <v>107</v>
      </c>
      <c r="P4">
        <v>109</v>
      </c>
    </row>
    <row r="5" spans="1:18" x14ac:dyDescent="0.3">
      <c r="A5">
        <v>614</v>
      </c>
      <c r="B5" s="4">
        <v>40571</v>
      </c>
      <c r="C5">
        <v>1</v>
      </c>
      <c r="D5">
        <v>0</v>
      </c>
      <c r="E5">
        <v>1</v>
      </c>
      <c r="F5">
        <v>19</v>
      </c>
      <c r="G5" t="b">
        <v>0</v>
      </c>
      <c r="H5">
        <v>5</v>
      </c>
      <c r="I5">
        <v>2</v>
      </c>
      <c r="J5">
        <v>0.24</v>
      </c>
      <c r="K5">
        <v>0.2424</v>
      </c>
      <c r="L5">
        <v>0.75</v>
      </c>
      <c r="M5">
        <v>0.1343</v>
      </c>
      <c r="N5">
        <v>5</v>
      </c>
      <c r="O5">
        <v>84</v>
      </c>
      <c r="P5">
        <v>89</v>
      </c>
    </row>
    <row r="6" spans="1:18" x14ac:dyDescent="0.3">
      <c r="A6">
        <v>615</v>
      </c>
      <c r="B6" s="4">
        <v>40571</v>
      </c>
      <c r="C6">
        <v>1</v>
      </c>
      <c r="D6">
        <v>0</v>
      </c>
      <c r="E6">
        <v>1</v>
      </c>
      <c r="F6">
        <v>20</v>
      </c>
      <c r="G6" t="b">
        <v>0</v>
      </c>
      <c r="H6">
        <v>5</v>
      </c>
      <c r="I6">
        <v>2</v>
      </c>
      <c r="J6">
        <v>0.24</v>
      </c>
      <c r="K6">
        <v>0.2273</v>
      </c>
      <c r="L6">
        <v>0.7</v>
      </c>
      <c r="M6">
        <v>0.19400000000000001</v>
      </c>
      <c r="N6">
        <v>1</v>
      </c>
      <c r="O6">
        <v>61</v>
      </c>
      <c r="P6">
        <v>62</v>
      </c>
    </row>
    <row r="7" spans="1:18" x14ac:dyDescent="0.3">
      <c r="A7">
        <v>616</v>
      </c>
      <c r="B7" s="4">
        <v>40571</v>
      </c>
      <c r="C7">
        <v>1</v>
      </c>
      <c r="D7">
        <v>0</v>
      </c>
      <c r="E7">
        <v>1</v>
      </c>
      <c r="F7">
        <v>21</v>
      </c>
      <c r="G7" t="b">
        <v>0</v>
      </c>
      <c r="H7">
        <v>5</v>
      </c>
      <c r="I7">
        <v>2</v>
      </c>
      <c r="J7">
        <v>0.22</v>
      </c>
      <c r="K7">
        <v>0.2273</v>
      </c>
      <c r="L7">
        <v>0.75</v>
      </c>
      <c r="M7">
        <v>0.1343</v>
      </c>
      <c r="N7">
        <v>1</v>
      </c>
      <c r="O7">
        <v>57</v>
      </c>
      <c r="P7">
        <v>58</v>
      </c>
    </row>
    <row r="8" spans="1:18" x14ac:dyDescent="0.3">
      <c r="A8">
        <v>617</v>
      </c>
      <c r="B8" s="4">
        <v>40571</v>
      </c>
      <c r="C8">
        <v>1</v>
      </c>
      <c r="D8">
        <v>0</v>
      </c>
      <c r="E8">
        <v>1</v>
      </c>
      <c r="F8">
        <v>22</v>
      </c>
      <c r="G8" t="b">
        <v>0</v>
      </c>
      <c r="H8">
        <v>5</v>
      </c>
      <c r="I8">
        <v>1</v>
      </c>
      <c r="J8">
        <v>0.24</v>
      </c>
      <c r="K8">
        <v>0.21210000000000001</v>
      </c>
      <c r="L8">
        <v>0.65</v>
      </c>
      <c r="M8">
        <v>0.35820000000000002</v>
      </c>
      <c r="N8">
        <v>0</v>
      </c>
      <c r="O8">
        <v>26</v>
      </c>
      <c r="P8">
        <v>26</v>
      </c>
    </row>
    <row r="9" spans="1:18" x14ac:dyDescent="0.3">
      <c r="A9">
        <v>618</v>
      </c>
      <c r="B9" s="4">
        <v>40571</v>
      </c>
      <c r="C9">
        <v>1</v>
      </c>
      <c r="D9">
        <v>0</v>
      </c>
      <c r="E9">
        <v>1</v>
      </c>
      <c r="F9">
        <v>23</v>
      </c>
      <c r="G9" t="b">
        <v>0</v>
      </c>
      <c r="H9">
        <v>5</v>
      </c>
      <c r="I9">
        <v>1</v>
      </c>
      <c r="J9">
        <v>0.24</v>
      </c>
      <c r="K9">
        <v>0.2273</v>
      </c>
      <c r="L9">
        <v>0.6</v>
      </c>
      <c r="M9">
        <v>0.22389999999999999</v>
      </c>
      <c r="N9">
        <v>1</v>
      </c>
      <c r="O9">
        <v>22</v>
      </c>
      <c r="P9">
        <v>23</v>
      </c>
    </row>
    <row r="10" spans="1:18" x14ac:dyDescent="0.3">
      <c r="A10">
        <v>619</v>
      </c>
      <c r="B10" s="4">
        <v>40572</v>
      </c>
      <c r="C10">
        <v>1</v>
      </c>
      <c r="D10">
        <v>0</v>
      </c>
      <c r="E10">
        <v>1</v>
      </c>
      <c r="F10">
        <v>0</v>
      </c>
      <c r="G10" t="b">
        <v>0</v>
      </c>
      <c r="H10">
        <v>6</v>
      </c>
      <c r="I10">
        <v>1</v>
      </c>
      <c r="J10">
        <v>0.22</v>
      </c>
      <c r="K10">
        <v>0.19700000000000001</v>
      </c>
      <c r="L10">
        <v>0.64</v>
      </c>
      <c r="M10">
        <v>0.35820000000000002</v>
      </c>
      <c r="N10">
        <v>2</v>
      </c>
      <c r="O10">
        <v>26</v>
      </c>
      <c r="P10">
        <v>28</v>
      </c>
    </row>
    <row r="11" spans="1:18" x14ac:dyDescent="0.3">
      <c r="A11">
        <v>620</v>
      </c>
      <c r="B11" s="4">
        <v>40572</v>
      </c>
      <c r="C11">
        <v>1</v>
      </c>
      <c r="D11">
        <v>0</v>
      </c>
      <c r="E11">
        <v>1</v>
      </c>
      <c r="F11">
        <v>1</v>
      </c>
      <c r="G11" t="b">
        <v>0</v>
      </c>
      <c r="H11">
        <v>6</v>
      </c>
      <c r="I11">
        <v>1</v>
      </c>
      <c r="J11">
        <v>0.22</v>
      </c>
      <c r="K11">
        <v>0.2273</v>
      </c>
      <c r="L11">
        <v>0.64</v>
      </c>
      <c r="M11">
        <v>0.19400000000000001</v>
      </c>
      <c r="N11">
        <v>0</v>
      </c>
      <c r="O11">
        <v>20</v>
      </c>
      <c r="P11">
        <v>20</v>
      </c>
    </row>
    <row r="12" spans="1:18" x14ac:dyDescent="0.3">
      <c r="A12">
        <v>621</v>
      </c>
      <c r="B12" s="4">
        <v>40572</v>
      </c>
      <c r="C12">
        <v>1</v>
      </c>
      <c r="D12">
        <v>0</v>
      </c>
      <c r="E12">
        <v>1</v>
      </c>
      <c r="F12">
        <v>2</v>
      </c>
      <c r="G12" t="b">
        <v>0</v>
      </c>
      <c r="H12">
        <v>6</v>
      </c>
      <c r="I12">
        <v>1</v>
      </c>
      <c r="J12">
        <v>0.22</v>
      </c>
      <c r="K12">
        <v>0.2273</v>
      </c>
      <c r="L12">
        <v>0.64</v>
      </c>
      <c r="M12">
        <v>0.16420000000000001</v>
      </c>
      <c r="N12">
        <v>0</v>
      </c>
      <c r="O12">
        <v>15</v>
      </c>
      <c r="P12">
        <v>15</v>
      </c>
    </row>
    <row r="13" spans="1:18" x14ac:dyDescent="0.3">
      <c r="A13">
        <v>622</v>
      </c>
      <c r="B13" s="4">
        <v>40572</v>
      </c>
      <c r="C13">
        <v>1</v>
      </c>
      <c r="D13">
        <v>0</v>
      </c>
      <c r="E13">
        <v>1</v>
      </c>
      <c r="F13">
        <v>3</v>
      </c>
      <c r="G13" t="b">
        <v>0</v>
      </c>
      <c r="H13">
        <v>6</v>
      </c>
      <c r="I13">
        <v>1</v>
      </c>
      <c r="J13">
        <v>0.2</v>
      </c>
      <c r="K13">
        <v>0.21210000000000001</v>
      </c>
      <c r="L13">
        <v>0.64</v>
      </c>
      <c r="M13">
        <v>0.1343</v>
      </c>
      <c r="N13">
        <v>3</v>
      </c>
      <c r="O13">
        <v>5</v>
      </c>
      <c r="P13">
        <v>8</v>
      </c>
    </row>
    <row r="14" spans="1:18" x14ac:dyDescent="0.3">
      <c r="A14">
        <v>623</v>
      </c>
      <c r="B14" s="4">
        <v>40572</v>
      </c>
      <c r="C14">
        <v>1</v>
      </c>
      <c r="D14">
        <v>0</v>
      </c>
      <c r="E14">
        <v>1</v>
      </c>
      <c r="F14">
        <v>4</v>
      </c>
      <c r="G14" t="b">
        <v>0</v>
      </c>
      <c r="H14">
        <v>6</v>
      </c>
      <c r="I14">
        <v>1</v>
      </c>
      <c r="J14">
        <v>0.16</v>
      </c>
      <c r="K14">
        <v>0.18179999999999999</v>
      </c>
      <c r="L14">
        <v>0.69</v>
      </c>
      <c r="M14">
        <v>0.1045</v>
      </c>
      <c r="N14">
        <v>1</v>
      </c>
      <c r="O14">
        <v>2</v>
      </c>
      <c r="P14">
        <v>3</v>
      </c>
    </row>
    <row r="15" spans="1:18" x14ac:dyDescent="0.3">
      <c r="A15">
        <v>624</v>
      </c>
      <c r="B15" s="4">
        <v>40572</v>
      </c>
      <c r="C15">
        <v>1</v>
      </c>
      <c r="D15">
        <v>0</v>
      </c>
      <c r="E15">
        <v>1</v>
      </c>
      <c r="F15">
        <v>6</v>
      </c>
      <c r="G15" t="b">
        <v>0</v>
      </c>
      <c r="H15">
        <v>6</v>
      </c>
      <c r="I15">
        <v>1</v>
      </c>
      <c r="J15">
        <v>0.16</v>
      </c>
      <c r="K15">
        <v>0.18179999999999999</v>
      </c>
      <c r="L15">
        <v>0.64</v>
      </c>
      <c r="M15">
        <v>0.1343</v>
      </c>
      <c r="N15">
        <v>0</v>
      </c>
      <c r="O15">
        <v>2</v>
      </c>
      <c r="P15">
        <v>2</v>
      </c>
    </row>
    <row r="16" spans="1:18" x14ac:dyDescent="0.3">
      <c r="A16">
        <v>625</v>
      </c>
      <c r="B16" s="4">
        <v>40572</v>
      </c>
      <c r="C16">
        <v>1</v>
      </c>
      <c r="D16">
        <v>0</v>
      </c>
      <c r="E16">
        <v>1</v>
      </c>
      <c r="F16">
        <v>7</v>
      </c>
      <c r="G16" t="b">
        <v>0</v>
      </c>
      <c r="H16">
        <v>6</v>
      </c>
      <c r="I16">
        <v>1</v>
      </c>
      <c r="J16">
        <v>0.16</v>
      </c>
      <c r="K16">
        <v>0.18179999999999999</v>
      </c>
      <c r="L16">
        <v>0.59</v>
      </c>
      <c r="M16">
        <v>0.1045</v>
      </c>
      <c r="N16">
        <v>1</v>
      </c>
      <c r="O16">
        <v>4</v>
      </c>
      <c r="P16">
        <v>5</v>
      </c>
    </row>
    <row r="17" spans="1:16" x14ac:dyDescent="0.3">
      <c r="A17">
        <v>626</v>
      </c>
      <c r="B17" s="4">
        <v>40572</v>
      </c>
      <c r="C17">
        <v>1</v>
      </c>
      <c r="D17">
        <v>0</v>
      </c>
      <c r="E17">
        <v>1</v>
      </c>
      <c r="F17">
        <v>8</v>
      </c>
      <c r="G17" t="b">
        <v>0</v>
      </c>
      <c r="H17">
        <v>6</v>
      </c>
      <c r="I17">
        <v>1</v>
      </c>
      <c r="J17">
        <v>0.18</v>
      </c>
      <c r="K17">
        <v>0.19700000000000001</v>
      </c>
      <c r="L17">
        <v>0.55000000000000004</v>
      </c>
      <c r="M17">
        <v>0.16420000000000001</v>
      </c>
      <c r="N17">
        <v>3</v>
      </c>
      <c r="O17">
        <v>31</v>
      </c>
      <c r="P17">
        <v>34</v>
      </c>
    </row>
    <row r="18" spans="1:16" x14ac:dyDescent="0.3">
      <c r="A18">
        <v>627</v>
      </c>
      <c r="B18" s="4">
        <v>40572</v>
      </c>
      <c r="C18">
        <v>1</v>
      </c>
      <c r="D18">
        <v>0</v>
      </c>
      <c r="E18">
        <v>1</v>
      </c>
      <c r="F18">
        <v>9</v>
      </c>
      <c r="G18" t="b">
        <v>0</v>
      </c>
      <c r="H18">
        <v>6</v>
      </c>
      <c r="I18">
        <v>1</v>
      </c>
      <c r="J18">
        <v>0.18</v>
      </c>
      <c r="K18">
        <v>0.21210000000000001</v>
      </c>
      <c r="L18">
        <v>0.59</v>
      </c>
      <c r="M18">
        <v>8.9599999999999999E-2</v>
      </c>
      <c r="N18">
        <v>0</v>
      </c>
      <c r="O18">
        <v>34</v>
      </c>
      <c r="P18">
        <v>34</v>
      </c>
    </row>
    <row r="19" spans="1:16" x14ac:dyDescent="0.3">
      <c r="A19">
        <v>628</v>
      </c>
      <c r="B19" s="4">
        <v>40572</v>
      </c>
      <c r="C19">
        <v>1</v>
      </c>
      <c r="D19">
        <v>0</v>
      </c>
      <c r="E19">
        <v>1</v>
      </c>
      <c r="F19">
        <v>10</v>
      </c>
      <c r="G19" t="b">
        <v>0</v>
      </c>
      <c r="H19">
        <v>6</v>
      </c>
      <c r="I19">
        <v>2</v>
      </c>
      <c r="J19">
        <v>0.18</v>
      </c>
      <c r="K19">
        <v>0.21210000000000001</v>
      </c>
      <c r="L19">
        <v>0.64</v>
      </c>
      <c r="M19">
        <v>0.1045</v>
      </c>
      <c r="N19">
        <v>4</v>
      </c>
      <c r="O19">
        <v>51</v>
      </c>
      <c r="P19">
        <v>55</v>
      </c>
    </row>
    <row r="20" spans="1:16" x14ac:dyDescent="0.3">
      <c r="A20">
        <v>629</v>
      </c>
      <c r="B20" s="4">
        <v>40572</v>
      </c>
      <c r="C20">
        <v>1</v>
      </c>
      <c r="D20">
        <v>0</v>
      </c>
      <c r="E20">
        <v>1</v>
      </c>
      <c r="F20">
        <v>11</v>
      </c>
      <c r="G20" t="b">
        <v>0</v>
      </c>
      <c r="H20">
        <v>6</v>
      </c>
      <c r="I20">
        <v>2</v>
      </c>
      <c r="J20">
        <v>0.18</v>
      </c>
      <c r="K20">
        <v>0.19700000000000001</v>
      </c>
      <c r="L20">
        <v>0.64</v>
      </c>
      <c r="M20">
        <v>0.1343</v>
      </c>
      <c r="N20">
        <v>4</v>
      </c>
      <c r="O20">
        <v>60</v>
      </c>
      <c r="P20">
        <v>64</v>
      </c>
    </row>
    <row r="21" spans="1:16" x14ac:dyDescent="0.3">
      <c r="A21">
        <v>630</v>
      </c>
      <c r="B21" s="4">
        <v>40572</v>
      </c>
      <c r="C21">
        <v>1</v>
      </c>
      <c r="D21">
        <v>0</v>
      </c>
      <c r="E21">
        <v>1</v>
      </c>
      <c r="F21">
        <v>12</v>
      </c>
      <c r="G21" t="b">
        <v>0</v>
      </c>
      <c r="H21">
        <v>6</v>
      </c>
      <c r="I21">
        <v>2</v>
      </c>
      <c r="J21">
        <v>0.2</v>
      </c>
      <c r="K21">
        <v>0.19700000000000001</v>
      </c>
      <c r="L21">
        <v>0.59</v>
      </c>
      <c r="M21">
        <v>0.19400000000000001</v>
      </c>
      <c r="N21">
        <v>12</v>
      </c>
      <c r="O21">
        <v>66</v>
      </c>
      <c r="P21">
        <v>78</v>
      </c>
    </row>
    <row r="22" spans="1:16" x14ac:dyDescent="0.3">
      <c r="A22">
        <v>631</v>
      </c>
      <c r="B22" s="4">
        <v>40572</v>
      </c>
      <c r="C22">
        <v>1</v>
      </c>
      <c r="D22">
        <v>0</v>
      </c>
      <c r="E22">
        <v>1</v>
      </c>
      <c r="F22">
        <v>13</v>
      </c>
      <c r="G22" t="b">
        <v>0</v>
      </c>
      <c r="H22">
        <v>6</v>
      </c>
      <c r="I22">
        <v>2</v>
      </c>
      <c r="J22">
        <v>0.22</v>
      </c>
      <c r="K22">
        <v>0.2273</v>
      </c>
      <c r="L22">
        <v>0.55000000000000004</v>
      </c>
      <c r="M22">
        <v>0.16420000000000001</v>
      </c>
      <c r="N22">
        <v>9</v>
      </c>
      <c r="O22">
        <v>56</v>
      </c>
      <c r="P22">
        <v>65</v>
      </c>
    </row>
    <row r="23" spans="1:16" x14ac:dyDescent="0.3">
      <c r="A23">
        <v>632</v>
      </c>
      <c r="B23" s="4">
        <v>40572</v>
      </c>
      <c r="C23">
        <v>1</v>
      </c>
      <c r="D23">
        <v>0</v>
      </c>
      <c r="E23">
        <v>1</v>
      </c>
      <c r="F23">
        <v>14</v>
      </c>
      <c r="G23" t="b">
        <v>0</v>
      </c>
      <c r="H23">
        <v>6</v>
      </c>
      <c r="I23">
        <v>2</v>
      </c>
      <c r="J23">
        <v>0.22</v>
      </c>
      <c r="K23">
        <v>0.2273</v>
      </c>
      <c r="L23">
        <v>0.6</v>
      </c>
      <c r="M23">
        <v>0.1343</v>
      </c>
      <c r="N23">
        <v>10</v>
      </c>
      <c r="O23">
        <v>89</v>
      </c>
      <c r="P23">
        <v>99</v>
      </c>
    </row>
    <row r="24" spans="1:16" x14ac:dyDescent="0.3">
      <c r="A24">
        <v>633</v>
      </c>
      <c r="B24" s="4">
        <v>40572</v>
      </c>
      <c r="C24">
        <v>1</v>
      </c>
      <c r="D24">
        <v>0</v>
      </c>
      <c r="E24">
        <v>1</v>
      </c>
      <c r="F24">
        <v>15</v>
      </c>
      <c r="G24" t="b">
        <v>0</v>
      </c>
      <c r="H24">
        <v>6</v>
      </c>
      <c r="I24">
        <v>1</v>
      </c>
      <c r="J24">
        <v>0.22</v>
      </c>
      <c r="K24">
        <v>0.21210000000000001</v>
      </c>
      <c r="L24">
        <v>0.69</v>
      </c>
      <c r="M24">
        <v>0.25369999999999998</v>
      </c>
      <c r="N24">
        <v>22</v>
      </c>
      <c r="O24">
        <v>98</v>
      </c>
      <c r="P24">
        <v>120</v>
      </c>
    </row>
    <row r="25" spans="1:16" x14ac:dyDescent="0.3">
      <c r="A25">
        <v>634</v>
      </c>
      <c r="B25" s="4">
        <v>40572</v>
      </c>
      <c r="C25">
        <v>1</v>
      </c>
      <c r="D25">
        <v>0</v>
      </c>
      <c r="E25">
        <v>1</v>
      </c>
      <c r="F25">
        <v>16</v>
      </c>
      <c r="G25" t="b">
        <v>0</v>
      </c>
      <c r="H25">
        <v>6</v>
      </c>
      <c r="I25">
        <v>1</v>
      </c>
      <c r="J25">
        <v>0.24</v>
      </c>
      <c r="K25">
        <v>0.2424</v>
      </c>
      <c r="L25">
        <v>0.6</v>
      </c>
      <c r="M25">
        <v>0.16420000000000001</v>
      </c>
      <c r="N25">
        <v>19</v>
      </c>
      <c r="O25">
        <v>88</v>
      </c>
      <c r="P25">
        <v>107</v>
      </c>
    </row>
    <row r="26" spans="1:16" x14ac:dyDescent="0.3">
      <c r="A26">
        <v>635</v>
      </c>
      <c r="B26" s="4">
        <v>40572</v>
      </c>
      <c r="C26">
        <v>1</v>
      </c>
      <c r="D26">
        <v>0</v>
      </c>
      <c r="E26">
        <v>1</v>
      </c>
      <c r="F26">
        <v>17</v>
      </c>
      <c r="G26" t="b">
        <v>0</v>
      </c>
      <c r="H26">
        <v>6</v>
      </c>
      <c r="I26">
        <v>1</v>
      </c>
      <c r="J26">
        <v>0.24</v>
      </c>
      <c r="K26">
        <v>0.28789999999999999</v>
      </c>
      <c r="L26">
        <v>0.6</v>
      </c>
      <c r="M26">
        <v>0</v>
      </c>
      <c r="N26">
        <v>9</v>
      </c>
      <c r="O26">
        <v>82</v>
      </c>
      <c r="P26">
        <v>91</v>
      </c>
    </row>
    <row r="27" spans="1:16" x14ac:dyDescent="0.3">
      <c r="A27">
        <v>636</v>
      </c>
      <c r="B27" s="4">
        <v>40572</v>
      </c>
      <c r="C27">
        <v>1</v>
      </c>
      <c r="D27">
        <v>0</v>
      </c>
      <c r="E27">
        <v>1</v>
      </c>
      <c r="F27">
        <v>18</v>
      </c>
      <c r="G27" t="b">
        <v>0</v>
      </c>
      <c r="H27">
        <v>6</v>
      </c>
      <c r="I27">
        <v>1</v>
      </c>
      <c r="J27">
        <v>0.22</v>
      </c>
      <c r="K27">
        <v>0.2273</v>
      </c>
      <c r="L27">
        <v>0.69</v>
      </c>
      <c r="M27">
        <v>0.1343</v>
      </c>
      <c r="N27">
        <v>9</v>
      </c>
      <c r="O27">
        <v>59</v>
      </c>
      <c r="P27">
        <v>68</v>
      </c>
    </row>
    <row r="28" spans="1:16" x14ac:dyDescent="0.3">
      <c r="A28">
        <v>637</v>
      </c>
      <c r="B28" s="4">
        <v>40572</v>
      </c>
      <c r="C28">
        <v>1</v>
      </c>
      <c r="D28">
        <v>0</v>
      </c>
      <c r="E28">
        <v>1</v>
      </c>
      <c r="F28">
        <v>19</v>
      </c>
      <c r="G28" t="b">
        <v>0</v>
      </c>
      <c r="H28">
        <v>6</v>
      </c>
      <c r="I28">
        <v>2</v>
      </c>
      <c r="J28">
        <v>0.22</v>
      </c>
      <c r="K28">
        <v>0.21210000000000001</v>
      </c>
      <c r="L28">
        <v>0.69</v>
      </c>
      <c r="M28">
        <v>0.25369999999999998</v>
      </c>
      <c r="N28">
        <v>6</v>
      </c>
      <c r="O28">
        <v>52</v>
      </c>
      <c r="P28">
        <v>58</v>
      </c>
    </row>
    <row r="29" spans="1:16" x14ac:dyDescent="0.3">
      <c r="A29">
        <v>638</v>
      </c>
      <c r="B29" s="4">
        <v>40572</v>
      </c>
      <c r="C29">
        <v>1</v>
      </c>
      <c r="D29">
        <v>0</v>
      </c>
      <c r="E29">
        <v>1</v>
      </c>
      <c r="F29">
        <v>20</v>
      </c>
      <c r="G29" t="b">
        <v>0</v>
      </c>
      <c r="H29">
        <v>6</v>
      </c>
      <c r="I29">
        <v>1</v>
      </c>
      <c r="J29">
        <v>0.18</v>
      </c>
      <c r="K29">
        <v>0.21210000000000001</v>
      </c>
      <c r="L29">
        <v>0.74</v>
      </c>
      <c r="M29">
        <v>8.9599999999999999E-2</v>
      </c>
      <c r="N29">
        <v>1</v>
      </c>
      <c r="O29">
        <v>42</v>
      </c>
      <c r="P29">
        <v>43</v>
      </c>
    </row>
    <row r="30" spans="1:16" x14ac:dyDescent="0.3">
      <c r="A30">
        <v>639</v>
      </c>
      <c r="B30" s="4">
        <v>40572</v>
      </c>
      <c r="C30">
        <v>1</v>
      </c>
      <c r="D30">
        <v>0</v>
      </c>
      <c r="E30">
        <v>1</v>
      </c>
      <c r="F30">
        <v>21</v>
      </c>
      <c r="G30" t="b">
        <v>0</v>
      </c>
      <c r="H30">
        <v>6</v>
      </c>
      <c r="I30">
        <v>1</v>
      </c>
      <c r="J30">
        <v>0.18</v>
      </c>
      <c r="K30">
        <v>0.21210000000000001</v>
      </c>
      <c r="L30">
        <v>0.74</v>
      </c>
      <c r="M30">
        <v>8.9599999999999999E-2</v>
      </c>
      <c r="N30">
        <v>1</v>
      </c>
      <c r="O30">
        <v>35</v>
      </c>
      <c r="P30">
        <v>36</v>
      </c>
    </row>
    <row r="31" spans="1:16" x14ac:dyDescent="0.3">
      <c r="A31">
        <v>640</v>
      </c>
      <c r="B31" s="4">
        <v>40572</v>
      </c>
      <c r="C31">
        <v>1</v>
      </c>
      <c r="D31">
        <v>0</v>
      </c>
      <c r="E31">
        <v>1</v>
      </c>
      <c r="F31">
        <v>22</v>
      </c>
      <c r="G31" t="b">
        <v>0</v>
      </c>
      <c r="H31">
        <v>6</v>
      </c>
      <c r="I31">
        <v>1</v>
      </c>
      <c r="J31">
        <v>0.16</v>
      </c>
      <c r="K31">
        <v>0.19700000000000001</v>
      </c>
      <c r="L31">
        <v>0.8</v>
      </c>
      <c r="M31">
        <v>8.9599999999999999E-2</v>
      </c>
      <c r="N31">
        <v>4</v>
      </c>
      <c r="O31">
        <v>28</v>
      </c>
      <c r="P31">
        <v>32</v>
      </c>
    </row>
    <row r="32" spans="1:16" x14ac:dyDescent="0.3">
      <c r="A32">
        <v>641</v>
      </c>
      <c r="B32" s="4">
        <v>40572</v>
      </c>
      <c r="C32">
        <v>1</v>
      </c>
      <c r="D32">
        <v>0</v>
      </c>
      <c r="E32">
        <v>1</v>
      </c>
      <c r="F32">
        <v>23</v>
      </c>
      <c r="G32" t="b">
        <v>0</v>
      </c>
      <c r="H32">
        <v>6</v>
      </c>
      <c r="I32">
        <v>1</v>
      </c>
      <c r="J32">
        <v>0.16</v>
      </c>
      <c r="K32">
        <v>0.19700000000000001</v>
      </c>
      <c r="L32">
        <v>0.8</v>
      </c>
      <c r="M32">
        <v>8.9599999999999999E-2</v>
      </c>
      <c r="N32">
        <v>3</v>
      </c>
      <c r="O32">
        <v>30</v>
      </c>
      <c r="P32">
        <v>33</v>
      </c>
    </row>
    <row r="33" spans="1:16" x14ac:dyDescent="0.3">
      <c r="A33">
        <v>642</v>
      </c>
      <c r="B33" s="4">
        <v>40573</v>
      </c>
      <c r="C33">
        <v>1</v>
      </c>
      <c r="D33">
        <v>0</v>
      </c>
      <c r="E33">
        <v>1</v>
      </c>
      <c r="F33">
        <v>0</v>
      </c>
      <c r="G33" t="b">
        <v>0</v>
      </c>
      <c r="H33">
        <v>0</v>
      </c>
      <c r="I33">
        <v>1</v>
      </c>
      <c r="J33">
        <v>0.16</v>
      </c>
      <c r="K33">
        <v>0.18179999999999999</v>
      </c>
      <c r="L33">
        <v>0.8</v>
      </c>
      <c r="M33">
        <v>0.1045</v>
      </c>
      <c r="N33">
        <v>0</v>
      </c>
      <c r="O33">
        <v>33</v>
      </c>
      <c r="P33">
        <v>33</v>
      </c>
    </row>
    <row r="34" spans="1:16" x14ac:dyDescent="0.3">
      <c r="A34">
        <v>643</v>
      </c>
      <c r="B34" s="4">
        <v>40573</v>
      </c>
      <c r="C34">
        <v>1</v>
      </c>
      <c r="D34">
        <v>0</v>
      </c>
      <c r="E34">
        <v>1</v>
      </c>
      <c r="F34">
        <v>1</v>
      </c>
      <c r="G34" t="b">
        <v>0</v>
      </c>
      <c r="H34">
        <v>0</v>
      </c>
      <c r="I34">
        <v>1</v>
      </c>
      <c r="J34">
        <v>0.14000000000000001</v>
      </c>
      <c r="K34">
        <v>0.21210000000000001</v>
      </c>
      <c r="L34">
        <v>0.8</v>
      </c>
      <c r="M34">
        <v>0</v>
      </c>
      <c r="N34">
        <v>7</v>
      </c>
      <c r="O34">
        <v>22</v>
      </c>
      <c r="P34">
        <v>29</v>
      </c>
    </row>
    <row r="35" spans="1:16" x14ac:dyDescent="0.3">
      <c r="A35">
        <v>644</v>
      </c>
      <c r="B35" s="4">
        <v>40573</v>
      </c>
      <c r="C35">
        <v>1</v>
      </c>
      <c r="D35">
        <v>0</v>
      </c>
      <c r="E35">
        <v>1</v>
      </c>
      <c r="F35">
        <v>2</v>
      </c>
      <c r="G35" t="b">
        <v>0</v>
      </c>
      <c r="H35">
        <v>0</v>
      </c>
      <c r="I35">
        <v>1</v>
      </c>
      <c r="J35">
        <v>0.16</v>
      </c>
      <c r="K35">
        <v>0.2273</v>
      </c>
      <c r="L35">
        <v>0.8</v>
      </c>
      <c r="M35">
        <v>0</v>
      </c>
      <c r="N35">
        <v>1</v>
      </c>
      <c r="O35">
        <v>10</v>
      </c>
      <c r="P35">
        <v>11</v>
      </c>
    </row>
    <row r="36" spans="1:16" x14ac:dyDescent="0.3">
      <c r="A36">
        <v>645</v>
      </c>
      <c r="B36" s="4">
        <v>40573</v>
      </c>
      <c r="C36">
        <v>1</v>
      </c>
      <c r="D36">
        <v>0</v>
      </c>
      <c r="E36">
        <v>1</v>
      </c>
      <c r="F36">
        <v>3</v>
      </c>
      <c r="G36" t="b">
        <v>0</v>
      </c>
      <c r="H36">
        <v>0</v>
      </c>
      <c r="I36">
        <v>1</v>
      </c>
      <c r="J36">
        <v>0.14000000000000001</v>
      </c>
      <c r="K36">
        <v>0.21210000000000001</v>
      </c>
      <c r="L36">
        <v>0.93</v>
      </c>
      <c r="M36">
        <v>0</v>
      </c>
      <c r="N36">
        <v>1</v>
      </c>
      <c r="O36">
        <v>7</v>
      </c>
      <c r="P36">
        <v>8</v>
      </c>
    </row>
    <row r="37" spans="1:16" x14ac:dyDescent="0.3">
      <c r="A37">
        <v>646</v>
      </c>
      <c r="B37" s="4">
        <v>40573</v>
      </c>
      <c r="C37">
        <v>1</v>
      </c>
      <c r="D37">
        <v>0</v>
      </c>
      <c r="E37">
        <v>1</v>
      </c>
      <c r="F37">
        <v>4</v>
      </c>
      <c r="G37" t="b">
        <v>0</v>
      </c>
      <c r="H37">
        <v>0</v>
      </c>
      <c r="I37">
        <v>1</v>
      </c>
      <c r="J37">
        <v>0.14000000000000001</v>
      </c>
      <c r="K37">
        <v>0.21210000000000001</v>
      </c>
      <c r="L37">
        <v>0.93</v>
      </c>
      <c r="M37">
        <v>0</v>
      </c>
      <c r="N37">
        <v>0</v>
      </c>
      <c r="O37">
        <v>1</v>
      </c>
      <c r="P37">
        <v>1</v>
      </c>
    </row>
    <row r="38" spans="1:16" x14ac:dyDescent="0.3">
      <c r="A38">
        <v>647</v>
      </c>
      <c r="B38" s="4">
        <v>40573</v>
      </c>
      <c r="C38">
        <v>1</v>
      </c>
      <c r="D38">
        <v>0</v>
      </c>
      <c r="E38">
        <v>1</v>
      </c>
      <c r="F38">
        <v>5</v>
      </c>
      <c r="G38" t="b">
        <v>0</v>
      </c>
      <c r="H38">
        <v>0</v>
      </c>
      <c r="I38">
        <v>1</v>
      </c>
      <c r="J38">
        <v>0.14000000000000001</v>
      </c>
      <c r="K38">
        <v>0.21210000000000001</v>
      </c>
      <c r="L38">
        <v>0.86</v>
      </c>
      <c r="M38">
        <v>0</v>
      </c>
      <c r="N38">
        <v>0</v>
      </c>
      <c r="O38">
        <v>3</v>
      </c>
      <c r="P38">
        <v>3</v>
      </c>
    </row>
    <row r="39" spans="1:16" x14ac:dyDescent="0.3">
      <c r="A39">
        <v>648</v>
      </c>
      <c r="B39" s="4">
        <v>40573</v>
      </c>
      <c r="C39">
        <v>1</v>
      </c>
      <c r="D39">
        <v>0</v>
      </c>
      <c r="E39">
        <v>1</v>
      </c>
      <c r="F39">
        <v>7</v>
      </c>
      <c r="G39" t="b">
        <v>0</v>
      </c>
      <c r="H39">
        <v>0</v>
      </c>
      <c r="I39">
        <v>1</v>
      </c>
      <c r="J39">
        <v>0.14000000000000001</v>
      </c>
      <c r="K39">
        <v>0.21210000000000001</v>
      </c>
      <c r="L39">
        <v>0.86</v>
      </c>
      <c r="M39">
        <v>0</v>
      </c>
      <c r="N39">
        <v>0</v>
      </c>
      <c r="O39">
        <v>3</v>
      </c>
      <c r="P39">
        <v>3</v>
      </c>
    </row>
    <row r="40" spans="1:16" x14ac:dyDescent="0.3">
      <c r="A40">
        <v>649</v>
      </c>
      <c r="B40" s="4">
        <v>40573</v>
      </c>
      <c r="C40">
        <v>1</v>
      </c>
      <c r="D40">
        <v>0</v>
      </c>
      <c r="E40">
        <v>1</v>
      </c>
      <c r="F40">
        <v>8</v>
      </c>
      <c r="G40" t="b">
        <v>0</v>
      </c>
      <c r="H40">
        <v>0</v>
      </c>
      <c r="I40">
        <v>2</v>
      </c>
      <c r="J40">
        <v>0.14000000000000001</v>
      </c>
      <c r="K40">
        <v>0.21210000000000001</v>
      </c>
      <c r="L40">
        <v>0.86</v>
      </c>
      <c r="M40">
        <v>0</v>
      </c>
      <c r="N40">
        <v>1</v>
      </c>
      <c r="O40">
        <v>11</v>
      </c>
      <c r="P40">
        <v>12</v>
      </c>
    </row>
    <row r="41" spans="1:16" x14ac:dyDescent="0.3">
      <c r="A41">
        <v>650</v>
      </c>
      <c r="B41" s="4">
        <v>40573</v>
      </c>
      <c r="C41">
        <v>1</v>
      </c>
      <c r="D41">
        <v>0</v>
      </c>
      <c r="E41">
        <v>1</v>
      </c>
      <c r="F41">
        <v>9</v>
      </c>
      <c r="G41" t="b">
        <v>0</v>
      </c>
      <c r="H41">
        <v>0</v>
      </c>
      <c r="I41">
        <v>2</v>
      </c>
      <c r="J41">
        <v>0.16</v>
      </c>
      <c r="K41">
        <v>0.2273</v>
      </c>
      <c r="L41">
        <v>0.8</v>
      </c>
      <c r="M41">
        <v>0</v>
      </c>
      <c r="N41">
        <v>4</v>
      </c>
      <c r="O41">
        <v>34</v>
      </c>
      <c r="P41">
        <v>38</v>
      </c>
    </row>
    <row r="42" spans="1:16" x14ac:dyDescent="0.3">
      <c r="A42">
        <v>651</v>
      </c>
      <c r="B42" s="4">
        <v>40573</v>
      </c>
      <c r="C42">
        <v>1</v>
      </c>
      <c r="D42">
        <v>0</v>
      </c>
      <c r="E42">
        <v>1</v>
      </c>
      <c r="F42">
        <v>10</v>
      </c>
      <c r="G42" t="b">
        <v>0</v>
      </c>
      <c r="H42">
        <v>0</v>
      </c>
      <c r="I42">
        <v>2</v>
      </c>
      <c r="J42">
        <v>0.18</v>
      </c>
      <c r="K42">
        <v>0.2424</v>
      </c>
      <c r="L42">
        <v>0.8</v>
      </c>
      <c r="M42">
        <v>0</v>
      </c>
      <c r="N42">
        <v>7</v>
      </c>
      <c r="O42">
        <v>57</v>
      </c>
      <c r="P42">
        <v>64</v>
      </c>
    </row>
    <row r="43" spans="1:16" x14ac:dyDescent="0.3">
      <c r="A43">
        <v>652</v>
      </c>
      <c r="B43" s="4">
        <v>40573</v>
      </c>
      <c r="C43">
        <v>1</v>
      </c>
      <c r="D43">
        <v>0</v>
      </c>
      <c r="E43">
        <v>1</v>
      </c>
      <c r="F43">
        <v>11</v>
      </c>
      <c r="G43" t="b">
        <v>0</v>
      </c>
      <c r="H43">
        <v>0</v>
      </c>
      <c r="I43">
        <v>1</v>
      </c>
      <c r="J43">
        <v>0.22</v>
      </c>
      <c r="K43">
        <v>0.2727</v>
      </c>
      <c r="L43">
        <v>0.75</v>
      </c>
      <c r="M43">
        <v>0</v>
      </c>
      <c r="N43">
        <v>9</v>
      </c>
      <c r="O43">
        <v>50</v>
      </c>
      <c r="P43">
        <v>59</v>
      </c>
    </row>
    <row r="44" spans="1:16" x14ac:dyDescent="0.3">
      <c r="A44">
        <v>653</v>
      </c>
      <c r="B44" s="4">
        <v>40573</v>
      </c>
      <c r="C44">
        <v>1</v>
      </c>
      <c r="D44">
        <v>0</v>
      </c>
      <c r="E44">
        <v>1</v>
      </c>
      <c r="F44">
        <v>12</v>
      </c>
      <c r="G44" t="b">
        <v>0</v>
      </c>
      <c r="H44">
        <v>0</v>
      </c>
      <c r="I44">
        <v>1</v>
      </c>
      <c r="J44">
        <v>0.3</v>
      </c>
      <c r="K44">
        <v>0.31819999999999998</v>
      </c>
      <c r="L44">
        <v>0.52</v>
      </c>
      <c r="M44">
        <v>0.1045</v>
      </c>
      <c r="N44">
        <v>10</v>
      </c>
      <c r="O44">
        <v>87</v>
      </c>
      <c r="P44">
        <v>97</v>
      </c>
    </row>
    <row r="45" spans="1:16" x14ac:dyDescent="0.3">
      <c r="A45">
        <v>654</v>
      </c>
      <c r="B45" s="4">
        <v>40573</v>
      </c>
      <c r="C45">
        <v>1</v>
      </c>
      <c r="D45">
        <v>0</v>
      </c>
      <c r="E45">
        <v>1</v>
      </c>
      <c r="F45">
        <v>13</v>
      </c>
      <c r="G45" t="b">
        <v>0</v>
      </c>
      <c r="H45">
        <v>0</v>
      </c>
      <c r="I45">
        <v>1</v>
      </c>
      <c r="J45">
        <v>0.28000000000000003</v>
      </c>
      <c r="K45">
        <v>0.28789999999999999</v>
      </c>
      <c r="L45">
        <v>0.61</v>
      </c>
      <c r="M45">
        <v>0.1045</v>
      </c>
      <c r="N45">
        <v>13</v>
      </c>
      <c r="O45">
        <v>71</v>
      </c>
      <c r="P45">
        <v>84</v>
      </c>
    </row>
    <row r="46" spans="1:16" x14ac:dyDescent="0.3">
      <c r="A46">
        <v>655</v>
      </c>
      <c r="B46" s="4">
        <v>40573</v>
      </c>
      <c r="C46">
        <v>1</v>
      </c>
      <c r="D46">
        <v>0</v>
      </c>
      <c r="E46">
        <v>1</v>
      </c>
      <c r="F46">
        <v>14</v>
      </c>
      <c r="G46" t="b">
        <v>0</v>
      </c>
      <c r="H46">
        <v>0</v>
      </c>
      <c r="I46">
        <v>1</v>
      </c>
      <c r="J46">
        <v>0.28000000000000003</v>
      </c>
      <c r="K46">
        <v>0.30299999999999999</v>
      </c>
      <c r="L46">
        <v>0.61</v>
      </c>
      <c r="M46">
        <v>8.9599999999999999E-2</v>
      </c>
      <c r="N46">
        <v>18</v>
      </c>
      <c r="O46">
        <v>104</v>
      </c>
      <c r="P46">
        <v>122</v>
      </c>
    </row>
    <row r="47" spans="1:16" x14ac:dyDescent="0.3">
      <c r="A47">
        <v>656</v>
      </c>
      <c r="B47" s="4">
        <v>40573</v>
      </c>
      <c r="C47">
        <v>1</v>
      </c>
      <c r="D47">
        <v>0</v>
      </c>
      <c r="E47">
        <v>1</v>
      </c>
      <c r="F47">
        <v>15</v>
      </c>
      <c r="G47" t="b">
        <v>0</v>
      </c>
      <c r="H47">
        <v>0</v>
      </c>
      <c r="I47">
        <v>1</v>
      </c>
      <c r="J47">
        <v>0.3</v>
      </c>
      <c r="K47">
        <v>0.33329999999999999</v>
      </c>
      <c r="L47">
        <v>0.56000000000000005</v>
      </c>
      <c r="M47">
        <v>0</v>
      </c>
      <c r="N47">
        <v>14</v>
      </c>
      <c r="O47">
        <v>95</v>
      </c>
      <c r="P47">
        <v>109</v>
      </c>
    </row>
    <row r="48" spans="1:16" x14ac:dyDescent="0.3">
      <c r="A48">
        <v>657</v>
      </c>
      <c r="B48" s="4">
        <v>40573</v>
      </c>
      <c r="C48">
        <v>1</v>
      </c>
      <c r="D48">
        <v>0</v>
      </c>
      <c r="E48">
        <v>1</v>
      </c>
      <c r="F48">
        <v>16</v>
      </c>
      <c r="G48" t="b">
        <v>0</v>
      </c>
      <c r="H48">
        <v>0</v>
      </c>
      <c r="I48">
        <v>1</v>
      </c>
      <c r="J48">
        <v>0.3</v>
      </c>
      <c r="K48">
        <v>0.33329999999999999</v>
      </c>
      <c r="L48">
        <v>0.56000000000000005</v>
      </c>
      <c r="M48">
        <v>0</v>
      </c>
      <c r="N48">
        <v>19</v>
      </c>
      <c r="O48">
        <v>104</v>
      </c>
      <c r="P48">
        <v>123</v>
      </c>
    </row>
    <row r="49" spans="1:16" x14ac:dyDescent="0.3">
      <c r="A49">
        <v>658</v>
      </c>
      <c r="B49" s="4">
        <v>40573</v>
      </c>
      <c r="C49">
        <v>1</v>
      </c>
      <c r="D49">
        <v>0</v>
      </c>
      <c r="E49">
        <v>1</v>
      </c>
      <c r="F49">
        <v>17</v>
      </c>
      <c r="G49" t="b">
        <v>0</v>
      </c>
      <c r="H49">
        <v>0</v>
      </c>
      <c r="I49">
        <v>1</v>
      </c>
      <c r="J49">
        <v>0.3</v>
      </c>
      <c r="K49">
        <v>0.28789999999999999</v>
      </c>
      <c r="L49">
        <v>0.56000000000000005</v>
      </c>
      <c r="M49">
        <v>0.19400000000000001</v>
      </c>
      <c r="N49">
        <v>6</v>
      </c>
      <c r="O49">
        <v>71</v>
      </c>
      <c r="P49">
        <v>77</v>
      </c>
    </row>
    <row r="50" spans="1:16" x14ac:dyDescent="0.3">
      <c r="A50">
        <v>659</v>
      </c>
      <c r="B50" s="4">
        <v>40573</v>
      </c>
      <c r="C50">
        <v>1</v>
      </c>
      <c r="D50">
        <v>0</v>
      </c>
      <c r="E50">
        <v>1</v>
      </c>
      <c r="F50">
        <v>18</v>
      </c>
      <c r="G50" t="b">
        <v>0</v>
      </c>
      <c r="H50">
        <v>0</v>
      </c>
      <c r="I50">
        <v>1</v>
      </c>
      <c r="J50">
        <v>0.26</v>
      </c>
      <c r="K50">
        <v>0.2576</v>
      </c>
      <c r="L50">
        <v>0.65</v>
      </c>
      <c r="M50">
        <v>0.16420000000000001</v>
      </c>
      <c r="N50">
        <v>8</v>
      </c>
      <c r="O50">
        <v>57</v>
      </c>
      <c r="P50">
        <v>65</v>
      </c>
    </row>
    <row r="51" spans="1:16" x14ac:dyDescent="0.3">
      <c r="A51">
        <v>660</v>
      </c>
      <c r="B51" s="4">
        <v>40573</v>
      </c>
      <c r="C51">
        <v>1</v>
      </c>
      <c r="D51">
        <v>0</v>
      </c>
      <c r="E51">
        <v>1</v>
      </c>
      <c r="F51">
        <v>19</v>
      </c>
      <c r="G51" t="b">
        <v>0</v>
      </c>
      <c r="H51">
        <v>0</v>
      </c>
      <c r="I51">
        <v>1</v>
      </c>
      <c r="J51">
        <v>0.26</v>
      </c>
      <c r="K51">
        <v>0.2576</v>
      </c>
      <c r="L51">
        <v>0.65</v>
      </c>
      <c r="M51">
        <v>0.19400000000000001</v>
      </c>
      <c r="N51">
        <v>9</v>
      </c>
      <c r="O51">
        <v>46</v>
      </c>
      <c r="P51">
        <v>55</v>
      </c>
    </row>
    <row r="52" spans="1:16" x14ac:dyDescent="0.3">
      <c r="A52">
        <v>661</v>
      </c>
      <c r="B52" s="4">
        <v>40573</v>
      </c>
      <c r="C52">
        <v>1</v>
      </c>
      <c r="D52">
        <v>0</v>
      </c>
      <c r="E52">
        <v>1</v>
      </c>
      <c r="F52">
        <v>20</v>
      </c>
      <c r="G52" t="b">
        <v>0</v>
      </c>
      <c r="H52">
        <v>0</v>
      </c>
      <c r="I52">
        <v>2</v>
      </c>
      <c r="J52">
        <v>0.26</v>
      </c>
      <c r="K52">
        <v>0.2727</v>
      </c>
      <c r="L52">
        <v>0.65</v>
      </c>
      <c r="M52">
        <v>0.1045</v>
      </c>
      <c r="N52">
        <v>3</v>
      </c>
      <c r="O52">
        <v>30</v>
      </c>
      <c r="P52">
        <v>33</v>
      </c>
    </row>
    <row r="53" spans="1:16" x14ac:dyDescent="0.3">
      <c r="A53">
        <v>662</v>
      </c>
      <c r="B53" s="4">
        <v>40573</v>
      </c>
      <c r="C53">
        <v>1</v>
      </c>
      <c r="D53">
        <v>0</v>
      </c>
      <c r="E53">
        <v>1</v>
      </c>
      <c r="F53">
        <v>21</v>
      </c>
      <c r="G53" t="b">
        <v>0</v>
      </c>
      <c r="H53">
        <v>0</v>
      </c>
      <c r="I53">
        <v>2</v>
      </c>
      <c r="J53">
        <v>0.24</v>
      </c>
      <c r="K53">
        <v>0.2424</v>
      </c>
      <c r="L53">
        <v>0.7</v>
      </c>
      <c r="M53">
        <v>0.16420000000000001</v>
      </c>
      <c r="N53">
        <v>3</v>
      </c>
      <c r="O53">
        <v>25</v>
      </c>
      <c r="P53">
        <v>28</v>
      </c>
    </row>
    <row r="54" spans="1:16" x14ac:dyDescent="0.3">
      <c r="A54">
        <v>663</v>
      </c>
      <c r="B54" s="4">
        <v>40573</v>
      </c>
      <c r="C54">
        <v>1</v>
      </c>
      <c r="D54">
        <v>0</v>
      </c>
      <c r="E54">
        <v>1</v>
      </c>
      <c r="F54">
        <v>22</v>
      </c>
      <c r="G54" t="b">
        <v>0</v>
      </c>
      <c r="H54">
        <v>0</v>
      </c>
      <c r="I54">
        <v>2</v>
      </c>
      <c r="J54">
        <v>0.24</v>
      </c>
      <c r="K54">
        <v>0.2273</v>
      </c>
      <c r="L54">
        <v>0.7</v>
      </c>
      <c r="M54">
        <v>0.19400000000000001</v>
      </c>
      <c r="N54">
        <v>2</v>
      </c>
      <c r="O54">
        <v>19</v>
      </c>
      <c r="P54">
        <v>21</v>
      </c>
    </row>
    <row r="55" spans="1:16" x14ac:dyDescent="0.3">
      <c r="A55">
        <v>664</v>
      </c>
      <c r="B55" s="4">
        <v>40573</v>
      </c>
      <c r="C55">
        <v>1</v>
      </c>
      <c r="D55">
        <v>0</v>
      </c>
      <c r="E55">
        <v>1</v>
      </c>
      <c r="F55">
        <v>23</v>
      </c>
      <c r="G55" t="b">
        <v>0</v>
      </c>
      <c r="H55">
        <v>0</v>
      </c>
      <c r="I55">
        <v>2</v>
      </c>
      <c r="J55">
        <v>0.24</v>
      </c>
      <c r="K55">
        <v>0.21210000000000001</v>
      </c>
      <c r="L55">
        <v>0.65</v>
      </c>
      <c r="M55">
        <v>0.28360000000000002</v>
      </c>
      <c r="N55">
        <v>5</v>
      </c>
      <c r="O55">
        <v>16</v>
      </c>
      <c r="P55">
        <v>21</v>
      </c>
    </row>
    <row r="56" spans="1:16" x14ac:dyDescent="0.3">
      <c r="A56">
        <v>665</v>
      </c>
      <c r="B56" s="4">
        <v>40574</v>
      </c>
      <c r="C56">
        <v>1</v>
      </c>
      <c r="D56">
        <v>0</v>
      </c>
      <c r="E56">
        <v>1</v>
      </c>
      <c r="F56">
        <v>0</v>
      </c>
      <c r="G56" t="b">
        <v>0</v>
      </c>
      <c r="H56">
        <v>1</v>
      </c>
      <c r="I56">
        <v>2</v>
      </c>
      <c r="J56">
        <v>0.24</v>
      </c>
      <c r="K56">
        <v>0.2273</v>
      </c>
      <c r="L56">
        <v>0.65</v>
      </c>
      <c r="M56">
        <v>0.22389999999999999</v>
      </c>
      <c r="N56">
        <v>1</v>
      </c>
      <c r="O56">
        <v>6</v>
      </c>
      <c r="P56">
        <v>7</v>
      </c>
    </row>
    <row r="57" spans="1:16" x14ac:dyDescent="0.3">
      <c r="A57">
        <v>666</v>
      </c>
      <c r="B57" s="4">
        <v>40574</v>
      </c>
      <c r="C57">
        <v>1</v>
      </c>
      <c r="D57">
        <v>0</v>
      </c>
      <c r="E57">
        <v>1</v>
      </c>
      <c r="F57">
        <v>1</v>
      </c>
      <c r="G57" t="b">
        <v>0</v>
      </c>
      <c r="H57">
        <v>1</v>
      </c>
      <c r="I57">
        <v>1</v>
      </c>
      <c r="J57">
        <v>0.22</v>
      </c>
      <c r="K57">
        <v>0.21210000000000001</v>
      </c>
      <c r="L57">
        <v>0.64</v>
      </c>
      <c r="M57">
        <v>0.25369999999999998</v>
      </c>
      <c r="N57">
        <v>2</v>
      </c>
      <c r="O57">
        <v>5</v>
      </c>
      <c r="P57">
        <v>7</v>
      </c>
    </row>
    <row r="58" spans="1:16" x14ac:dyDescent="0.3">
      <c r="A58">
        <v>667</v>
      </c>
      <c r="B58" s="4">
        <v>40574</v>
      </c>
      <c r="C58">
        <v>1</v>
      </c>
      <c r="D58">
        <v>0</v>
      </c>
      <c r="E58">
        <v>1</v>
      </c>
      <c r="F58">
        <v>2</v>
      </c>
      <c r="G58" t="b">
        <v>0</v>
      </c>
      <c r="H58">
        <v>1</v>
      </c>
      <c r="I58">
        <v>1</v>
      </c>
      <c r="J58">
        <v>0.22</v>
      </c>
      <c r="K58">
        <v>0.2273</v>
      </c>
      <c r="L58">
        <v>0.64</v>
      </c>
      <c r="M58">
        <v>0.19400000000000001</v>
      </c>
      <c r="N58">
        <v>0</v>
      </c>
      <c r="O58">
        <v>1</v>
      </c>
      <c r="P58">
        <v>1</v>
      </c>
    </row>
    <row r="59" spans="1:16" x14ac:dyDescent="0.3">
      <c r="A59">
        <v>668</v>
      </c>
      <c r="B59" s="4">
        <v>40574</v>
      </c>
      <c r="C59">
        <v>1</v>
      </c>
      <c r="D59">
        <v>0</v>
      </c>
      <c r="E59">
        <v>1</v>
      </c>
      <c r="F59">
        <v>3</v>
      </c>
      <c r="G59" t="b">
        <v>0</v>
      </c>
      <c r="H59">
        <v>1</v>
      </c>
      <c r="I59">
        <v>1</v>
      </c>
      <c r="J59">
        <v>0.22</v>
      </c>
      <c r="K59">
        <v>0.2273</v>
      </c>
      <c r="L59">
        <v>0.64</v>
      </c>
      <c r="M59">
        <v>0.19400000000000001</v>
      </c>
      <c r="N59">
        <v>0</v>
      </c>
      <c r="O59">
        <v>2</v>
      </c>
      <c r="P59">
        <v>2</v>
      </c>
    </row>
    <row r="60" spans="1:16" x14ac:dyDescent="0.3">
      <c r="A60">
        <v>669</v>
      </c>
      <c r="B60" s="4">
        <v>40574</v>
      </c>
      <c r="C60">
        <v>1</v>
      </c>
      <c r="D60">
        <v>0</v>
      </c>
      <c r="E60">
        <v>1</v>
      </c>
      <c r="F60">
        <v>4</v>
      </c>
      <c r="G60" t="b">
        <v>0</v>
      </c>
      <c r="H60">
        <v>1</v>
      </c>
      <c r="I60">
        <v>1</v>
      </c>
      <c r="J60">
        <v>0.2</v>
      </c>
      <c r="K60">
        <v>0.19700000000000001</v>
      </c>
      <c r="L60">
        <v>0.59</v>
      </c>
      <c r="M60">
        <v>0.22389999999999999</v>
      </c>
      <c r="N60">
        <v>0</v>
      </c>
      <c r="O60">
        <v>2</v>
      </c>
      <c r="P60">
        <v>2</v>
      </c>
    </row>
    <row r="61" spans="1:16" x14ac:dyDescent="0.3">
      <c r="A61">
        <v>670</v>
      </c>
      <c r="B61" s="4">
        <v>40574</v>
      </c>
      <c r="C61">
        <v>1</v>
      </c>
      <c r="D61">
        <v>0</v>
      </c>
      <c r="E61">
        <v>1</v>
      </c>
      <c r="F61">
        <v>5</v>
      </c>
      <c r="G61" t="b">
        <v>0</v>
      </c>
      <c r="H61">
        <v>1</v>
      </c>
      <c r="I61">
        <v>1</v>
      </c>
      <c r="J61">
        <v>0.18</v>
      </c>
      <c r="K61">
        <v>0.16669999999999999</v>
      </c>
      <c r="L61">
        <v>0.64</v>
      </c>
      <c r="M61">
        <v>0.28360000000000002</v>
      </c>
      <c r="N61">
        <v>0</v>
      </c>
      <c r="O61">
        <v>8</v>
      </c>
      <c r="P61">
        <v>8</v>
      </c>
    </row>
    <row r="62" spans="1:16" x14ac:dyDescent="0.3">
      <c r="A62">
        <v>671</v>
      </c>
      <c r="B62" s="4">
        <v>40574</v>
      </c>
      <c r="C62">
        <v>1</v>
      </c>
      <c r="D62">
        <v>0</v>
      </c>
      <c r="E62">
        <v>1</v>
      </c>
      <c r="F62">
        <v>6</v>
      </c>
      <c r="G62" t="b">
        <v>0</v>
      </c>
      <c r="H62">
        <v>1</v>
      </c>
      <c r="I62">
        <v>1</v>
      </c>
      <c r="J62">
        <v>0.16</v>
      </c>
      <c r="K62">
        <v>0.13639999999999999</v>
      </c>
      <c r="L62">
        <v>0.69</v>
      </c>
      <c r="M62">
        <v>0.32840000000000003</v>
      </c>
      <c r="N62">
        <v>0</v>
      </c>
      <c r="O62">
        <v>37</v>
      </c>
      <c r="P62">
        <v>37</v>
      </c>
    </row>
    <row r="63" spans="1:16" x14ac:dyDescent="0.3">
      <c r="A63">
        <v>672</v>
      </c>
      <c r="B63" s="4">
        <v>40574</v>
      </c>
      <c r="C63">
        <v>1</v>
      </c>
      <c r="D63">
        <v>0</v>
      </c>
      <c r="E63">
        <v>1</v>
      </c>
      <c r="F63">
        <v>7</v>
      </c>
      <c r="G63" t="b">
        <v>0</v>
      </c>
      <c r="H63">
        <v>1</v>
      </c>
      <c r="I63">
        <v>2</v>
      </c>
      <c r="J63">
        <v>0.16</v>
      </c>
      <c r="K63">
        <v>0.13639999999999999</v>
      </c>
      <c r="L63">
        <v>0.64</v>
      </c>
      <c r="M63">
        <v>0.28360000000000002</v>
      </c>
      <c r="N63">
        <v>1</v>
      </c>
      <c r="O63">
        <v>71</v>
      </c>
      <c r="P63">
        <v>72</v>
      </c>
    </row>
    <row r="64" spans="1:16" x14ac:dyDescent="0.3">
      <c r="A64">
        <v>673</v>
      </c>
      <c r="B64" s="4">
        <v>40574</v>
      </c>
      <c r="C64">
        <v>1</v>
      </c>
      <c r="D64">
        <v>0</v>
      </c>
      <c r="E64">
        <v>1</v>
      </c>
      <c r="F64">
        <v>8</v>
      </c>
      <c r="G64" t="b">
        <v>0</v>
      </c>
      <c r="H64">
        <v>1</v>
      </c>
      <c r="I64">
        <v>2</v>
      </c>
      <c r="J64">
        <v>0.16</v>
      </c>
      <c r="K64">
        <v>0.13639999999999999</v>
      </c>
      <c r="L64">
        <v>0.59</v>
      </c>
      <c r="M64">
        <v>0.28360000000000002</v>
      </c>
      <c r="N64">
        <v>3</v>
      </c>
      <c r="O64">
        <v>182</v>
      </c>
      <c r="P64">
        <v>185</v>
      </c>
    </row>
    <row r="65" spans="1:16" x14ac:dyDescent="0.3">
      <c r="A65">
        <v>674</v>
      </c>
      <c r="B65" s="4">
        <v>40574</v>
      </c>
      <c r="C65">
        <v>1</v>
      </c>
      <c r="D65">
        <v>0</v>
      </c>
      <c r="E65">
        <v>1</v>
      </c>
      <c r="F65">
        <v>9</v>
      </c>
      <c r="G65" t="b">
        <v>0</v>
      </c>
      <c r="H65">
        <v>1</v>
      </c>
      <c r="I65">
        <v>2</v>
      </c>
      <c r="J65">
        <v>0.16</v>
      </c>
      <c r="K65">
        <v>0.13639999999999999</v>
      </c>
      <c r="L65">
        <v>0.59</v>
      </c>
      <c r="M65">
        <v>0.29849999999999999</v>
      </c>
      <c r="N65">
        <v>0</v>
      </c>
      <c r="O65">
        <v>112</v>
      </c>
      <c r="P65">
        <v>112</v>
      </c>
    </row>
    <row r="66" spans="1:16" x14ac:dyDescent="0.3">
      <c r="A66">
        <v>675</v>
      </c>
      <c r="B66" s="4">
        <v>40574</v>
      </c>
      <c r="C66">
        <v>1</v>
      </c>
      <c r="D66">
        <v>0</v>
      </c>
      <c r="E66">
        <v>1</v>
      </c>
      <c r="F66">
        <v>10</v>
      </c>
      <c r="G66" t="b">
        <v>0</v>
      </c>
      <c r="H66">
        <v>1</v>
      </c>
      <c r="I66">
        <v>2</v>
      </c>
      <c r="J66">
        <v>0.16</v>
      </c>
      <c r="K66">
        <v>0.1515</v>
      </c>
      <c r="L66">
        <v>0.59</v>
      </c>
      <c r="M66">
        <v>0.19400000000000001</v>
      </c>
      <c r="N66">
        <v>1</v>
      </c>
      <c r="O66">
        <v>68</v>
      </c>
      <c r="P66">
        <v>69</v>
      </c>
    </row>
    <row r="67" spans="1:16" x14ac:dyDescent="0.3">
      <c r="A67">
        <v>676</v>
      </c>
      <c r="B67" s="4">
        <v>40574</v>
      </c>
      <c r="C67">
        <v>1</v>
      </c>
      <c r="D67">
        <v>0</v>
      </c>
      <c r="E67">
        <v>1</v>
      </c>
      <c r="F67">
        <v>11</v>
      </c>
      <c r="G67" t="b">
        <v>0</v>
      </c>
      <c r="H67">
        <v>1</v>
      </c>
      <c r="I67">
        <v>2</v>
      </c>
      <c r="J67">
        <v>0.16</v>
      </c>
      <c r="K67">
        <v>0.1515</v>
      </c>
      <c r="L67">
        <v>0.59</v>
      </c>
      <c r="M67">
        <v>0.19400000000000001</v>
      </c>
      <c r="N67">
        <v>2</v>
      </c>
      <c r="O67">
        <v>46</v>
      </c>
      <c r="P67">
        <v>48</v>
      </c>
    </row>
    <row r="68" spans="1:16" x14ac:dyDescent="0.3">
      <c r="A68">
        <v>677</v>
      </c>
      <c r="B68" s="4">
        <v>40574</v>
      </c>
      <c r="C68">
        <v>1</v>
      </c>
      <c r="D68">
        <v>0</v>
      </c>
      <c r="E68">
        <v>1</v>
      </c>
      <c r="F68">
        <v>12</v>
      </c>
      <c r="G68" t="b">
        <v>0</v>
      </c>
      <c r="H68">
        <v>1</v>
      </c>
      <c r="I68">
        <v>2</v>
      </c>
      <c r="J68">
        <v>0.18</v>
      </c>
      <c r="K68">
        <v>0.21210000000000001</v>
      </c>
      <c r="L68">
        <v>0.55000000000000004</v>
      </c>
      <c r="M68">
        <v>0.1045</v>
      </c>
      <c r="N68">
        <v>6</v>
      </c>
      <c r="O68">
        <v>62</v>
      </c>
      <c r="P68">
        <v>68</v>
      </c>
    </row>
    <row r="69" spans="1:16" x14ac:dyDescent="0.3">
      <c r="A69">
        <v>678</v>
      </c>
      <c r="B69" s="4">
        <v>40574</v>
      </c>
      <c r="C69">
        <v>1</v>
      </c>
      <c r="D69">
        <v>0</v>
      </c>
      <c r="E69">
        <v>1</v>
      </c>
      <c r="F69">
        <v>13</v>
      </c>
      <c r="G69" t="b">
        <v>0</v>
      </c>
      <c r="H69">
        <v>1</v>
      </c>
      <c r="I69">
        <v>2</v>
      </c>
      <c r="J69">
        <v>0.16</v>
      </c>
      <c r="K69">
        <v>0.2273</v>
      </c>
      <c r="L69">
        <v>0.59</v>
      </c>
      <c r="M69">
        <v>0</v>
      </c>
      <c r="N69">
        <v>2</v>
      </c>
      <c r="O69">
        <v>52</v>
      </c>
      <c r="P69">
        <v>54</v>
      </c>
    </row>
    <row r="70" spans="1:16" x14ac:dyDescent="0.3">
      <c r="A70">
        <v>679</v>
      </c>
      <c r="B70" s="4">
        <v>40574</v>
      </c>
      <c r="C70">
        <v>1</v>
      </c>
      <c r="D70">
        <v>0</v>
      </c>
      <c r="E70">
        <v>1</v>
      </c>
      <c r="F70">
        <v>14</v>
      </c>
      <c r="G70" t="b">
        <v>0</v>
      </c>
      <c r="H70">
        <v>1</v>
      </c>
      <c r="I70">
        <v>2</v>
      </c>
      <c r="J70">
        <v>0.18</v>
      </c>
      <c r="K70">
        <v>0.19700000000000001</v>
      </c>
      <c r="L70">
        <v>0.55000000000000004</v>
      </c>
      <c r="M70">
        <v>0.1343</v>
      </c>
      <c r="N70">
        <v>1</v>
      </c>
      <c r="O70">
        <v>85</v>
      </c>
      <c r="P70">
        <v>86</v>
      </c>
    </row>
    <row r="71" spans="1:16" x14ac:dyDescent="0.3">
      <c r="A71">
        <v>680</v>
      </c>
      <c r="B71" s="4">
        <v>40574</v>
      </c>
      <c r="C71">
        <v>1</v>
      </c>
      <c r="D71">
        <v>0</v>
      </c>
      <c r="E71">
        <v>1</v>
      </c>
      <c r="F71">
        <v>15</v>
      </c>
      <c r="G71" t="b">
        <v>0</v>
      </c>
      <c r="H71">
        <v>1</v>
      </c>
      <c r="I71">
        <v>2</v>
      </c>
      <c r="J71">
        <v>0.16</v>
      </c>
      <c r="K71">
        <v>0.18179999999999999</v>
      </c>
      <c r="L71">
        <v>0.59</v>
      </c>
      <c r="M71">
        <v>0.1343</v>
      </c>
      <c r="N71">
        <v>3</v>
      </c>
      <c r="O71">
        <v>41</v>
      </c>
      <c r="P71">
        <v>44</v>
      </c>
    </row>
    <row r="72" spans="1:16" x14ac:dyDescent="0.3">
      <c r="A72">
        <v>681</v>
      </c>
      <c r="B72" s="4">
        <v>40574</v>
      </c>
      <c r="C72">
        <v>1</v>
      </c>
      <c r="D72">
        <v>0</v>
      </c>
      <c r="E72">
        <v>1</v>
      </c>
      <c r="F72">
        <v>16</v>
      </c>
      <c r="G72" t="b">
        <v>0</v>
      </c>
      <c r="H72">
        <v>1</v>
      </c>
      <c r="I72">
        <v>2</v>
      </c>
      <c r="J72">
        <v>0.16</v>
      </c>
      <c r="K72">
        <v>0.18179999999999999</v>
      </c>
      <c r="L72">
        <v>0.56000000000000005</v>
      </c>
      <c r="M72">
        <v>0.19400000000000001</v>
      </c>
      <c r="N72">
        <v>3</v>
      </c>
      <c r="O72">
        <v>83</v>
      </c>
      <c r="P72">
        <v>86</v>
      </c>
    </row>
    <row r="73" spans="1:16" x14ac:dyDescent="0.3">
      <c r="A73">
        <v>682</v>
      </c>
      <c r="B73" s="4">
        <v>40574</v>
      </c>
      <c r="C73">
        <v>1</v>
      </c>
      <c r="D73">
        <v>0</v>
      </c>
      <c r="E73">
        <v>1</v>
      </c>
      <c r="F73">
        <v>17</v>
      </c>
      <c r="G73" t="b">
        <v>0</v>
      </c>
      <c r="H73">
        <v>1</v>
      </c>
      <c r="I73">
        <v>2</v>
      </c>
      <c r="J73">
        <v>0.16</v>
      </c>
      <c r="K73">
        <v>0.1515</v>
      </c>
      <c r="L73">
        <v>0.59</v>
      </c>
      <c r="M73">
        <v>0.19400000000000001</v>
      </c>
      <c r="N73">
        <v>6</v>
      </c>
      <c r="O73">
        <v>155</v>
      </c>
      <c r="P73">
        <v>161</v>
      </c>
    </row>
    <row r="74" spans="1:16" x14ac:dyDescent="0.3">
      <c r="A74">
        <v>683</v>
      </c>
      <c r="B74" s="4">
        <v>40574</v>
      </c>
      <c r="C74">
        <v>1</v>
      </c>
      <c r="D74">
        <v>0</v>
      </c>
      <c r="E74">
        <v>1</v>
      </c>
      <c r="F74">
        <v>18</v>
      </c>
      <c r="G74" t="b">
        <v>0</v>
      </c>
      <c r="H74">
        <v>1</v>
      </c>
      <c r="I74">
        <v>2</v>
      </c>
      <c r="J74">
        <v>0.16</v>
      </c>
      <c r="K74">
        <v>0.1515</v>
      </c>
      <c r="L74">
        <v>0.55000000000000004</v>
      </c>
      <c r="M74">
        <v>0.22389999999999999</v>
      </c>
      <c r="N74">
        <v>3</v>
      </c>
      <c r="O74">
        <v>153</v>
      </c>
      <c r="P74">
        <v>156</v>
      </c>
    </row>
    <row r="75" spans="1:16" x14ac:dyDescent="0.3">
      <c r="A75">
        <v>684</v>
      </c>
      <c r="B75" s="4">
        <v>40574</v>
      </c>
      <c r="C75">
        <v>1</v>
      </c>
      <c r="D75">
        <v>0</v>
      </c>
      <c r="E75">
        <v>1</v>
      </c>
      <c r="F75">
        <v>19</v>
      </c>
      <c r="G75" t="b">
        <v>0</v>
      </c>
      <c r="H75">
        <v>1</v>
      </c>
      <c r="I75">
        <v>1</v>
      </c>
      <c r="J75">
        <v>0.3</v>
      </c>
      <c r="K75">
        <v>0.31819999999999998</v>
      </c>
      <c r="L75">
        <v>0.61</v>
      </c>
      <c r="M75">
        <v>0.1045</v>
      </c>
      <c r="N75">
        <v>3</v>
      </c>
      <c r="O75">
        <v>108</v>
      </c>
      <c r="P75">
        <v>111</v>
      </c>
    </row>
    <row r="76" spans="1:16" x14ac:dyDescent="0.3">
      <c r="A76">
        <v>685</v>
      </c>
      <c r="B76" s="4">
        <v>40574</v>
      </c>
      <c r="C76">
        <v>1</v>
      </c>
      <c r="D76">
        <v>0</v>
      </c>
      <c r="E76">
        <v>1</v>
      </c>
      <c r="F76">
        <v>20</v>
      </c>
      <c r="G76" t="b">
        <v>0</v>
      </c>
      <c r="H76">
        <v>1</v>
      </c>
      <c r="I76">
        <v>3</v>
      </c>
      <c r="J76">
        <v>0.16</v>
      </c>
      <c r="K76">
        <v>0.16669999999999999</v>
      </c>
      <c r="L76">
        <v>0.59</v>
      </c>
      <c r="M76">
        <v>0.16420000000000001</v>
      </c>
      <c r="N76">
        <v>0</v>
      </c>
      <c r="O76">
        <v>78</v>
      </c>
      <c r="P76">
        <v>78</v>
      </c>
    </row>
    <row r="77" spans="1:16" x14ac:dyDescent="0.3">
      <c r="A77">
        <v>686</v>
      </c>
      <c r="B77" s="4">
        <v>40574</v>
      </c>
      <c r="C77">
        <v>1</v>
      </c>
      <c r="D77">
        <v>0</v>
      </c>
      <c r="E77">
        <v>1</v>
      </c>
      <c r="F77">
        <v>21</v>
      </c>
      <c r="G77" t="b">
        <v>0</v>
      </c>
      <c r="H77">
        <v>1</v>
      </c>
      <c r="I77">
        <v>3</v>
      </c>
      <c r="J77">
        <v>0.16</v>
      </c>
      <c r="K77">
        <v>0.19700000000000001</v>
      </c>
      <c r="L77">
        <v>0.59</v>
      </c>
      <c r="M77">
        <v>8.9599999999999999E-2</v>
      </c>
      <c r="N77">
        <v>3</v>
      </c>
      <c r="O77">
        <v>53</v>
      </c>
      <c r="P77">
        <v>56</v>
      </c>
    </row>
    <row r="78" spans="1:16" x14ac:dyDescent="0.3">
      <c r="A78">
        <v>687</v>
      </c>
      <c r="B78" s="4">
        <v>40574</v>
      </c>
      <c r="C78">
        <v>1</v>
      </c>
      <c r="D78">
        <v>0</v>
      </c>
      <c r="E78">
        <v>1</v>
      </c>
      <c r="F78">
        <v>22</v>
      </c>
      <c r="G78" t="b">
        <v>0</v>
      </c>
      <c r="H78">
        <v>1</v>
      </c>
      <c r="I78">
        <v>2</v>
      </c>
      <c r="J78">
        <v>0.16</v>
      </c>
      <c r="K78">
        <v>0.18179999999999999</v>
      </c>
      <c r="L78">
        <v>0.59</v>
      </c>
      <c r="M78">
        <v>0.1045</v>
      </c>
      <c r="N78">
        <v>0</v>
      </c>
      <c r="O78">
        <v>34</v>
      </c>
      <c r="P78">
        <v>34</v>
      </c>
    </row>
    <row r="79" spans="1:16" x14ac:dyDescent="0.3">
      <c r="A79">
        <v>688</v>
      </c>
      <c r="B79" s="4">
        <v>40574</v>
      </c>
      <c r="C79">
        <v>1</v>
      </c>
      <c r="D79">
        <v>0</v>
      </c>
      <c r="E79">
        <v>1</v>
      </c>
      <c r="F79">
        <v>23</v>
      </c>
      <c r="G79" t="b">
        <v>0</v>
      </c>
      <c r="H79">
        <v>1</v>
      </c>
      <c r="I79">
        <v>2</v>
      </c>
      <c r="J79">
        <v>0.16</v>
      </c>
      <c r="K79">
        <v>0.19700000000000001</v>
      </c>
      <c r="L79">
        <v>0.64</v>
      </c>
      <c r="M79">
        <v>8.9599999999999999E-2</v>
      </c>
      <c r="N79">
        <v>2</v>
      </c>
      <c r="O79">
        <v>15</v>
      </c>
      <c r="P79">
        <v>17</v>
      </c>
    </row>
    <row r="80" spans="1:16" x14ac:dyDescent="0.3">
      <c r="A80">
        <v>689</v>
      </c>
      <c r="B80" s="4">
        <v>40575</v>
      </c>
      <c r="C80">
        <v>1</v>
      </c>
      <c r="D80">
        <v>0</v>
      </c>
      <c r="E80">
        <v>2</v>
      </c>
      <c r="F80">
        <v>0</v>
      </c>
      <c r="G80" t="b">
        <v>0</v>
      </c>
      <c r="H80">
        <v>2</v>
      </c>
      <c r="I80">
        <v>2</v>
      </c>
      <c r="J80">
        <v>0.16</v>
      </c>
      <c r="K80">
        <v>0.18179999999999999</v>
      </c>
      <c r="L80">
        <v>0.64</v>
      </c>
      <c r="M80">
        <v>0.1045</v>
      </c>
      <c r="N80">
        <v>2</v>
      </c>
      <c r="O80">
        <v>6</v>
      </c>
      <c r="P80">
        <v>8</v>
      </c>
    </row>
    <row r="81" spans="1:16" x14ac:dyDescent="0.3">
      <c r="A81">
        <v>690</v>
      </c>
      <c r="B81" s="4">
        <v>40575</v>
      </c>
      <c r="C81">
        <v>1</v>
      </c>
      <c r="D81">
        <v>0</v>
      </c>
      <c r="E81">
        <v>2</v>
      </c>
      <c r="F81">
        <v>1</v>
      </c>
      <c r="G81" t="b">
        <v>0</v>
      </c>
      <c r="H81">
        <v>2</v>
      </c>
      <c r="I81">
        <v>2</v>
      </c>
      <c r="J81">
        <v>0.16</v>
      </c>
      <c r="K81">
        <v>0.18179999999999999</v>
      </c>
      <c r="L81">
        <v>0.69</v>
      </c>
      <c r="M81">
        <v>0.1045</v>
      </c>
      <c r="N81">
        <v>0</v>
      </c>
      <c r="O81">
        <v>3</v>
      </c>
      <c r="P81">
        <v>3</v>
      </c>
    </row>
    <row r="82" spans="1:16" x14ac:dyDescent="0.3">
      <c r="A82">
        <v>691</v>
      </c>
      <c r="B82" s="4">
        <v>40575</v>
      </c>
      <c r="C82">
        <v>1</v>
      </c>
      <c r="D82">
        <v>0</v>
      </c>
      <c r="E82">
        <v>2</v>
      </c>
      <c r="F82">
        <v>2</v>
      </c>
      <c r="G82" t="b">
        <v>0</v>
      </c>
      <c r="H82">
        <v>2</v>
      </c>
      <c r="I82">
        <v>2</v>
      </c>
      <c r="J82">
        <v>0.16</v>
      </c>
      <c r="K82">
        <v>0.2273</v>
      </c>
      <c r="L82">
        <v>0.69</v>
      </c>
      <c r="M82">
        <v>0</v>
      </c>
      <c r="N82">
        <v>0</v>
      </c>
      <c r="O82">
        <v>2</v>
      </c>
      <c r="P82">
        <v>2</v>
      </c>
    </row>
    <row r="83" spans="1:16" x14ac:dyDescent="0.3">
      <c r="A83">
        <v>692</v>
      </c>
      <c r="B83" s="4">
        <v>40575</v>
      </c>
      <c r="C83">
        <v>1</v>
      </c>
      <c r="D83">
        <v>0</v>
      </c>
      <c r="E83">
        <v>2</v>
      </c>
      <c r="F83">
        <v>3</v>
      </c>
      <c r="G83" t="b">
        <v>0</v>
      </c>
      <c r="H83">
        <v>2</v>
      </c>
      <c r="I83">
        <v>2</v>
      </c>
      <c r="J83">
        <v>0.16</v>
      </c>
      <c r="K83">
        <v>0.2273</v>
      </c>
      <c r="L83">
        <v>0.69</v>
      </c>
      <c r="M83">
        <v>0</v>
      </c>
      <c r="N83">
        <v>0</v>
      </c>
      <c r="O83">
        <v>2</v>
      </c>
      <c r="P83">
        <v>2</v>
      </c>
    </row>
    <row r="84" spans="1:16" x14ac:dyDescent="0.3">
      <c r="A84">
        <v>693</v>
      </c>
      <c r="B84" s="4">
        <v>40575</v>
      </c>
      <c r="C84">
        <v>1</v>
      </c>
      <c r="D84">
        <v>0</v>
      </c>
      <c r="E84">
        <v>2</v>
      </c>
      <c r="F84">
        <v>5</v>
      </c>
      <c r="G84" t="b">
        <v>0</v>
      </c>
      <c r="H84">
        <v>2</v>
      </c>
      <c r="I84">
        <v>3</v>
      </c>
      <c r="J84">
        <v>0.14000000000000001</v>
      </c>
      <c r="K84">
        <v>0.21210000000000001</v>
      </c>
      <c r="L84">
        <v>0.93</v>
      </c>
      <c r="M84">
        <v>0</v>
      </c>
      <c r="N84">
        <v>0</v>
      </c>
      <c r="O84">
        <v>3</v>
      </c>
      <c r="P84">
        <v>3</v>
      </c>
    </row>
    <row r="85" spans="1:16" x14ac:dyDescent="0.3">
      <c r="A85">
        <v>694</v>
      </c>
      <c r="B85" s="4">
        <v>40575</v>
      </c>
      <c r="C85">
        <v>1</v>
      </c>
      <c r="D85">
        <v>0</v>
      </c>
      <c r="E85">
        <v>2</v>
      </c>
      <c r="F85">
        <v>6</v>
      </c>
      <c r="G85" t="b">
        <v>0</v>
      </c>
      <c r="H85">
        <v>2</v>
      </c>
      <c r="I85">
        <v>3</v>
      </c>
      <c r="J85">
        <v>0.14000000000000001</v>
      </c>
      <c r="K85">
        <v>0.21210000000000001</v>
      </c>
      <c r="L85">
        <v>0.93</v>
      </c>
      <c r="M85">
        <v>0</v>
      </c>
      <c r="N85">
        <v>0</v>
      </c>
      <c r="O85">
        <v>22</v>
      </c>
      <c r="P85">
        <v>22</v>
      </c>
    </row>
    <row r="86" spans="1:16" x14ac:dyDescent="0.3">
      <c r="A86">
        <v>695</v>
      </c>
      <c r="B86" s="4">
        <v>40575</v>
      </c>
      <c r="C86">
        <v>1</v>
      </c>
      <c r="D86">
        <v>0</v>
      </c>
      <c r="E86">
        <v>2</v>
      </c>
      <c r="F86">
        <v>7</v>
      </c>
      <c r="G86" t="b">
        <v>0</v>
      </c>
      <c r="H86">
        <v>2</v>
      </c>
      <c r="I86">
        <v>3</v>
      </c>
      <c r="J86">
        <v>0.16</v>
      </c>
      <c r="K86">
        <v>0.2273</v>
      </c>
      <c r="L86">
        <v>0.93</v>
      </c>
      <c r="M86">
        <v>0</v>
      </c>
      <c r="N86">
        <v>0</v>
      </c>
      <c r="O86">
        <v>52</v>
      </c>
      <c r="P86">
        <v>52</v>
      </c>
    </row>
    <row r="87" spans="1:16" x14ac:dyDescent="0.3">
      <c r="A87">
        <v>696</v>
      </c>
      <c r="B87" s="4">
        <v>40575</v>
      </c>
      <c r="C87">
        <v>1</v>
      </c>
      <c r="D87">
        <v>0</v>
      </c>
      <c r="E87">
        <v>2</v>
      </c>
      <c r="F87">
        <v>8</v>
      </c>
      <c r="G87" t="b">
        <v>0</v>
      </c>
      <c r="H87">
        <v>2</v>
      </c>
      <c r="I87">
        <v>3</v>
      </c>
      <c r="J87">
        <v>0.16</v>
      </c>
      <c r="K87">
        <v>0.2273</v>
      </c>
      <c r="L87">
        <v>0.93</v>
      </c>
      <c r="M87">
        <v>0</v>
      </c>
      <c r="N87">
        <v>3</v>
      </c>
      <c r="O87">
        <v>132</v>
      </c>
      <c r="P87">
        <v>135</v>
      </c>
    </row>
    <row r="88" spans="1:16" x14ac:dyDescent="0.3">
      <c r="A88">
        <v>697</v>
      </c>
      <c r="B88" s="4">
        <v>40575</v>
      </c>
      <c r="C88">
        <v>1</v>
      </c>
      <c r="D88">
        <v>0</v>
      </c>
      <c r="E88">
        <v>2</v>
      </c>
      <c r="F88">
        <v>9</v>
      </c>
      <c r="G88" t="b">
        <v>0</v>
      </c>
      <c r="H88">
        <v>2</v>
      </c>
      <c r="I88">
        <v>2</v>
      </c>
      <c r="J88">
        <v>0.16</v>
      </c>
      <c r="K88">
        <v>0.2273</v>
      </c>
      <c r="L88">
        <v>0.93</v>
      </c>
      <c r="M88">
        <v>0</v>
      </c>
      <c r="N88">
        <v>2</v>
      </c>
      <c r="O88">
        <v>114</v>
      </c>
      <c r="P88">
        <v>116</v>
      </c>
    </row>
    <row r="89" spans="1:16" x14ac:dyDescent="0.3">
      <c r="A89">
        <v>698</v>
      </c>
      <c r="B89" s="4">
        <v>40575</v>
      </c>
      <c r="C89">
        <v>1</v>
      </c>
      <c r="D89">
        <v>0</v>
      </c>
      <c r="E89">
        <v>2</v>
      </c>
      <c r="F89">
        <v>10</v>
      </c>
      <c r="G89" t="b">
        <v>0</v>
      </c>
      <c r="H89">
        <v>2</v>
      </c>
      <c r="I89">
        <v>2</v>
      </c>
      <c r="J89">
        <v>0.16</v>
      </c>
      <c r="K89">
        <v>0.2273</v>
      </c>
      <c r="L89">
        <v>0.93</v>
      </c>
      <c r="M89">
        <v>0</v>
      </c>
      <c r="N89">
        <v>0</v>
      </c>
      <c r="O89">
        <v>47</v>
      </c>
      <c r="P89">
        <v>47</v>
      </c>
    </row>
    <row r="90" spans="1:16" x14ac:dyDescent="0.3">
      <c r="A90">
        <v>699</v>
      </c>
      <c r="B90" s="4">
        <v>40575</v>
      </c>
      <c r="C90">
        <v>1</v>
      </c>
      <c r="D90">
        <v>0</v>
      </c>
      <c r="E90">
        <v>2</v>
      </c>
      <c r="F90">
        <v>11</v>
      </c>
      <c r="G90" t="b">
        <v>0</v>
      </c>
      <c r="H90">
        <v>2</v>
      </c>
      <c r="I90">
        <v>2</v>
      </c>
      <c r="J90">
        <v>0.18</v>
      </c>
      <c r="K90">
        <v>0.2424</v>
      </c>
      <c r="L90">
        <v>0.86</v>
      </c>
      <c r="M90">
        <v>0</v>
      </c>
      <c r="N90">
        <v>2</v>
      </c>
      <c r="O90">
        <v>49</v>
      </c>
      <c r="P90">
        <v>51</v>
      </c>
    </row>
    <row r="91" spans="1:16" x14ac:dyDescent="0.3">
      <c r="A91">
        <v>700</v>
      </c>
      <c r="B91" s="4">
        <v>40575</v>
      </c>
      <c r="C91">
        <v>1</v>
      </c>
      <c r="D91">
        <v>0</v>
      </c>
      <c r="E91">
        <v>2</v>
      </c>
      <c r="F91">
        <v>12</v>
      </c>
      <c r="G91" t="b">
        <v>0</v>
      </c>
      <c r="H91">
        <v>2</v>
      </c>
      <c r="I91">
        <v>2</v>
      </c>
      <c r="J91">
        <v>0.2</v>
      </c>
      <c r="K91">
        <v>0.2576</v>
      </c>
      <c r="L91">
        <v>0.86</v>
      </c>
      <c r="M91">
        <v>0</v>
      </c>
      <c r="N91">
        <v>2</v>
      </c>
      <c r="O91">
        <v>53</v>
      </c>
      <c r="P91">
        <v>55</v>
      </c>
    </row>
    <row r="92" spans="1:16" x14ac:dyDescent="0.3">
      <c r="A92">
        <v>701</v>
      </c>
      <c r="B92" s="4">
        <v>40575</v>
      </c>
      <c r="C92">
        <v>1</v>
      </c>
      <c r="D92">
        <v>0</v>
      </c>
      <c r="E92">
        <v>2</v>
      </c>
      <c r="F92">
        <v>13</v>
      </c>
      <c r="G92" t="b">
        <v>0</v>
      </c>
      <c r="H92">
        <v>2</v>
      </c>
      <c r="I92">
        <v>2</v>
      </c>
      <c r="J92">
        <v>0.2</v>
      </c>
      <c r="K92">
        <v>0.2576</v>
      </c>
      <c r="L92">
        <v>0.86</v>
      </c>
      <c r="M92">
        <v>0</v>
      </c>
      <c r="N92">
        <v>3</v>
      </c>
      <c r="O92">
        <v>49</v>
      </c>
      <c r="P92">
        <v>52</v>
      </c>
    </row>
    <row r="93" spans="1:16" x14ac:dyDescent="0.3">
      <c r="A93">
        <v>702</v>
      </c>
      <c r="B93" s="4">
        <v>40575</v>
      </c>
      <c r="C93">
        <v>1</v>
      </c>
      <c r="D93">
        <v>0</v>
      </c>
      <c r="E93">
        <v>2</v>
      </c>
      <c r="F93">
        <v>14</v>
      </c>
      <c r="G93" t="b">
        <v>0</v>
      </c>
      <c r="H93">
        <v>2</v>
      </c>
      <c r="I93">
        <v>2</v>
      </c>
      <c r="J93">
        <v>0.22</v>
      </c>
      <c r="K93">
        <v>0.2576</v>
      </c>
      <c r="L93">
        <v>0.8</v>
      </c>
      <c r="M93">
        <v>8.9599999999999999E-2</v>
      </c>
      <c r="N93">
        <v>5</v>
      </c>
      <c r="O93">
        <v>49</v>
      </c>
      <c r="P93">
        <v>54</v>
      </c>
    </row>
    <row r="94" spans="1:16" x14ac:dyDescent="0.3">
      <c r="A94">
        <v>703</v>
      </c>
      <c r="B94" s="4">
        <v>40575</v>
      </c>
      <c r="C94">
        <v>1</v>
      </c>
      <c r="D94">
        <v>0</v>
      </c>
      <c r="E94">
        <v>2</v>
      </c>
      <c r="F94">
        <v>15</v>
      </c>
      <c r="G94" t="b">
        <v>0</v>
      </c>
      <c r="H94">
        <v>2</v>
      </c>
      <c r="I94">
        <v>2</v>
      </c>
      <c r="J94">
        <v>0.24</v>
      </c>
      <c r="K94">
        <v>0.28789999999999999</v>
      </c>
      <c r="L94">
        <v>0.75</v>
      </c>
      <c r="M94">
        <v>0</v>
      </c>
      <c r="N94">
        <v>7</v>
      </c>
      <c r="O94">
        <v>45</v>
      </c>
      <c r="P94">
        <v>52</v>
      </c>
    </row>
    <row r="95" spans="1:16" x14ac:dyDescent="0.3">
      <c r="A95">
        <v>704</v>
      </c>
      <c r="B95" s="4">
        <v>40575</v>
      </c>
      <c r="C95">
        <v>1</v>
      </c>
      <c r="D95">
        <v>0</v>
      </c>
      <c r="E95">
        <v>2</v>
      </c>
      <c r="F95">
        <v>16</v>
      </c>
      <c r="G95" t="b">
        <v>0</v>
      </c>
      <c r="H95">
        <v>2</v>
      </c>
      <c r="I95">
        <v>2</v>
      </c>
      <c r="J95">
        <v>0.24</v>
      </c>
      <c r="K95">
        <v>0.2424</v>
      </c>
      <c r="L95">
        <v>0.75</v>
      </c>
      <c r="M95">
        <v>0.1343</v>
      </c>
      <c r="N95">
        <v>3</v>
      </c>
      <c r="O95">
        <v>61</v>
      </c>
      <c r="P95">
        <v>64</v>
      </c>
    </row>
    <row r="96" spans="1:16" x14ac:dyDescent="0.3">
      <c r="A96">
        <v>705</v>
      </c>
      <c r="B96" s="4">
        <v>40575</v>
      </c>
      <c r="C96">
        <v>1</v>
      </c>
      <c r="D96">
        <v>0</v>
      </c>
      <c r="E96">
        <v>2</v>
      </c>
      <c r="F96">
        <v>17</v>
      </c>
      <c r="G96" t="b">
        <v>0</v>
      </c>
      <c r="H96">
        <v>2</v>
      </c>
      <c r="I96">
        <v>2</v>
      </c>
      <c r="J96">
        <v>0.24</v>
      </c>
      <c r="K96">
        <v>0.28789999999999999</v>
      </c>
      <c r="L96">
        <v>0.75</v>
      </c>
      <c r="M96">
        <v>0</v>
      </c>
      <c r="N96">
        <v>4</v>
      </c>
      <c r="O96">
        <v>172</v>
      </c>
      <c r="P96">
        <v>176</v>
      </c>
    </row>
    <row r="97" spans="1:16" x14ac:dyDescent="0.3">
      <c r="A97">
        <v>706</v>
      </c>
      <c r="B97" s="4">
        <v>40575</v>
      </c>
      <c r="C97">
        <v>1</v>
      </c>
      <c r="D97">
        <v>0</v>
      </c>
      <c r="E97">
        <v>2</v>
      </c>
      <c r="F97">
        <v>18</v>
      </c>
      <c r="G97" t="b">
        <v>0</v>
      </c>
      <c r="H97">
        <v>2</v>
      </c>
      <c r="I97">
        <v>2</v>
      </c>
      <c r="J97">
        <v>0.24</v>
      </c>
      <c r="K97">
        <v>0.2576</v>
      </c>
      <c r="L97">
        <v>0.81</v>
      </c>
      <c r="M97">
        <v>0.1045</v>
      </c>
      <c r="N97">
        <v>3</v>
      </c>
      <c r="O97">
        <v>165</v>
      </c>
      <c r="P97">
        <v>168</v>
      </c>
    </row>
    <row r="98" spans="1:16" x14ac:dyDescent="0.3">
      <c r="A98">
        <v>707</v>
      </c>
      <c r="B98" s="4">
        <v>40575</v>
      </c>
      <c r="C98">
        <v>1</v>
      </c>
      <c r="D98">
        <v>0</v>
      </c>
      <c r="E98">
        <v>2</v>
      </c>
      <c r="F98">
        <v>19</v>
      </c>
      <c r="G98" t="b">
        <v>0</v>
      </c>
      <c r="H98">
        <v>2</v>
      </c>
      <c r="I98">
        <v>2</v>
      </c>
      <c r="J98">
        <v>0.24</v>
      </c>
      <c r="K98">
        <v>0.2424</v>
      </c>
      <c r="L98">
        <v>0.81</v>
      </c>
      <c r="M98">
        <v>0.1343</v>
      </c>
      <c r="N98">
        <v>3</v>
      </c>
      <c r="O98">
        <v>105</v>
      </c>
      <c r="P98">
        <v>108</v>
      </c>
    </row>
    <row r="99" spans="1:16" x14ac:dyDescent="0.3">
      <c r="A99">
        <v>708</v>
      </c>
      <c r="B99" s="4">
        <v>40575</v>
      </c>
      <c r="C99">
        <v>1</v>
      </c>
      <c r="D99">
        <v>0</v>
      </c>
      <c r="E99">
        <v>2</v>
      </c>
      <c r="F99">
        <v>20</v>
      </c>
      <c r="G99" t="b">
        <v>0</v>
      </c>
      <c r="H99">
        <v>2</v>
      </c>
      <c r="I99">
        <v>2</v>
      </c>
      <c r="J99">
        <v>0.22</v>
      </c>
      <c r="K99">
        <v>0.2273</v>
      </c>
      <c r="L99">
        <v>0.87</v>
      </c>
      <c r="M99">
        <v>0.1343</v>
      </c>
      <c r="N99">
        <v>5</v>
      </c>
      <c r="O99">
        <v>69</v>
      </c>
      <c r="P99">
        <v>74</v>
      </c>
    </row>
    <row r="100" spans="1:16" x14ac:dyDescent="0.3">
      <c r="A100">
        <v>709</v>
      </c>
      <c r="B100" s="4">
        <v>40575</v>
      </c>
      <c r="C100">
        <v>1</v>
      </c>
      <c r="D100">
        <v>0</v>
      </c>
      <c r="E100">
        <v>2</v>
      </c>
      <c r="F100">
        <v>21</v>
      </c>
      <c r="G100" t="b">
        <v>0</v>
      </c>
      <c r="H100">
        <v>2</v>
      </c>
      <c r="I100">
        <v>2</v>
      </c>
      <c r="J100">
        <v>0.22</v>
      </c>
      <c r="K100">
        <v>0.2273</v>
      </c>
      <c r="L100">
        <v>0.87</v>
      </c>
      <c r="M100">
        <v>0.1343</v>
      </c>
      <c r="N100">
        <v>0</v>
      </c>
      <c r="O100">
        <v>64</v>
      </c>
      <c r="P100">
        <v>64</v>
      </c>
    </row>
    <row r="101" spans="1:16" x14ac:dyDescent="0.3">
      <c r="A101">
        <v>710</v>
      </c>
      <c r="B101" s="4">
        <v>40575</v>
      </c>
      <c r="C101">
        <v>1</v>
      </c>
      <c r="D101">
        <v>0</v>
      </c>
      <c r="E101">
        <v>2</v>
      </c>
      <c r="F101">
        <v>22</v>
      </c>
      <c r="G101" t="b">
        <v>0</v>
      </c>
      <c r="H101">
        <v>2</v>
      </c>
      <c r="I101">
        <v>2</v>
      </c>
      <c r="J101">
        <v>0.22</v>
      </c>
      <c r="K101">
        <v>0.2576</v>
      </c>
      <c r="L101">
        <v>0.87</v>
      </c>
      <c r="M101">
        <v>8.9599999999999999E-2</v>
      </c>
      <c r="N101">
        <v>2</v>
      </c>
      <c r="O101">
        <v>34</v>
      </c>
      <c r="P101">
        <v>36</v>
      </c>
    </row>
    <row r="102" spans="1:16" x14ac:dyDescent="0.3">
      <c r="A102">
        <v>711</v>
      </c>
      <c r="B102" s="4">
        <v>40575</v>
      </c>
      <c r="C102">
        <v>1</v>
      </c>
      <c r="D102">
        <v>0</v>
      </c>
      <c r="E102">
        <v>2</v>
      </c>
      <c r="F102">
        <v>23</v>
      </c>
      <c r="G102" t="b">
        <v>0</v>
      </c>
      <c r="H102">
        <v>2</v>
      </c>
      <c r="I102">
        <v>3</v>
      </c>
      <c r="J102">
        <v>0.2</v>
      </c>
      <c r="K102">
        <v>0.19700000000000001</v>
      </c>
      <c r="L102">
        <v>0.93</v>
      </c>
      <c r="M102">
        <v>0.19400000000000001</v>
      </c>
      <c r="N102">
        <v>1</v>
      </c>
      <c r="O102">
        <v>15</v>
      </c>
      <c r="P102">
        <v>16</v>
      </c>
    </row>
    <row r="103" spans="1:16" x14ac:dyDescent="0.3">
      <c r="A103">
        <v>712</v>
      </c>
      <c r="B103" s="4">
        <v>40576</v>
      </c>
      <c r="C103">
        <v>1</v>
      </c>
      <c r="D103">
        <v>0</v>
      </c>
      <c r="E103">
        <v>2</v>
      </c>
      <c r="F103">
        <v>0</v>
      </c>
      <c r="G103" t="b">
        <v>0</v>
      </c>
      <c r="H103">
        <v>3</v>
      </c>
      <c r="I103">
        <v>3</v>
      </c>
      <c r="J103">
        <v>0.22</v>
      </c>
      <c r="K103">
        <v>0.2424</v>
      </c>
      <c r="L103">
        <v>0.93</v>
      </c>
      <c r="M103">
        <v>0.1045</v>
      </c>
      <c r="N103">
        <v>0</v>
      </c>
      <c r="O103">
        <v>2</v>
      </c>
      <c r="P103">
        <v>2</v>
      </c>
    </row>
    <row r="104" spans="1:16" x14ac:dyDescent="0.3">
      <c r="A104">
        <v>713</v>
      </c>
      <c r="B104" s="4">
        <v>40576</v>
      </c>
      <c r="C104">
        <v>1</v>
      </c>
      <c r="D104">
        <v>0</v>
      </c>
      <c r="E104">
        <v>2</v>
      </c>
      <c r="F104">
        <v>1</v>
      </c>
      <c r="G104" t="b">
        <v>0</v>
      </c>
      <c r="H104">
        <v>3</v>
      </c>
      <c r="I104">
        <v>3</v>
      </c>
      <c r="J104">
        <v>0.22</v>
      </c>
      <c r="K104">
        <v>0.2273</v>
      </c>
      <c r="L104">
        <v>0.93</v>
      </c>
      <c r="M104">
        <v>0.19400000000000001</v>
      </c>
      <c r="N104">
        <v>0</v>
      </c>
      <c r="O104">
        <v>3</v>
      </c>
      <c r="P104">
        <v>3</v>
      </c>
    </row>
    <row r="105" spans="1:16" x14ac:dyDescent="0.3">
      <c r="A105">
        <v>714</v>
      </c>
      <c r="B105" s="4">
        <v>40576</v>
      </c>
      <c r="C105">
        <v>1</v>
      </c>
      <c r="D105">
        <v>0</v>
      </c>
      <c r="E105">
        <v>2</v>
      </c>
      <c r="F105">
        <v>2</v>
      </c>
      <c r="G105" t="b">
        <v>0</v>
      </c>
      <c r="H105">
        <v>3</v>
      </c>
      <c r="I105">
        <v>3</v>
      </c>
      <c r="J105">
        <v>0.22</v>
      </c>
      <c r="K105">
        <v>0.2273</v>
      </c>
      <c r="L105">
        <v>0.93</v>
      </c>
      <c r="M105">
        <v>0.1343</v>
      </c>
      <c r="N105">
        <v>4</v>
      </c>
      <c r="O105">
        <v>0</v>
      </c>
      <c r="P105">
        <v>4</v>
      </c>
    </row>
    <row r="106" spans="1:16" x14ac:dyDescent="0.3">
      <c r="A106">
        <v>715</v>
      </c>
      <c r="B106" s="4">
        <v>40576</v>
      </c>
      <c r="C106">
        <v>1</v>
      </c>
      <c r="D106">
        <v>0</v>
      </c>
      <c r="E106">
        <v>2</v>
      </c>
      <c r="F106">
        <v>3</v>
      </c>
      <c r="G106" t="b">
        <v>0</v>
      </c>
      <c r="H106">
        <v>3</v>
      </c>
      <c r="I106">
        <v>3</v>
      </c>
      <c r="J106">
        <v>0.22</v>
      </c>
      <c r="K106">
        <v>0.2273</v>
      </c>
      <c r="L106">
        <v>0.93</v>
      </c>
      <c r="M106">
        <v>0.1343</v>
      </c>
      <c r="N106">
        <v>0</v>
      </c>
      <c r="O106">
        <v>1</v>
      </c>
      <c r="P106">
        <v>1</v>
      </c>
    </row>
    <row r="107" spans="1:16" x14ac:dyDescent="0.3">
      <c r="A107">
        <v>716</v>
      </c>
      <c r="B107" s="4">
        <v>40576</v>
      </c>
      <c r="C107">
        <v>1</v>
      </c>
      <c r="D107">
        <v>0</v>
      </c>
      <c r="E107">
        <v>2</v>
      </c>
      <c r="F107">
        <v>4</v>
      </c>
      <c r="G107" t="b">
        <v>0</v>
      </c>
      <c r="H107">
        <v>3</v>
      </c>
      <c r="I107">
        <v>3</v>
      </c>
      <c r="J107">
        <v>0.22</v>
      </c>
      <c r="K107">
        <v>0.21210000000000001</v>
      </c>
      <c r="L107">
        <v>0.93</v>
      </c>
      <c r="M107">
        <v>0.28360000000000002</v>
      </c>
      <c r="N107">
        <v>0</v>
      </c>
      <c r="O107">
        <v>1</v>
      </c>
      <c r="P107">
        <v>1</v>
      </c>
    </row>
    <row r="108" spans="1:16" x14ac:dyDescent="0.3">
      <c r="A108">
        <v>717</v>
      </c>
      <c r="B108" s="4">
        <v>40576</v>
      </c>
      <c r="C108">
        <v>1</v>
      </c>
      <c r="D108">
        <v>0</v>
      </c>
      <c r="E108">
        <v>2</v>
      </c>
      <c r="F108">
        <v>5</v>
      </c>
      <c r="G108" t="b">
        <v>0</v>
      </c>
      <c r="H108">
        <v>3</v>
      </c>
      <c r="I108">
        <v>3</v>
      </c>
      <c r="J108">
        <v>0.22</v>
      </c>
      <c r="K108">
        <v>0.2424</v>
      </c>
      <c r="L108">
        <v>0.93</v>
      </c>
      <c r="M108">
        <v>0.1045</v>
      </c>
      <c r="N108">
        <v>0</v>
      </c>
      <c r="O108">
        <v>3</v>
      </c>
      <c r="P108">
        <v>3</v>
      </c>
    </row>
    <row r="109" spans="1:16" x14ac:dyDescent="0.3">
      <c r="A109">
        <v>718</v>
      </c>
      <c r="B109" s="4">
        <v>40576</v>
      </c>
      <c r="C109">
        <v>1</v>
      </c>
      <c r="D109">
        <v>0</v>
      </c>
      <c r="E109">
        <v>2</v>
      </c>
      <c r="F109">
        <v>6</v>
      </c>
      <c r="G109" t="b">
        <v>0</v>
      </c>
      <c r="H109">
        <v>3</v>
      </c>
      <c r="I109">
        <v>3</v>
      </c>
      <c r="J109">
        <v>0.22</v>
      </c>
      <c r="K109">
        <v>0.2424</v>
      </c>
      <c r="L109">
        <v>0.93</v>
      </c>
      <c r="M109">
        <v>0.1045</v>
      </c>
      <c r="N109">
        <v>1</v>
      </c>
      <c r="O109">
        <v>17</v>
      </c>
      <c r="P109">
        <v>18</v>
      </c>
    </row>
    <row r="110" spans="1:16" x14ac:dyDescent="0.3">
      <c r="A110">
        <v>719</v>
      </c>
      <c r="B110" s="4">
        <v>40576</v>
      </c>
      <c r="C110">
        <v>1</v>
      </c>
      <c r="D110">
        <v>0</v>
      </c>
      <c r="E110">
        <v>2</v>
      </c>
      <c r="F110">
        <v>7</v>
      </c>
      <c r="G110" t="b">
        <v>0</v>
      </c>
      <c r="H110">
        <v>3</v>
      </c>
      <c r="I110">
        <v>3</v>
      </c>
      <c r="J110">
        <v>0.22</v>
      </c>
      <c r="K110">
        <v>0.21210000000000001</v>
      </c>
      <c r="L110">
        <v>0.93</v>
      </c>
      <c r="M110">
        <v>0.22389999999999999</v>
      </c>
      <c r="N110">
        <v>1</v>
      </c>
      <c r="O110">
        <v>48</v>
      </c>
      <c r="P110">
        <v>49</v>
      </c>
    </row>
    <row r="111" spans="1:16" x14ac:dyDescent="0.3">
      <c r="A111">
        <v>720</v>
      </c>
      <c r="B111" s="4">
        <v>40576</v>
      </c>
      <c r="C111">
        <v>1</v>
      </c>
      <c r="D111">
        <v>0</v>
      </c>
      <c r="E111">
        <v>2</v>
      </c>
      <c r="F111">
        <v>8</v>
      </c>
      <c r="G111" t="b">
        <v>0</v>
      </c>
      <c r="H111">
        <v>3</v>
      </c>
      <c r="I111">
        <v>3</v>
      </c>
      <c r="J111">
        <v>0.22</v>
      </c>
      <c r="K111">
        <v>0.21210000000000001</v>
      </c>
      <c r="L111">
        <v>0.93</v>
      </c>
      <c r="M111">
        <v>0.22389999999999999</v>
      </c>
      <c r="N111">
        <v>1</v>
      </c>
      <c r="O111">
        <v>154</v>
      </c>
      <c r="P111">
        <v>155</v>
      </c>
    </row>
    <row r="112" spans="1:16" x14ac:dyDescent="0.3">
      <c r="A112">
        <v>721</v>
      </c>
      <c r="B112" s="4">
        <v>40576</v>
      </c>
      <c r="C112">
        <v>1</v>
      </c>
      <c r="D112">
        <v>0</v>
      </c>
      <c r="E112">
        <v>2</v>
      </c>
      <c r="F112">
        <v>9</v>
      </c>
      <c r="G112" t="b">
        <v>0</v>
      </c>
      <c r="H112">
        <v>3</v>
      </c>
      <c r="I112">
        <v>2</v>
      </c>
      <c r="J112">
        <v>0.24</v>
      </c>
      <c r="K112">
        <v>0.2576</v>
      </c>
      <c r="L112">
        <v>0.93</v>
      </c>
      <c r="M112">
        <v>8.9599999999999999E-2</v>
      </c>
      <c r="N112">
        <v>4</v>
      </c>
      <c r="O112">
        <v>119</v>
      </c>
      <c r="P112">
        <v>123</v>
      </c>
    </row>
    <row r="113" spans="1:16" x14ac:dyDescent="0.3">
      <c r="A113">
        <v>722</v>
      </c>
      <c r="B113" s="4">
        <v>40576</v>
      </c>
      <c r="C113">
        <v>1</v>
      </c>
      <c r="D113">
        <v>0</v>
      </c>
      <c r="E113">
        <v>2</v>
      </c>
      <c r="F113">
        <v>10</v>
      </c>
      <c r="G113" t="b">
        <v>0</v>
      </c>
      <c r="H113">
        <v>3</v>
      </c>
      <c r="I113">
        <v>2</v>
      </c>
      <c r="J113">
        <v>0.22</v>
      </c>
      <c r="K113">
        <v>0.2727</v>
      </c>
      <c r="L113">
        <v>1</v>
      </c>
      <c r="M113">
        <v>0</v>
      </c>
      <c r="N113">
        <v>2</v>
      </c>
      <c r="O113">
        <v>59</v>
      </c>
      <c r="P113">
        <v>61</v>
      </c>
    </row>
    <row r="114" spans="1:16" x14ac:dyDescent="0.3">
      <c r="A114">
        <v>723</v>
      </c>
      <c r="B114" s="4">
        <v>40576</v>
      </c>
      <c r="C114">
        <v>1</v>
      </c>
      <c r="D114">
        <v>0</v>
      </c>
      <c r="E114">
        <v>2</v>
      </c>
      <c r="F114">
        <v>11</v>
      </c>
      <c r="G114" t="b">
        <v>0</v>
      </c>
      <c r="H114">
        <v>3</v>
      </c>
      <c r="I114">
        <v>2</v>
      </c>
      <c r="J114">
        <v>0.24</v>
      </c>
      <c r="K114">
        <v>0.2273</v>
      </c>
      <c r="L114">
        <v>0.93</v>
      </c>
      <c r="M114">
        <v>0.19400000000000001</v>
      </c>
      <c r="N114">
        <v>5</v>
      </c>
      <c r="O114">
        <v>47</v>
      </c>
      <c r="P114">
        <v>52</v>
      </c>
    </row>
    <row r="115" spans="1:16" x14ac:dyDescent="0.3">
      <c r="A115">
        <v>724</v>
      </c>
      <c r="B115" s="4">
        <v>40576</v>
      </c>
      <c r="C115">
        <v>1</v>
      </c>
      <c r="D115">
        <v>0</v>
      </c>
      <c r="E115">
        <v>2</v>
      </c>
      <c r="F115">
        <v>12</v>
      </c>
      <c r="G115" t="b">
        <v>0</v>
      </c>
      <c r="H115">
        <v>3</v>
      </c>
      <c r="I115">
        <v>2</v>
      </c>
      <c r="J115">
        <v>0.24</v>
      </c>
      <c r="K115">
        <v>0.2273</v>
      </c>
      <c r="L115">
        <v>0.93</v>
      </c>
      <c r="M115">
        <v>0.22389999999999999</v>
      </c>
      <c r="N115">
        <v>3</v>
      </c>
      <c r="O115">
        <v>61</v>
      </c>
      <c r="P115">
        <v>64</v>
      </c>
    </row>
    <row r="116" spans="1:16" x14ac:dyDescent="0.3">
      <c r="A116">
        <v>725</v>
      </c>
      <c r="B116" s="4">
        <v>40576</v>
      </c>
      <c r="C116">
        <v>1</v>
      </c>
      <c r="D116">
        <v>0</v>
      </c>
      <c r="E116">
        <v>2</v>
      </c>
      <c r="F116">
        <v>13</v>
      </c>
      <c r="G116" t="b">
        <v>0</v>
      </c>
      <c r="H116">
        <v>3</v>
      </c>
      <c r="I116">
        <v>1</v>
      </c>
      <c r="J116">
        <v>0.34</v>
      </c>
      <c r="K116">
        <v>0.33329999999999999</v>
      </c>
      <c r="L116">
        <v>0.93</v>
      </c>
      <c r="M116">
        <v>0.16420000000000001</v>
      </c>
      <c r="N116">
        <v>1</v>
      </c>
      <c r="O116">
        <v>74</v>
      </c>
      <c r="P116">
        <v>75</v>
      </c>
    </row>
    <row r="117" spans="1:16" x14ac:dyDescent="0.3">
      <c r="A117">
        <v>726</v>
      </c>
      <c r="B117" s="4">
        <v>40576</v>
      </c>
      <c r="C117">
        <v>1</v>
      </c>
      <c r="D117">
        <v>0</v>
      </c>
      <c r="E117">
        <v>2</v>
      </c>
      <c r="F117">
        <v>14</v>
      </c>
      <c r="G117" t="b">
        <v>0</v>
      </c>
      <c r="H117">
        <v>3</v>
      </c>
      <c r="I117">
        <v>1</v>
      </c>
      <c r="J117">
        <v>0.38</v>
      </c>
      <c r="K117">
        <v>0.39389999999999997</v>
      </c>
      <c r="L117">
        <v>0.82</v>
      </c>
      <c r="M117">
        <v>0.3881</v>
      </c>
      <c r="N117">
        <v>2</v>
      </c>
      <c r="O117">
        <v>61</v>
      </c>
      <c r="P117">
        <v>63</v>
      </c>
    </row>
    <row r="118" spans="1:16" x14ac:dyDescent="0.3">
      <c r="A118">
        <v>727</v>
      </c>
      <c r="B118" s="4">
        <v>40576</v>
      </c>
      <c r="C118">
        <v>1</v>
      </c>
      <c r="D118">
        <v>0</v>
      </c>
      <c r="E118">
        <v>2</v>
      </c>
      <c r="F118">
        <v>15</v>
      </c>
      <c r="G118" t="b">
        <v>0</v>
      </c>
      <c r="H118">
        <v>3</v>
      </c>
      <c r="I118">
        <v>1</v>
      </c>
      <c r="J118">
        <v>0.38</v>
      </c>
      <c r="K118">
        <v>0.39389999999999997</v>
      </c>
      <c r="L118">
        <v>0.76</v>
      </c>
      <c r="M118">
        <v>0.32840000000000003</v>
      </c>
      <c r="N118">
        <v>10</v>
      </c>
      <c r="O118">
        <v>66</v>
      </c>
      <c r="P118">
        <v>76</v>
      </c>
    </row>
    <row r="119" spans="1:16" x14ac:dyDescent="0.3">
      <c r="A119">
        <v>728</v>
      </c>
      <c r="B119" s="4">
        <v>40576</v>
      </c>
      <c r="C119">
        <v>1</v>
      </c>
      <c r="D119">
        <v>0</v>
      </c>
      <c r="E119">
        <v>2</v>
      </c>
      <c r="F119">
        <v>16</v>
      </c>
      <c r="G119" t="b">
        <v>0</v>
      </c>
      <c r="H119">
        <v>3</v>
      </c>
      <c r="I119">
        <v>1</v>
      </c>
      <c r="J119">
        <v>0.36</v>
      </c>
      <c r="K119">
        <v>0.33329999999999999</v>
      </c>
      <c r="L119">
        <v>0.71</v>
      </c>
      <c r="M119">
        <v>0.29849999999999999</v>
      </c>
      <c r="N119">
        <v>8</v>
      </c>
      <c r="O119">
        <v>95</v>
      </c>
      <c r="P119">
        <v>103</v>
      </c>
    </row>
    <row r="120" spans="1:16" x14ac:dyDescent="0.3">
      <c r="A120">
        <v>729</v>
      </c>
      <c r="B120" s="4">
        <v>40576</v>
      </c>
      <c r="C120">
        <v>1</v>
      </c>
      <c r="D120">
        <v>0</v>
      </c>
      <c r="E120">
        <v>2</v>
      </c>
      <c r="F120">
        <v>17</v>
      </c>
      <c r="G120" t="b">
        <v>0</v>
      </c>
      <c r="H120">
        <v>3</v>
      </c>
      <c r="I120">
        <v>1</v>
      </c>
      <c r="J120">
        <v>0.36</v>
      </c>
      <c r="K120">
        <v>0.31819999999999998</v>
      </c>
      <c r="L120">
        <v>0.53</v>
      </c>
      <c r="M120">
        <v>0.52239999999999998</v>
      </c>
      <c r="N120">
        <v>7</v>
      </c>
      <c r="O120">
        <v>183</v>
      </c>
      <c r="P120">
        <v>190</v>
      </c>
    </row>
    <row r="121" spans="1:16" x14ac:dyDescent="0.3">
      <c r="A121">
        <v>730</v>
      </c>
      <c r="B121" s="4">
        <v>40576</v>
      </c>
      <c r="C121">
        <v>1</v>
      </c>
      <c r="D121">
        <v>0</v>
      </c>
      <c r="E121">
        <v>2</v>
      </c>
      <c r="F121">
        <v>18</v>
      </c>
      <c r="G121" t="b">
        <v>0</v>
      </c>
      <c r="H121">
        <v>3</v>
      </c>
      <c r="I121">
        <v>1</v>
      </c>
      <c r="J121">
        <v>0.34</v>
      </c>
      <c r="K121">
        <v>0.28789999999999999</v>
      </c>
      <c r="L121">
        <v>0.42</v>
      </c>
      <c r="M121">
        <v>0.55220000000000002</v>
      </c>
      <c r="N121">
        <v>7</v>
      </c>
      <c r="O121">
        <v>175</v>
      </c>
      <c r="P121">
        <v>182</v>
      </c>
    </row>
    <row r="122" spans="1:16" x14ac:dyDescent="0.3">
      <c r="A122">
        <v>731</v>
      </c>
      <c r="B122" s="4">
        <v>40576</v>
      </c>
      <c r="C122">
        <v>1</v>
      </c>
      <c r="D122">
        <v>0</v>
      </c>
      <c r="E122">
        <v>2</v>
      </c>
      <c r="F122">
        <v>19</v>
      </c>
      <c r="G122" t="b">
        <v>0</v>
      </c>
      <c r="H122">
        <v>3</v>
      </c>
      <c r="I122">
        <v>1</v>
      </c>
      <c r="J122">
        <v>0.28000000000000003</v>
      </c>
      <c r="K122">
        <v>0.2424</v>
      </c>
      <c r="L122">
        <v>0.45</v>
      </c>
      <c r="M122">
        <v>0.49249999999999999</v>
      </c>
      <c r="N122">
        <v>3</v>
      </c>
      <c r="O122">
        <v>88</v>
      </c>
      <c r="P122">
        <v>91</v>
      </c>
    </row>
    <row r="123" spans="1:16" x14ac:dyDescent="0.3">
      <c r="A123">
        <v>732</v>
      </c>
      <c r="B123" s="4">
        <v>40576</v>
      </c>
      <c r="C123">
        <v>1</v>
      </c>
      <c r="D123">
        <v>0</v>
      </c>
      <c r="E123">
        <v>2</v>
      </c>
      <c r="F123">
        <v>20</v>
      </c>
      <c r="G123" t="b">
        <v>0</v>
      </c>
      <c r="H123">
        <v>3</v>
      </c>
      <c r="I123">
        <v>1</v>
      </c>
      <c r="J123">
        <v>0.24</v>
      </c>
      <c r="K123">
        <v>0.19700000000000001</v>
      </c>
      <c r="L123">
        <v>0.48</v>
      </c>
      <c r="M123">
        <v>0.55220000000000002</v>
      </c>
      <c r="N123">
        <v>4</v>
      </c>
      <c r="O123">
        <v>71</v>
      </c>
      <c r="P123">
        <v>75</v>
      </c>
    </row>
    <row r="124" spans="1:16" x14ac:dyDescent="0.3">
      <c r="A124">
        <v>733</v>
      </c>
      <c r="B124" s="4">
        <v>40576</v>
      </c>
      <c r="C124">
        <v>1</v>
      </c>
      <c r="D124">
        <v>0</v>
      </c>
      <c r="E124">
        <v>2</v>
      </c>
      <c r="F124">
        <v>21</v>
      </c>
      <c r="G124" t="b">
        <v>0</v>
      </c>
      <c r="H124">
        <v>3</v>
      </c>
      <c r="I124">
        <v>1</v>
      </c>
      <c r="J124">
        <v>0.22</v>
      </c>
      <c r="K124">
        <v>0.19700000000000001</v>
      </c>
      <c r="L124">
        <v>0.47</v>
      </c>
      <c r="M124">
        <v>0.32840000000000003</v>
      </c>
      <c r="N124">
        <v>1</v>
      </c>
      <c r="O124">
        <v>62</v>
      </c>
      <c r="P124">
        <v>63</v>
      </c>
    </row>
    <row r="125" spans="1:16" x14ac:dyDescent="0.3">
      <c r="A125">
        <v>734</v>
      </c>
      <c r="B125" s="4">
        <v>40576</v>
      </c>
      <c r="C125">
        <v>1</v>
      </c>
      <c r="D125">
        <v>0</v>
      </c>
      <c r="E125">
        <v>2</v>
      </c>
      <c r="F125">
        <v>22</v>
      </c>
      <c r="G125" t="b">
        <v>0</v>
      </c>
      <c r="H125">
        <v>3</v>
      </c>
      <c r="I125">
        <v>1</v>
      </c>
      <c r="J125">
        <v>0.22</v>
      </c>
      <c r="K125">
        <v>0.21210000000000001</v>
      </c>
      <c r="L125">
        <v>0.44</v>
      </c>
      <c r="M125">
        <v>0.25369999999999998</v>
      </c>
      <c r="N125">
        <v>5</v>
      </c>
      <c r="O125">
        <v>35</v>
      </c>
      <c r="P125">
        <v>40</v>
      </c>
    </row>
    <row r="126" spans="1:16" x14ac:dyDescent="0.3">
      <c r="A126">
        <v>735</v>
      </c>
      <c r="B126" s="4">
        <v>40576</v>
      </c>
      <c r="C126">
        <v>1</v>
      </c>
      <c r="D126">
        <v>0</v>
      </c>
      <c r="E126">
        <v>2</v>
      </c>
      <c r="F126">
        <v>23</v>
      </c>
      <c r="G126" t="b">
        <v>0</v>
      </c>
      <c r="H126">
        <v>3</v>
      </c>
      <c r="I126">
        <v>1</v>
      </c>
      <c r="J126">
        <v>0.2</v>
      </c>
      <c r="K126">
        <v>0.16669999999999999</v>
      </c>
      <c r="L126">
        <v>0.44</v>
      </c>
      <c r="M126">
        <v>0.44779999999999998</v>
      </c>
      <c r="N126">
        <v>3</v>
      </c>
      <c r="O126">
        <v>29</v>
      </c>
      <c r="P126">
        <v>32</v>
      </c>
    </row>
    <row r="127" spans="1:16" x14ac:dyDescent="0.3">
      <c r="A127">
        <v>736</v>
      </c>
      <c r="B127" s="4">
        <v>40577</v>
      </c>
      <c r="C127">
        <v>1</v>
      </c>
      <c r="D127">
        <v>0</v>
      </c>
      <c r="E127">
        <v>2</v>
      </c>
      <c r="F127">
        <v>0</v>
      </c>
      <c r="G127" t="b">
        <v>0</v>
      </c>
      <c r="H127">
        <v>4</v>
      </c>
      <c r="I127">
        <v>1</v>
      </c>
      <c r="J127">
        <v>0.2</v>
      </c>
      <c r="K127">
        <v>0.16669999999999999</v>
      </c>
      <c r="L127">
        <v>0.4</v>
      </c>
      <c r="M127">
        <v>0.44779999999999998</v>
      </c>
      <c r="N127">
        <v>1</v>
      </c>
      <c r="O127">
        <v>11</v>
      </c>
      <c r="P127">
        <v>12</v>
      </c>
    </row>
    <row r="128" spans="1:16" x14ac:dyDescent="0.3">
      <c r="A128">
        <v>737</v>
      </c>
      <c r="B128" s="4">
        <v>40577</v>
      </c>
      <c r="C128">
        <v>1</v>
      </c>
      <c r="D128">
        <v>0</v>
      </c>
      <c r="E128">
        <v>2</v>
      </c>
      <c r="F128">
        <v>1</v>
      </c>
      <c r="G128" t="b">
        <v>0</v>
      </c>
      <c r="H128">
        <v>4</v>
      </c>
      <c r="I128">
        <v>1</v>
      </c>
      <c r="J128">
        <v>0.2</v>
      </c>
      <c r="K128">
        <v>0.1515</v>
      </c>
      <c r="L128">
        <v>0.44</v>
      </c>
      <c r="M128">
        <v>0.52239999999999998</v>
      </c>
      <c r="N128">
        <v>0</v>
      </c>
      <c r="O128">
        <v>5</v>
      </c>
      <c r="P128">
        <v>5</v>
      </c>
    </row>
    <row r="129" spans="1:16" x14ac:dyDescent="0.3">
      <c r="A129">
        <v>738</v>
      </c>
      <c r="B129" s="4">
        <v>40577</v>
      </c>
      <c r="C129">
        <v>1</v>
      </c>
      <c r="D129">
        <v>0</v>
      </c>
      <c r="E129">
        <v>2</v>
      </c>
      <c r="F129">
        <v>2</v>
      </c>
      <c r="G129" t="b">
        <v>0</v>
      </c>
      <c r="H129">
        <v>4</v>
      </c>
      <c r="I129">
        <v>1</v>
      </c>
      <c r="J129">
        <v>0.18</v>
      </c>
      <c r="K129">
        <v>0.16669999999999999</v>
      </c>
      <c r="L129">
        <v>0.43</v>
      </c>
      <c r="M129">
        <v>0.25369999999999998</v>
      </c>
      <c r="N129">
        <v>0</v>
      </c>
      <c r="O129">
        <v>2</v>
      </c>
      <c r="P129">
        <v>2</v>
      </c>
    </row>
    <row r="130" spans="1:16" x14ac:dyDescent="0.3">
      <c r="A130">
        <v>739</v>
      </c>
      <c r="B130" s="4">
        <v>40577</v>
      </c>
      <c r="C130">
        <v>1</v>
      </c>
      <c r="D130">
        <v>0</v>
      </c>
      <c r="E130">
        <v>2</v>
      </c>
      <c r="F130">
        <v>3</v>
      </c>
      <c r="G130" t="b">
        <v>0</v>
      </c>
      <c r="H130">
        <v>4</v>
      </c>
      <c r="I130">
        <v>1</v>
      </c>
      <c r="J130">
        <v>0.18</v>
      </c>
      <c r="K130">
        <v>0.16669999999999999</v>
      </c>
      <c r="L130">
        <v>0.43</v>
      </c>
      <c r="M130">
        <v>0.25369999999999998</v>
      </c>
      <c r="N130">
        <v>0</v>
      </c>
      <c r="O130">
        <v>1</v>
      </c>
      <c r="P130">
        <v>1</v>
      </c>
    </row>
    <row r="131" spans="1:16" x14ac:dyDescent="0.3">
      <c r="A131">
        <v>740</v>
      </c>
      <c r="B131" s="4">
        <v>40577</v>
      </c>
      <c r="C131">
        <v>1</v>
      </c>
      <c r="D131">
        <v>0</v>
      </c>
      <c r="E131">
        <v>2</v>
      </c>
      <c r="F131">
        <v>5</v>
      </c>
      <c r="G131" t="b">
        <v>0</v>
      </c>
      <c r="H131">
        <v>4</v>
      </c>
      <c r="I131">
        <v>1</v>
      </c>
      <c r="J131">
        <v>0.16</v>
      </c>
      <c r="K131">
        <v>0.13639999999999999</v>
      </c>
      <c r="L131">
        <v>0.5</v>
      </c>
      <c r="M131">
        <v>0.29849999999999999</v>
      </c>
      <c r="N131">
        <v>0</v>
      </c>
      <c r="O131">
        <v>2</v>
      </c>
      <c r="P131">
        <v>2</v>
      </c>
    </row>
    <row r="132" spans="1:16" x14ac:dyDescent="0.3">
      <c r="A132">
        <v>741</v>
      </c>
      <c r="B132" s="4">
        <v>40577</v>
      </c>
      <c r="C132">
        <v>1</v>
      </c>
      <c r="D132">
        <v>0</v>
      </c>
      <c r="E132">
        <v>2</v>
      </c>
      <c r="F132">
        <v>6</v>
      </c>
      <c r="G132" t="b">
        <v>0</v>
      </c>
      <c r="H132">
        <v>4</v>
      </c>
      <c r="I132">
        <v>1</v>
      </c>
      <c r="J132">
        <v>0.16</v>
      </c>
      <c r="K132">
        <v>0.13639999999999999</v>
      </c>
      <c r="L132">
        <v>0.43</v>
      </c>
      <c r="M132">
        <v>0.35820000000000002</v>
      </c>
      <c r="N132">
        <v>0</v>
      </c>
      <c r="O132">
        <v>39</v>
      </c>
      <c r="P132">
        <v>39</v>
      </c>
    </row>
    <row r="133" spans="1:16" x14ac:dyDescent="0.3">
      <c r="A133">
        <v>742</v>
      </c>
      <c r="B133" s="4">
        <v>40577</v>
      </c>
      <c r="C133">
        <v>1</v>
      </c>
      <c r="D133">
        <v>0</v>
      </c>
      <c r="E133">
        <v>2</v>
      </c>
      <c r="F133">
        <v>7</v>
      </c>
      <c r="G133" t="b">
        <v>0</v>
      </c>
      <c r="H133">
        <v>4</v>
      </c>
      <c r="I133">
        <v>1</v>
      </c>
      <c r="J133">
        <v>0.14000000000000001</v>
      </c>
      <c r="K133">
        <v>0.1212</v>
      </c>
      <c r="L133">
        <v>0.5</v>
      </c>
      <c r="M133">
        <v>0.32840000000000003</v>
      </c>
      <c r="N133">
        <v>1</v>
      </c>
      <c r="O133">
        <v>86</v>
      </c>
      <c r="P133">
        <v>87</v>
      </c>
    </row>
    <row r="134" spans="1:16" x14ac:dyDescent="0.3">
      <c r="A134">
        <v>743</v>
      </c>
      <c r="B134" s="4">
        <v>40577</v>
      </c>
      <c r="C134">
        <v>1</v>
      </c>
      <c r="D134">
        <v>0</v>
      </c>
      <c r="E134">
        <v>2</v>
      </c>
      <c r="F134">
        <v>8</v>
      </c>
      <c r="G134" t="b">
        <v>0</v>
      </c>
      <c r="H134">
        <v>4</v>
      </c>
      <c r="I134">
        <v>1</v>
      </c>
      <c r="J134">
        <v>0.14000000000000001</v>
      </c>
      <c r="K134">
        <v>0.1212</v>
      </c>
      <c r="L134">
        <v>0.5</v>
      </c>
      <c r="M134">
        <v>0.35820000000000002</v>
      </c>
      <c r="N134">
        <v>4</v>
      </c>
      <c r="O134">
        <v>184</v>
      </c>
      <c r="P134">
        <v>188</v>
      </c>
    </row>
    <row r="135" spans="1:16" x14ac:dyDescent="0.3">
      <c r="A135">
        <v>744</v>
      </c>
      <c r="B135" s="4">
        <v>40577</v>
      </c>
      <c r="C135">
        <v>1</v>
      </c>
      <c r="D135">
        <v>0</v>
      </c>
      <c r="E135">
        <v>2</v>
      </c>
      <c r="F135">
        <v>9</v>
      </c>
      <c r="G135" t="b">
        <v>0</v>
      </c>
      <c r="H135">
        <v>4</v>
      </c>
      <c r="I135">
        <v>1</v>
      </c>
      <c r="J135">
        <v>0.16</v>
      </c>
      <c r="K135">
        <v>0.13639999999999999</v>
      </c>
      <c r="L135">
        <v>0.47</v>
      </c>
      <c r="M135">
        <v>0.29849999999999999</v>
      </c>
      <c r="N135">
        <v>6</v>
      </c>
      <c r="O135">
        <v>127</v>
      </c>
      <c r="P135">
        <v>133</v>
      </c>
    </row>
    <row r="136" spans="1:16" x14ac:dyDescent="0.3">
      <c r="A136">
        <v>745</v>
      </c>
      <c r="B136" s="4">
        <v>40577</v>
      </c>
      <c r="C136">
        <v>1</v>
      </c>
      <c r="D136">
        <v>0</v>
      </c>
      <c r="E136">
        <v>2</v>
      </c>
      <c r="F136">
        <v>10</v>
      </c>
      <c r="G136" t="b">
        <v>0</v>
      </c>
      <c r="H136">
        <v>4</v>
      </c>
      <c r="I136">
        <v>1</v>
      </c>
      <c r="J136">
        <v>0.18</v>
      </c>
      <c r="K136">
        <v>0.1515</v>
      </c>
      <c r="L136">
        <v>0.43</v>
      </c>
      <c r="M136">
        <v>0.32840000000000003</v>
      </c>
      <c r="N136">
        <v>2</v>
      </c>
      <c r="O136">
        <v>50</v>
      </c>
      <c r="P136">
        <v>52</v>
      </c>
    </row>
    <row r="137" spans="1:16" x14ac:dyDescent="0.3">
      <c r="A137">
        <v>746</v>
      </c>
      <c r="B137" s="4">
        <v>40577</v>
      </c>
      <c r="C137">
        <v>1</v>
      </c>
      <c r="D137">
        <v>0</v>
      </c>
      <c r="E137">
        <v>2</v>
      </c>
      <c r="F137">
        <v>11</v>
      </c>
      <c r="G137" t="b">
        <v>0</v>
      </c>
      <c r="H137">
        <v>4</v>
      </c>
      <c r="I137">
        <v>1</v>
      </c>
      <c r="J137">
        <v>0.18</v>
      </c>
      <c r="K137">
        <v>0.13639999999999999</v>
      </c>
      <c r="L137">
        <v>0.43</v>
      </c>
      <c r="M137">
        <v>0.44779999999999998</v>
      </c>
      <c r="N137">
        <v>9</v>
      </c>
      <c r="O137">
        <v>55</v>
      </c>
      <c r="P137">
        <v>64</v>
      </c>
    </row>
    <row r="138" spans="1:16" x14ac:dyDescent="0.3">
      <c r="A138">
        <v>747</v>
      </c>
      <c r="B138" s="4">
        <v>40577</v>
      </c>
      <c r="C138">
        <v>1</v>
      </c>
      <c r="D138">
        <v>0</v>
      </c>
      <c r="E138">
        <v>2</v>
      </c>
      <c r="F138">
        <v>12</v>
      </c>
      <c r="G138" t="b">
        <v>0</v>
      </c>
      <c r="H138">
        <v>4</v>
      </c>
      <c r="I138">
        <v>1</v>
      </c>
      <c r="J138">
        <v>0.2</v>
      </c>
      <c r="K138">
        <v>0.18179999999999999</v>
      </c>
      <c r="L138">
        <v>0.4</v>
      </c>
      <c r="M138">
        <v>0.35820000000000002</v>
      </c>
      <c r="N138">
        <v>2</v>
      </c>
      <c r="O138">
        <v>67</v>
      </c>
      <c r="P138">
        <v>69</v>
      </c>
    </row>
    <row r="139" spans="1:16" x14ac:dyDescent="0.3">
      <c r="A139">
        <v>748</v>
      </c>
      <c r="B139" s="4">
        <v>40577</v>
      </c>
      <c r="C139">
        <v>1</v>
      </c>
      <c r="D139">
        <v>0</v>
      </c>
      <c r="E139">
        <v>2</v>
      </c>
      <c r="F139">
        <v>13</v>
      </c>
      <c r="G139" t="b">
        <v>0</v>
      </c>
      <c r="H139">
        <v>4</v>
      </c>
      <c r="I139">
        <v>1</v>
      </c>
      <c r="J139">
        <v>0.2</v>
      </c>
      <c r="K139">
        <v>0.16669999999999999</v>
      </c>
      <c r="L139">
        <v>0.4</v>
      </c>
      <c r="M139">
        <v>0.41789999999999999</v>
      </c>
      <c r="N139">
        <v>4</v>
      </c>
      <c r="O139">
        <v>47</v>
      </c>
      <c r="P139">
        <v>51</v>
      </c>
    </row>
    <row r="140" spans="1:16" x14ac:dyDescent="0.3">
      <c r="A140">
        <v>749</v>
      </c>
      <c r="B140" s="4">
        <v>40577</v>
      </c>
      <c r="C140">
        <v>1</v>
      </c>
      <c r="D140">
        <v>0</v>
      </c>
      <c r="E140">
        <v>2</v>
      </c>
      <c r="F140">
        <v>14</v>
      </c>
      <c r="G140" t="b">
        <v>0</v>
      </c>
      <c r="H140">
        <v>4</v>
      </c>
      <c r="I140">
        <v>1</v>
      </c>
      <c r="J140">
        <v>0.22</v>
      </c>
      <c r="K140">
        <v>0.19700000000000001</v>
      </c>
      <c r="L140">
        <v>0.37</v>
      </c>
      <c r="M140">
        <v>0.3881</v>
      </c>
      <c r="N140">
        <v>4</v>
      </c>
      <c r="O140">
        <v>43</v>
      </c>
      <c r="P140">
        <v>47</v>
      </c>
    </row>
    <row r="141" spans="1:16" x14ac:dyDescent="0.3">
      <c r="A141">
        <v>750</v>
      </c>
      <c r="B141" s="4">
        <v>40577</v>
      </c>
      <c r="C141">
        <v>1</v>
      </c>
      <c r="D141">
        <v>0</v>
      </c>
      <c r="E141">
        <v>2</v>
      </c>
      <c r="F141">
        <v>15</v>
      </c>
      <c r="G141" t="b">
        <v>0</v>
      </c>
      <c r="H141">
        <v>4</v>
      </c>
      <c r="I141">
        <v>1</v>
      </c>
      <c r="J141">
        <v>0.22</v>
      </c>
      <c r="K141">
        <v>0.19700000000000001</v>
      </c>
      <c r="L141">
        <v>0.37</v>
      </c>
      <c r="M141">
        <v>0.32840000000000003</v>
      </c>
      <c r="N141">
        <v>4</v>
      </c>
      <c r="O141">
        <v>56</v>
      </c>
      <c r="P141">
        <v>60</v>
      </c>
    </row>
    <row r="142" spans="1:16" x14ac:dyDescent="0.3">
      <c r="A142">
        <v>751</v>
      </c>
      <c r="B142" s="4">
        <v>40577</v>
      </c>
      <c r="C142">
        <v>1</v>
      </c>
      <c r="D142">
        <v>0</v>
      </c>
      <c r="E142">
        <v>2</v>
      </c>
      <c r="F142">
        <v>16</v>
      </c>
      <c r="G142" t="b">
        <v>0</v>
      </c>
      <c r="H142">
        <v>4</v>
      </c>
      <c r="I142">
        <v>1</v>
      </c>
      <c r="J142">
        <v>0.22</v>
      </c>
      <c r="K142">
        <v>0.21210000000000001</v>
      </c>
      <c r="L142">
        <v>0.37</v>
      </c>
      <c r="M142">
        <v>0.25369999999999998</v>
      </c>
      <c r="N142">
        <v>5</v>
      </c>
      <c r="O142">
        <v>73</v>
      </c>
      <c r="P142">
        <v>78</v>
      </c>
    </row>
    <row r="143" spans="1:16" x14ac:dyDescent="0.3">
      <c r="A143">
        <v>752</v>
      </c>
      <c r="B143" s="4">
        <v>40577</v>
      </c>
      <c r="C143">
        <v>1</v>
      </c>
      <c r="D143">
        <v>0</v>
      </c>
      <c r="E143">
        <v>2</v>
      </c>
      <c r="F143">
        <v>17</v>
      </c>
      <c r="G143" t="b">
        <v>0</v>
      </c>
      <c r="H143">
        <v>4</v>
      </c>
      <c r="I143">
        <v>1</v>
      </c>
      <c r="J143">
        <v>0.2</v>
      </c>
      <c r="K143">
        <v>0.19700000000000001</v>
      </c>
      <c r="L143">
        <v>0.4</v>
      </c>
      <c r="M143">
        <v>0.19400000000000001</v>
      </c>
      <c r="N143">
        <v>5</v>
      </c>
      <c r="O143">
        <v>170</v>
      </c>
      <c r="P143">
        <v>175</v>
      </c>
    </row>
    <row r="144" spans="1:16" x14ac:dyDescent="0.3">
      <c r="A144">
        <v>753</v>
      </c>
      <c r="B144" s="4">
        <v>40577</v>
      </c>
      <c r="C144">
        <v>1</v>
      </c>
      <c r="D144">
        <v>0</v>
      </c>
      <c r="E144">
        <v>2</v>
      </c>
      <c r="F144">
        <v>18</v>
      </c>
      <c r="G144" t="b">
        <v>0</v>
      </c>
      <c r="H144">
        <v>4</v>
      </c>
      <c r="I144">
        <v>1</v>
      </c>
      <c r="J144">
        <v>0.2</v>
      </c>
      <c r="K144">
        <v>0.21210000000000001</v>
      </c>
      <c r="L144">
        <v>0.4</v>
      </c>
      <c r="M144">
        <v>0.16420000000000001</v>
      </c>
      <c r="N144">
        <v>2</v>
      </c>
      <c r="O144">
        <v>145</v>
      </c>
      <c r="P144">
        <v>147</v>
      </c>
    </row>
    <row r="145" spans="1:16" x14ac:dyDescent="0.3">
      <c r="A145">
        <v>754</v>
      </c>
      <c r="B145" s="4">
        <v>40577</v>
      </c>
      <c r="C145">
        <v>1</v>
      </c>
      <c r="D145">
        <v>0</v>
      </c>
      <c r="E145">
        <v>2</v>
      </c>
      <c r="F145">
        <v>19</v>
      </c>
      <c r="G145" t="b">
        <v>0</v>
      </c>
      <c r="H145">
        <v>4</v>
      </c>
      <c r="I145">
        <v>1</v>
      </c>
      <c r="J145">
        <v>0.2</v>
      </c>
      <c r="K145">
        <v>0.2576</v>
      </c>
      <c r="L145">
        <v>0.4</v>
      </c>
      <c r="M145">
        <v>0</v>
      </c>
      <c r="N145">
        <v>4</v>
      </c>
      <c r="O145">
        <v>92</v>
      </c>
      <c r="P145">
        <v>96</v>
      </c>
    </row>
    <row r="146" spans="1:16" x14ac:dyDescent="0.3">
      <c r="A146">
        <v>755</v>
      </c>
      <c r="B146" s="4">
        <v>40577</v>
      </c>
      <c r="C146">
        <v>1</v>
      </c>
      <c r="D146">
        <v>0</v>
      </c>
      <c r="E146">
        <v>2</v>
      </c>
      <c r="F146">
        <v>20</v>
      </c>
      <c r="G146" t="b">
        <v>0</v>
      </c>
      <c r="H146">
        <v>4</v>
      </c>
      <c r="I146">
        <v>1</v>
      </c>
      <c r="J146">
        <v>0.2</v>
      </c>
      <c r="K146">
        <v>0.2273</v>
      </c>
      <c r="L146">
        <v>0.47</v>
      </c>
      <c r="M146">
        <v>8.9599999999999999E-2</v>
      </c>
      <c r="N146">
        <v>1</v>
      </c>
      <c r="O146">
        <v>108</v>
      </c>
      <c r="P146">
        <v>109</v>
      </c>
    </row>
    <row r="147" spans="1:16" x14ac:dyDescent="0.3">
      <c r="A147">
        <v>756</v>
      </c>
      <c r="B147" s="4">
        <v>40577</v>
      </c>
      <c r="C147">
        <v>1</v>
      </c>
      <c r="D147">
        <v>0</v>
      </c>
      <c r="E147">
        <v>2</v>
      </c>
      <c r="F147">
        <v>21</v>
      </c>
      <c r="G147" t="b">
        <v>0</v>
      </c>
      <c r="H147">
        <v>4</v>
      </c>
      <c r="I147">
        <v>1</v>
      </c>
      <c r="J147">
        <v>0.18</v>
      </c>
      <c r="K147">
        <v>0.21210000000000001</v>
      </c>
      <c r="L147">
        <v>0.55000000000000004</v>
      </c>
      <c r="M147">
        <v>0.1045</v>
      </c>
      <c r="N147">
        <v>1</v>
      </c>
      <c r="O147">
        <v>53</v>
      </c>
      <c r="P147">
        <v>54</v>
      </c>
    </row>
    <row r="148" spans="1:16" x14ac:dyDescent="0.3">
      <c r="A148">
        <v>757</v>
      </c>
      <c r="B148" s="4">
        <v>40577</v>
      </c>
      <c r="C148">
        <v>1</v>
      </c>
      <c r="D148">
        <v>0</v>
      </c>
      <c r="E148">
        <v>2</v>
      </c>
      <c r="F148">
        <v>22</v>
      </c>
      <c r="G148" t="b">
        <v>0</v>
      </c>
      <c r="H148">
        <v>4</v>
      </c>
      <c r="I148">
        <v>1</v>
      </c>
      <c r="J148">
        <v>0.18</v>
      </c>
      <c r="K148">
        <v>0.21210000000000001</v>
      </c>
      <c r="L148">
        <v>0.51</v>
      </c>
      <c r="M148">
        <v>8.9599999999999999E-2</v>
      </c>
      <c r="N148">
        <v>2</v>
      </c>
      <c r="O148">
        <v>39</v>
      </c>
      <c r="P148">
        <v>41</v>
      </c>
    </row>
    <row r="149" spans="1:16" x14ac:dyDescent="0.3">
      <c r="A149">
        <v>758</v>
      </c>
      <c r="B149" s="4">
        <v>40577</v>
      </c>
      <c r="C149">
        <v>1</v>
      </c>
      <c r="D149">
        <v>0</v>
      </c>
      <c r="E149">
        <v>2</v>
      </c>
      <c r="F149">
        <v>23</v>
      </c>
      <c r="G149" t="b">
        <v>0</v>
      </c>
      <c r="H149">
        <v>4</v>
      </c>
      <c r="I149">
        <v>1</v>
      </c>
      <c r="J149">
        <v>0.2</v>
      </c>
      <c r="K149">
        <v>0.2273</v>
      </c>
      <c r="L149">
        <v>0.47</v>
      </c>
      <c r="M149">
        <v>0.1045</v>
      </c>
      <c r="N149">
        <v>4</v>
      </c>
      <c r="O149">
        <v>34</v>
      </c>
      <c r="P149">
        <v>38</v>
      </c>
    </row>
    <row r="150" spans="1:16" x14ac:dyDescent="0.3">
      <c r="A150">
        <v>759</v>
      </c>
      <c r="B150" s="4">
        <v>40578</v>
      </c>
      <c r="C150">
        <v>1</v>
      </c>
      <c r="D150">
        <v>0</v>
      </c>
      <c r="E150">
        <v>2</v>
      </c>
      <c r="F150">
        <v>0</v>
      </c>
      <c r="G150" t="b">
        <v>0</v>
      </c>
      <c r="H150">
        <v>5</v>
      </c>
      <c r="I150">
        <v>2</v>
      </c>
      <c r="J150">
        <v>0.2</v>
      </c>
      <c r="K150">
        <v>0.2576</v>
      </c>
      <c r="L150">
        <v>0.44</v>
      </c>
      <c r="M150">
        <v>0</v>
      </c>
      <c r="N150">
        <v>3</v>
      </c>
      <c r="O150">
        <v>10</v>
      </c>
      <c r="P150">
        <v>13</v>
      </c>
    </row>
    <row r="151" spans="1:16" x14ac:dyDescent="0.3">
      <c r="A151">
        <v>760</v>
      </c>
      <c r="B151" s="4">
        <v>40578</v>
      </c>
      <c r="C151">
        <v>1</v>
      </c>
      <c r="D151">
        <v>0</v>
      </c>
      <c r="E151">
        <v>2</v>
      </c>
      <c r="F151">
        <v>1</v>
      </c>
      <c r="G151" t="b">
        <v>0</v>
      </c>
      <c r="H151">
        <v>5</v>
      </c>
      <c r="I151">
        <v>2</v>
      </c>
      <c r="J151">
        <v>0.16</v>
      </c>
      <c r="K151">
        <v>0.2273</v>
      </c>
      <c r="L151">
        <v>0.59</v>
      </c>
      <c r="M151">
        <v>0</v>
      </c>
      <c r="N151">
        <v>0</v>
      </c>
      <c r="O151">
        <v>7</v>
      </c>
      <c r="P151">
        <v>7</v>
      </c>
    </row>
    <row r="152" spans="1:16" x14ac:dyDescent="0.3">
      <c r="A152">
        <v>761</v>
      </c>
      <c r="B152" s="4">
        <v>40578</v>
      </c>
      <c r="C152">
        <v>1</v>
      </c>
      <c r="D152">
        <v>0</v>
      </c>
      <c r="E152">
        <v>2</v>
      </c>
      <c r="F152">
        <v>2</v>
      </c>
      <c r="G152" t="b">
        <v>0</v>
      </c>
      <c r="H152">
        <v>5</v>
      </c>
      <c r="I152">
        <v>2</v>
      </c>
      <c r="J152">
        <v>0.14000000000000001</v>
      </c>
      <c r="K152">
        <v>0.16669999999999999</v>
      </c>
      <c r="L152">
        <v>0.63</v>
      </c>
      <c r="M152">
        <v>0.1045</v>
      </c>
      <c r="N152">
        <v>0</v>
      </c>
      <c r="O152">
        <v>1</v>
      </c>
      <c r="P152">
        <v>1</v>
      </c>
    </row>
    <row r="153" spans="1:16" x14ac:dyDescent="0.3">
      <c r="A153">
        <v>762</v>
      </c>
      <c r="B153" s="4">
        <v>40578</v>
      </c>
      <c r="C153">
        <v>1</v>
      </c>
      <c r="D153">
        <v>0</v>
      </c>
      <c r="E153">
        <v>2</v>
      </c>
      <c r="F153">
        <v>3</v>
      </c>
      <c r="G153" t="b">
        <v>0</v>
      </c>
      <c r="H153">
        <v>5</v>
      </c>
      <c r="I153">
        <v>2</v>
      </c>
      <c r="J153">
        <v>0.14000000000000001</v>
      </c>
      <c r="K153">
        <v>0.16669999999999999</v>
      </c>
      <c r="L153">
        <v>0.63</v>
      </c>
      <c r="M153">
        <v>0.1045</v>
      </c>
      <c r="N153">
        <v>0</v>
      </c>
      <c r="O153">
        <v>1</v>
      </c>
      <c r="P153">
        <v>1</v>
      </c>
    </row>
    <row r="154" spans="1:16" x14ac:dyDescent="0.3">
      <c r="A154">
        <v>763</v>
      </c>
      <c r="B154" s="4">
        <v>40578</v>
      </c>
      <c r="C154">
        <v>1</v>
      </c>
      <c r="D154">
        <v>0</v>
      </c>
      <c r="E154">
        <v>2</v>
      </c>
      <c r="F154">
        <v>5</v>
      </c>
      <c r="G154" t="b">
        <v>0</v>
      </c>
      <c r="H154">
        <v>5</v>
      </c>
      <c r="I154">
        <v>2</v>
      </c>
      <c r="J154">
        <v>0.14000000000000001</v>
      </c>
      <c r="K154">
        <v>0.1515</v>
      </c>
      <c r="L154">
        <v>0.63</v>
      </c>
      <c r="M154">
        <v>0.1343</v>
      </c>
      <c r="N154">
        <v>0</v>
      </c>
      <c r="O154">
        <v>7</v>
      </c>
      <c r="P154">
        <v>7</v>
      </c>
    </row>
    <row r="155" spans="1:16" x14ac:dyDescent="0.3">
      <c r="A155">
        <v>764</v>
      </c>
      <c r="B155" s="4">
        <v>40578</v>
      </c>
      <c r="C155">
        <v>1</v>
      </c>
      <c r="D155">
        <v>0</v>
      </c>
      <c r="E155">
        <v>2</v>
      </c>
      <c r="F155">
        <v>6</v>
      </c>
      <c r="G155" t="b">
        <v>0</v>
      </c>
      <c r="H155">
        <v>5</v>
      </c>
      <c r="I155">
        <v>2</v>
      </c>
      <c r="J155">
        <v>0.16</v>
      </c>
      <c r="K155">
        <v>0.2273</v>
      </c>
      <c r="L155">
        <v>0.55000000000000004</v>
      </c>
      <c r="M155">
        <v>0</v>
      </c>
      <c r="N155">
        <v>2</v>
      </c>
      <c r="O155">
        <v>26</v>
      </c>
      <c r="P155">
        <v>28</v>
      </c>
    </row>
    <row r="156" spans="1:16" x14ac:dyDescent="0.3">
      <c r="A156">
        <v>765</v>
      </c>
      <c r="B156" s="4">
        <v>40578</v>
      </c>
      <c r="C156">
        <v>1</v>
      </c>
      <c r="D156">
        <v>0</v>
      </c>
      <c r="E156">
        <v>2</v>
      </c>
      <c r="F156">
        <v>7</v>
      </c>
      <c r="G156" t="b">
        <v>0</v>
      </c>
      <c r="H156">
        <v>5</v>
      </c>
      <c r="I156">
        <v>1</v>
      </c>
      <c r="J156">
        <v>0.14000000000000001</v>
      </c>
      <c r="K156">
        <v>0.21210000000000001</v>
      </c>
      <c r="L156">
        <v>0.59</v>
      </c>
      <c r="M156">
        <v>0</v>
      </c>
      <c r="N156">
        <v>0</v>
      </c>
      <c r="O156">
        <v>87</v>
      </c>
      <c r="P156">
        <v>87</v>
      </c>
    </row>
    <row r="157" spans="1:16" x14ac:dyDescent="0.3">
      <c r="A157">
        <v>766</v>
      </c>
      <c r="B157" s="4">
        <v>40578</v>
      </c>
      <c r="C157">
        <v>1</v>
      </c>
      <c r="D157">
        <v>0</v>
      </c>
      <c r="E157">
        <v>2</v>
      </c>
      <c r="F157">
        <v>8</v>
      </c>
      <c r="G157" t="b">
        <v>0</v>
      </c>
      <c r="H157">
        <v>5</v>
      </c>
      <c r="I157">
        <v>1</v>
      </c>
      <c r="J157">
        <v>0.14000000000000001</v>
      </c>
      <c r="K157">
        <v>0.1515</v>
      </c>
      <c r="L157">
        <v>0.74</v>
      </c>
      <c r="M157">
        <v>0.1343</v>
      </c>
      <c r="N157">
        <v>3</v>
      </c>
      <c r="O157">
        <v>217</v>
      </c>
      <c r="P157">
        <v>220</v>
      </c>
    </row>
    <row r="158" spans="1:16" x14ac:dyDescent="0.3">
      <c r="A158">
        <v>767</v>
      </c>
      <c r="B158" s="4">
        <v>40578</v>
      </c>
      <c r="C158">
        <v>1</v>
      </c>
      <c r="D158">
        <v>0</v>
      </c>
      <c r="E158">
        <v>2</v>
      </c>
      <c r="F158">
        <v>9</v>
      </c>
      <c r="G158" t="b">
        <v>0</v>
      </c>
      <c r="H158">
        <v>5</v>
      </c>
      <c r="I158">
        <v>2</v>
      </c>
      <c r="J158">
        <v>0.16</v>
      </c>
      <c r="K158">
        <v>0.18179999999999999</v>
      </c>
      <c r="L158">
        <v>0.8</v>
      </c>
      <c r="M158">
        <v>0.1343</v>
      </c>
      <c r="N158">
        <v>3</v>
      </c>
      <c r="O158">
        <v>124</v>
      </c>
      <c r="P158">
        <v>127</v>
      </c>
    </row>
    <row r="159" spans="1:16" x14ac:dyDescent="0.3">
      <c r="A159">
        <v>768</v>
      </c>
      <c r="B159" s="4">
        <v>40578</v>
      </c>
      <c r="C159">
        <v>1</v>
      </c>
      <c r="D159">
        <v>0</v>
      </c>
      <c r="E159">
        <v>2</v>
      </c>
      <c r="F159">
        <v>10</v>
      </c>
      <c r="G159" t="b">
        <v>0</v>
      </c>
      <c r="H159">
        <v>5</v>
      </c>
      <c r="I159">
        <v>2</v>
      </c>
      <c r="J159">
        <v>0.2</v>
      </c>
      <c r="K159">
        <v>0.21210000000000001</v>
      </c>
      <c r="L159">
        <v>0.51</v>
      </c>
      <c r="M159">
        <v>0.1343</v>
      </c>
      <c r="N159">
        <v>5</v>
      </c>
      <c r="O159">
        <v>46</v>
      </c>
      <c r="P159">
        <v>51</v>
      </c>
    </row>
    <row r="160" spans="1:16" x14ac:dyDescent="0.3">
      <c r="A160">
        <v>769</v>
      </c>
      <c r="B160" s="4">
        <v>40578</v>
      </c>
      <c r="C160">
        <v>1</v>
      </c>
      <c r="D160">
        <v>0</v>
      </c>
      <c r="E160">
        <v>2</v>
      </c>
      <c r="F160">
        <v>11</v>
      </c>
      <c r="G160" t="b">
        <v>0</v>
      </c>
      <c r="H160">
        <v>5</v>
      </c>
      <c r="I160">
        <v>1</v>
      </c>
      <c r="J160">
        <v>0.22</v>
      </c>
      <c r="K160">
        <v>0.2273</v>
      </c>
      <c r="L160">
        <v>0.51</v>
      </c>
      <c r="M160">
        <v>0.16420000000000001</v>
      </c>
      <c r="N160">
        <v>3</v>
      </c>
      <c r="O160">
        <v>61</v>
      </c>
      <c r="P160">
        <v>64</v>
      </c>
    </row>
    <row r="161" spans="1:16" x14ac:dyDescent="0.3">
      <c r="A161">
        <v>770</v>
      </c>
      <c r="B161" s="4">
        <v>40578</v>
      </c>
      <c r="C161">
        <v>1</v>
      </c>
      <c r="D161">
        <v>0</v>
      </c>
      <c r="E161">
        <v>2</v>
      </c>
      <c r="F161">
        <v>12</v>
      </c>
      <c r="G161" t="b">
        <v>0</v>
      </c>
      <c r="H161">
        <v>5</v>
      </c>
      <c r="I161">
        <v>2</v>
      </c>
      <c r="J161">
        <v>0.24</v>
      </c>
      <c r="K161">
        <v>0.2424</v>
      </c>
      <c r="L161">
        <v>0.48</v>
      </c>
      <c r="M161">
        <v>0.16420000000000001</v>
      </c>
      <c r="N161">
        <v>8</v>
      </c>
      <c r="O161">
        <v>78</v>
      </c>
      <c r="P161">
        <v>86</v>
      </c>
    </row>
    <row r="162" spans="1:16" x14ac:dyDescent="0.3">
      <c r="A162">
        <v>771</v>
      </c>
      <c r="B162" s="4">
        <v>40578</v>
      </c>
      <c r="C162">
        <v>1</v>
      </c>
      <c r="D162">
        <v>0</v>
      </c>
      <c r="E162">
        <v>2</v>
      </c>
      <c r="F162">
        <v>13</v>
      </c>
      <c r="G162" t="b">
        <v>0</v>
      </c>
      <c r="H162">
        <v>5</v>
      </c>
      <c r="I162">
        <v>2</v>
      </c>
      <c r="J162">
        <v>0.26</v>
      </c>
      <c r="K162">
        <v>0.2576</v>
      </c>
      <c r="L162">
        <v>0.5</v>
      </c>
      <c r="M162">
        <v>0.22389999999999999</v>
      </c>
      <c r="N162">
        <v>9</v>
      </c>
      <c r="O162">
        <v>73</v>
      </c>
      <c r="P162">
        <v>82</v>
      </c>
    </row>
    <row r="163" spans="1:16" x14ac:dyDescent="0.3">
      <c r="A163">
        <v>772</v>
      </c>
      <c r="B163" s="4">
        <v>40578</v>
      </c>
      <c r="C163">
        <v>1</v>
      </c>
      <c r="D163">
        <v>0</v>
      </c>
      <c r="E163">
        <v>2</v>
      </c>
      <c r="F163">
        <v>14</v>
      </c>
      <c r="G163" t="b">
        <v>0</v>
      </c>
      <c r="H163">
        <v>5</v>
      </c>
      <c r="I163">
        <v>2</v>
      </c>
      <c r="J163">
        <v>0.28000000000000003</v>
      </c>
      <c r="K163">
        <v>0.2727</v>
      </c>
      <c r="L163">
        <v>0.45</v>
      </c>
      <c r="M163">
        <v>0.16420000000000001</v>
      </c>
      <c r="N163">
        <v>15</v>
      </c>
      <c r="O163">
        <v>76</v>
      </c>
      <c r="P163">
        <v>91</v>
      </c>
    </row>
    <row r="164" spans="1:16" x14ac:dyDescent="0.3">
      <c r="A164">
        <v>773</v>
      </c>
      <c r="B164" s="4">
        <v>40578</v>
      </c>
      <c r="C164">
        <v>1</v>
      </c>
      <c r="D164">
        <v>0</v>
      </c>
      <c r="E164">
        <v>2</v>
      </c>
      <c r="F164">
        <v>15</v>
      </c>
      <c r="G164" t="b">
        <v>0</v>
      </c>
      <c r="H164">
        <v>5</v>
      </c>
      <c r="I164">
        <v>2</v>
      </c>
      <c r="J164">
        <v>0.28000000000000003</v>
      </c>
      <c r="K164">
        <v>0.2727</v>
      </c>
      <c r="L164">
        <v>0.48</v>
      </c>
      <c r="M164">
        <v>0.25369999999999998</v>
      </c>
      <c r="N164">
        <v>9</v>
      </c>
      <c r="O164">
        <v>81</v>
      </c>
      <c r="P164">
        <v>90</v>
      </c>
    </row>
    <row r="165" spans="1:16" x14ac:dyDescent="0.3">
      <c r="A165">
        <v>774</v>
      </c>
      <c r="B165" s="4">
        <v>40578</v>
      </c>
      <c r="C165">
        <v>1</v>
      </c>
      <c r="D165">
        <v>0</v>
      </c>
      <c r="E165">
        <v>2</v>
      </c>
      <c r="F165">
        <v>16</v>
      </c>
      <c r="G165" t="b">
        <v>0</v>
      </c>
      <c r="H165">
        <v>5</v>
      </c>
      <c r="I165">
        <v>2</v>
      </c>
      <c r="J165">
        <v>0.3</v>
      </c>
      <c r="K165">
        <v>0.28789999999999999</v>
      </c>
      <c r="L165">
        <v>0.42</v>
      </c>
      <c r="M165">
        <v>0.22389999999999999</v>
      </c>
      <c r="N165">
        <v>8</v>
      </c>
      <c r="O165">
        <v>91</v>
      </c>
      <c r="P165">
        <v>99</v>
      </c>
    </row>
    <row r="166" spans="1:16" x14ac:dyDescent="0.3">
      <c r="A166">
        <v>775</v>
      </c>
      <c r="B166" s="4">
        <v>40578</v>
      </c>
      <c r="C166">
        <v>1</v>
      </c>
      <c r="D166">
        <v>0</v>
      </c>
      <c r="E166">
        <v>2</v>
      </c>
      <c r="F166">
        <v>17</v>
      </c>
      <c r="G166" t="b">
        <v>0</v>
      </c>
      <c r="H166">
        <v>5</v>
      </c>
      <c r="I166">
        <v>2</v>
      </c>
      <c r="J166">
        <v>0.26</v>
      </c>
      <c r="K166">
        <v>0.2727</v>
      </c>
      <c r="L166">
        <v>0.56000000000000005</v>
      </c>
      <c r="M166">
        <v>0.1343</v>
      </c>
      <c r="N166">
        <v>10</v>
      </c>
      <c r="O166">
        <v>195</v>
      </c>
      <c r="P166">
        <v>205</v>
      </c>
    </row>
    <row r="167" spans="1:16" x14ac:dyDescent="0.3">
      <c r="A167">
        <v>776</v>
      </c>
      <c r="B167" s="4">
        <v>40578</v>
      </c>
      <c r="C167">
        <v>1</v>
      </c>
      <c r="D167">
        <v>0</v>
      </c>
      <c r="E167">
        <v>2</v>
      </c>
      <c r="F167">
        <v>18</v>
      </c>
      <c r="G167" t="b">
        <v>0</v>
      </c>
      <c r="H167">
        <v>5</v>
      </c>
      <c r="I167">
        <v>2</v>
      </c>
      <c r="J167">
        <v>0.24</v>
      </c>
      <c r="K167">
        <v>0.2576</v>
      </c>
      <c r="L167">
        <v>0.6</v>
      </c>
      <c r="M167">
        <v>0.1045</v>
      </c>
      <c r="N167">
        <v>3</v>
      </c>
      <c r="O167">
        <v>152</v>
      </c>
      <c r="P167">
        <v>155</v>
      </c>
    </row>
    <row r="168" spans="1:16" x14ac:dyDescent="0.3">
      <c r="A168">
        <v>777</v>
      </c>
      <c r="B168" s="4">
        <v>40578</v>
      </c>
      <c r="C168">
        <v>1</v>
      </c>
      <c r="D168">
        <v>0</v>
      </c>
      <c r="E168">
        <v>2</v>
      </c>
      <c r="F168">
        <v>19</v>
      </c>
      <c r="G168" t="b">
        <v>0</v>
      </c>
      <c r="H168">
        <v>5</v>
      </c>
      <c r="I168">
        <v>2</v>
      </c>
      <c r="J168">
        <v>0.24</v>
      </c>
      <c r="K168">
        <v>0.2424</v>
      </c>
      <c r="L168">
        <v>0.65</v>
      </c>
      <c r="M168">
        <v>0.1343</v>
      </c>
      <c r="N168">
        <v>1</v>
      </c>
      <c r="O168">
        <v>102</v>
      </c>
      <c r="P168">
        <v>103</v>
      </c>
    </row>
    <row r="169" spans="1:16" x14ac:dyDescent="0.3">
      <c r="A169">
        <v>778</v>
      </c>
      <c r="B169" s="4">
        <v>40578</v>
      </c>
      <c r="C169">
        <v>1</v>
      </c>
      <c r="D169">
        <v>0</v>
      </c>
      <c r="E169">
        <v>2</v>
      </c>
      <c r="F169">
        <v>20</v>
      </c>
      <c r="G169" t="b">
        <v>0</v>
      </c>
      <c r="H169">
        <v>5</v>
      </c>
      <c r="I169">
        <v>2</v>
      </c>
      <c r="J169">
        <v>0.24</v>
      </c>
      <c r="K169">
        <v>0.2424</v>
      </c>
      <c r="L169">
        <v>0.65</v>
      </c>
      <c r="M169">
        <v>0.16420000000000001</v>
      </c>
      <c r="N169">
        <v>2</v>
      </c>
      <c r="O169">
        <v>69</v>
      </c>
      <c r="P169">
        <v>71</v>
      </c>
    </row>
    <row r="170" spans="1:16" x14ac:dyDescent="0.3">
      <c r="A170">
        <v>779</v>
      </c>
      <c r="B170" s="4">
        <v>40578</v>
      </c>
      <c r="C170">
        <v>1</v>
      </c>
      <c r="D170">
        <v>0</v>
      </c>
      <c r="E170">
        <v>2</v>
      </c>
      <c r="F170">
        <v>21</v>
      </c>
      <c r="G170" t="b">
        <v>0</v>
      </c>
      <c r="H170">
        <v>5</v>
      </c>
      <c r="I170">
        <v>2</v>
      </c>
      <c r="J170">
        <v>0.24</v>
      </c>
      <c r="K170">
        <v>0.2424</v>
      </c>
      <c r="L170">
        <v>0.7</v>
      </c>
      <c r="M170">
        <v>0.16420000000000001</v>
      </c>
      <c r="N170">
        <v>2</v>
      </c>
      <c r="O170">
        <v>41</v>
      </c>
      <c r="P170">
        <v>43</v>
      </c>
    </row>
    <row r="171" spans="1:16" x14ac:dyDescent="0.3">
      <c r="A171">
        <v>780</v>
      </c>
      <c r="B171" s="4">
        <v>40578</v>
      </c>
      <c r="C171">
        <v>1</v>
      </c>
      <c r="D171">
        <v>0</v>
      </c>
      <c r="E171">
        <v>2</v>
      </c>
      <c r="F171">
        <v>22</v>
      </c>
      <c r="G171" t="b">
        <v>0</v>
      </c>
      <c r="H171">
        <v>5</v>
      </c>
      <c r="I171">
        <v>2</v>
      </c>
      <c r="J171">
        <v>0.24</v>
      </c>
      <c r="K171">
        <v>0.2424</v>
      </c>
      <c r="L171">
        <v>0.65</v>
      </c>
      <c r="M171">
        <v>0.16420000000000001</v>
      </c>
      <c r="N171">
        <v>1</v>
      </c>
      <c r="O171">
        <v>45</v>
      </c>
      <c r="P171">
        <v>46</v>
      </c>
    </row>
    <row r="172" spans="1:16" x14ac:dyDescent="0.3">
      <c r="A172">
        <v>781</v>
      </c>
      <c r="B172" s="4">
        <v>40578</v>
      </c>
      <c r="C172">
        <v>1</v>
      </c>
      <c r="D172">
        <v>0</v>
      </c>
      <c r="E172">
        <v>2</v>
      </c>
      <c r="F172">
        <v>23</v>
      </c>
      <c r="G172" t="b">
        <v>0</v>
      </c>
      <c r="H172">
        <v>5</v>
      </c>
      <c r="I172">
        <v>2</v>
      </c>
      <c r="J172">
        <v>0.24</v>
      </c>
      <c r="K172">
        <v>0.2424</v>
      </c>
      <c r="L172">
        <v>0.7</v>
      </c>
      <c r="M172">
        <v>0.1343</v>
      </c>
      <c r="N172">
        <v>1</v>
      </c>
      <c r="O172">
        <v>30</v>
      </c>
      <c r="P172">
        <v>31</v>
      </c>
    </row>
    <row r="173" spans="1:16" x14ac:dyDescent="0.3">
      <c r="A173">
        <v>782</v>
      </c>
      <c r="B173" s="4">
        <v>40579</v>
      </c>
      <c r="C173">
        <v>1</v>
      </c>
      <c r="D173">
        <v>0</v>
      </c>
      <c r="E173">
        <v>2</v>
      </c>
      <c r="F173">
        <v>0</v>
      </c>
      <c r="G173" t="b">
        <v>0</v>
      </c>
      <c r="H173">
        <v>6</v>
      </c>
      <c r="I173">
        <v>2</v>
      </c>
      <c r="J173">
        <v>0.24</v>
      </c>
      <c r="K173">
        <v>0.2424</v>
      </c>
      <c r="L173">
        <v>0.7</v>
      </c>
      <c r="M173">
        <v>0.16420000000000001</v>
      </c>
      <c r="N173">
        <v>3</v>
      </c>
      <c r="O173">
        <v>36</v>
      </c>
      <c r="P173">
        <v>39</v>
      </c>
    </row>
    <row r="174" spans="1:16" x14ac:dyDescent="0.3">
      <c r="A174">
        <v>783</v>
      </c>
      <c r="B174" s="4">
        <v>40579</v>
      </c>
      <c r="C174">
        <v>1</v>
      </c>
      <c r="D174">
        <v>0</v>
      </c>
      <c r="E174">
        <v>2</v>
      </c>
      <c r="F174">
        <v>1</v>
      </c>
      <c r="G174" t="b">
        <v>0</v>
      </c>
      <c r="H174">
        <v>6</v>
      </c>
      <c r="I174">
        <v>2</v>
      </c>
      <c r="J174">
        <v>0.24</v>
      </c>
      <c r="K174">
        <v>0.2424</v>
      </c>
      <c r="L174">
        <v>0.65</v>
      </c>
      <c r="M174">
        <v>0.16420000000000001</v>
      </c>
      <c r="N174">
        <v>1</v>
      </c>
      <c r="O174">
        <v>17</v>
      </c>
      <c r="P174">
        <v>18</v>
      </c>
    </row>
    <row r="175" spans="1:16" x14ac:dyDescent="0.3">
      <c r="A175">
        <v>784</v>
      </c>
      <c r="B175" s="4">
        <v>40579</v>
      </c>
      <c r="C175">
        <v>1</v>
      </c>
      <c r="D175">
        <v>0</v>
      </c>
      <c r="E175">
        <v>2</v>
      </c>
      <c r="F175">
        <v>2</v>
      </c>
      <c r="G175" t="b">
        <v>0</v>
      </c>
      <c r="H175">
        <v>6</v>
      </c>
      <c r="I175">
        <v>2</v>
      </c>
      <c r="J175">
        <v>0.24</v>
      </c>
      <c r="K175">
        <v>0.2424</v>
      </c>
      <c r="L175">
        <v>0.75</v>
      </c>
      <c r="M175">
        <v>0.16420000000000001</v>
      </c>
      <c r="N175">
        <v>5</v>
      </c>
      <c r="O175">
        <v>12</v>
      </c>
      <c r="P175">
        <v>17</v>
      </c>
    </row>
    <row r="176" spans="1:16" x14ac:dyDescent="0.3">
      <c r="A176">
        <v>785</v>
      </c>
      <c r="B176" s="4">
        <v>40579</v>
      </c>
      <c r="C176">
        <v>1</v>
      </c>
      <c r="D176">
        <v>0</v>
      </c>
      <c r="E176">
        <v>2</v>
      </c>
      <c r="F176">
        <v>3</v>
      </c>
      <c r="G176" t="b">
        <v>0</v>
      </c>
      <c r="H176">
        <v>6</v>
      </c>
      <c r="I176">
        <v>2</v>
      </c>
      <c r="J176">
        <v>0.24</v>
      </c>
      <c r="K176">
        <v>0.2424</v>
      </c>
      <c r="L176">
        <v>0.75</v>
      </c>
      <c r="M176">
        <v>0.16420000000000001</v>
      </c>
      <c r="N176">
        <v>1</v>
      </c>
      <c r="O176">
        <v>10</v>
      </c>
      <c r="P176">
        <v>11</v>
      </c>
    </row>
    <row r="177" spans="1:16" x14ac:dyDescent="0.3">
      <c r="A177">
        <v>786</v>
      </c>
      <c r="B177" s="4">
        <v>40579</v>
      </c>
      <c r="C177">
        <v>1</v>
      </c>
      <c r="D177">
        <v>0</v>
      </c>
      <c r="E177">
        <v>2</v>
      </c>
      <c r="F177">
        <v>4</v>
      </c>
      <c r="G177" t="b">
        <v>0</v>
      </c>
      <c r="H177">
        <v>6</v>
      </c>
      <c r="I177">
        <v>3</v>
      </c>
      <c r="J177">
        <v>0.22</v>
      </c>
      <c r="K177">
        <v>0.2273</v>
      </c>
      <c r="L177">
        <v>0.93</v>
      </c>
      <c r="M177">
        <v>0.1343</v>
      </c>
      <c r="N177">
        <v>0</v>
      </c>
      <c r="O177">
        <v>8</v>
      </c>
      <c r="P177">
        <v>8</v>
      </c>
    </row>
    <row r="178" spans="1:16" x14ac:dyDescent="0.3">
      <c r="A178">
        <v>787</v>
      </c>
      <c r="B178" s="4">
        <v>40579</v>
      </c>
      <c r="C178">
        <v>1</v>
      </c>
      <c r="D178">
        <v>0</v>
      </c>
      <c r="E178">
        <v>2</v>
      </c>
      <c r="F178">
        <v>5</v>
      </c>
      <c r="G178" t="b">
        <v>0</v>
      </c>
      <c r="H178">
        <v>6</v>
      </c>
      <c r="I178">
        <v>3</v>
      </c>
      <c r="J178">
        <v>0.2</v>
      </c>
      <c r="K178">
        <v>0.2273</v>
      </c>
      <c r="L178">
        <v>1</v>
      </c>
      <c r="M178">
        <v>8.9599999999999999E-2</v>
      </c>
      <c r="N178">
        <v>0</v>
      </c>
      <c r="O178">
        <v>9</v>
      </c>
      <c r="P178">
        <v>9</v>
      </c>
    </row>
    <row r="179" spans="1:16" x14ac:dyDescent="0.3">
      <c r="A179">
        <v>788</v>
      </c>
      <c r="B179" s="4">
        <v>40579</v>
      </c>
      <c r="C179">
        <v>1</v>
      </c>
      <c r="D179">
        <v>0</v>
      </c>
      <c r="E179">
        <v>2</v>
      </c>
      <c r="F179">
        <v>6</v>
      </c>
      <c r="G179" t="b">
        <v>0</v>
      </c>
      <c r="H179">
        <v>6</v>
      </c>
      <c r="I179">
        <v>3</v>
      </c>
      <c r="J179">
        <v>0.2</v>
      </c>
      <c r="K179">
        <v>0.2576</v>
      </c>
      <c r="L179">
        <v>1</v>
      </c>
      <c r="M179">
        <v>0</v>
      </c>
      <c r="N179">
        <v>0</v>
      </c>
      <c r="O179">
        <v>4</v>
      </c>
      <c r="P179">
        <v>4</v>
      </c>
    </row>
    <row r="180" spans="1:16" x14ac:dyDescent="0.3">
      <c r="A180">
        <v>789</v>
      </c>
      <c r="B180" s="4">
        <v>40579</v>
      </c>
      <c r="C180">
        <v>1</v>
      </c>
      <c r="D180">
        <v>0</v>
      </c>
      <c r="E180">
        <v>2</v>
      </c>
      <c r="F180">
        <v>7</v>
      </c>
      <c r="G180" t="b">
        <v>0</v>
      </c>
      <c r="H180">
        <v>6</v>
      </c>
      <c r="I180">
        <v>3</v>
      </c>
      <c r="J180">
        <v>0.22</v>
      </c>
      <c r="K180">
        <v>0.2576</v>
      </c>
      <c r="L180">
        <v>0.93</v>
      </c>
      <c r="M180">
        <v>8.9599999999999999E-2</v>
      </c>
      <c r="N180">
        <v>0</v>
      </c>
      <c r="O180">
        <v>4</v>
      </c>
      <c r="P180">
        <v>4</v>
      </c>
    </row>
    <row r="181" spans="1:16" x14ac:dyDescent="0.3">
      <c r="A181">
        <v>790</v>
      </c>
      <c r="B181" s="4">
        <v>40579</v>
      </c>
      <c r="C181">
        <v>1</v>
      </c>
      <c r="D181">
        <v>0</v>
      </c>
      <c r="E181">
        <v>2</v>
      </c>
      <c r="F181">
        <v>8</v>
      </c>
      <c r="G181" t="b">
        <v>0</v>
      </c>
      <c r="H181">
        <v>6</v>
      </c>
      <c r="I181">
        <v>3</v>
      </c>
      <c r="J181">
        <v>0.2</v>
      </c>
      <c r="K181">
        <v>0.2273</v>
      </c>
      <c r="L181">
        <v>1</v>
      </c>
      <c r="M181">
        <v>8.9599999999999999E-2</v>
      </c>
      <c r="N181">
        <v>0</v>
      </c>
      <c r="O181">
        <v>10</v>
      </c>
      <c r="P181">
        <v>10</v>
      </c>
    </row>
    <row r="182" spans="1:16" x14ac:dyDescent="0.3">
      <c r="A182">
        <v>791</v>
      </c>
      <c r="B182" s="4">
        <v>40579</v>
      </c>
      <c r="C182">
        <v>1</v>
      </c>
      <c r="D182">
        <v>0</v>
      </c>
      <c r="E182">
        <v>2</v>
      </c>
      <c r="F182">
        <v>9</v>
      </c>
      <c r="G182" t="b">
        <v>0</v>
      </c>
      <c r="H182">
        <v>6</v>
      </c>
      <c r="I182">
        <v>3</v>
      </c>
      <c r="J182">
        <v>0.2</v>
      </c>
      <c r="K182">
        <v>0.2273</v>
      </c>
      <c r="L182">
        <v>1</v>
      </c>
      <c r="M182">
        <v>8.9599999999999999E-2</v>
      </c>
      <c r="N182">
        <v>3</v>
      </c>
      <c r="O182">
        <v>17</v>
      </c>
      <c r="P182">
        <v>20</v>
      </c>
    </row>
    <row r="183" spans="1:16" x14ac:dyDescent="0.3">
      <c r="A183">
        <v>792</v>
      </c>
      <c r="B183" s="4">
        <v>40579</v>
      </c>
      <c r="C183">
        <v>1</v>
      </c>
      <c r="D183">
        <v>0</v>
      </c>
      <c r="E183">
        <v>2</v>
      </c>
      <c r="F183">
        <v>10</v>
      </c>
      <c r="G183" t="b">
        <v>0</v>
      </c>
      <c r="H183">
        <v>6</v>
      </c>
      <c r="I183">
        <v>3</v>
      </c>
      <c r="J183">
        <v>0.2</v>
      </c>
      <c r="K183">
        <v>0.21210000000000001</v>
      </c>
      <c r="L183">
        <v>1</v>
      </c>
      <c r="M183">
        <v>0.1343</v>
      </c>
      <c r="N183">
        <v>3</v>
      </c>
      <c r="O183">
        <v>31</v>
      </c>
      <c r="P183">
        <v>34</v>
      </c>
    </row>
    <row r="184" spans="1:16" x14ac:dyDescent="0.3">
      <c r="A184">
        <v>793</v>
      </c>
      <c r="B184" s="4">
        <v>40579</v>
      </c>
      <c r="C184">
        <v>1</v>
      </c>
      <c r="D184">
        <v>0</v>
      </c>
      <c r="E184">
        <v>2</v>
      </c>
      <c r="F184">
        <v>11</v>
      </c>
      <c r="G184" t="b">
        <v>0</v>
      </c>
      <c r="H184">
        <v>6</v>
      </c>
      <c r="I184">
        <v>3</v>
      </c>
      <c r="J184">
        <v>0.22</v>
      </c>
      <c r="K184">
        <v>0.2273</v>
      </c>
      <c r="L184">
        <v>1</v>
      </c>
      <c r="M184">
        <v>0.1343</v>
      </c>
      <c r="N184">
        <v>1</v>
      </c>
      <c r="O184">
        <v>46</v>
      </c>
      <c r="P184">
        <v>47</v>
      </c>
    </row>
    <row r="185" spans="1:16" x14ac:dyDescent="0.3">
      <c r="A185">
        <v>794</v>
      </c>
      <c r="B185" s="4">
        <v>40579</v>
      </c>
      <c r="C185">
        <v>1</v>
      </c>
      <c r="D185">
        <v>0</v>
      </c>
      <c r="E185">
        <v>2</v>
      </c>
      <c r="F185">
        <v>12</v>
      </c>
      <c r="G185" t="b">
        <v>0</v>
      </c>
      <c r="H185">
        <v>6</v>
      </c>
      <c r="I185">
        <v>3</v>
      </c>
      <c r="J185">
        <v>0.22</v>
      </c>
      <c r="K185">
        <v>0.2273</v>
      </c>
      <c r="L185">
        <v>1</v>
      </c>
      <c r="M185">
        <v>0.16420000000000001</v>
      </c>
      <c r="N185">
        <v>10</v>
      </c>
      <c r="O185">
        <v>42</v>
      </c>
      <c r="P185">
        <v>52</v>
      </c>
    </row>
    <row r="186" spans="1:16" x14ac:dyDescent="0.3">
      <c r="A186">
        <v>795</v>
      </c>
      <c r="B186" s="4">
        <v>40579</v>
      </c>
      <c r="C186">
        <v>1</v>
      </c>
      <c r="D186">
        <v>0</v>
      </c>
      <c r="E186">
        <v>2</v>
      </c>
      <c r="F186">
        <v>13</v>
      </c>
      <c r="G186" t="b">
        <v>0</v>
      </c>
      <c r="H186">
        <v>6</v>
      </c>
      <c r="I186">
        <v>3</v>
      </c>
      <c r="J186">
        <v>0.22</v>
      </c>
      <c r="K186">
        <v>0.2273</v>
      </c>
      <c r="L186">
        <v>1</v>
      </c>
      <c r="M186">
        <v>0.16420000000000001</v>
      </c>
      <c r="N186">
        <v>10</v>
      </c>
      <c r="O186">
        <v>62</v>
      </c>
      <c r="P186">
        <v>72</v>
      </c>
    </row>
    <row r="187" spans="1:16" x14ac:dyDescent="0.3">
      <c r="A187">
        <v>796</v>
      </c>
      <c r="B187" s="4">
        <v>40579</v>
      </c>
      <c r="C187">
        <v>1</v>
      </c>
      <c r="D187">
        <v>0</v>
      </c>
      <c r="E187">
        <v>2</v>
      </c>
      <c r="F187">
        <v>14</v>
      </c>
      <c r="G187" t="b">
        <v>0</v>
      </c>
      <c r="H187">
        <v>6</v>
      </c>
      <c r="I187">
        <v>3</v>
      </c>
      <c r="J187">
        <v>0.22</v>
      </c>
      <c r="K187">
        <v>0.2727</v>
      </c>
      <c r="L187">
        <v>1</v>
      </c>
      <c r="M187">
        <v>0</v>
      </c>
      <c r="N187">
        <v>5</v>
      </c>
      <c r="O187">
        <v>50</v>
      </c>
      <c r="P187">
        <v>55</v>
      </c>
    </row>
    <row r="188" spans="1:16" x14ac:dyDescent="0.3">
      <c r="A188">
        <v>797</v>
      </c>
      <c r="B188" s="4">
        <v>40579</v>
      </c>
      <c r="C188">
        <v>1</v>
      </c>
      <c r="D188">
        <v>0</v>
      </c>
      <c r="E188">
        <v>2</v>
      </c>
      <c r="F188">
        <v>15</v>
      </c>
      <c r="G188" t="b">
        <v>0</v>
      </c>
      <c r="H188">
        <v>6</v>
      </c>
      <c r="I188">
        <v>3</v>
      </c>
      <c r="J188">
        <v>0.22</v>
      </c>
      <c r="K188">
        <v>0.2727</v>
      </c>
      <c r="L188">
        <v>1</v>
      </c>
      <c r="M188">
        <v>0</v>
      </c>
      <c r="N188">
        <v>11</v>
      </c>
      <c r="O188">
        <v>49</v>
      </c>
      <c r="P188">
        <v>60</v>
      </c>
    </row>
    <row r="189" spans="1:16" x14ac:dyDescent="0.3">
      <c r="A189">
        <v>798</v>
      </c>
      <c r="B189" s="4">
        <v>40579</v>
      </c>
      <c r="C189">
        <v>1</v>
      </c>
      <c r="D189">
        <v>0</v>
      </c>
      <c r="E189">
        <v>2</v>
      </c>
      <c r="F189">
        <v>16</v>
      </c>
      <c r="G189" t="b">
        <v>0</v>
      </c>
      <c r="H189">
        <v>6</v>
      </c>
      <c r="I189">
        <v>3</v>
      </c>
      <c r="J189">
        <v>0.22</v>
      </c>
      <c r="K189">
        <v>0.2273</v>
      </c>
      <c r="L189">
        <v>1</v>
      </c>
      <c r="M189">
        <v>0.1343</v>
      </c>
      <c r="N189">
        <v>8</v>
      </c>
      <c r="O189">
        <v>63</v>
      </c>
      <c r="P189">
        <v>71</v>
      </c>
    </row>
    <row r="190" spans="1:16" x14ac:dyDescent="0.3">
      <c r="A190">
        <v>799</v>
      </c>
      <c r="B190" s="4">
        <v>40579</v>
      </c>
      <c r="C190">
        <v>1</v>
      </c>
      <c r="D190">
        <v>0</v>
      </c>
      <c r="E190">
        <v>2</v>
      </c>
      <c r="F190">
        <v>17</v>
      </c>
      <c r="G190" t="b">
        <v>0</v>
      </c>
      <c r="H190">
        <v>6</v>
      </c>
      <c r="I190">
        <v>2</v>
      </c>
      <c r="J190">
        <v>0.24</v>
      </c>
      <c r="K190">
        <v>0.21210000000000001</v>
      </c>
      <c r="L190">
        <v>1</v>
      </c>
      <c r="M190">
        <v>0.28360000000000002</v>
      </c>
      <c r="N190">
        <v>14</v>
      </c>
      <c r="O190">
        <v>64</v>
      </c>
      <c r="P190">
        <v>78</v>
      </c>
    </row>
    <row r="191" spans="1:16" x14ac:dyDescent="0.3">
      <c r="A191">
        <v>800</v>
      </c>
      <c r="B191" s="4">
        <v>40579</v>
      </c>
      <c r="C191">
        <v>1</v>
      </c>
      <c r="D191">
        <v>0</v>
      </c>
      <c r="E191">
        <v>2</v>
      </c>
      <c r="F191">
        <v>18</v>
      </c>
      <c r="G191" t="b">
        <v>0</v>
      </c>
      <c r="H191">
        <v>6</v>
      </c>
      <c r="I191">
        <v>2</v>
      </c>
      <c r="J191">
        <v>0.28000000000000003</v>
      </c>
      <c r="K191">
        <v>0.2424</v>
      </c>
      <c r="L191">
        <v>0.93</v>
      </c>
      <c r="M191">
        <v>0.44779999999999998</v>
      </c>
      <c r="N191">
        <v>2</v>
      </c>
      <c r="O191">
        <v>81</v>
      </c>
      <c r="P191">
        <v>83</v>
      </c>
    </row>
    <row r="192" spans="1:16" x14ac:dyDescent="0.3">
      <c r="A192">
        <v>801</v>
      </c>
      <c r="B192" s="4">
        <v>40579</v>
      </c>
      <c r="C192">
        <v>1</v>
      </c>
      <c r="D192">
        <v>0</v>
      </c>
      <c r="E192">
        <v>2</v>
      </c>
      <c r="F192">
        <v>19</v>
      </c>
      <c r="G192" t="b">
        <v>0</v>
      </c>
      <c r="H192">
        <v>6</v>
      </c>
      <c r="I192">
        <v>2</v>
      </c>
      <c r="J192">
        <v>0.28000000000000003</v>
      </c>
      <c r="K192">
        <v>0.2424</v>
      </c>
      <c r="L192">
        <v>0.93</v>
      </c>
      <c r="M192">
        <v>0.44779999999999998</v>
      </c>
      <c r="N192">
        <v>6</v>
      </c>
      <c r="O192">
        <v>78</v>
      </c>
      <c r="P192">
        <v>84</v>
      </c>
    </row>
    <row r="193" spans="1:16" x14ac:dyDescent="0.3">
      <c r="A193">
        <v>802</v>
      </c>
      <c r="B193" s="4">
        <v>40579</v>
      </c>
      <c r="C193">
        <v>1</v>
      </c>
      <c r="D193">
        <v>0</v>
      </c>
      <c r="E193">
        <v>2</v>
      </c>
      <c r="F193">
        <v>20</v>
      </c>
      <c r="G193" t="b">
        <v>0</v>
      </c>
      <c r="H193">
        <v>6</v>
      </c>
      <c r="I193">
        <v>1</v>
      </c>
      <c r="J193">
        <v>0.3</v>
      </c>
      <c r="K193">
        <v>0.28789999999999999</v>
      </c>
      <c r="L193">
        <v>0.87</v>
      </c>
      <c r="M193">
        <v>0.25369999999999998</v>
      </c>
      <c r="N193">
        <v>5</v>
      </c>
      <c r="O193">
        <v>64</v>
      </c>
      <c r="P193">
        <v>69</v>
      </c>
    </row>
    <row r="194" spans="1:16" x14ac:dyDescent="0.3">
      <c r="A194">
        <v>803</v>
      </c>
      <c r="B194" s="4">
        <v>40579</v>
      </c>
      <c r="C194">
        <v>1</v>
      </c>
      <c r="D194">
        <v>0</v>
      </c>
      <c r="E194">
        <v>2</v>
      </c>
      <c r="F194">
        <v>21</v>
      </c>
      <c r="G194" t="b">
        <v>0</v>
      </c>
      <c r="H194">
        <v>6</v>
      </c>
      <c r="I194">
        <v>1</v>
      </c>
      <c r="J194">
        <v>0.26</v>
      </c>
      <c r="K194">
        <v>0.2576</v>
      </c>
      <c r="L194">
        <v>1</v>
      </c>
      <c r="M194">
        <v>0.19400000000000001</v>
      </c>
      <c r="N194">
        <v>3</v>
      </c>
      <c r="O194">
        <v>53</v>
      </c>
      <c r="P194">
        <v>56</v>
      </c>
    </row>
    <row r="195" spans="1:16" x14ac:dyDescent="0.3">
      <c r="A195">
        <v>804</v>
      </c>
      <c r="B195" s="4">
        <v>40579</v>
      </c>
      <c r="C195">
        <v>1</v>
      </c>
      <c r="D195">
        <v>0</v>
      </c>
      <c r="E195">
        <v>2</v>
      </c>
      <c r="F195">
        <v>22</v>
      </c>
      <c r="G195" t="b">
        <v>0</v>
      </c>
      <c r="H195">
        <v>6</v>
      </c>
      <c r="I195">
        <v>1</v>
      </c>
      <c r="J195">
        <v>0.26</v>
      </c>
      <c r="K195">
        <v>0.2727</v>
      </c>
      <c r="L195">
        <v>0.93</v>
      </c>
      <c r="M195">
        <v>0.1343</v>
      </c>
      <c r="N195">
        <v>2</v>
      </c>
      <c r="O195">
        <v>43</v>
      </c>
      <c r="P195">
        <v>45</v>
      </c>
    </row>
    <row r="196" spans="1:16" x14ac:dyDescent="0.3">
      <c r="A196">
        <v>805</v>
      </c>
      <c r="B196" s="4">
        <v>40579</v>
      </c>
      <c r="C196">
        <v>1</v>
      </c>
      <c r="D196">
        <v>0</v>
      </c>
      <c r="E196">
        <v>2</v>
      </c>
      <c r="F196">
        <v>23</v>
      </c>
      <c r="G196" t="b">
        <v>0</v>
      </c>
      <c r="H196">
        <v>6</v>
      </c>
      <c r="I196">
        <v>1</v>
      </c>
      <c r="J196">
        <v>0.26</v>
      </c>
      <c r="K196">
        <v>0.2576</v>
      </c>
      <c r="L196">
        <v>0.93</v>
      </c>
      <c r="M196">
        <v>0.22389999999999999</v>
      </c>
      <c r="N196">
        <v>7</v>
      </c>
      <c r="O196">
        <v>52</v>
      </c>
      <c r="P196">
        <v>59</v>
      </c>
    </row>
    <row r="197" spans="1:16" x14ac:dyDescent="0.3">
      <c r="A197">
        <v>806</v>
      </c>
      <c r="B197" s="4">
        <v>40580</v>
      </c>
      <c r="C197">
        <v>1</v>
      </c>
      <c r="D197">
        <v>0</v>
      </c>
      <c r="E197">
        <v>2</v>
      </c>
      <c r="F197">
        <v>0</v>
      </c>
      <c r="G197" t="b">
        <v>0</v>
      </c>
      <c r="H197">
        <v>0</v>
      </c>
      <c r="I197">
        <v>1</v>
      </c>
      <c r="J197">
        <v>0.26</v>
      </c>
      <c r="K197">
        <v>0.2576</v>
      </c>
      <c r="L197">
        <v>0.7</v>
      </c>
      <c r="M197">
        <v>0.19400000000000001</v>
      </c>
      <c r="N197">
        <v>2</v>
      </c>
      <c r="O197">
        <v>37</v>
      </c>
      <c r="P197">
        <v>39</v>
      </c>
    </row>
    <row r="198" spans="1:16" x14ac:dyDescent="0.3">
      <c r="A198">
        <v>807</v>
      </c>
      <c r="B198" s="4">
        <v>40580</v>
      </c>
      <c r="C198">
        <v>1</v>
      </c>
      <c r="D198">
        <v>0</v>
      </c>
      <c r="E198">
        <v>2</v>
      </c>
      <c r="F198">
        <v>1</v>
      </c>
      <c r="G198" t="b">
        <v>0</v>
      </c>
      <c r="H198">
        <v>0</v>
      </c>
      <c r="I198">
        <v>1</v>
      </c>
      <c r="J198">
        <v>0.26</v>
      </c>
      <c r="K198">
        <v>0.2273</v>
      </c>
      <c r="L198">
        <v>0.65</v>
      </c>
      <c r="M198">
        <v>0.41789999999999999</v>
      </c>
      <c r="N198">
        <v>4</v>
      </c>
      <c r="O198">
        <v>40</v>
      </c>
      <c r="P198">
        <v>44</v>
      </c>
    </row>
    <row r="199" spans="1:16" x14ac:dyDescent="0.3">
      <c r="A199">
        <v>808</v>
      </c>
      <c r="B199" s="4">
        <v>40580</v>
      </c>
      <c r="C199">
        <v>1</v>
      </c>
      <c r="D199">
        <v>0</v>
      </c>
      <c r="E199">
        <v>2</v>
      </c>
      <c r="F199">
        <v>2</v>
      </c>
      <c r="G199" t="b">
        <v>0</v>
      </c>
      <c r="H199">
        <v>0</v>
      </c>
      <c r="I199">
        <v>1</v>
      </c>
      <c r="J199">
        <v>0.26</v>
      </c>
      <c r="K199">
        <v>0.2273</v>
      </c>
      <c r="L199">
        <v>0.6</v>
      </c>
      <c r="M199">
        <v>0.32840000000000003</v>
      </c>
      <c r="N199">
        <v>0</v>
      </c>
      <c r="O199">
        <v>20</v>
      </c>
      <c r="P199">
        <v>20</v>
      </c>
    </row>
    <row r="200" spans="1:16" x14ac:dyDescent="0.3">
      <c r="A200">
        <v>809</v>
      </c>
      <c r="B200" s="4">
        <v>40580</v>
      </c>
      <c r="C200">
        <v>1</v>
      </c>
      <c r="D200">
        <v>0</v>
      </c>
      <c r="E200">
        <v>2</v>
      </c>
      <c r="F200">
        <v>3</v>
      </c>
      <c r="G200" t="b">
        <v>0</v>
      </c>
      <c r="H200">
        <v>0</v>
      </c>
      <c r="I200">
        <v>1</v>
      </c>
      <c r="J200">
        <v>0.26</v>
      </c>
      <c r="K200">
        <v>0.28789999999999999</v>
      </c>
      <c r="L200">
        <v>0.6</v>
      </c>
      <c r="M200">
        <v>8.9599999999999999E-2</v>
      </c>
      <c r="N200">
        <v>3</v>
      </c>
      <c r="O200">
        <v>10</v>
      </c>
      <c r="P200">
        <v>13</v>
      </c>
    </row>
    <row r="201" spans="1:16" x14ac:dyDescent="0.3">
      <c r="A201">
        <v>810</v>
      </c>
      <c r="B201" s="4">
        <v>40580</v>
      </c>
      <c r="C201">
        <v>1</v>
      </c>
      <c r="D201">
        <v>0</v>
      </c>
      <c r="E201">
        <v>2</v>
      </c>
      <c r="F201">
        <v>4</v>
      </c>
      <c r="G201" t="b">
        <v>0</v>
      </c>
      <c r="H201">
        <v>0</v>
      </c>
      <c r="I201">
        <v>1</v>
      </c>
      <c r="J201">
        <v>0.26</v>
      </c>
      <c r="K201">
        <v>0.2273</v>
      </c>
      <c r="L201">
        <v>0.6</v>
      </c>
      <c r="M201">
        <v>0.35820000000000002</v>
      </c>
      <c r="N201">
        <v>0</v>
      </c>
      <c r="O201">
        <v>2</v>
      </c>
      <c r="P201">
        <v>2</v>
      </c>
    </row>
    <row r="202" spans="1:16" x14ac:dyDescent="0.3">
      <c r="A202">
        <v>811</v>
      </c>
      <c r="B202" s="4">
        <v>40580</v>
      </c>
      <c r="C202">
        <v>1</v>
      </c>
      <c r="D202">
        <v>0</v>
      </c>
      <c r="E202">
        <v>2</v>
      </c>
      <c r="F202">
        <v>5</v>
      </c>
      <c r="G202" t="b">
        <v>0</v>
      </c>
      <c r="H202">
        <v>0</v>
      </c>
      <c r="I202">
        <v>1</v>
      </c>
      <c r="J202">
        <v>0.26</v>
      </c>
      <c r="K202">
        <v>0.2576</v>
      </c>
      <c r="L202">
        <v>0.6</v>
      </c>
      <c r="M202">
        <v>0.22389999999999999</v>
      </c>
      <c r="N202">
        <v>0</v>
      </c>
      <c r="O202">
        <v>1</v>
      </c>
      <c r="P202">
        <v>1</v>
      </c>
    </row>
    <row r="203" spans="1:16" x14ac:dyDescent="0.3">
      <c r="A203">
        <v>812</v>
      </c>
      <c r="B203" s="4">
        <v>40580</v>
      </c>
      <c r="C203">
        <v>1</v>
      </c>
      <c r="D203">
        <v>0</v>
      </c>
      <c r="E203">
        <v>2</v>
      </c>
      <c r="F203">
        <v>6</v>
      </c>
      <c r="G203" t="b">
        <v>0</v>
      </c>
      <c r="H203">
        <v>0</v>
      </c>
      <c r="I203">
        <v>1</v>
      </c>
      <c r="J203">
        <v>0.26</v>
      </c>
      <c r="K203">
        <v>0.2576</v>
      </c>
      <c r="L203">
        <v>0.6</v>
      </c>
      <c r="M203">
        <v>0.22389999999999999</v>
      </c>
      <c r="N203">
        <v>0</v>
      </c>
      <c r="O203">
        <v>1</v>
      </c>
      <c r="P203">
        <v>1</v>
      </c>
    </row>
    <row r="204" spans="1:16" x14ac:dyDescent="0.3">
      <c r="A204">
        <v>813</v>
      </c>
      <c r="B204" s="4">
        <v>40580</v>
      </c>
      <c r="C204">
        <v>1</v>
      </c>
      <c r="D204">
        <v>0</v>
      </c>
      <c r="E204">
        <v>2</v>
      </c>
      <c r="F204">
        <v>7</v>
      </c>
      <c r="G204" t="b">
        <v>0</v>
      </c>
      <c r="H204">
        <v>0</v>
      </c>
      <c r="I204">
        <v>1</v>
      </c>
      <c r="J204">
        <v>0.24</v>
      </c>
      <c r="K204">
        <v>0.2424</v>
      </c>
      <c r="L204">
        <v>0.65</v>
      </c>
      <c r="M204">
        <v>0.16420000000000001</v>
      </c>
      <c r="N204">
        <v>0</v>
      </c>
      <c r="O204">
        <v>8</v>
      </c>
      <c r="P204">
        <v>8</v>
      </c>
    </row>
    <row r="205" spans="1:16" x14ac:dyDescent="0.3">
      <c r="A205">
        <v>814</v>
      </c>
      <c r="B205" s="4">
        <v>40580</v>
      </c>
      <c r="C205">
        <v>1</v>
      </c>
      <c r="D205">
        <v>0</v>
      </c>
      <c r="E205">
        <v>2</v>
      </c>
      <c r="F205">
        <v>8</v>
      </c>
      <c r="G205" t="b">
        <v>0</v>
      </c>
      <c r="H205">
        <v>0</v>
      </c>
      <c r="I205">
        <v>1</v>
      </c>
      <c r="J205">
        <v>0.24</v>
      </c>
      <c r="K205">
        <v>0.2576</v>
      </c>
      <c r="L205">
        <v>0.65</v>
      </c>
      <c r="M205">
        <v>0.1045</v>
      </c>
      <c r="N205">
        <v>2</v>
      </c>
      <c r="O205">
        <v>21</v>
      </c>
      <c r="P205">
        <v>23</v>
      </c>
    </row>
    <row r="206" spans="1:16" x14ac:dyDescent="0.3">
      <c r="A206">
        <v>815</v>
      </c>
      <c r="B206" s="4">
        <v>40580</v>
      </c>
      <c r="C206">
        <v>1</v>
      </c>
      <c r="D206">
        <v>0</v>
      </c>
      <c r="E206">
        <v>2</v>
      </c>
      <c r="F206">
        <v>9</v>
      </c>
      <c r="G206" t="b">
        <v>0</v>
      </c>
      <c r="H206">
        <v>0</v>
      </c>
      <c r="I206">
        <v>1</v>
      </c>
      <c r="J206">
        <v>0.28000000000000003</v>
      </c>
      <c r="K206">
        <v>0.28789999999999999</v>
      </c>
      <c r="L206">
        <v>0.56000000000000005</v>
      </c>
      <c r="M206">
        <v>0.1045</v>
      </c>
      <c r="N206">
        <v>7</v>
      </c>
      <c r="O206">
        <v>38</v>
      </c>
      <c r="P206">
        <v>45</v>
      </c>
    </row>
    <row r="207" spans="1:16" x14ac:dyDescent="0.3">
      <c r="A207">
        <v>816</v>
      </c>
      <c r="B207" s="4">
        <v>40580</v>
      </c>
      <c r="C207">
        <v>1</v>
      </c>
      <c r="D207">
        <v>0</v>
      </c>
      <c r="E207">
        <v>2</v>
      </c>
      <c r="F207">
        <v>10</v>
      </c>
      <c r="G207" t="b">
        <v>0</v>
      </c>
      <c r="H207">
        <v>0</v>
      </c>
      <c r="I207">
        <v>1</v>
      </c>
      <c r="J207">
        <v>0.3</v>
      </c>
      <c r="K207">
        <v>0.28789999999999999</v>
      </c>
      <c r="L207">
        <v>0.52</v>
      </c>
      <c r="M207">
        <v>0.25369999999999998</v>
      </c>
      <c r="N207">
        <v>15</v>
      </c>
      <c r="O207">
        <v>74</v>
      </c>
      <c r="P207">
        <v>89</v>
      </c>
    </row>
    <row r="208" spans="1:16" x14ac:dyDescent="0.3">
      <c r="A208">
        <v>817</v>
      </c>
      <c r="B208" s="4">
        <v>40580</v>
      </c>
      <c r="C208">
        <v>1</v>
      </c>
      <c r="D208">
        <v>0</v>
      </c>
      <c r="E208">
        <v>2</v>
      </c>
      <c r="F208">
        <v>11</v>
      </c>
      <c r="G208" t="b">
        <v>0</v>
      </c>
      <c r="H208">
        <v>0</v>
      </c>
      <c r="I208">
        <v>1</v>
      </c>
      <c r="J208">
        <v>0.32</v>
      </c>
      <c r="K208">
        <v>0.30299999999999999</v>
      </c>
      <c r="L208">
        <v>0.49</v>
      </c>
      <c r="M208">
        <v>0.25369999999999998</v>
      </c>
      <c r="N208">
        <v>28</v>
      </c>
      <c r="O208">
        <v>89</v>
      </c>
      <c r="P208">
        <v>117</v>
      </c>
    </row>
    <row r="209" spans="1:16" x14ac:dyDescent="0.3">
      <c r="A209">
        <v>818</v>
      </c>
      <c r="B209" s="4">
        <v>40580</v>
      </c>
      <c r="C209">
        <v>1</v>
      </c>
      <c r="D209">
        <v>0</v>
      </c>
      <c r="E209">
        <v>2</v>
      </c>
      <c r="F209">
        <v>12</v>
      </c>
      <c r="G209" t="b">
        <v>0</v>
      </c>
      <c r="H209">
        <v>0</v>
      </c>
      <c r="I209">
        <v>1</v>
      </c>
      <c r="J209">
        <v>0.34</v>
      </c>
      <c r="K209">
        <v>0.33329999999999999</v>
      </c>
      <c r="L209">
        <v>0.46</v>
      </c>
      <c r="M209">
        <v>0</v>
      </c>
      <c r="N209">
        <v>48</v>
      </c>
      <c r="O209">
        <v>126</v>
      </c>
      <c r="P209">
        <v>174</v>
      </c>
    </row>
    <row r="210" spans="1:16" x14ac:dyDescent="0.3">
      <c r="A210">
        <v>819</v>
      </c>
      <c r="B210" s="4">
        <v>40580</v>
      </c>
      <c r="C210">
        <v>1</v>
      </c>
      <c r="D210">
        <v>0</v>
      </c>
      <c r="E210">
        <v>2</v>
      </c>
      <c r="F210">
        <v>13</v>
      </c>
      <c r="G210" t="b">
        <v>0</v>
      </c>
      <c r="H210">
        <v>0</v>
      </c>
      <c r="I210">
        <v>1</v>
      </c>
      <c r="J210">
        <v>0.34</v>
      </c>
      <c r="K210">
        <v>0.36359999999999998</v>
      </c>
      <c r="L210">
        <v>0.46</v>
      </c>
      <c r="M210">
        <v>0</v>
      </c>
      <c r="N210">
        <v>47</v>
      </c>
      <c r="O210">
        <v>135</v>
      </c>
      <c r="P210">
        <v>182</v>
      </c>
    </row>
    <row r="211" spans="1:16" x14ac:dyDescent="0.3">
      <c r="A211">
        <v>820</v>
      </c>
      <c r="B211" s="4">
        <v>40580</v>
      </c>
      <c r="C211">
        <v>1</v>
      </c>
      <c r="D211">
        <v>0</v>
      </c>
      <c r="E211">
        <v>2</v>
      </c>
      <c r="F211">
        <v>14</v>
      </c>
      <c r="G211" t="b">
        <v>0</v>
      </c>
      <c r="H211">
        <v>0</v>
      </c>
      <c r="I211">
        <v>1</v>
      </c>
      <c r="J211">
        <v>0.34</v>
      </c>
      <c r="K211">
        <v>0.34849999999999998</v>
      </c>
      <c r="L211">
        <v>0.46</v>
      </c>
      <c r="M211">
        <v>8.9599999999999999E-2</v>
      </c>
      <c r="N211">
        <v>47</v>
      </c>
      <c r="O211">
        <v>114</v>
      </c>
      <c r="P211">
        <v>161</v>
      </c>
    </row>
    <row r="212" spans="1:16" x14ac:dyDescent="0.3">
      <c r="A212">
        <v>821</v>
      </c>
      <c r="B212" s="4">
        <v>40580</v>
      </c>
      <c r="C212">
        <v>1</v>
      </c>
      <c r="D212">
        <v>0</v>
      </c>
      <c r="E212">
        <v>2</v>
      </c>
      <c r="F212">
        <v>15</v>
      </c>
      <c r="G212" t="b">
        <v>0</v>
      </c>
      <c r="H212">
        <v>0</v>
      </c>
      <c r="I212">
        <v>1</v>
      </c>
      <c r="J212">
        <v>0.34</v>
      </c>
      <c r="K212">
        <v>0.34849999999999998</v>
      </c>
      <c r="L212">
        <v>0.46</v>
      </c>
      <c r="M212">
        <v>8.9599999999999999E-2</v>
      </c>
      <c r="N212">
        <v>52</v>
      </c>
      <c r="O212">
        <v>130</v>
      </c>
      <c r="P212">
        <v>182</v>
      </c>
    </row>
    <row r="213" spans="1:16" x14ac:dyDescent="0.3">
      <c r="A213">
        <v>822</v>
      </c>
      <c r="B213" s="4">
        <v>40580</v>
      </c>
      <c r="C213">
        <v>1</v>
      </c>
      <c r="D213">
        <v>0</v>
      </c>
      <c r="E213">
        <v>2</v>
      </c>
      <c r="F213">
        <v>16</v>
      </c>
      <c r="G213" t="b">
        <v>0</v>
      </c>
      <c r="H213">
        <v>0</v>
      </c>
      <c r="I213">
        <v>1</v>
      </c>
      <c r="J213">
        <v>0.34</v>
      </c>
      <c r="K213">
        <v>0.34849999999999998</v>
      </c>
      <c r="L213">
        <v>0.49</v>
      </c>
      <c r="M213">
        <v>0.1045</v>
      </c>
      <c r="N213">
        <v>42</v>
      </c>
      <c r="O213">
        <v>115</v>
      </c>
      <c r="P213">
        <v>157</v>
      </c>
    </row>
    <row r="214" spans="1:16" x14ac:dyDescent="0.3">
      <c r="A214">
        <v>823</v>
      </c>
      <c r="B214" s="4">
        <v>40580</v>
      </c>
      <c r="C214">
        <v>1</v>
      </c>
      <c r="D214">
        <v>0</v>
      </c>
      <c r="E214">
        <v>2</v>
      </c>
      <c r="F214">
        <v>17</v>
      </c>
      <c r="G214" t="b">
        <v>0</v>
      </c>
      <c r="H214">
        <v>0</v>
      </c>
      <c r="I214">
        <v>1</v>
      </c>
      <c r="J214">
        <v>0.34</v>
      </c>
      <c r="K214">
        <v>0.36359999999999998</v>
      </c>
      <c r="L214">
        <v>0.46</v>
      </c>
      <c r="M214">
        <v>0</v>
      </c>
      <c r="N214">
        <v>24</v>
      </c>
      <c r="O214">
        <v>97</v>
      </c>
      <c r="P214">
        <v>121</v>
      </c>
    </row>
    <row r="215" spans="1:16" x14ac:dyDescent="0.3">
      <c r="A215">
        <v>824</v>
      </c>
      <c r="B215" s="4">
        <v>40580</v>
      </c>
      <c r="C215">
        <v>1</v>
      </c>
      <c r="D215">
        <v>0</v>
      </c>
      <c r="E215">
        <v>2</v>
      </c>
      <c r="F215">
        <v>18</v>
      </c>
      <c r="G215" t="b">
        <v>0</v>
      </c>
      <c r="H215">
        <v>0</v>
      </c>
      <c r="I215">
        <v>1</v>
      </c>
      <c r="J215">
        <v>0.3</v>
      </c>
      <c r="K215">
        <v>0.30299999999999999</v>
      </c>
      <c r="L215">
        <v>0.56000000000000005</v>
      </c>
      <c r="M215">
        <v>0.16420000000000001</v>
      </c>
      <c r="N215">
        <v>13</v>
      </c>
      <c r="O215">
        <v>65</v>
      </c>
      <c r="P215">
        <v>78</v>
      </c>
    </row>
    <row r="216" spans="1:16" x14ac:dyDescent="0.3">
      <c r="A216">
        <v>825</v>
      </c>
      <c r="B216" s="4">
        <v>40580</v>
      </c>
      <c r="C216">
        <v>1</v>
      </c>
      <c r="D216">
        <v>0</v>
      </c>
      <c r="E216">
        <v>2</v>
      </c>
      <c r="F216">
        <v>19</v>
      </c>
      <c r="G216" t="b">
        <v>0</v>
      </c>
      <c r="H216">
        <v>0</v>
      </c>
      <c r="I216">
        <v>1</v>
      </c>
      <c r="J216">
        <v>0.28000000000000003</v>
      </c>
      <c r="K216">
        <v>0.28789999999999999</v>
      </c>
      <c r="L216">
        <v>0.61</v>
      </c>
      <c r="M216">
        <v>0.1343</v>
      </c>
      <c r="N216">
        <v>1</v>
      </c>
      <c r="O216">
        <v>20</v>
      </c>
      <c r="P216">
        <v>21</v>
      </c>
    </row>
    <row r="217" spans="1:16" x14ac:dyDescent="0.3">
      <c r="A217">
        <v>826</v>
      </c>
      <c r="B217" s="4">
        <v>40580</v>
      </c>
      <c r="C217">
        <v>1</v>
      </c>
      <c r="D217">
        <v>0</v>
      </c>
      <c r="E217">
        <v>2</v>
      </c>
      <c r="F217">
        <v>20</v>
      </c>
      <c r="G217" t="b">
        <v>0</v>
      </c>
      <c r="H217">
        <v>0</v>
      </c>
      <c r="I217">
        <v>1</v>
      </c>
      <c r="J217">
        <v>0.28000000000000003</v>
      </c>
      <c r="K217">
        <v>0.28789999999999999</v>
      </c>
      <c r="L217">
        <v>0.61</v>
      </c>
      <c r="M217">
        <v>0.1045</v>
      </c>
      <c r="N217">
        <v>5</v>
      </c>
      <c r="O217">
        <v>21</v>
      </c>
      <c r="P217">
        <v>26</v>
      </c>
    </row>
    <row r="218" spans="1:16" x14ac:dyDescent="0.3">
      <c r="A218">
        <v>827</v>
      </c>
      <c r="B218" s="4">
        <v>40580</v>
      </c>
      <c r="C218">
        <v>1</v>
      </c>
      <c r="D218">
        <v>0</v>
      </c>
      <c r="E218">
        <v>2</v>
      </c>
      <c r="F218">
        <v>21</v>
      </c>
      <c r="G218" t="b">
        <v>0</v>
      </c>
      <c r="H218">
        <v>0</v>
      </c>
      <c r="I218">
        <v>1</v>
      </c>
      <c r="J218">
        <v>0.26</v>
      </c>
      <c r="K218">
        <v>0.30299999999999999</v>
      </c>
      <c r="L218">
        <v>0.6</v>
      </c>
      <c r="M218">
        <v>0</v>
      </c>
      <c r="N218">
        <v>5</v>
      </c>
      <c r="O218">
        <v>22</v>
      </c>
      <c r="P218">
        <v>27</v>
      </c>
    </row>
    <row r="219" spans="1:16" x14ac:dyDescent="0.3">
      <c r="A219">
        <v>828</v>
      </c>
      <c r="B219" s="4">
        <v>40580</v>
      </c>
      <c r="C219">
        <v>1</v>
      </c>
      <c r="D219">
        <v>0</v>
      </c>
      <c r="E219">
        <v>2</v>
      </c>
      <c r="F219">
        <v>22</v>
      </c>
      <c r="G219" t="b">
        <v>0</v>
      </c>
      <c r="H219">
        <v>0</v>
      </c>
      <c r="I219">
        <v>1</v>
      </c>
      <c r="J219">
        <v>0.26</v>
      </c>
      <c r="K219">
        <v>0.30299999999999999</v>
      </c>
      <c r="L219">
        <v>0.6</v>
      </c>
      <c r="M219">
        <v>0</v>
      </c>
      <c r="N219">
        <v>5</v>
      </c>
      <c r="O219">
        <v>57</v>
      </c>
      <c r="P219">
        <v>62</v>
      </c>
    </row>
    <row r="220" spans="1:16" x14ac:dyDescent="0.3">
      <c r="A220">
        <v>829</v>
      </c>
      <c r="B220" s="4">
        <v>40580</v>
      </c>
      <c r="C220">
        <v>1</v>
      </c>
      <c r="D220">
        <v>0</v>
      </c>
      <c r="E220">
        <v>2</v>
      </c>
      <c r="F220">
        <v>23</v>
      </c>
      <c r="G220" t="b">
        <v>0</v>
      </c>
      <c r="H220">
        <v>0</v>
      </c>
      <c r="I220">
        <v>1</v>
      </c>
      <c r="J220">
        <v>0.24</v>
      </c>
      <c r="K220">
        <v>0.28789999999999999</v>
      </c>
      <c r="L220">
        <v>0.65</v>
      </c>
      <c r="M220">
        <v>0</v>
      </c>
      <c r="N220">
        <v>4</v>
      </c>
      <c r="O220">
        <v>26</v>
      </c>
      <c r="P220">
        <v>30</v>
      </c>
    </row>
    <row r="221" spans="1:16" x14ac:dyDescent="0.3">
      <c r="A221">
        <v>830</v>
      </c>
      <c r="B221" s="4">
        <v>40581</v>
      </c>
      <c r="C221">
        <v>1</v>
      </c>
      <c r="D221">
        <v>0</v>
      </c>
      <c r="E221">
        <v>2</v>
      </c>
      <c r="F221">
        <v>0</v>
      </c>
      <c r="G221" t="b">
        <v>0</v>
      </c>
      <c r="H221">
        <v>1</v>
      </c>
      <c r="I221">
        <v>1</v>
      </c>
      <c r="J221">
        <v>0.24</v>
      </c>
      <c r="K221">
        <v>0.28789999999999999</v>
      </c>
      <c r="L221">
        <v>0.65</v>
      </c>
      <c r="M221">
        <v>0</v>
      </c>
      <c r="N221">
        <v>1</v>
      </c>
      <c r="O221">
        <v>14</v>
      </c>
      <c r="P221">
        <v>15</v>
      </c>
    </row>
    <row r="222" spans="1:16" x14ac:dyDescent="0.3">
      <c r="A222">
        <v>831</v>
      </c>
      <c r="B222" s="4">
        <v>40581</v>
      </c>
      <c r="C222">
        <v>1</v>
      </c>
      <c r="D222">
        <v>0</v>
      </c>
      <c r="E222">
        <v>2</v>
      </c>
      <c r="F222">
        <v>1</v>
      </c>
      <c r="G222" t="b">
        <v>0</v>
      </c>
      <c r="H222">
        <v>1</v>
      </c>
      <c r="I222">
        <v>1</v>
      </c>
      <c r="J222">
        <v>0.22</v>
      </c>
      <c r="K222">
        <v>0.2727</v>
      </c>
      <c r="L222">
        <v>0.75</v>
      </c>
      <c r="M222">
        <v>0</v>
      </c>
      <c r="N222">
        <v>1</v>
      </c>
      <c r="O222">
        <v>4</v>
      </c>
      <c r="P222">
        <v>5</v>
      </c>
    </row>
    <row r="223" spans="1:16" x14ac:dyDescent="0.3">
      <c r="A223">
        <v>832</v>
      </c>
      <c r="B223" s="4">
        <v>40581</v>
      </c>
      <c r="C223">
        <v>1</v>
      </c>
      <c r="D223">
        <v>0</v>
      </c>
      <c r="E223">
        <v>2</v>
      </c>
      <c r="F223">
        <v>2</v>
      </c>
      <c r="G223" t="b">
        <v>0</v>
      </c>
      <c r="H223">
        <v>1</v>
      </c>
      <c r="I223">
        <v>1</v>
      </c>
      <c r="J223">
        <v>0.2</v>
      </c>
      <c r="K223">
        <v>0.2576</v>
      </c>
      <c r="L223">
        <v>0.8</v>
      </c>
      <c r="M223">
        <v>0</v>
      </c>
      <c r="N223">
        <v>0</v>
      </c>
      <c r="O223">
        <v>3</v>
      </c>
      <c r="P223">
        <v>3</v>
      </c>
    </row>
    <row r="224" spans="1:16" x14ac:dyDescent="0.3">
      <c r="A224">
        <v>833</v>
      </c>
      <c r="B224" s="4">
        <v>40581</v>
      </c>
      <c r="C224">
        <v>1</v>
      </c>
      <c r="D224">
        <v>0</v>
      </c>
      <c r="E224">
        <v>2</v>
      </c>
      <c r="F224">
        <v>3</v>
      </c>
      <c r="G224" t="b">
        <v>0</v>
      </c>
      <c r="H224">
        <v>1</v>
      </c>
      <c r="I224">
        <v>1</v>
      </c>
      <c r="J224">
        <v>0.2</v>
      </c>
      <c r="K224">
        <v>0.2576</v>
      </c>
      <c r="L224">
        <v>0.86</v>
      </c>
      <c r="M224">
        <v>0</v>
      </c>
      <c r="N224">
        <v>0</v>
      </c>
      <c r="O224">
        <v>1</v>
      </c>
      <c r="P224">
        <v>1</v>
      </c>
    </row>
    <row r="225" spans="1:16" x14ac:dyDescent="0.3">
      <c r="A225">
        <v>834</v>
      </c>
      <c r="B225" s="4">
        <v>40581</v>
      </c>
      <c r="C225">
        <v>1</v>
      </c>
      <c r="D225">
        <v>0</v>
      </c>
      <c r="E225">
        <v>2</v>
      </c>
      <c r="F225">
        <v>4</v>
      </c>
      <c r="G225" t="b">
        <v>0</v>
      </c>
      <c r="H225">
        <v>1</v>
      </c>
      <c r="I225">
        <v>1</v>
      </c>
      <c r="J225">
        <v>0.2</v>
      </c>
      <c r="K225">
        <v>0.2576</v>
      </c>
      <c r="L225">
        <v>0.86</v>
      </c>
      <c r="M225">
        <v>0</v>
      </c>
      <c r="N225">
        <v>1</v>
      </c>
      <c r="O225">
        <v>1</v>
      </c>
      <c r="P225">
        <v>2</v>
      </c>
    </row>
    <row r="226" spans="1:16" x14ac:dyDescent="0.3">
      <c r="A226">
        <v>835</v>
      </c>
      <c r="B226" s="4">
        <v>40581</v>
      </c>
      <c r="C226">
        <v>1</v>
      </c>
      <c r="D226">
        <v>0</v>
      </c>
      <c r="E226">
        <v>2</v>
      </c>
      <c r="F226">
        <v>5</v>
      </c>
      <c r="G226" t="b">
        <v>0</v>
      </c>
      <c r="H226">
        <v>1</v>
      </c>
      <c r="I226">
        <v>1</v>
      </c>
      <c r="J226">
        <v>0.2</v>
      </c>
      <c r="K226">
        <v>0.2576</v>
      </c>
      <c r="L226">
        <v>0.86</v>
      </c>
      <c r="M226">
        <v>0</v>
      </c>
      <c r="N226">
        <v>1</v>
      </c>
      <c r="O226">
        <v>9</v>
      </c>
      <c r="P226">
        <v>10</v>
      </c>
    </row>
    <row r="227" spans="1:16" x14ac:dyDescent="0.3">
      <c r="A227">
        <v>836</v>
      </c>
      <c r="B227" s="4">
        <v>40581</v>
      </c>
      <c r="C227">
        <v>1</v>
      </c>
      <c r="D227">
        <v>0</v>
      </c>
      <c r="E227">
        <v>2</v>
      </c>
      <c r="F227">
        <v>6</v>
      </c>
      <c r="G227" t="b">
        <v>0</v>
      </c>
      <c r="H227">
        <v>1</v>
      </c>
      <c r="I227">
        <v>1</v>
      </c>
      <c r="J227">
        <v>0.18</v>
      </c>
      <c r="K227">
        <v>0.2424</v>
      </c>
      <c r="L227">
        <v>0.93</v>
      </c>
      <c r="M227">
        <v>0</v>
      </c>
      <c r="N227">
        <v>1</v>
      </c>
      <c r="O227">
        <v>29</v>
      </c>
      <c r="P227">
        <v>30</v>
      </c>
    </row>
    <row r="228" spans="1:16" x14ac:dyDescent="0.3">
      <c r="A228">
        <v>837</v>
      </c>
      <c r="B228" s="4">
        <v>40581</v>
      </c>
      <c r="C228">
        <v>1</v>
      </c>
      <c r="D228">
        <v>0</v>
      </c>
      <c r="E228">
        <v>2</v>
      </c>
      <c r="F228">
        <v>7</v>
      </c>
      <c r="G228" t="b">
        <v>0</v>
      </c>
      <c r="H228">
        <v>1</v>
      </c>
      <c r="I228">
        <v>1</v>
      </c>
      <c r="J228">
        <v>0.18</v>
      </c>
      <c r="K228">
        <v>0.2424</v>
      </c>
      <c r="L228">
        <v>0.86</v>
      </c>
      <c r="M228">
        <v>0</v>
      </c>
      <c r="N228">
        <v>6</v>
      </c>
      <c r="O228">
        <v>89</v>
      </c>
      <c r="P228">
        <v>95</v>
      </c>
    </row>
    <row r="229" spans="1:16" x14ac:dyDescent="0.3">
      <c r="A229">
        <v>838</v>
      </c>
      <c r="B229" s="4">
        <v>40581</v>
      </c>
      <c r="C229">
        <v>1</v>
      </c>
      <c r="D229">
        <v>0</v>
      </c>
      <c r="E229">
        <v>2</v>
      </c>
      <c r="F229">
        <v>8</v>
      </c>
      <c r="G229" t="b">
        <v>0</v>
      </c>
      <c r="H229">
        <v>1</v>
      </c>
      <c r="I229">
        <v>2</v>
      </c>
      <c r="J229">
        <v>0.16</v>
      </c>
      <c r="K229">
        <v>0.2273</v>
      </c>
      <c r="L229">
        <v>1</v>
      </c>
      <c r="M229">
        <v>0</v>
      </c>
      <c r="N229">
        <v>7</v>
      </c>
      <c r="O229">
        <v>223</v>
      </c>
      <c r="P229">
        <v>230</v>
      </c>
    </row>
    <row r="230" spans="1:16" x14ac:dyDescent="0.3">
      <c r="A230">
        <v>839</v>
      </c>
      <c r="B230" s="4">
        <v>40581</v>
      </c>
      <c r="C230">
        <v>1</v>
      </c>
      <c r="D230">
        <v>0</v>
      </c>
      <c r="E230">
        <v>2</v>
      </c>
      <c r="F230">
        <v>9</v>
      </c>
      <c r="G230" t="b">
        <v>0</v>
      </c>
      <c r="H230">
        <v>1</v>
      </c>
      <c r="I230">
        <v>1</v>
      </c>
      <c r="J230">
        <v>0.22</v>
      </c>
      <c r="K230">
        <v>0.2727</v>
      </c>
      <c r="L230">
        <v>0.8</v>
      </c>
      <c r="M230">
        <v>0</v>
      </c>
      <c r="N230">
        <v>3</v>
      </c>
      <c r="O230">
        <v>115</v>
      </c>
      <c r="P230">
        <v>118</v>
      </c>
    </row>
    <row r="231" spans="1:16" x14ac:dyDescent="0.3">
      <c r="A231">
        <v>840</v>
      </c>
      <c r="B231" s="4">
        <v>40581</v>
      </c>
      <c r="C231">
        <v>1</v>
      </c>
      <c r="D231">
        <v>0</v>
      </c>
      <c r="E231">
        <v>2</v>
      </c>
      <c r="F231">
        <v>10</v>
      </c>
      <c r="G231" t="b">
        <v>0</v>
      </c>
      <c r="H231">
        <v>1</v>
      </c>
      <c r="I231">
        <v>1</v>
      </c>
      <c r="J231">
        <v>0.24</v>
      </c>
      <c r="K231">
        <v>0.2576</v>
      </c>
      <c r="L231">
        <v>0.75</v>
      </c>
      <c r="M231">
        <v>0.1045</v>
      </c>
      <c r="N231">
        <v>6</v>
      </c>
      <c r="O231">
        <v>49</v>
      </c>
      <c r="P231">
        <v>55</v>
      </c>
    </row>
    <row r="232" spans="1:16" x14ac:dyDescent="0.3">
      <c r="A232">
        <v>841</v>
      </c>
      <c r="B232" s="4">
        <v>40581</v>
      </c>
      <c r="C232">
        <v>1</v>
      </c>
      <c r="D232">
        <v>0</v>
      </c>
      <c r="E232">
        <v>2</v>
      </c>
      <c r="F232">
        <v>11</v>
      </c>
      <c r="G232" t="b">
        <v>0</v>
      </c>
      <c r="H232">
        <v>1</v>
      </c>
      <c r="I232">
        <v>1</v>
      </c>
      <c r="J232">
        <v>0.3</v>
      </c>
      <c r="K232">
        <v>0.31819999999999998</v>
      </c>
      <c r="L232">
        <v>0.65</v>
      </c>
      <c r="M232">
        <v>8.9599999999999999E-2</v>
      </c>
      <c r="N232">
        <v>11</v>
      </c>
      <c r="O232">
        <v>36</v>
      </c>
      <c r="P232">
        <v>47</v>
      </c>
    </row>
    <row r="233" spans="1:16" x14ac:dyDescent="0.3">
      <c r="A233">
        <v>842</v>
      </c>
      <c r="B233" s="4">
        <v>40581</v>
      </c>
      <c r="C233">
        <v>1</v>
      </c>
      <c r="D233">
        <v>0</v>
      </c>
      <c r="E233">
        <v>2</v>
      </c>
      <c r="F233">
        <v>12</v>
      </c>
      <c r="G233" t="b">
        <v>0</v>
      </c>
      <c r="H233">
        <v>1</v>
      </c>
      <c r="I233">
        <v>2</v>
      </c>
      <c r="J233">
        <v>0.32</v>
      </c>
      <c r="K233">
        <v>0.34849999999999998</v>
      </c>
      <c r="L233">
        <v>0.62</v>
      </c>
      <c r="M233">
        <v>0</v>
      </c>
      <c r="N233">
        <v>7</v>
      </c>
      <c r="O233">
        <v>59</v>
      </c>
      <c r="P233">
        <v>66</v>
      </c>
    </row>
    <row r="234" spans="1:16" x14ac:dyDescent="0.3">
      <c r="A234">
        <v>843</v>
      </c>
      <c r="B234" s="4">
        <v>40581</v>
      </c>
      <c r="C234">
        <v>1</v>
      </c>
      <c r="D234">
        <v>0</v>
      </c>
      <c r="E234">
        <v>2</v>
      </c>
      <c r="F234">
        <v>13</v>
      </c>
      <c r="G234" t="b">
        <v>0</v>
      </c>
      <c r="H234">
        <v>1</v>
      </c>
      <c r="I234">
        <v>2</v>
      </c>
      <c r="J234">
        <v>0.36</v>
      </c>
      <c r="K234">
        <v>0.36359999999999998</v>
      </c>
      <c r="L234">
        <v>0.56999999999999995</v>
      </c>
      <c r="M234">
        <v>8.9599999999999999E-2</v>
      </c>
      <c r="N234">
        <v>10</v>
      </c>
      <c r="O234">
        <v>54</v>
      </c>
      <c r="P234">
        <v>64</v>
      </c>
    </row>
    <row r="235" spans="1:16" x14ac:dyDescent="0.3">
      <c r="A235">
        <v>844</v>
      </c>
      <c r="B235" s="4">
        <v>40581</v>
      </c>
      <c r="C235">
        <v>1</v>
      </c>
      <c r="D235">
        <v>0</v>
      </c>
      <c r="E235">
        <v>2</v>
      </c>
      <c r="F235">
        <v>14</v>
      </c>
      <c r="G235" t="b">
        <v>0</v>
      </c>
      <c r="H235">
        <v>1</v>
      </c>
      <c r="I235">
        <v>2</v>
      </c>
      <c r="J235">
        <v>0.36</v>
      </c>
      <c r="K235">
        <v>0.36359999999999998</v>
      </c>
      <c r="L235">
        <v>0.56999999999999995</v>
      </c>
      <c r="M235">
        <v>8.9599999999999999E-2</v>
      </c>
      <c r="N235">
        <v>8</v>
      </c>
      <c r="O235">
        <v>52</v>
      </c>
      <c r="P235">
        <v>60</v>
      </c>
    </row>
    <row r="236" spans="1:16" x14ac:dyDescent="0.3">
      <c r="A236">
        <v>845</v>
      </c>
      <c r="B236" s="4">
        <v>40581</v>
      </c>
      <c r="C236">
        <v>1</v>
      </c>
      <c r="D236">
        <v>0</v>
      </c>
      <c r="E236">
        <v>2</v>
      </c>
      <c r="F236">
        <v>15</v>
      </c>
      <c r="G236" t="b">
        <v>0</v>
      </c>
      <c r="H236">
        <v>1</v>
      </c>
      <c r="I236">
        <v>2</v>
      </c>
      <c r="J236">
        <v>0.38</v>
      </c>
      <c r="K236">
        <v>0.39389999999999997</v>
      </c>
      <c r="L236">
        <v>0.54</v>
      </c>
      <c r="M236">
        <v>8.9599999999999999E-2</v>
      </c>
      <c r="N236">
        <v>4</v>
      </c>
      <c r="O236">
        <v>46</v>
      </c>
      <c r="P236">
        <v>50</v>
      </c>
    </row>
    <row r="237" spans="1:16" x14ac:dyDescent="0.3">
      <c r="A237">
        <v>846</v>
      </c>
      <c r="B237" s="4">
        <v>40581</v>
      </c>
      <c r="C237">
        <v>1</v>
      </c>
      <c r="D237">
        <v>0</v>
      </c>
      <c r="E237">
        <v>2</v>
      </c>
      <c r="F237">
        <v>16</v>
      </c>
      <c r="G237" t="b">
        <v>0</v>
      </c>
      <c r="H237">
        <v>1</v>
      </c>
      <c r="I237">
        <v>2</v>
      </c>
      <c r="J237">
        <v>0.36</v>
      </c>
      <c r="K237">
        <v>0.34849999999999998</v>
      </c>
      <c r="L237">
        <v>0.56999999999999995</v>
      </c>
      <c r="M237">
        <v>0.1343</v>
      </c>
      <c r="N237">
        <v>16</v>
      </c>
      <c r="O237">
        <v>98</v>
      </c>
      <c r="P237">
        <v>114</v>
      </c>
    </row>
    <row r="238" spans="1:16" x14ac:dyDescent="0.3">
      <c r="A238">
        <v>847</v>
      </c>
      <c r="B238" s="4">
        <v>40581</v>
      </c>
      <c r="C238">
        <v>1</v>
      </c>
      <c r="D238">
        <v>0</v>
      </c>
      <c r="E238">
        <v>2</v>
      </c>
      <c r="F238">
        <v>17</v>
      </c>
      <c r="G238" t="b">
        <v>0</v>
      </c>
      <c r="H238">
        <v>1</v>
      </c>
      <c r="I238">
        <v>2</v>
      </c>
      <c r="J238">
        <v>0.32</v>
      </c>
      <c r="K238">
        <v>0.31819999999999998</v>
      </c>
      <c r="L238">
        <v>0.7</v>
      </c>
      <c r="M238">
        <v>0.16420000000000001</v>
      </c>
      <c r="N238">
        <v>9</v>
      </c>
      <c r="O238">
        <v>207</v>
      </c>
      <c r="P238">
        <v>216</v>
      </c>
    </row>
    <row r="239" spans="1:16" x14ac:dyDescent="0.3">
      <c r="A239">
        <v>848</v>
      </c>
      <c r="B239" s="4">
        <v>40581</v>
      </c>
      <c r="C239">
        <v>1</v>
      </c>
      <c r="D239">
        <v>0</v>
      </c>
      <c r="E239">
        <v>2</v>
      </c>
      <c r="F239">
        <v>18</v>
      </c>
      <c r="G239" t="b">
        <v>0</v>
      </c>
      <c r="H239">
        <v>1</v>
      </c>
      <c r="I239">
        <v>2</v>
      </c>
      <c r="J239">
        <v>0.34</v>
      </c>
      <c r="K239">
        <v>0.33329999999999999</v>
      </c>
      <c r="L239">
        <v>0.66</v>
      </c>
      <c r="M239">
        <v>0.1343</v>
      </c>
      <c r="N239">
        <v>5</v>
      </c>
      <c r="O239">
        <v>170</v>
      </c>
      <c r="P239">
        <v>175</v>
      </c>
    </row>
    <row r="240" spans="1:16" x14ac:dyDescent="0.3">
      <c r="A240">
        <v>849</v>
      </c>
      <c r="B240" s="4">
        <v>40581</v>
      </c>
      <c r="C240">
        <v>1</v>
      </c>
      <c r="D240">
        <v>0</v>
      </c>
      <c r="E240">
        <v>2</v>
      </c>
      <c r="F240">
        <v>19</v>
      </c>
      <c r="G240" t="b">
        <v>0</v>
      </c>
      <c r="H240">
        <v>1</v>
      </c>
      <c r="I240">
        <v>2</v>
      </c>
      <c r="J240">
        <v>0.32</v>
      </c>
      <c r="K240">
        <v>0.34849999999999998</v>
      </c>
      <c r="L240">
        <v>0.7</v>
      </c>
      <c r="M240">
        <v>0</v>
      </c>
      <c r="N240">
        <v>5</v>
      </c>
      <c r="O240">
        <v>123</v>
      </c>
      <c r="P240">
        <v>128</v>
      </c>
    </row>
    <row r="241" spans="1:16" x14ac:dyDescent="0.3">
      <c r="A241">
        <v>850</v>
      </c>
      <c r="B241" s="4">
        <v>40581</v>
      </c>
      <c r="C241">
        <v>1</v>
      </c>
      <c r="D241">
        <v>0</v>
      </c>
      <c r="E241">
        <v>2</v>
      </c>
      <c r="F241">
        <v>20</v>
      </c>
      <c r="G241" t="b">
        <v>0</v>
      </c>
      <c r="H241">
        <v>1</v>
      </c>
      <c r="I241">
        <v>2</v>
      </c>
      <c r="J241">
        <v>0.32</v>
      </c>
      <c r="K241">
        <v>0.33329999999999999</v>
      </c>
      <c r="L241">
        <v>0.7</v>
      </c>
      <c r="M241">
        <v>0.1045</v>
      </c>
      <c r="N241">
        <v>6</v>
      </c>
      <c r="O241">
        <v>82</v>
      </c>
      <c r="P241">
        <v>88</v>
      </c>
    </row>
    <row r="242" spans="1:16" x14ac:dyDescent="0.3">
      <c r="A242">
        <v>851</v>
      </c>
      <c r="B242" s="4">
        <v>40581</v>
      </c>
      <c r="C242">
        <v>1</v>
      </c>
      <c r="D242">
        <v>0</v>
      </c>
      <c r="E242">
        <v>2</v>
      </c>
      <c r="F242">
        <v>21</v>
      </c>
      <c r="G242" t="b">
        <v>0</v>
      </c>
      <c r="H242">
        <v>1</v>
      </c>
      <c r="I242">
        <v>1</v>
      </c>
      <c r="J242">
        <v>0.32</v>
      </c>
      <c r="K242">
        <v>0.34849999999999998</v>
      </c>
      <c r="L242">
        <v>0.7</v>
      </c>
      <c r="M242">
        <v>0</v>
      </c>
      <c r="N242">
        <v>3</v>
      </c>
      <c r="O242">
        <v>75</v>
      </c>
      <c r="P242">
        <v>78</v>
      </c>
    </row>
    <row r="243" spans="1:16" x14ac:dyDescent="0.3">
      <c r="A243">
        <v>852</v>
      </c>
      <c r="B243" s="4">
        <v>40581</v>
      </c>
      <c r="C243">
        <v>1</v>
      </c>
      <c r="D243">
        <v>0</v>
      </c>
      <c r="E243">
        <v>2</v>
      </c>
      <c r="F243">
        <v>22</v>
      </c>
      <c r="G243" t="b">
        <v>0</v>
      </c>
      <c r="H243">
        <v>1</v>
      </c>
      <c r="I243">
        <v>1</v>
      </c>
      <c r="J243">
        <v>0.28000000000000003</v>
      </c>
      <c r="K243">
        <v>0.30299999999999999</v>
      </c>
      <c r="L243">
        <v>0.81</v>
      </c>
      <c r="M243">
        <v>8.9599999999999999E-2</v>
      </c>
      <c r="N243">
        <v>3</v>
      </c>
      <c r="O243">
        <v>34</v>
      </c>
      <c r="P243">
        <v>37</v>
      </c>
    </row>
    <row r="244" spans="1:16" x14ac:dyDescent="0.3">
      <c r="A244">
        <v>853</v>
      </c>
      <c r="B244" s="4">
        <v>40581</v>
      </c>
      <c r="C244">
        <v>1</v>
      </c>
      <c r="D244">
        <v>0</v>
      </c>
      <c r="E244">
        <v>2</v>
      </c>
      <c r="F244">
        <v>23</v>
      </c>
      <c r="G244" t="b">
        <v>0</v>
      </c>
      <c r="H244">
        <v>1</v>
      </c>
      <c r="I244">
        <v>2</v>
      </c>
      <c r="J244">
        <v>0.3</v>
      </c>
      <c r="K244">
        <v>0.33329999999999999</v>
      </c>
      <c r="L244">
        <v>0.81</v>
      </c>
      <c r="M244">
        <v>0</v>
      </c>
      <c r="N244">
        <v>6</v>
      </c>
      <c r="O244">
        <v>19</v>
      </c>
      <c r="P244">
        <v>25</v>
      </c>
    </row>
    <row r="245" spans="1:16" x14ac:dyDescent="0.3">
      <c r="A245">
        <v>854</v>
      </c>
      <c r="B245" s="4">
        <v>40582</v>
      </c>
      <c r="C245">
        <v>1</v>
      </c>
      <c r="D245">
        <v>0</v>
      </c>
      <c r="E245">
        <v>2</v>
      </c>
      <c r="F245">
        <v>0</v>
      </c>
      <c r="G245" t="b">
        <v>0</v>
      </c>
      <c r="H245">
        <v>2</v>
      </c>
      <c r="I245">
        <v>2</v>
      </c>
      <c r="J245">
        <v>0.28000000000000003</v>
      </c>
      <c r="K245">
        <v>0.31819999999999998</v>
      </c>
      <c r="L245">
        <v>0.87</v>
      </c>
      <c r="M245">
        <v>0</v>
      </c>
      <c r="N245">
        <v>4</v>
      </c>
      <c r="O245">
        <v>6</v>
      </c>
      <c r="P245">
        <v>10</v>
      </c>
    </row>
    <row r="246" spans="1:16" x14ac:dyDescent="0.3">
      <c r="A246">
        <v>855</v>
      </c>
      <c r="B246" s="4">
        <v>40582</v>
      </c>
      <c r="C246">
        <v>1</v>
      </c>
      <c r="D246">
        <v>0</v>
      </c>
      <c r="E246">
        <v>2</v>
      </c>
      <c r="F246">
        <v>1</v>
      </c>
      <c r="G246" t="b">
        <v>0</v>
      </c>
      <c r="H246">
        <v>2</v>
      </c>
      <c r="I246">
        <v>2</v>
      </c>
      <c r="J246">
        <v>0.28000000000000003</v>
      </c>
      <c r="K246">
        <v>0.31819999999999998</v>
      </c>
      <c r="L246">
        <v>0.87</v>
      </c>
      <c r="M246">
        <v>0</v>
      </c>
      <c r="N246">
        <v>0</v>
      </c>
      <c r="O246">
        <v>4</v>
      </c>
      <c r="P246">
        <v>4</v>
      </c>
    </row>
    <row r="247" spans="1:16" x14ac:dyDescent="0.3">
      <c r="A247">
        <v>856</v>
      </c>
      <c r="B247" s="4">
        <v>40582</v>
      </c>
      <c r="C247">
        <v>1</v>
      </c>
      <c r="D247">
        <v>0</v>
      </c>
      <c r="E247">
        <v>2</v>
      </c>
      <c r="F247">
        <v>2</v>
      </c>
      <c r="G247" t="b">
        <v>0</v>
      </c>
      <c r="H247">
        <v>2</v>
      </c>
      <c r="I247">
        <v>2</v>
      </c>
      <c r="J247">
        <v>0.26</v>
      </c>
      <c r="K247">
        <v>0.2727</v>
      </c>
      <c r="L247">
        <v>0.93</v>
      </c>
      <c r="M247">
        <v>0.1045</v>
      </c>
      <c r="N247">
        <v>1</v>
      </c>
      <c r="O247">
        <v>1</v>
      </c>
      <c r="P247">
        <v>2</v>
      </c>
    </row>
    <row r="248" spans="1:16" x14ac:dyDescent="0.3">
      <c r="A248">
        <v>857</v>
      </c>
      <c r="B248" s="4">
        <v>40582</v>
      </c>
      <c r="C248">
        <v>1</v>
      </c>
      <c r="D248">
        <v>0</v>
      </c>
      <c r="E248">
        <v>2</v>
      </c>
      <c r="F248">
        <v>3</v>
      </c>
      <c r="G248" t="b">
        <v>0</v>
      </c>
      <c r="H248">
        <v>2</v>
      </c>
      <c r="I248">
        <v>3</v>
      </c>
      <c r="J248">
        <v>0.28000000000000003</v>
      </c>
      <c r="K248">
        <v>0.2727</v>
      </c>
      <c r="L248">
        <v>0.93</v>
      </c>
      <c r="M248">
        <v>0.16420000000000001</v>
      </c>
      <c r="N248">
        <v>0</v>
      </c>
      <c r="O248">
        <v>1</v>
      </c>
      <c r="P248">
        <v>1</v>
      </c>
    </row>
    <row r="249" spans="1:16" x14ac:dyDescent="0.3">
      <c r="A249">
        <v>858</v>
      </c>
      <c r="B249" s="4">
        <v>40582</v>
      </c>
      <c r="C249">
        <v>1</v>
      </c>
      <c r="D249">
        <v>0</v>
      </c>
      <c r="E249">
        <v>2</v>
      </c>
      <c r="F249">
        <v>4</v>
      </c>
      <c r="G249" t="b">
        <v>0</v>
      </c>
      <c r="H249">
        <v>2</v>
      </c>
      <c r="I249">
        <v>1</v>
      </c>
      <c r="J249">
        <v>0.26</v>
      </c>
      <c r="K249">
        <v>0.2576</v>
      </c>
      <c r="L249">
        <v>0.93</v>
      </c>
      <c r="M249">
        <v>0.16420000000000001</v>
      </c>
      <c r="N249">
        <v>0</v>
      </c>
      <c r="O249">
        <v>3</v>
      </c>
      <c r="P249">
        <v>3</v>
      </c>
    </row>
    <row r="250" spans="1:16" x14ac:dyDescent="0.3">
      <c r="A250">
        <v>859</v>
      </c>
      <c r="B250" s="4">
        <v>40582</v>
      </c>
      <c r="C250">
        <v>1</v>
      </c>
      <c r="D250">
        <v>0</v>
      </c>
      <c r="E250">
        <v>2</v>
      </c>
      <c r="F250">
        <v>5</v>
      </c>
      <c r="G250" t="b">
        <v>0</v>
      </c>
      <c r="H250">
        <v>2</v>
      </c>
      <c r="I250">
        <v>1</v>
      </c>
      <c r="J250">
        <v>0.26</v>
      </c>
      <c r="K250">
        <v>0.2273</v>
      </c>
      <c r="L250">
        <v>0.81</v>
      </c>
      <c r="M250">
        <v>0.32840000000000003</v>
      </c>
      <c r="N250">
        <v>0</v>
      </c>
      <c r="O250">
        <v>2</v>
      </c>
      <c r="P250">
        <v>2</v>
      </c>
    </row>
    <row r="251" spans="1:16" x14ac:dyDescent="0.3">
      <c r="A251">
        <v>860</v>
      </c>
      <c r="B251" s="4">
        <v>40582</v>
      </c>
      <c r="C251">
        <v>1</v>
      </c>
      <c r="D251">
        <v>0</v>
      </c>
      <c r="E251">
        <v>2</v>
      </c>
      <c r="F251">
        <v>6</v>
      </c>
      <c r="G251" t="b">
        <v>0</v>
      </c>
      <c r="H251">
        <v>2</v>
      </c>
      <c r="I251">
        <v>1</v>
      </c>
      <c r="J251">
        <v>0.26</v>
      </c>
      <c r="K251">
        <v>0.2273</v>
      </c>
      <c r="L251">
        <v>0.7</v>
      </c>
      <c r="M251">
        <v>0.32840000000000003</v>
      </c>
      <c r="N251">
        <v>0</v>
      </c>
      <c r="O251">
        <v>39</v>
      </c>
      <c r="P251">
        <v>39</v>
      </c>
    </row>
    <row r="252" spans="1:16" x14ac:dyDescent="0.3">
      <c r="A252">
        <v>861</v>
      </c>
      <c r="B252" s="4">
        <v>40582</v>
      </c>
      <c r="C252">
        <v>1</v>
      </c>
      <c r="D252">
        <v>0</v>
      </c>
      <c r="E252">
        <v>2</v>
      </c>
      <c r="F252">
        <v>7</v>
      </c>
      <c r="G252" t="b">
        <v>0</v>
      </c>
      <c r="H252">
        <v>2</v>
      </c>
      <c r="I252">
        <v>1</v>
      </c>
      <c r="J252">
        <v>0.24</v>
      </c>
      <c r="K252">
        <v>0.19700000000000001</v>
      </c>
      <c r="L252">
        <v>0.65</v>
      </c>
      <c r="M252">
        <v>0.41789999999999999</v>
      </c>
      <c r="N252">
        <v>3</v>
      </c>
      <c r="O252">
        <v>97</v>
      </c>
      <c r="P252">
        <v>100</v>
      </c>
    </row>
    <row r="253" spans="1:16" x14ac:dyDescent="0.3">
      <c r="A253">
        <v>862</v>
      </c>
      <c r="B253" s="4">
        <v>40582</v>
      </c>
      <c r="C253">
        <v>1</v>
      </c>
      <c r="D253">
        <v>0</v>
      </c>
      <c r="E253">
        <v>2</v>
      </c>
      <c r="F253">
        <v>8</v>
      </c>
      <c r="G253" t="b">
        <v>0</v>
      </c>
      <c r="H253">
        <v>2</v>
      </c>
      <c r="I253">
        <v>1</v>
      </c>
      <c r="J253">
        <v>0.24</v>
      </c>
      <c r="K253">
        <v>0.19700000000000001</v>
      </c>
      <c r="L253">
        <v>0.56000000000000005</v>
      </c>
      <c r="M253">
        <v>0.49249999999999999</v>
      </c>
      <c r="N253">
        <v>7</v>
      </c>
      <c r="O253">
        <v>236</v>
      </c>
      <c r="P253">
        <v>243</v>
      </c>
    </row>
    <row r="254" spans="1:16" x14ac:dyDescent="0.3">
      <c r="A254">
        <v>863</v>
      </c>
      <c r="B254" s="4">
        <v>40582</v>
      </c>
      <c r="C254">
        <v>1</v>
      </c>
      <c r="D254">
        <v>0</v>
      </c>
      <c r="E254">
        <v>2</v>
      </c>
      <c r="F254">
        <v>9</v>
      </c>
      <c r="G254" t="b">
        <v>0</v>
      </c>
      <c r="H254">
        <v>2</v>
      </c>
      <c r="I254">
        <v>1</v>
      </c>
      <c r="J254">
        <v>0.24</v>
      </c>
      <c r="K254">
        <v>0.19700000000000001</v>
      </c>
      <c r="L254">
        <v>0.52</v>
      </c>
      <c r="M254">
        <v>0.49249999999999999</v>
      </c>
      <c r="N254">
        <v>7</v>
      </c>
      <c r="O254">
        <v>128</v>
      </c>
      <c r="P254">
        <v>135</v>
      </c>
    </row>
    <row r="255" spans="1:16" x14ac:dyDescent="0.3">
      <c r="A255">
        <v>864</v>
      </c>
      <c r="B255" s="4">
        <v>40582</v>
      </c>
      <c r="C255">
        <v>1</v>
      </c>
      <c r="D255">
        <v>0</v>
      </c>
      <c r="E255">
        <v>2</v>
      </c>
      <c r="F255">
        <v>10</v>
      </c>
      <c r="G255" t="b">
        <v>0</v>
      </c>
      <c r="H255">
        <v>2</v>
      </c>
      <c r="I255">
        <v>1</v>
      </c>
      <c r="J255">
        <v>0.22</v>
      </c>
      <c r="K255">
        <v>0.18179999999999999</v>
      </c>
      <c r="L255">
        <v>0.47</v>
      </c>
      <c r="M255">
        <v>0.55220000000000002</v>
      </c>
      <c r="N255">
        <v>4</v>
      </c>
      <c r="O255">
        <v>44</v>
      </c>
      <c r="P255">
        <v>48</v>
      </c>
    </row>
    <row r="256" spans="1:16" x14ac:dyDescent="0.3">
      <c r="A256">
        <v>865</v>
      </c>
      <c r="B256" s="4">
        <v>40582</v>
      </c>
      <c r="C256">
        <v>1</v>
      </c>
      <c r="D256">
        <v>0</v>
      </c>
      <c r="E256">
        <v>2</v>
      </c>
      <c r="F256">
        <v>11</v>
      </c>
      <c r="G256" t="b">
        <v>0</v>
      </c>
      <c r="H256">
        <v>2</v>
      </c>
      <c r="I256">
        <v>1</v>
      </c>
      <c r="J256">
        <v>0.22</v>
      </c>
      <c r="K256">
        <v>0.18179999999999999</v>
      </c>
      <c r="L256">
        <v>0.47</v>
      </c>
      <c r="M256">
        <v>0.4627</v>
      </c>
      <c r="N256">
        <v>1</v>
      </c>
      <c r="O256">
        <v>49</v>
      </c>
      <c r="P256">
        <v>50</v>
      </c>
    </row>
    <row r="257" spans="1:16" x14ac:dyDescent="0.3">
      <c r="A257">
        <v>866</v>
      </c>
      <c r="B257" s="4">
        <v>40582</v>
      </c>
      <c r="C257">
        <v>1</v>
      </c>
      <c r="D257">
        <v>0</v>
      </c>
      <c r="E257">
        <v>2</v>
      </c>
      <c r="F257">
        <v>12</v>
      </c>
      <c r="G257" t="b">
        <v>0</v>
      </c>
      <c r="H257">
        <v>2</v>
      </c>
      <c r="I257">
        <v>1</v>
      </c>
      <c r="J257">
        <v>0.24</v>
      </c>
      <c r="K257">
        <v>0.19700000000000001</v>
      </c>
      <c r="L257">
        <v>0.38</v>
      </c>
      <c r="M257">
        <v>0.49249999999999999</v>
      </c>
      <c r="N257">
        <v>2</v>
      </c>
      <c r="O257">
        <v>63</v>
      </c>
      <c r="P257">
        <v>65</v>
      </c>
    </row>
    <row r="258" spans="1:16" x14ac:dyDescent="0.3">
      <c r="A258">
        <v>867</v>
      </c>
      <c r="B258" s="4">
        <v>40582</v>
      </c>
      <c r="C258">
        <v>1</v>
      </c>
      <c r="D258">
        <v>0</v>
      </c>
      <c r="E258">
        <v>2</v>
      </c>
      <c r="F258">
        <v>13</v>
      </c>
      <c r="G258" t="b">
        <v>0</v>
      </c>
      <c r="H258">
        <v>2</v>
      </c>
      <c r="I258">
        <v>2</v>
      </c>
      <c r="J258">
        <v>0.24</v>
      </c>
      <c r="K258">
        <v>0.19700000000000001</v>
      </c>
      <c r="L258">
        <v>0.32</v>
      </c>
      <c r="M258">
        <v>0.44779999999999998</v>
      </c>
      <c r="N258">
        <v>2</v>
      </c>
      <c r="O258">
        <v>48</v>
      </c>
      <c r="P258">
        <v>50</v>
      </c>
    </row>
    <row r="259" spans="1:16" x14ac:dyDescent="0.3">
      <c r="A259">
        <v>868</v>
      </c>
      <c r="B259" s="4">
        <v>40582</v>
      </c>
      <c r="C259">
        <v>1</v>
      </c>
      <c r="D259">
        <v>0</v>
      </c>
      <c r="E259">
        <v>2</v>
      </c>
      <c r="F259">
        <v>14</v>
      </c>
      <c r="G259" t="b">
        <v>0</v>
      </c>
      <c r="H259">
        <v>2</v>
      </c>
      <c r="I259">
        <v>1</v>
      </c>
      <c r="J259">
        <v>0.22</v>
      </c>
      <c r="K259">
        <v>0.19700000000000001</v>
      </c>
      <c r="L259">
        <v>0.37</v>
      </c>
      <c r="M259">
        <v>0.41789999999999999</v>
      </c>
      <c r="N259">
        <v>3</v>
      </c>
      <c r="O259">
        <v>61</v>
      </c>
      <c r="P259">
        <v>64</v>
      </c>
    </row>
    <row r="260" spans="1:16" x14ac:dyDescent="0.3">
      <c r="A260">
        <v>869</v>
      </c>
      <c r="B260" s="4">
        <v>40582</v>
      </c>
      <c r="C260">
        <v>1</v>
      </c>
      <c r="D260">
        <v>0</v>
      </c>
      <c r="E260">
        <v>2</v>
      </c>
      <c r="F260">
        <v>15</v>
      </c>
      <c r="G260" t="b">
        <v>0</v>
      </c>
      <c r="H260">
        <v>2</v>
      </c>
      <c r="I260">
        <v>1</v>
      </c>
      <c r="J260">
        <v>0.22</v>
      </c>
      <c r="K260">
        <v>0.19700000000000001</v>
      </c>
      <c r="L260">
        <v>0.35</v>
      </c>
      <c r="M260">
        <v>0.3881</v>
      </c>
      <c r="N260">
        <v>6</v>
      </c>
      <c r="O260">
        <v>45</v>
      </c>
      <c r="P260">
        <v>51</v>
      </c>
    </row>
    <row r="261" spans="1:16" x14ac:dyDescent="0.3">
      <c r="A261">
        <v>870</v>
      </c>
      <c r="B261" s="4">
        <v>40582</v>
      </c>
      <c r="C261">
        <v>1</v>
      </c>
      <c r="D261">
        <v>0</v>
      </c>
      <c r="E261">
        <v>2</v>
      </c>
      <c r="F261">
        <v>16</v>
      </c>
      <c r="G261" t="b">
        <v>0</v>
      </c>
      <c r="H261">
        <v>2</v>
      </c>
      <c r="I261">
        <v>1</v>
      </c>
      <c r="J261">
        <v>0.22</v>
      </c>
      <c r="K261">
        <v>0.18179999999999999</v>
      </c>
      <c r="L261">
        <v>0.35</v>
      </c>
      <c r="M261">
        <v>0.52239999999999998</v>
      </c>
      <c r="N261">
        <v>4</v>
      </c>
      <c r="O261">
        <v>79</v>
      </c>
      <c r="P261">
        <v>83</v>
      </c>
    </row>
    <row r="262" spans="1:16" x14ac:dyDescent="0.3">
      <c r="A262">
        <v>871</v>
      </c>
      <c r="B262" s="4">
        <v>40582</v>
      </c>
      <c r="C262">
        <v>1</v>
      </c>
      <c r="D262">
        <v>0</v>
      </c>
      <c r="E262">
        <v>2</v>
      </c>
      <c r="F262">
        <v>17</v>
      </c>
      <c r="G262" t="b">
        <v>0</v>
      </c>
      <c r="H262">
        <v>2</v>
      </c>
      <c r="I262">
        <v>1</v>
      </c>
      <c r="J262">
        <v>0.22</v>
      </c>
      <c r="K262">
        <v>0.18179999999999999</v>
      </c>
      <c r="L262">
        <v>0.32</v>
      </c>
      <c r="M262">
        <v>0.58209999999999995</v>
      </c>
      <c r="N262">
        <v>4</v>
      </c>
      <c r="O262">
        <v>172</v>
      </c>
      <c r="P262">
        <v>176</v>
      </c>
    </row>
    <row r="263" spans="1:16" x14ac:dyDescent="0.3">
      <c r="A263">
        <v>872</v>
      </c>
      <c r="B263" s="4">
        <v>40582</v>
      </c>
      <c r="C263">
        <v>1</v>
      </c>
      <c r="D263">
        <v>0</v>
      </c>
      <c r="E263">
        <v>2</v>
      </c>
      <c r="F263">
        <v>18</v>
      </c>
      <c r="G263" t="b">
        <v>0</v>
      </c>
      <c r="H263">
        <v>2</v>
      </c>
      <c r="I263">
        <v>1</v>
      </c>
      <c r="J263">
        <v>0.2</v>
      </c>
      <c r="K263">
        <v>0.18179999999999999</v>
      </c>
      <c r="L263">
        <v>0.32</v>
      </c>
      <c r="M263">
        <v>0.3881</v>
      </c>
      <c r="N263">
        <v>1</v>
      </c>
      <c r="O263">
        <v>151</v>
      </c>
      <c r="P263">
        <v>152</v>
      </c>
    </row>
    <row r="264" spans="1:16" x14ac:dyDescent="0.3">
      <c r="A264">
        <v>873</v>
      </c>
      <c r="B264" s="4">
        <v>40582</v>
      </c>
      <c r="C264">
        <v>1</v>
      </c>
      <c r="D264">
        <v>0</v>
      </c>
      <c r="E264">
        <v>2</v>
      </c>
      <c r="F264">
        <v>19</v>
      </c>
      <c r="G264" t="b">
        <v>0</v>
      </c>
      <c r="H264">
        <v>2</v>
      </c>
      <c r="I264">
        <v>1</v>
      </c>
      <c r="J264">
        <v>0.16</v>
      </c>
      <c r="K264">
        <v>0.1212</v>
      </c>
      <c r="L264">
        <v>0.4</v>
      </c>
      <c r="M264">
        <v>0.4627</v>
      </c>
      <c r="N264">
        <v>1</v>
      </c>
      <c r="O264">
        <v>100</v>
      </c>
      <c r="P264">
        <v>101</v>
      </c>
    </row>
    <row r="265" spans="1:16" x14ac:dyDescent="0.3">
      <c r="A265">
        <v>874</v>
      </c>
      <c r="B265" s="4">
        <v>40582</v>
      </c>
      <c r="C265">
        <v>1</v>
      </c>
      <c r="D265">
        <v>0</v>
      </c>
      <c r="E265">
        <v>2</v>
      </c>
      <c r="F265">
        <v>20</v>
      </c>
      <c r="G265" t="b">
        <v>0</v>
      </c>
      <c r="H265">
        <v>2</v>
      </c>
      <c r="I265">
        <v>1</v>
      </c>
      <c r="J265">
        <v>0.16</v>
      </c>
      <c r="K265">
        <v>0.13639999999999999</v>
      </c>
      <c r="L265">
        <v>0.4</v>
      </c>
      <c r="M265">
        <v>0.32840000000000003</v>
      </c>
      <c r="N265">
        <v>3</v>
      </c>
      <c r="O265">
        <v>53</v>
      </c>
      <c r="P265">
        <v>56</v>
      </c>
    </row>
    <row r="266" spans="1:16" x14ac:dyDescent="0.3">
      <c r="A266">
        <v>875</v>
      </c>
      <c r="B266" s="4">
        <v>40582</v>
      </c>
      <c r="C266">
        <v>1</v>
      </c>
      <c r="D266">
        <v>0</v>
      </c>
      <c r="E266">
        <v>2</v>
      </c>
      <c r="F266">
        <v>21</v>
      </c>
      <c r="G266" t="b">
        <v>0</v>
      </c>
      <c r="H266">
        <v>2</v>
      </c>
      <c r="I266">
        <v>1</v>
      </c>
      <c r="J266">
        <v>0.14000000000000001</v>
      </c>
      <c r="K266">
        <v>0.1061</v>
      </c>
      <c r="L266">
        <v>0.33</v>
      </c>
      <c r="M266">
        <v>0.4627</v>
      </c>
      <c r="N266">
        <v>8</v>
      </c>
      <c r="O266">
        <v>46</v>
      </c>
      <c r="P266">
        <v>54</v>
      </c>
    </row>
    <row r="267" spans="1:16" x14ac:dyDescent="0.3">
      <c r="A267">
        <v>876</v>
      </c>
      <c r="B267" s="4">
        <v>40582</v>
      </c>
      <c r="C267">
        <v>1</v>
      </c>
      <c r="D267">
        <v>0</v>
      </c>
      <c r="E267">
        <v>2</v>
      </c>
      <c r="F267">
        <v>22</v>
      </c>
      <c r="G267" t="b">
        <v>0</v>
      </c>
      <c r="H267">
        <v>2</v>
      </c>
      <c r="I267">
        <v>1</v>
      </c>
      <c r="J267">
        <v>0.12</v>
      </c>
      <c r="K267">
        <v>0.1061</v>
      </c>
      <c r="L267">
        <v>0.33</v>
      </c>
      <c r="M267">
        <v>0.35820000000000002</v>
      </c>
      <c r="N267">
        <v>0</v>
      </c>
      <c r="O267">
        <v>29</v>
      </c>
      <c r="P267">
        <v>29</v>
      </c>
    </row>
    <row r="268" spans="1:16" x14ac:dyDescent="0.3">
      <c r="A268">
        <v>877</v>
      </c>
      <c r="B268" s="4">
        <v>40582</v>
      </c>
      <c r="C268">
        <v>1</v>
      </c>
      <c r="D268">
        <v>0</v>
      </c>
      <c r="E268">
        <v>2</v>
      </c>
      <c r="F268">
        <v>23</v>
      </c>
      <c r="G268" t="b">
        <v>0</v>
      </c>
      <c r="H268">
        <v>2</v>
      </c>
      <c r="I268">
        <v>1</v>
      </c>
      <c r="J268">
        <v>0.12</v>
      </c>
      <c r="K268">
        <v>0.1061</v>
      </c>
      <c r="L268">
        <v>0.33</v>
      </c>
      <c r="M268">
        <v>0.32840000000000003</v>
      </c>
      <c r="N268">
        <v>3</v>
      </c>
      <c r="O268">
        <v>9</v>
      </c>
      <c r="P268">
        <v>12</v>
      </c>
    </row>
    <row r="269" spans="1:16" x14ac:dyDescent="0.3">
      <c r="A269">
        <v>878</v>
      </c>
      <c r="B269" s="4">
        <v>40583</v>
      </c>
      <c r="C269">
        <v>1</v>
      </c>
      <c r="D269">
        <v>0</v>
      </c>
      <c r="E269">
        <v>2</v>
      </c>
      <c r="F269">
        <v>0</v>
      </c>
      <c r="G269" t="b">
        <v>0</v>
      </c>
      <c r="H269">
        <v>3</v>
      </c>
      <c r="I269">
        <v>1</v>
      </c>
      <c r="J269">
        <v>0.1</v>
      </c>
      <c r="K269">
        <v>7.5800000000000006E-2</v>
      </c>
      <c r="L269">
        <v>0.36</v>
      </c>
      <c r="M269">
        <v>0.35820000000000002</v>
      </c>
      <c r="N269">
        <v>0</v>
      </c>
      <c r="O269">
        <v>17</v>
      </c>
      <c r="P269">
        <v>17</v>
      </c>
    </row>
    <row r="270" spans="1:16" x14ac:dyDescent="0.3">
      <c r="A270">
        <v>879</v>
      </c>
      <c r="B270" s="4">
        <v>40583</v>
      </c>
      <c r="C270">
        <v>1</v>
      </c>
      <c r="D270">
        <v>0</v>
      </c>
      <c r="E270">
        <v>2</v>
      </c>
      <c r="F270">
        <v>1</v>
      </c>
      <c r="G270" t="b">
        <v>0</v>
      </c>
      <c r="H270">
        <v>3</v>
      </c>
      <c r="I270">
        <v>1</v>
      </c>
      <c r="J270">
        <v>0.1</v>
      </c>
      <c r="K270">
        <v>0.1061</v>
      </c>
      <c r="L270">
        <v>0.36</v>
      </c>
      <c r="M270">
        <v>0.22389999999999999</v>
      </c>
      <c r="N270">
        <v>0</v>
      </c>
      <c r="O270">
        <v>7</v>
      </c>
      <c r="P270">
        <v>7</v>
      </c>
    </row>
    <row r="271" spans="1:16" x14ac:dyDescent="0.3">
      <c r="A271">
        <v>880</v>
      </c>
      <c r="B271" s="4">
        <v>40583</v>
      </c>
      <c r="C271">
        <v>1</v>
      </c>
      <c r="D271">
        <v>0</v>
      </c>
      <c r="E271">
        <v>2</v>
      </c>
      <c r="F271">
        <v>2</v>
      </c>
      <c r="G271" t="b">
        <v>0</v>
      </c>
      <c r="H271">
        <v>3</v>
      </c>
      <c r="I271">
        <v>1</v>
      </c>
      <c r="J271">
        <v>0.08</v>
      </c>
      <c r="K271">
        <v>7.5800000000000006E-2</v>
      </c>
      <c r="L271">
        <v>0.38</v>
      </c>
      <c r="M271">
        <v>0.28360000000000002</v>
      </c>
      <c r="N271">
        <v>1</v>
      </c>
      <c r="O271">
        <v>2</v>
      </c>
      <c r="P271">
        <v>3</v>
      </c>
    </row>
    <row r="272" spans="1:16" x14ac:dyDescent="0.3">
      <c r="A272">
        <v>881</v>
      </c>
      <c r="B272" s="4">
        <v>40583</v>
      </c>
      <c r="C272">
        <v>1</v>
      </c>
      <c r="D272">
        <v>0</v>
      </c>
      <c r="E272">
        <v>2</v>
      </c>
      <c r="F272">
        <v>3</v>
      </c>
      <c r="G272" t="b">
        <v>0</v>
      </c>
      <c r="H272">
        <v>3</v>
      </c>
      <c r="I272">
        <v>1</v>
      </c>
      <c r="J272">
        <v>0.06</v>
      </c>
      <c r="K272">
        <v>7.5800000000000006E-2</v>
      </c>
      <c r="L272">
        <v>0.45</v>
      </c>
      <c r="M272">
        <v>0.1343</v>
      </c>
      <c r="N272">
        <v>0</v>
      </c>
      <c r="O272">
        <v>2</v>
      </c>
      <c r="P272">
        <v>2</v>
      </c>
    </row>
    <row r="273" spans="1:16" x14ac:dyDescent="0.3">
      <c r="A273">
        <v>882</v>
      </c>
      <c r="B273" s="4">
        <v>40583</v>
      </c>
      <c r="C273">
        <v>1</v>
      </c>
      <c r="D273">
        <v>0</v>
      </c>
      <c r="E273">
        <v>2</v>
      </c>
      <c r="F273">
        <v>5</v>
      </c>
      <c r="G273" t="b">
        <v>0</v>
      </c>
      <c r="H273">
        <v>3</v>
      </c>
      <c r="I273">
        <v>1</v>
      </c>
      <c r="J273">
        <v>0.06</v>
      </c>
      <c r="K273">
        <v>0.1061</v>
      </c>
      <c r="L273">
        <v>0.45</v>
      </c>
      <c r="M273">
        <v>0.1045</v>
      </c>
      <c r="N273">
        <v>0</v>
      </c>
      <c r="O273">
        <v>7</v>
      </c>
      <c r="P273">
        <v>7</v>
      </c>
    </row>
    <row r="274" spans="1:16" x14ac:dyDescent="0.3">
      <c r="A274">
        <v>883</v>
      </c>
      <c r="B274" s="4">
        <v>40583</v>
      </c>
      <c r="C274">
        <v>1</v>
      </c>
      <c r="D274">
        <v>0</v>
      </c>
      <c r="E274">
        <v>2</v>
      </c>
      <c r="F274">
        <v>6</v>
      </c>
      <c r="G274" t="b">
        <v>0</v>
      </c>
      <c r="H274">
        <v>3</v>
      </c>
      <c r="I274">
        <v>1</v>
      </c>
      <c r="J274">
        <v>0.06</v>
      </c>
      <c r="K274">
        <v>0.1515</v>
      </c>
      <c r="L274">
        <v>0.45</v>
      </c>
      <c r="M274">
        <v>0</v>
      </c>
      <c r="N274">
        <v>0</v>
      </c>
      <c r="O274">
        <v>43</v>
      </c>
      <c r="P274">
        <v>43</v>
      </c>
    </row>
    <row r="275" spans="1:16" x14ac:dyDescent="0.3">
      <c r="A275">
        <v>884</v>
      </c>
      <c r="B275" s="4">
        <v>40583</v>
      </c>
      <c r="C275">
        <v>1</v>
      </c>
      <c r="D275">
        <v>0</v>
      </c>
      <c r="E275">
        <v>2</v>
      </c>
      <c r="F275">
        <v>7</v>
      </c>
      <c r="G275" t="b">
        <v>0</v>
      </c>
      <c r="H275">
        <v>3</v>
      </c>
      <c r="I275">
        <v>1</v>
      </c>
      <c r="J275">
        <v>0.06</v>
      </c>
      <c r="K275">
        <v>0.1061</v>
      </c>
      <c r="L275">
        <v>0.49</v>
      </c>
      <c r="M275">
        <v>0.1045</v>
      </c>
      <c r="N275">
        <v>4</v>
      </c>
      <c r="O275">
        <v>95</v>
      </c>
      <c r="P275">
        <v>99</v>
      </c>
    </row>
    <row r="276" spans="1:16" x14ac:dyDescent="0.3">
      <c r="A276">
        <v>885</v>
      </c>
      <c r="B276" s="4">
        <v>40583</v>
      </c>
      <c r="C276">
        <v>1</v>
      </c>
      <c r="D276">
        <v>0</v>
      </c>
      <c r="E276">
        <v>2</v>
      </c>
      <c r="F276">
        <v>8</v>
      </c>
      <c r="G276" t="b">
        <v>0</v>
      </c>
      <c r="H276">
        <v>3</v>
      </c>
      <c r="I276">
        <v>1</v>
      </c>
      <c r="J276">
        <v>0.1</v>
      </c>
      <c r="K276">
        <v>0.13639999999999999</v>
      </c>
      <c r="L276">
        <v>0.42</v>
      </c>
      <c r="M276">
        <v>0</v>
      </c>
      <c r="N276">
        <v>1</v>
      </c>
      <c r="O276">
        <v>198</v>
      </c>
      <c r="P276">
        <v>199</v>
      </c>
    </row>
    <row r="277" spans="1:16" x14ac:dyDescent="0.3">
      <c r="A277">
        <v>886</v>
      </c>
      <c r="B277" s="4">
        <v>40583</v>
      </c>
      <c r="C277">
        <v>1</v>
      </c>
      <c r="D277">
        <v>0</v>
      </c>
      <c r="E277">
        <v>2</v>
      </c>
      <c r="F277">
        <v>9</v>
      </c>
      <c r="G277" t="b">
        <v>0</v>
      </c>
      <c r="H277">
        <v>3</v>
      </c>
      <c r="I277">
        <v>1</v>
      </c>
      <c r="J277">
        <v>0.12</v>
      </c>
      <c r="K277">
        <v>0.13639999999999999</v>
      </c>
      <c r="L277">
        <v>0.39</v>
      </c>
      <c r="M277">
        <v>0.16420000000000001</v>
      </c>
      <c r="N277">
        <v>4</v>
      </c>
      <c r="O277">
        <v>119</v>
      </c>
      <c r="P277">
        <v>123</v>
      </c>
    </row>
    <row r="278" spans="1:16" x14ac:dyDescent="0.3">
      <c r="A278">
        <v>887</v>
      </c>
      <c r="B278" s="4">
        <v>40583</v>
      </c>
      <c r="C278">
        <v>1</v>
      </c>
      <c r="D278">
        <v>0</v>
      </c>
      <c r="E278">
        <v>2</v>
      </c>
      <c r="F278">
        <v>10</v>
      </c>
      <c r="G278" t="b">
        <v>0</v>
      </c>
      <c r="H278">
        <v>3</v>
      </c>
      <c r="I278">
        <v>1</v>
      </c>
      <c r="J278">
        <v>0.14000000000000001</v>
      </c>
      <c r="K278">
        <v>0.18179999999999999</v>
      </c>
      <c r="L278">
        <v>0.36</v>
      </c>
      <c r="M278">
        <v>0</v>
      </c>
      <c r="N278">
        <v>8</v>
      </c>
      <c r="O278">
        <v>51</v>
      </c>
      <c r="P278">
        <v>59</v>
      </c>
    </row>
    <row r="279" spans="1:16" x14ac:dyDescent="0.3">
      <c r="A279">
        <v>888</v>
      </c>
      <c r="B279" s="4">
        <v>40583</v>
      </c>
      <c r="C279">
        <v>1</v>
      </c>
      <c r="D279">
        <v>0</v>
      </c>
      <c r="E279">
        <v>2</v>
      </c>
      <c r="F279">
        <v>11</v>
      </c>
      <c r="G279" t="b">
        <v>0</v>
      </c>
      <c r="H279">
        <v>3</v>
      </c>
      <c r="I279">
        <v>2</v>
      </c>
      <c r="J279">
        <v>0.14000000000000001</v>
      </c>
      <c r="K279">
        <v>0.1515</v>
      </c>
      <c r="L279">
        <v>0.43</v>
      </c>
      <c r="M279">
        <v>0.16420000000000001</v>
      </c>
      <c r="N279">
        <v>1</v>
      </c>
      <c r="O279">
        <v>40</v>
      </c>
      <c r="P279">
        <v>41</v>
      </c>
    </row>
    <row r="280" spans="1:16" x14ac:dyDescent="0.3">
      <c r="A280">
        <v>889</v>
      </c>
      <c r="B280" s="4">
        <v>40583</v>
      </c>
      <c r="C280">
        <v>1</v>
      </c>
      <c r="D280">
        <v>0</v>
      </c>
      <c r="E280">
        <v>2</v>
      </c>
      <c r="F280">
        <v>12</v>
      </c>
      <c r="G280" t="b">
        <v>0</v>
      </c>
      <c r="H280">
        <v>3</v>
      </c>
      <c r="I280">
        <v>2</v>
      </c>
      <c r="J280">
        <v>0.18</v>
      </c>
      <c r="K280">
        <v>0.18179999999999999</v>
      </c>
      <c r="L280">
        <v>0.4</v>
      </c>
      <c r="M280">
        <v>0.22389999999999999</v>
      </c>
      <c r="N280">
        <v>4</v>
      </c>
      <c r="O280">
        <v>57</v>
      </c>
      <c r="P280">
        <v>61</v>
      </c>
    </row>
    <row r="281" spans="1:16" x14ac:dyDescent="0.3">
      <c r="A281">
        <v>890</v>
      </c>
      <c r="B281" s="4">
        <v>40583</v>
      </c>
      <c r="C281">
        <v>1</v>
      </c>
      <c r="D281">
        <v>0</v>
      </c>
      <c r="E281">
        <v>2</v>
      </c>
      <c r="F281">
        <v>13</v>
      </c>
      <c r="G281" t="b">
        <v>0</v>
      </c>
      <c r="H281">
        <v>3</v>
      </c>
      <c r="I281">
        <v>1</v>
      </c>
      <c r="J281">
        <v>0.18</v>
      </c>
      <c r="K281">
        <v>0.16669999999999999</v>
      </c>
      <c r="L281">
        <v>0.4</v>
      </c>
      <c r="M281">
        <v>0.25369999999999998</v>
      </c>
      <c r="N281">
        <v>2</v>
      </c>
      <c r="O281">
        <v>67</v>
      </c>
      <c r="P281">
        <v>69</v>
      </c>
    </row>
    <row r="282" spans="1:16" x14ac:dyDescent="0.3">
      <c r="A282">
        <v>891</v>
      </c>
      <c r="B282" s="4">
        <v>40583</v>
      </c>
      <c r="C282">
        <v>1</v>
      </c>
      <c r="D282">
        <v>0</v>
      </c>
      <c r="E282">
        <v>2</v>
      </c>
      <c r="F282">
        <v>14</v>
      </c>
      <c r="G282" t="b">
        <v>0</v>
      </c>
      <c r="H282">
        <v>3</v>
      </c>
      <c r="I282">
        <v>1</v>
      </c>
      <c r="J282">
        <v>0.2</v>
      </c>
      <c r="K282">
        <v>0.18179999999999999</v>
      </c>
      <c r="L282">
        <v>0.34</v>
      </c>
      <c r="M282">
        <v>0.29849999999999999</v>
      </c>
      <c r="N282">
        <v>2</v>
      </c>
      <c r="O282">
        <v>56</v>
      </c>
      <c r="P282">
        <v>58</v>
      </c>
    </row>
    <row r="283" spans="1:16" x14ac:dyDescent="0.3">
      <c r="A283">
        <v>892</v>
      </c>
      <c r="B283" s="4">
        <v>40583</v>
      </c>
      <c r="C283">
        <v>1</v>
      </c>
      <c r="D283">
        <v>0</v>
      </c>
      <c r="E283">
        <v>2</v>
      </c>
      <c r="F283">
        <v>15</v>
      </c>
      <c r="G283" t="b">
        <v>0</v>
      </c>
      <c r="H283">
        <v>3</v>
      </c>
      <c r="I283">
        <v>2</v>
      </c>
      <c r="J283">
        <v>0.2</v>
      </c>
      <c r="K283">
        <v>0.18179999999999999</v>
      </c>
      <c r="L283">
        <v>0.34</v>
      </c>
      <c r="M283">
        <v>0.28360000000000002</v>
      </c>
      <c r="N283">
        <v>3</v>
      </c>
      <c r="O283">
        <v>61</v>
      </c>
      <c r="P283">
        <v>64</v>
      </c>
    </row>
    <row r="284" spans="1:16" x14ac:dyDescent="0.3">
      <c r="A284">
        <v>893</v>
      </c>
      <c r="B284" s="4">
        <v>40583</v>
      </c>
      <c r="C284">
        <v>1</v>
      </c>
      <c r="D284">
        <v>0</v>
      </c>
      <c r="E284">
        <v>2</v>
      </c>
      <c r="F284">
        <v>16</v>
      </c>
      <c r="G284" t="b">
        <v>0</v>
      </c>
      <c r="H284">
        <v>3</v>
      </c>
      <c r="I284">
        <v>2</v>
      </c>
      <c r="J284">
        <v>0.2</v>
      </c>
      <c r="K284">
        <v>0.19700000000000001</v>
      </c>
      <c r="L284">
        <v>0.37</v>
      </c>
      <c r="M284">
        <v>0.25369999999999998</v>
      </c>
      <c r="N284">
        <v>7</v>
      </c>
      <c r="O284">
        <v>72</v>
      </c>
      <c r="P284">
        <v>79</v>
      </c>
    </row>
    <row r="285" spans="1:16" x14ac:dyDescent="0.3">
      <c r="A285">
        <v>894</v>
      </c>
      <c r="B285" s="4">
        <v>40583</v>
      </c>
      <c r="C285">
        <v>1</v>
      </c>
      <c r="D285">
        <v>0</v>
      </c>
      <c r="E285">
        <v>2</v>
      </c>
      <c r="F285">
        <v>17</v>
      </c>
      <c r="G285" t="b">
        <v>0</v>
      </c>
      <c r="H285">
        <v>3</v>
      </c>
      <c r="I285">
        <v>2</v>
      </c>
      <c r="J285">
        <v>0.2</v>
      </c>
      <c r="K285">
        <v>0.19700000000000001</v>
      </c>
      <c r="L285">
        <v>0.34</v>
      </c>
      <c r="M285">
        <v>0.25369999999999998</v>
      </c>
      <c r="N285">
        <v>9</v>
      </c>
      <c r="O285">
        <v>157</v>
      </c>
      <c r="P285">
        <v>166</v>
      </c>
    </row>
    <row r="286" spans="1:16" x14ac:dyDescent="0.3">
      <c r="A286">
        <v>895</v>
      </c>
      <c r="B286" s="4">
        <v>40583</v>
      </c>
      <c r="C286">
        <v>1</v>
      </c>
      <c r="D286">
        <v>0</v>
      </c>
      <c r="E286">
        <v>2</v>
      </c>
      <c r="F286">
        <v>18</v>
      </c>
      <c r="G286" t="b">
        <v>0</v>
      </c>
      <c r="H286">
        <v>3</v>
      </c>
      <c r="I286">
        <v>2</v>
      </c>
      <c r="J286">
        <v>0.18</v>
      </c>
      <c r="K286">
        <v>0.16669999999999999</v>
      </c>
      <c r="L286">
        <v>0.47</v>
      </c>
      <c r="M286">
        <v>0.29849999999999999</v>
      </c>
      <c r="N286">
        <v>2</v>
      </c>
      <c r="O286">
        <v>168</v>
      </c>
      <c r="P286">
        <v>170</v>
      </c>
    </row>
    <row r="287" spans="1:16" x14ac:dyDescent="0.3">
      <c r="A287">
        <v>896</v>
      </c>
      <c r="B287" s="4">
        <v>40583</v>
      </c>
      <c r="C287">
        <v>1</v>
      </c>
      <c r="D287">
        <v>0</v>
      </c>
      <c r="E287">
        <v>2</v>
      </c>
      <c r="F287">
        <v>19</v>
      </c>
      <c r="G287" t="b">
        <v>0</v>
      </c>
      <c r="H287">
        <v>3</v>
      </c>
      <c r="I287">
        <v>3</v>
      </c>
      <c r="J287">
        <v>0.14000000000000001</v>
      </c>
      <c r="K287">
        <v>0.1212</v>
      </c>
      <c r="L287">
        <v>0.86</v>
      </c>
      <c r="M287">
        <v>0.25369999999999998</v>
      </c>
      <c r="N287">
        <v>1</v>
      </c>
      <c r="O287">
        <v>87</v>
      </c>
      <c r="P287">
        <v>88</v>
      </c>
    </row>
    <row r="288" spans="1:16" x14ac:dyDescent="0.3">
      <c r="A288">
        <v>897</v>
      </c>
      <c r="B288" s="4">
        <v>40583</v>
      </c>
      <c r="C288">
        <v>1</v>
      </c>
      <c r="D288">
        <v>0</v>
      </c>
      <c r="E288">
        <v>2</v>
      </c>
      <c r="F288">
        <v>20</v>
      </c>
      <c r="G288" t="b">
        <v>0</v>
      </c>
      <c r="H288">
        <v>3</v>
      </c>
      <c r="I288">
        <v>3</v>
      </c>
      <c r="J288">
        <v>0.14000000000000001</v>
      </c>
      <c r="K288">
        <v>0.1515</v>
      </c>
      <c r="L288">
        <v>0.86</v>
      </c>
      <c r="M288">
        <v>0.16420000000000001</v>
      </c>
      <c r="N288">
        <v>0</v>
      </c>
      <c r="O288">
        <v>84</v>
      </c>
      <c r="P288">
        <v>84</v>
      </c>
    </row>
    <row r="289" spans="1:16" x14ac:dyDescent="0.3">
      <c r="A289">
        <v>898</v>
      </c>
      <c r="B289" s="4">
        <v>40583</v>
      </c>
      <c r="C289">
        <v>1</v>
      </c>
      <c r="D289">
        <v>0</v>
      </c>
      <c r="E289">
        <v>2</v>
      </c>
      <c r="F289">
        <v>21</v>
      </c>
      <c r="G289" t="b">
        <v>0</v>
      </c>
      <c r="H289">
        <v>3</v>
      </c>
      <c r="I289">
        <v>2</v>
      </c>
      <c r="J289">
        <v>0.14000000000000001</v>
      </c>
      <c r="K289">
        <v>0.1515</v>
      </c>
      <c r="L289">
        <v>0.86</v>
      </c>
      <c r="M289">
        <v>0.16420000000000001</v>
      </c>
      <c r="N289">
        <v>0</v>
      </c>
      <c r="O289">
        <v>83</v>
      </c>
      <c r="P289">
        <v>83</v>
      </c>
    </row>
    <row r="290" spans="1:16" x14ac:dyDescent="0.3">
      <c r="A290">
        <v>899</v>
      </c>
      <c r="B290" s="4">
        <v>40583</v>
      </c>
      <c r="C290">
        <v>1</v>
      </c>
      <c r="D290">
        <v>0</v>
      </c>
      <c r="E290">
        <v>2</v>
      </c>
      <c r="F290">
        <v>22</v>
      </c>
      <c r="G290" t="b">
        <v>0</v>
      </c>
      <c r="H290">
        <v>3</v>
      </c>
      <c r="I290">
        <v>3</v>
      </c>
      <c r="J290">
        <v>0.16</v>
      </c>
      <c r="K290">
        <v>0.16669999999999999</v>
      </c>
      <c r="L290">
        <v>0.8</v>
      </c>
      <c r="M290">
        <v>0.16420000000000001</v>
      </c>
      <c r="N290">
        <v>4</v>
      </c>
      <c r="O290">
        <v>42</v>
      </c>
      <c r="P290">
        <v>46</v>
      </c>
    </row>
    <row r="291" spans="1:16" x14ac:dyDescent="0.3">
      <c r="A291">
        <v>900</v>
      </c>
      <c r="B291" s="4">
        <v>40583</v>
      </c>
      <c r="C291">
        <v>1</v>
      </c>
      <c r="D291">
        <v>0</v>
      </c>
      <c r="E291">
        <v>2</v>
      </c>
      <c r="F291">
        <v>23</v>
      </c>
      <c r="G291" t="b">
        <v>0</v>
      </c>
      <c r="H291">
        <v>3</v>
      </c>
      <c r="I291">
        <v>3</v>
      </c>
      <c r="J291">
        <v>0.16</v>
      </c>
      <c r="K291">
        <v>0.1515</v>
      </c>
      <c r="L291">
        <v>0.8</v>
      </c>
      <c r="M291">
        <v>0.19400000000000001</v>
      </c>
      <c r="N291">
        <v>0</v>
      </c>
      <c r="O291">
        <v>37</v>
      </c>
      <c r="P291">
        <v>37</v>
      </c>
    </row>
    <row r="292" spans="1:16" x14ac:dyDescent="0.3">
      <c r="A292">
        <v>901</v>
      </c>
      <c r="B292" s="4">
        <v>40584</v>
      </c>
      <c r="C292">
        <v>1</v>
      </c>
      <c r="D292">
        <v>0</v>
      </c>
      <c r="E292">
        <v>2</v>
      </c>
      <c r="F292">
        <v>0</v>
      </c>
      <c r="G292" t="b">
        <v>0</v>
      </c>
      <c r="H292">
        <v>4</v>
      </c>
      <c r="I292">
        <v>3</v>
      </c>
      <c r="J292">
        <v>0.14000000000000001</v>
      </c>
      <c r="K292">
        <v>0.13639999999999999</v>
      </c>
      <c r="L292">
        <v>0.86</v>
      </c>
      <c r="M292">
        <v>0.19400000000000001</v>
      </c>
      <c r="N292">
        <v>0</v>
      </c>
      <c r="O292">
        <v>16</v>
      </c>
      <c r="P292">
        <v>16</v>
      </c>
    </row>
    <row r="293" spans="1:16" x14ac:dyDescent="0.3">
      <c r="A293">
        <v>902</v>
      </c>
      <c r="B293" s="4">
        <v>40584</v>
      </c>
      <c r="C293">
        <v>1</v>
      </c>
      <c r="D293">
        <v>0</v>
      </c>
      <c r="E293">
        <v>2</v>
      </c>
      <c r="F293">
        <v>1</v>
      </c>
      <c r="G293" t="b">
        <v>0</v>
      </c>
      <c r="H293">
        <v>4</v>
      </c>
      <c r="I293">
        <v>3</v>
      </c>
      <c r="J293">
        <v>0.14000000000000001</v>
      </c>
      <c r="K293">
        <v>0.1515</v>
      </c>
      <c r="L293">
        <v>0.8</v>
      </c>
      <c r="M293">
        <v>0.1343</v>
      </c>
      <c r="N293">
        <v>0</v>
      </c>
      <c r="O293">
        <v>7</v>
      </c>
      <c r="P293">
        <v>7</v>
      </c>
    </row>
    <row r="294" spans="1:16" x14ac:dyDescent="0.3">
      <c r="A294">
        <v>903</v>
      </c>
      <c r="B294" s="4">
        <v>40584</v>
      </c>
      <c r="C294">
        <v>1</v>
      </c>
      <c r="D294">
        <v>0</v>
      </c>
      <c r="E294">
        <v>2</v>
      </c>
      <c r="F294">
        <v>2</v>
      </c>
      <c r="G294" t="b">
        <v>0</v>
      </c>
      <c r="H294">
        <v>4</v>
      </c>
      <c r="I294">
        <v>3</v>
      </c>
      <c r="J294">
        <v>0.14000000000000001</v>
      </c>
      <c r="K294">
        <v>0.1515</v>
      </c>
      <c r="L294">
        <v>0.8</v>
      </c>
      <c r="M294">
        <v>0.1343</v>
      </c>
      <c r="N294">
        <v>0</v>
      </c>
      <c r="O294">
        <v>3</v>
      </c>
      <c r="P294">
        <v>3</v>
      </c>
    </row>
    <row r="295" spans="1:16" x14ac:dyDescent="0.3">
      <c r="A295">
        <v>904</v>
      </c>
      <c r="B295" s="4">
        <v>40584</v>
      </c>
      <c r="C295">
        <v>1</v>
      </c>
      <c r="D295">
        <v>0</v>
      </c>
      <c r="E295">
        <v>2</v>
      </c>
      <c r="F295">
        <v>4</v>
      </c>
      <c r="G295" t="b">
        <v>0</v>
      </c>
      <c r="H295">
        <v>4</v>
      </c>
      <c r="I295">
        <v>2</v>
      </c>
      <c r="J295">
        <v>0.14000000000000001</v>
      </c>
      <c r="K295">
        <v>0.13639999999999999</v>
      </c>
      <c r="L295">
        <v>0.59</v>
      </c>
      <c r="M295">
        <v>0.22389999999999999</v>
      </c>
      <c r="N295">
        <v>0</v>
      </c>
      <c r="O295">
        <v>1</v>
      </c>
      <c r="P295">
        <v>1</v>
      </c>
    </row>
    <row r="296" spans="1:16" x14ac:dyDescent="0.3">
      <c r="A296">
        <v>905</v>
      </c>
      <c r="B296" s="4">
        <v>40584</v>
      </c>
      <c r="C296">
        <v>1</v>
      </c>
      <c r="D296">
        <v>0</v>
      </c>
      <c r="E296">
        <v>2</v>
      </c>
      <c r="F296">
        <v>5</v>
      </c>
      <c r="G296" t="b">
        <v>0</v>
      </c>
      <c r="H296">
        <v>4</v>
      </c>
      <c r="I296">
        <v>2</v>
      </c>
      <c r="J296">
        <v>0.12</v>
      </c>
      <c r="K296">
        <v>0.1212</v>
      </c>
      <c r="L296">
        <v>0.5</v>
      </c>
      <c r="M296">
        <v>0.22389999999999999</v>
      </c>
      <c r="N296">
        <v>0</v>
      </c>
      <c r="O296">
        <v>6</v>
      </c>
      <c r="P296">
        <v>6</v>
      </c>
    </row>
    <row r="297" spans="1:16" x14ac:dyDescent="0.3">
      <c r="A297">
        <v>906</v>
      </c>
      <c r="B297" s="4">
        <v>40584</v>
      </c>
      <c r="C297">
        <v>1</v>
      </c>
      <c r="D297">
        <v>0</v>
      </c>
      <c r="E297">
        <v>2</v>
      </c>
      <c r="F297">
        <v>6</v>
      </c>
      <c r="G297" t="b">
        <v>0</v>
      </c>
      <c r="H297">
        <v>4</v>
      </c>
      <c r="I297">
        <v>2</v>
      </c>
      <c r="J297">
        <v>0.12</v>
      </c>
      <c r="K297">
        <v>0.1212</v>
      </c>
      <c r="L297">
        <v>0.54</v>
      </c>
      <c r="M297">
        <v>0.28360000000000002</v>
      </c>
      <c r="N297">
        <v>0</v>
      </c>
      <c r="O297">
        <v>26</v>
      </c>
      <c r="P297">
        <v>26</v>
      </c>
    </row>
    <row r="298" spans="1:16" x14ac:dyDescent="0.3">
      <c r="A298">
        <v>907</v>
      </c>
      <c r="B298" s="4">
        <v>40584</v>
      </c>
      <c r="C298">
        <v>1</v>
      </c>
      <c r="D298">
        <v>0</v>
      </c>
      <c r="E298">
        <v>2</v>
      </c>
      <c r="F298">
        <v>7</v>
      </c>
      <c r="G298" t="b">
        <v>0</v>
      </c>
      <c r="H298">
        <v>4</v>
      </c>
      <c r="I298">
        <v>1</v>
      </c>
      <c r="J298">
        <v>0.1</v>
      </c>
      <c r="K298">
        <v>7.5800000000000006E-2</v>
      </c>
      <c r="L298">
        <v>0.5</v>
      </c>
      <c r="M298">
        <v>0.41789999999999999</v>
      </c>
      <c r="N298">
        <v>0</v>
      </c>
      <c r="O298">
        <v>99</v>
      </c>
      <c r="P298">
        <v>99</v>
      </c>
    </row>
    <row r="299" spans="1:16" x14ac:dyDescent="0.3">
      <c r="A299">
        <v>908</v>
      </c>
      <c r="B299" s="4">
        <v>40584</v>
      </c>
      <c r="C299">
        <v>1</v>
      </c>
      <c r="D299">
        <v>0</v>
      </c>
      <c r="E299">
        <v>2</v>
      </c>
      <c r="F299">
        <v>8</v>
      </c>
      <c r="G299" t="b">
        <v>0</v>
      </c>
      <c r="H299">
        <v>4</v>
      </c>
      <c r="I299">
        <v>1</v>
      </c>
      <c r="J299">
        <v>0.1</v>
      </c>
      <c r="K299">
        <v>7.5800000000000006E-2</v>
      </c>
      <c r="L299">
        <v>0.49</v>
      </c>
      <c r="M299">
        <v>0.32840000000000003</v>
      </c>
      <c r="N299">
        <v>5</v>
      </c>
      <c r="O299">
        <v>173</v>
      </c>
      <c r="P299">
        <v>178</v>
      </c>
    </row>
    <row r="300" spans="1:16" x14ac:dyDescent="0.3">
      <c r="A300">
        <v>909</v>
      </c>
      <c r="B300" s="4">
        <v>40584</v>
      </c>
      <c r="C300">
        <v>1</v>
      </c>
      <c r="D300">
        <v>0</v>
      </c>
      <c r="E300">
        <v>2</v>
      </c>
      <c r="F300">
        <v>9</v>
      </c>
      <c r="G300" t="b">
        <v>0</v>
      </c>
      <c r="H300">
        <v>4</v>
      </c>
      <c r="I300">
        <v>1</v>
      </c>
      <c r="J300">
        <v>0.12</v>
      </c>
      <c r="K300">
        <v>0.1061</v>
      </c>
      <c r="L300">
        <v>0.42</v>
      </c>
      <c r="M300">
        <v>0.35820000000000002</v>
      </c>
      <c r="N300">
        <v>1</v>
      </c>
      <c r="O300">
        <v>121</v>
      </c>
      <c r="P300">
        <v>122</v>
      </c>
    </row>
    <row r="301" spans="1:16" x14ac:dyDescent="0.3">
      <c r="A301">
        <v>910</v>
      </c>
      <c r="B301" s="4">
        <v>40584</v>
      </c>
      <c r="C301">
        <v>1</v>
      </c>
      <c r="D301">
        <v>0</v>
      </c>
      <c r="E301">
        <v>2</v>
      </c>
      <c r="F301">
        <v>10</v>
      </c>
      <c r="G301" t="b">
        <v>0</v>
      </c>
      <c r="H301">
        <v>4</v>
      </c>
      <c r="I301">
        <v>1</v>
      </c>
      <c r="J301">
        <v>0.12</v>
      </c>
      <c r="K301">
        <v>0.1061</v>
      </c>
      <c r="L301">
        <v>0.42</v>
      </c>
      <c r="M301">
        <v>0.29849999999999999</v>
      </c>
      <c r="N301">
        <v>1</v>
      </c>
      <c r="O301">
        <v>34</v>
      </c>
      <c r="P301">
        <v>35</v>
      </c>
    </row>
    <row r="302" spans="1:16" x14ac:dyDescent="0.3">
      <c r="A302">
        <v>911</v>
      </c>
      <c r="B302" s="4">
        <v>40584</v>
      </c>
      <c r="C302">
        <v>1</v>
      </c>
      <c r="D302">
        <v>0</v>
      </c>
      <c r="E302">
        <v>2</v>
      </c>
      <c r="F302">
        <v>11</v>
      </c>
      <c r="G302" t="b">
        <v>0</v>
      </c>
      <c r="H302">
        <v>4</v>
      </c>
      <c r="I302">
        <v>1</v>
      </c>
      <c r="J302">
        <v>0.14000000000000001</v>
      </c>
      <c r="K302">
        <v>0.1212</v>
      </c>
      <c r="L302">
        <v>0.39</v>
      </c>
      <c r="M302">
        <v>0.35820000000000002</v>
      </c>
      <c r="N302">
        <v>1</v>
      </c>
      <c r="O302">
        <v>44</v>
      </c>
      <c r="P302">
        <v>45</v>
      </c>
    </row>
    <row r="303" spans="1:16" x14ac:dyDescent="0.3">
      <c r="A303">
        <v>912</v>
      </c>
      <c r="B303" s="4">
        <v>40584</v>
      </c>
      <c r="C303">
        <v>1</v>
      </c>
      <c r="D303">
        <v>0</v>
      </c>
      <c r="E303">
        <v>2</v>
      </c>
      <c r="F303">
        <v>12</v>
      </c>
      <c r="G303" t="b">
        <v>0</v>
      </c>
      <c r="H303">
        <v>4</v>
      </c>
      <c r="I303">
        <v>1</v>
      </c>
      <c r="J303">
        <v>0.16</v>
      </c>
      <c r="K303">
        <v>0.13639999999999999</v>
      </c>
      <c r="L303">
        <v>0.34</v>
      </c>
      <c r="M303">
        <v>0.3881</v>
      </c>
      <c r="N303">
        <v>4</v>
      </c>
      <c r="O303">
        <v>65</v>
      </c>
      <c r="P303">
        <v>69</v>
      </c>
    </row>
    <row r="304" spans="1:16" x14ac:dyDescent="0.3">
      <c r="A304">
        <v>913</v>
      </c>
      <c r="B304" s="4">
        <v>40584</v>
      </c>
      <c r="C304">
        <v>1</v>
      </c>
      <c r="D304">
        <v>0</v>
      </c>
      <c r="E304">
        <v>2</v>
      </c>
      <c r="F304">
        <v>13</v>
      </c>
      <c r="G304" t="b">
        <v>0</v>
      </c>
      <c r="H304">
        <v>4</v>
      </c>
      <c r="I304">
        <v>1</v>
      </c>
      <c r="J304">
        <v>0.18</v>
      </c>
      <c r="K304">
        <v>0.16669999999999999</v>
      </c>
      <c r="L304">
        <v>0.28999999999999998</v>
      </c>
      <c r="M304">
        <v>0.29849999999999999</v>
      </c>
      <c r="N304">
        <v>3</v>
      </c>
      <c r="O304">
        <v>59</v>
      </c>
      <c r="P304">
        <v>62</v>
      </c>
    </row>
    <row r="305" spans="1:16" x14ac:dyDescent="0.3">
      <c r="A305">
        <v>914</v>
      </c>
      <c r="B305" s="4">
        <v>40584</v>
      </c>
      <c r="C305">
        <v>1</v>
      </c>
      <c r="D305">
        <v>0</v>
      </c>
      <c r="E305">
        <v>2</v>
      </c>
      <c r="F305">
        <v>14</v>
      </c>
      <c r="G305" t="b">
        <v>0</v>
      </c>
      <c r="H305">
        <v>4</v>
      </c>
      <c r="I305">
        <v>1</v>
      </c>
      <c r="J305">
        <v>0.2</v>
      </c>
      <c r="K305">
        <v>0.18179999999999999</v>
      </c>
      <c r="L305">
        <v>0.27</v>
      </c>
      <c r="M305">
        <v>0.28360000000000002</v>
      </c>
      <c r="N305">
        <v>6</v>
      </c>
      <c r="O305">
        <v>42</v>
      </c>
      <c r="P305">
        <v>48</v>
      </c>
    </row>
    <row r="306" spans="1:16" x14ac:dyDescent="0.3">
      <c r="A306">
        <v>915</v>
      </c>
      <c r="B306" s="4">
        <v>40584</v>
      </c>
      <c r="C306">
        <v>1</v>
      </c>
      <c r="D306">
        <v>0</v>
      </c>
      <c r="E306">
        <v>2</v>
      </c>
      <c r="F306">
        <v>15</v>
      </c>
      <c r="G306" t="b">
        <v>0</v>
      </c>
      <c r="H306">
        <v>4</v>
      </c>
      <c r="I306">
        <v>1</v>
      </c>
      <c r="J306">
        <v>0.2</v>
      </c>
      <c r="K306">
        <v>0.19700000000000001</v>
      </c>
      <c r="L306">
        <v>0.25</v>
      </c>
      <c r="M306">
        <v>0.25369999999999998</v>
      </c>
      <c r="N306">
        <v>0</v>
      </c>
      <c r="O306">
        <v>50</v>
      </c>
      <c r="P306">
        <v>50</v>
      </c>
    </row>
    <row r="307" spans="1:16" x14ac:dyDescent="0.3">
      <c r="A307">
        <v>916</v>
      </c>
      <c r="B307" s="4">
        <v>40584</v>
      </c>
      <c r="C307">
        <v>1</v>
      </c>
      <c r="D307">
        <v>0</v>
      </c>
      <c r="E307">
        <v>2</v>
      </c>
      <c r="F307">
        <v>16</v>
      </c>
      <c r="G307" t="b">
        <v>0</v>
      </c>
      <c r="H307">
        <v>4</v>
      </c>
      <c r="I307">
        <v>1</v>
      </c>
      <c r="J307">
        <v>0.2</v>
      </c>
      <c r="K307">
        <v>0.18179999999999999</v>
      </c>
      <c r="L307">
        <v>0.27</v>
      </c>
      <c r="M307">
        <v>0.29849999999999999</v>
      </c>
      <c r="N307">
        <v>4</v>
      </c>
      <c r="O307">
        <v>76</v>
      </c>
      <c r="P307">
        <v>80</v>
      </c>
    </row>
    <row r="308" spans="1:16" x14ac:dyDescent="0.3">
      <c r="A308">
        <v>917</v>
      </c>
      <c r="B308" s="4">
        <v>40584</v>
      </c>
      <c r="C308">
        <v>1</v>
      </c>
      <c r="D308">
        <v>0</v>
      </c>
      <c r="E308">
        <v>2</v>
      </c>
      <c r="F308">
        <v>17</v>
      </c>
      <c r="G308" t="b">
        <v>0</v>
      </c>
      <c r="H308">
        <v>4</v>
      </c>
      <c r="I308">
        <v>1</v>
      </c>
      <c r="J308">
        <v>0.18</v>
      </c>
      <c r="K308">
        <v>0.18179999999999999</v>
      </c>
      <c r="L308">
        <v>0.26</v>
      </c>
      <c r="M308">
        <v>0.19400000000000001</v>
      </c>
      <c r="N308">
        <v>6</v>
      </c>
      <c r="O308">
        <v>159</v>
      </c>
      <c r="P308">
        <v>165</v>
      </c>
    </row>
    <row r="309" spans="1:16" x14ac:dyDescent="0.3">
      <c r="A309">
        <v>918</v>
      </c>
      <c r="B309" s="4">
        <v>40584</v>
      </c>
      <c r="C309">
        <v>1</v>
      </c>
      <c r="D309">
        <v>0</v>
      </c>
      <c r="E309">
        <v>2</v>
      </c>
      <c r="F309">
        <v>18</v>
      </c>
      <c r="G309" t="b">
        <v>0</v>
      </c>
      <c r="H309">
        <v>4</v>
      </c>
      <c r="I309">
        <v>1</v>
      </c>
      <c r="J309">
        <v>0.16</v>
      </c>
      <c r="K309">
        <v>0.18179999999999999</v>
      </c>
      <c r="L309">
        <v>0.28000000000000003</v>
      </c>
      <c r="M309">
        <v>0.1343</v>
      </c>
      <c r="N309">
        <v>3</v>
      </c>
      <c r="O309">
        <v>157</v>
      </c>
      <c r="P309">
        <v>160</v>
      </c>
    </row>
    <row r="310" spans="1:16" x14ac:dyDescent="0.3">
      <c r="A310">
        <v>919</v>
      </c>
      <c r="B310" s="4">
        <v>40584</v>
      </c>
      <c r="C310">
        <v>1</v>
      </c>
      <c r="D310">
        <v>0</v>
      </c>
      <c r="E310">
        <v>2</v>
      </c>
      <c r="F310">
        <v>19</v>
      </c>
      <c r="G310" t="b">
        <v>0</v>
      </c>
      <c r="H310">
        <v>4</v>
      </c>
      <c r="I310">
        <v>1</v>
      </c>
      <c r="J310">
        <v>0.14000000000000001</v>
      </c>
      <c r="K310">
        <v>0.16669999999999999</v>
      </c>
      <c r="L310">
        <v>0.28000000000000003</v>
      </c>
      <c r="M310">
        <v>0.1045</v>
      </c>
      <c r="N310">
        <v>2</v>
      </c>
      <c r="O310">
        <v>110</v>
      </c>
      <c r="P310">
        <v>112</v>
      </c>
    </row>
    <row r="311" spans="1:16" x14ac:dyDescent="0.3">
      <c r="A311">
        <v>920</v>
      </c>
      <c r="B311" s="4">
        <v>40584</v>
      </c>
      <c r="C311">
        <v>1</v>
      </c>
      <c r="D311">
        <v>0</v>
      </c>
      <c r="E311">
        <v>2</v>
      </c>
      <c r="F311">
        <v>20</v>
      </c>
      <c r="G311" t="b">
        <v>0</v>
      </c>
      <c r="H311">
        <v>4</v>
      </c>
      <c r="I311">
        <v>1</v>
      </c>
      <c r="J311">
        <v>0.14000000000000001</v>
      </c>
      <c r="K311">
        <v>0.18179999999999999</v>
      </c>
      <c r="L311">
        <v>0.31</v>
      </c>
      <c r="M311">
        <v>8.9599999999999999E-2</v>
      </c>
      <c r="N311">
        <v>4</v>
      </c>
      <c r="O311">
        <v>93</v>
      </c>
      <c r="P311">
        <v>97</v>
      </c>
    </row>
    <row r="312" spans="1:16" x14ac:dyDescent="0.3">
      <c r="A312">
        <v>921</v>
      </c>
      <c r="B312" s="4">
        <v>40584</v>
      </c>
      <c r="C312">
        <v>1</v>
      </c>
      <c r="D312">
        <v>0</v>
      </c>
      <c r="E312">
        <v>2</v>
      </c>
      <c r="F312">
        <v>21</v>
      </c>
      <c r="G312" t="b">
        <v>0</v>
      </c>
      <c r="H312">
        <v>4</v>
      </c>
      <c r="I312">
        <v>1</v>
      </c>
      <c r="J312">
        <v>0.14000000000000001</v>
      </c>
      <c r="K312">
        <v>0.21210000000000001</v>
      </c>
      <c r="L312">
        <v>0.39</v>
      </c>
      <c r="M312">
        <v>0</v>
      </c>
      <c r="N312">
        <v>2</v>
      </c>
      <c r="O312">
        <v>70</v>
      </c>
      <c r="P312">
        <v>72</v>
      </c>
    </row>
    <row r="313" spans="1:16" x14ac:dyDescent="0.3">
      <c r="A313">
        <v>922</v>
      </c>
      <c r="B313" s="4">
        <v>40584</v>
      </c>
      <c r="C313">
        <v>1</v>
      </c>
      <c r="D313">
        <v>0</v>
      </c>
      <c r="E313">
        <v>2</v>
      </c>
      <c r="F313">
        <v>22</v>
      </c>
      <c r="G313" t="b">
        <v>0</v>
      </c>
      <c r="H313">
        <v>4</v>
      </c>
      <c r="I313">
        <v>1</v>
      </c>
      <c r="J313">
        <v>0.12</v>
      </c>
      <c r="K313">
        <v>0.19700000000000001</v>
      </c>
      <c r="L313">
        <v>0.39</v>
      </c>
      <c r="M313">
        <v>0</v>
      </c>
      <c r="N313">
        <v>4</v>
      </c>
      <c r="O313">
        <v>47</v>
      </c>
      <c r="P313">
        <v>51</v>
      </c>
    </row>
    <row r="314" spans="1:16" x14ac:dyDescent="0.3">
      <c r="A314">
        <v>923</v>
      </c>
      <c r="B314" s="4">
        <v>40584</v>
      </c>
      <c r="C314">
        <v>1</v>
      </c>
      <c r="D314">
        <v>0</v>
      </c>
      <c r="E314">
        <v>2</v>
      </c>
      <c r="F314">
        <v>23</v>
      </c>
      <c r="G314" t="b">
        <v>0</v>
      </c>
      <c r="H314">
        <v>4</v>
      </c>
      <c r="I314">
        <v>1</v>
      </c>
      <c r="J314">
        <v>0.12</v>
      </c>
      <c r="K314">
        <v>0.1515</v>
      </c>
      <c r="L314">
        <v>0.42</v>
      </c>
      <c r="M314">
        <v>0.1045</v>
      </c>
      <c r="N314">
        <v>1</v>
      </c>
      <c r="O314">
        <v>33</v>
      </c>
      <c r="P314">
        <v>34</v>
      </c>
    </row>
    <row r="315" spans="1:16" x14ac:dyDescent="0.3">
      <c r="A315">
        <v>924</v>
      </c>
      <c r="B315" s="4">
        <v>40585</v>
      </c>
      <c r="C315">
        <v>1</v>
      </c>
      <c r="D315">
        <v>0</v>
      </c>
      <c r="E315">
        <v>2</v>
      </c>
      <c r="F315">
        <v>0</v>
      </c>
      <c r="G315" t="b">
        <v>0</v>
      </c>
      <c r="H315">
        <v>5</v>
      </c>
      <c r="I315">
        <v>1</v>
      </c>
      <c r="J315">
        <v>0.1</v>
      </c>
      <c r="K315">
        <v>0.13639999999999999</v>
      </c>
      <c r="L315">
        <v>0.49</v>
      </c>
      <c r="M315">
        <v>0.1045</v>
      </c>
      <c r="N315">
        <v>2</v>
      </c>
      <c r="O315">
        <v>12</v>
      </c>
      <c r="P315">
        <v>14</v>
      </c>
    </row>
    <row r="316" spans="1:16" x14ac:dyDescent="0.3">
      <c r="A316">
        <v>925</v>
      </c>
      <c r="B316" s="4">
        <v>40585</v>
      </c>
      <c r="C316">
        <v>1</v>
      </c>
      <c r="D316">
        <v>0</v>
      </c>
      <c r="E316">
        <v>2</v>
      </c>
      <c r="F316">
        <v>1</v>
      </c>
      <c r="G316" t="b">
        <v>0</v>
      </c>
      <c r="H316">
        <v>5</v>
      </c>
      <c r="I316">
        <v>1</v>
      </c>
      <c r="J316">
        <v>0.1</v>
      </c>
      <c r="K316">
        <v>0.13639999999999999</v>
      </c>
      <c r="L316">
        <v>0.54</v>
      </c>
      <c r="M316">
        <v>8.9599999999999999E-2</v>
      </c>
      <c r="N316">
        <v>1</v>
      </c>
      <c r="O316">
        <v>6</v>
      </c>
      <c r="P316">
        <v>7</v>
      </c>
    </row>
    <row r="317" spans="1:16" x14ac:dyDescent="0.3">
      <c r="A317">
        <v>926</v>
      </c>
      <c r="B317" s="4">
        <v>40585</v>
      </c>
      <c r="C317">
        <v>1</v>
      </c>
      <c r="D317">
        <v>0</v>
      </c>
      <c r="E317">
        <v>2</v>
      </c>
      <c r="F317">
        <v>2</v>
      </c>
      <c r="G317" t="b">
        <v>0</v>
      </c>
      <c r="H317">
        <v>5</v>
      </c>
      <c r="I317">
        <v>1</v>
      </c>
      <c r="J317">
        <v>0.1</v>
      </c>
      <c r="K317">
        <v>0.13639999999999999</v>
      </c>
      <c r="L317">
        <v>0.54</v>
      </c>
      <c r="M317">
        <v>8.9599999999999999E-2</v>
      </c>
      <c r="N317">
        <v>0</v>
      </c>
      <c r="O317">
        <v>3</v>
      </c>
      <c r="P317">
        <v>3</v>
      </c>
    </row>
    <row r="318" spans="1:16" x14ac:dyDescent="0.3">
      <c r="A318">
        <v>927</v>
      </c>
      <c r="B318" s="4">
        <v>40585</v>
      </c>
      <c r="C318">
        <v>1</v>
      </c>
      <c r="D318">
        <v>0</v>
      </c>
      <c r="E318">
        <v>2</v>
      </c>
      <c r="F318">
        <v>5</v>
      </c>
      <c r="G318" t="b">
        <v>0</v>
      </c>
      <c r="H318">
        <v>5</v>
      </c>
      <c r="I318">
        <v>1</v>
      </c>
      <c r="J318">
        <v>0.08</v>
      </c>
      <c r="K318">
        <v>0.1212</v>
      </c>
      <c r="L318">
        <v>0.63</v>
      </c>
      <c r="M318">
        <v>8.9599999999999999E-2</v>
      </c>
      <c r="N318">
        <v>0</v>
      </c>
      <c r="O318">
        <v>4</v>
      </c>
      <c r="P318">
        <v>4</v>
      </c>
    </row>
    <row r="319" spans="1:16" x14ac:dyDescent="0.3">
      <c r="A319">
        <v>928</v>
      </c>
      <c r="B319" s="4">
        <v>40585</v>
      </c>
      <c r="C319">
        <v>1</v>
      </c>
      <c r="D319">
        <v>0</v>
      </c>
      <c r="E319">
        <v>2</v>
      </c>
      <c r="F319">
        <v>6</v>
      </c>
      <c r="G319" t="b">
        <v>0</v>
      </c>
      <c r="H319">
        <v>5</v>
      </c>
      <c r="I319">
        <v>1</v>
      </c>
      <c r="J319">
        <v>0.1</v>
      </c>
      <c r="K319">
        <v>0.18179999999999999</v>
      </c>
      <c r="L319">
        <v>0.68</v>
      </c>
      <c r="M319">
        <v>0</v>
      </c>
      <c r="N319">
        <v>1</v>
      </c>
      <c r="O319">
        <v>23</v>
      </c>
      <c r="P319">
        <v>24</v>
      </c>
    </row>
    <row r="320" spans="1:16" x14ac:dyDescent="0.3">
      <c r="A320">
        <v>929</v>
      </c>
      <c r="B320" s="4">
        <v>40585</v>
      </c>
      <c r="C320">
        <v>1</v>
      </c>
      <c r="D320">
        <v>0</v>
      </c>
      <c r="E320">
        <v>2</v>
      </c>
      <c r="F320">
        <v>7</v>
      </c>
      <c r="G320" t="b">
        <v>0</v>
      </c>
      <c r="H320">
        <v>5</v>
      </c>
      <c r="I320">
        <v>1</v>
      </c>
      <c r="J320">
        <v>0.08</v>
      </c>
      <c r="K320">
        <v>0.16669999999999999</v>
      </c>
      <c r="L320">
        <v>0.73</v>
      </c>
      <c r="M320">
        <v>0</v>
      </c>
      <c r="N320">
        <v>1</v>
      </c>
      <c r="O320">
        <v>73</v>
      </c>
      <c r="P320">
        <v>74</v>
      </c>
    </row>
    <row r="321" spans="1:16" x14ac:dyDescent="0.3">
      <c r="A321">
        <v>930</v>
      </c>
      <c r="B321" s="4">
        <v>40585</v>
      </c>
      <c r="C321">
        <v>1</v>
      </c>
      <c r="D321">
        <v>0</v>
      </c>
      <c r="E321">
        <v>2</v>
      </c>
      <c r="F321">
        <v>8</v>
      </c>
      <c r="G321" t="b">
        <v>0</v>
      </c>
      <c r="H321">
        <v>5</v>
      </c>
      <c r="I321">
        <v>1</v>
      </c>
      <c r="J321">
        <v>0.1</v>
      </c>
      <c r="K321">
        <v>0.1212</v>
      </c>
      <c r="L321">
        <v>0.74</v>
      </c>
      <c r="M321">
        <v>0.16420000000000001</v>
      </c>
      <c r="N321">
        <v>4</v>
      </c>
      <c r="O321">
        <v>212</v>
      </c>
      <c r="P321">
        <v>216</v>
      </c>
    </row>
    <row r="322" spans="1:16" x14ac:dyDescent="0.3">
      <c r="A322">
        <v>931</v>
      </c>
      <c r="B322" s="4">
        <v>40585</v>
      </c>
      <c r="C322">
        <v>1</v>
      </c>
      <c r="D322">
        <v>0</v>
      </c>
      <c r="E322">
        <v>2</v>
      </c>
      <c r="F322">
        <v>9</v>
      </c>
      <c r="G322" t="b">
        <v>0</v>
      </c>
      <c r="H322">
        <v>5</v>
      </c>
      <c r="I322">
        <v>1</v>
      </c>
      <c r="J322">
        <v>0.12</v>
      </c>
      <c r="K322">
        <v>0.1212</v>
      </c>
      <c r="L322">
        <v>0.74</v>
      </c>
      <c r="M322">
        <v>0.22389999999999999</v>
      </c>
      <c r="N322">
        <v>8</v>
      </c>
      <c r="O322">
        <v>132</v>
      </c>
      <c r="P322">
        <v>140</v>
      </c>
    </row>
    <row r="323" spans="1:16" x14ac:dyDescent="0.3">
      <c r="A323">
        <v>932</v>
      </c>
      <c r="B323" s="4">
        <v>40585</v>
      </c>
      <c r="C323">
        <v>1</v>
      </c>
      <c r="D323">
        <v>0</v>
      </c>
      <c r="E323">
        <v>2</v>
      </c>
      <c r="F323">
        <v>10</v>
      </c>
      <c r="G323" t="b">
        <v>0</v>
      </c>
      <c r="H323">
        <v>5</v>
      </c>
      <c r="I323">
        <v>1</v>
      </c>
      <c r="J323">
        <v>0.14000000000000001</v>
      </c>
      <c r="K323">
        <v>0.13639999999999999</v>
      </c>
      <c r="L323">
        <v>0.69</v>
      </c>
      <c r="M323">
        <v>0.19400000000000001</v>
      </c>
      <c r="N323">
        <v>5</v>
      </c>
      <c r="O323">
        <v>39</v>
      </c>
      <c r="P323">
        <v>44</v>
      </c>
    </row>
    <row r="324" spans="1:16" x14ac:dyDescent="0.3">
      <c r="A324">
        <v>933</v>
      </c>
      <c r="B324" s="4">
        <v>40585</v>
      </c>
      <c r="C324">
        <v>1</v>
      </c>
      <c r="D324">
        <v>0</v>
      </c>
      <c r="E324">
        <v>2</v>
      </c>
      <c r="F324">
        <v>11</v>
      </c>
      <c r="G324" t="b">
        <v>0</v>
      </c>
      <c r="H324">
        <v>5</v>
      </c>
      <c r="I324">
        <v>1</v>
      </c>
      <c r="J324">
        <v>0.22</v>
      </c>
      <c r="K324">
        <v>0.2273</v>
      </c>
      <c r="L324">
        <v>0.47</v>
      </c>
      <c r="M324">
        <v>0.1343</v>
      </c>
      <c r="N324">
        <v>12</v>
      </c>
      <c r="O324">
        <v>52</v>
      </c>
      <c r="P324">
        <v>64</v>
      </c>
    </row>
    <row r="325" spans="1:16" x14ac:dyDescent="0.3">
      <c r="A325">
        <v>934</v>
      </c>
      <c r="B325" s="4">
        <v>40585</v>
      </c>
      <c r="C325">
        <v>1</v>
      </c>
      <c r="D325">
        <v>0</v>
      </c>
      <c r="E325">
        <v>2</v>
      </c>
      <c r="F325">
        <v>12</v>
      </c>
      <c r="G325" t="b">
        <v>0</v>
      </c>
      <c r="H325">
        <v>5</v>
      </c>
      <c r="I325">
        <v>1</v>
      </c>
      <c r="J325">
        <v>0.22</v>
      </c>
      <c r="K325">
        <v>0.2273</v>
      </c>
      <c r="L325">
        <v>0.47</v>
      </c>
      <c r="M325">
        <v>0.1343</v>
      </c>
      <c r="N325">
        <v>7</v>
      </c>
      <c r="O325">
        <v>64</v>
      </c>
      <c r="P325">
        <v>71</v>
      </c>
    </row>
    <row r="326" spans="1:16" x14ac:dyDescent="0.3">
      <c r="A326">
        <v>935</v>
      </c>
      <c r="B326" s="4">
        <v>40585</v>
      </c>
      <c r="C326">
        <v>1</v>
      </c>
      <c r="D326">
        <v>0</v>
      </c>
      <c r="E326">
        <v>2</v>
      </c>
      <c r="F326">
        <v>13</v>
      </c>
      <c r="G326" t="b">
        <v>0</v>
      </c>
      <c r="H326">
        <v>5</v>
      </c>
      <c r="I326">
        <v>1</v>
      </c>
      <c r="J326">
        <v>0.24</v>
      </c>
      <c r="K326">
        <v>0.2273</v>
      </c>
      <c r="L326">
        <v>0.35</v>
      </c>
      <c r="M326">
        <v>0.19400000000000001</v>
      </c>
      <c r="N326">
        <v>21</v>
      </c>
      <c r="O326">
        <v>89</v>
      </c>
      <c r="P326">
        <v>110</v>
      </c>
    </row>
    <row r="327" spans="1:16" x14ac:dyDescent="0.3">
      <c r="A327">
        <v>936</v>
      </c>
      <c r="B327" s="4">
        <v>40585</v>
      </c>
      <c r="C327">
        <v>1</v>
      </c>
      <c r="D327">
        <v>0</v>
      </c>
      <c r="E327">
        <v>2</v>
      </c>
      <c r="F327">
        <v>14</v>
      </c>
      <c r="G327" t="b">
        <v>0</v>
      </c>
      <c r="H327">
        <v>5</v>
      </c>
      <c r="I327">
        <v>1</v>
      </c>
      <c r="J327">
        <v>0.3</v>
      </c>
      <c r="K327">
        <v>0.28789999999999999</v>
      </c>
      <c r="L327">
        <v>0.26</v>
      </c>
      <c r="M327">
        <v>0.25369999999999998</v>
      </c>
      <c r="N327">
        <v>17</v>
      </c>
      <c r="O327">
        <v>67</v>
      </c>
      <c r="P327">
        <v>84</v>
      </c>
    </row>
    <row r="328" spans="1:16" x14ac:dyDescent="0.3">
      <c r="A328">
        <v>937</v>
      </c>
      <c r="B328" s="4">
        <v>40585</v>
      </c>
      <c r="C328">
        <v>1</v>
      </c>
      <c r="D328">
        <v>0</v>
      </c>
      <c r="E328">
        <v>2</v>
      </c>
      <c r="F328">
        <v>15</v>
      </c>
      <c r="G328" t="b">
        <v>0</v>
      </c>
      <c r="H328">
        <v>5</v>
      </c>
      <c r="I328">
        <v>1</v>
      </c>
      <c r="J328">
        <v>0.32</v>
      </c>
      <c r="K328">
        <v>0.31819999999999998</v>
      </c>
      <c r="L328">
        <v>0.21</v>
      </c>
      <c r="M328">
        <v>0.16420000000000001</v>
      </c>
      <c r="N328">
        <v>12</v>
      </c>
      <c r="O328">
        <v>62</v>
      </c>
      <c r="P328">
        <v>74</v>
      </c>
    </row>
    <row r="329" spans="1:16" x14ac:dyDescent="0.3">
      <c r="A329">
        <v>938</v>
      </c>
      <c r="B329" s="4">
        <v>40585</v>
      </c>
      <c r="C329">
        <v>1</v>
      </c>
      <c r="D329">
        <v>0</v>
      </c>
      <c r="E329">
        <v>2</v>
      </c>
      <c r="F329">
        <v>16</v>
      </c>
      <c r="G329" t="b">
        <v>0</v>
      </c>
      <c r="H329">
        <v>5</v>
      </c>
      <c r="I329">
        <v>1</v>
      </c>
      <c r="J329">
        <v>0.3</v>
      </c>
      <c r="K329">
        <v>0.28789999999999999</v>
      </c>
      <c r="L329">
        <v>0.28000000000000003</v>
      </c>
      <c r="M329">
        <v>0.19400000000000001</v>
      </c>
      <c r="N329">
        <v>14</v>
      </c>
      <c r="O329">
        <v>111</v>
      </c>
      <c r="P329">
        <v>125</v>
      </c>
    </row>
    <row r="330" spans="1:16" x14ac:dyDescent="0.3">
      <c r="A330">
        <v>939</v>
      </c>
      <c r="B330" s="4">
        <v>40585</v>
      </c>
      <c r="C330">
        <v>1</v>
      </c>
      <c r="D330">
        <v>0</v>
      </c>
      <c r="E330">
        <v>2</v>
      </c>
      <c r="F330">
        <v>17</v>
      </c>
      <c r="G330" t="b">
        <v>0</v>
      </c>
      <c r="H330">
        <v>5</v>
      </c>
      <c r="I330">
        <v>1</v>
      </c>
      <c r="J330">
        <v>0.3</v>
      </c>
      <c r="K330">
        <v>0.33329999999999999</v>
      </c>
      <c r="L330">
        <v>0.24</v>
      </c>
      <c r="M330">
        <v>0</v>
      </c>
      <c r="N330">
        <v>18</v>
      </c>
      <c r="O330">
        <v>193</v>
      </c>
      <c r="P330">
        <v>211</v>
      </c>
    </row>
    <row r="331" spans="1:16" x14ac:dyDescent="0.3">
      <c r="A331">
        <v>940</v>
      </c>
      <c r="B331" s="4">
        <v>40585</v>
      </c>
      <c r="C331">
        <v>1</v>
      </c>
      <c r="D331">
        <v>0</v>
      </c>
      <c r="E331">
        <v>2</v>
      </c>
      <c r="F331">
        <v>18</v>
      </c>
      <c r="G331" t="b">
        <v>0</v>
      </c>
      <c r="H331">
        <v>5</v>
      </c>
      <c r="I331">
        <v>1</v>
      </c>
      <c r="J331">
        <v>0.28000000000000003</v>
      </c>
      <c r="K331">
        <v>0.31819999999999998</v>
      </c>
      <c r="L331">
        <v>0.28000000000000003</v>
      </c>
      <c r="M331">
        <v>0</v>
      </c>
      <c r="N331">
        <v>9</v>
      </c>
      <c r="O331">
        <v>165</v>
      </c>
      <c r="P331">
        <v>174</v>
      </c>
    </row>
    <row r="332" spans="1:16" x14ac:dyDescent="0.3">
      <c r="A332">
        <v>941</v>
      </c>
      <c r="B332" s="4">
        <v>40585</v>
      </c>
      <c r="C332">
        <v>1</v>
      </c>
      <c r="D332">
        <v>0</v>
      </c>
      <c r="E332">
        <v>2</v>
      </c>
      <c r="F332">
        <v>19</v>
      </c>
      <c r="G332" t="b">
        <v>0</v>
      </c>
      <c r="H332">
        <v>5</v>
      </c>
      <c r="I332">
        <v>1</v>
      </c>
      <c r="J332">
        <v>0.26</v>
      </c>
      <c r="K332">
        <v>0.30299999999999999</v>
      </c>
      <c r="L332">
        <v>0.33</v>
      </c>
      <c r="M332">
        <v>0</v>
      </c>
      <c r="N332">
        <v>7</v>
      </c>
      <c r="O332">
        <v>94</v>
      </c>
      <c r="P332">
        <v>101</v>
      </c>
    </row>
    <row r="333" spans="1:16" x14ac:dyDescent="0.3">
      <c r="A333">
        <v>942</v>
      </c>
      <c r="B333" s="4">
        <v>40585</v>
      </c>
      <c r="C333">
        <v>1</v>
      </c>
      <c r="D333">
        <v>0</v>
      </c>
      <c r="E333">
        <v>2</v>
      </c>
      <c r="F333">
        <v>20</v>
      </c>
      <c r="G333" t="b">
        <v>0</v>
      </c>
      <c r="H333">
        <v>5</v>
      </c>
      <c r="I333">
        <v>1</v>
      </c>
      <c r="J333">
        <v>0.22</v>
      </c>
      <c r="K333">
        <v>0.2273</v>
      </c>
      <c r="L333">
        <v>0.55000000000000004</v>
      </c>
      <c r="M333">
        <v>0.1343</v>
      </c>
      <c r="N333">
        <v>2</v>
      </c>
      <c r="O333">
        <v>61</v>
      </c>
      <c r="P333">
        <v>63</v>
      </c>
    </row>
    <row r="334" spans="1:16" x14ac:dyDescent="0.3">
      <c r="A334">
        <v>943</v>
      </c>
      <c r="B334" s="4">
        <v>40585</v>
      </c>
      <c r="C334">
        <v>1</v>
      </c>
      <c r="D334">
        <v>0</v>
      </c>
      <c r="E334">
        <v>2</v>
      </c>
      <c r="F334">
        <v>21</v>
      </c>
      <c r="G334" t="b">
        <v>0</v>
      </c>
      <c r="H334">
        <v>5</v>
      </c>
      <c r="I334">
        <v>1</v>
      </c>
      <c r="J334">
        <v>0.2</v>
      </c>
      <c r="K334">
        <v>0.21210000000000001</v>
      </c>
      <c r="L334">
        <v>0.59</v>
      </c>
      <c r="M334">
        <v>0.1343</v>
      </c>
      <c r="N334">
        <v>1</v>
      </c>
      <c r="O334">
        <v>46</v>
      </c>
      <c r="P334">
        <v>47</v>
      </c>
    </row>
    <row r="335" spans="1:16" x14ac:dyDescent="0.3">
      <c r="A335">
        <v>944</v>
      </c>
      <c r="B335" s="4">
        <v>40585</v>
      </c>
      <c r="C335">
        <v>1</v>
      </c>
      <c r="D335">
        <v>0</v>
      </c>
      <c r="E335">
        <v>2</v>
      </c>
      <c r="F335">
        <v>22</v>
      </c>
      <c r="G335" t="b">
        <v>0</v>
      </c>
      <c r="H335">
        <v>5</v>
      </c>
      <c r="I335">
        <v>1</v>
      </c>
      <c r="J335">
        <v>0.2</v>
      </c>
      <c r="K335">
        <v>0.2273</v>
      </c>
      <c r="L335">
        <v>0.64</v>
      </c>
      <c r="M335">
        <v>8.9599999999999999E-2</v>
      </c>
      <c r="N335">
        <v>2</v>
      </c>
      <c r="O335">
        <v>41</v>
      </c>
      <c r="P335">
        <v>43</v>
      </c>
    </row>
    <row r="336" spans="1:16" x14ac:dyDescent="0.3">
      <c r="A336">
        <v>945</v>
      </c>
      <c r="B336" s="4">
        <v>40585</v>
      </c>
      <c r="C336">
        <v>1</v>
      </c>
      <c r="D336">
        <v>0</v>
      </c>
      <c r="E336">
        <v>2</v>
      </c>
      <c r="F336">
        <v>23</v>
      </c>
      <c r="G336" t="b">
        <v>0</v>
      </c>
      <c r="H336">
        <v>5</v>
      </c>
      <c r="I336">
        <v>1</v>
      </c>
      <c r="J336">
        <v>0.18</v>
      </c>
      <c r="K336">
        <v>0.2424</v>
      </c>
      <c r="L336">
        <v>0.69</v>
      </c>
      <c r="M336">
        <v>0</v>
      </c>
      <c r="N336">
        <v>5</v>
      </c>
      <c r="O336">
        <v>48</v>
      </c>
      <c r="P336">
        <v>53</v>
      </c>
    </row>
    <row r="337" spans="1:16" x14ac:dyDescent="0.3">
      <c r="A337">
        <v>946</v>
      </c>
      <c r="B337" s="4">
        <v>40586</v>
      </c>
      <c r="C337">
        <v>1</v>
      </c>
      <c r="D337">
        <v>0</v>
      </c>
      <c r="E337">
        <v>2</v>
      </c>
      <c r="F337">
        <v>0</v>
      </c>
      <c r="G337" t="b">
        <v>0</v>
      </c>
      <c r="H337">
        <v>6</v>
      </c>
      <c r="I337">
        <v>1</v>
      </c>
      <c r="J337">
        <v>0.16</v>
      </c>
      <c r="K337">
        <v>0.19700000000000001</v>
      </c>
      <c r="L337">
        <v>0.69</v>
      </c>
      <c r="M337">
        <v>8.9599999999999999E-2</v>
      </c>
      <c r="N337">
        <v>3</v>
      </c>
      <c r="O337">
        <v>27</v>
      </c>
      <c r="P337">
        <v>30</v>
      </c>
    </row>
    <row r="338" spans="1:16" x14ac:dyDescent="0.3">
      <c r="A338">
        <v>947</v>
      </c>
      <c r="B338" s="4">
        <v>40586</v>
      </c>
      <c r="C338">
        <v>1</v>
      </c>
      <c r="D338">
        <v>0</v>
      </c>
      <c r="E338">
        <v>2</v>
      </c>
      <c r="F338">
        <v>1</v>
      </c>
      <c r="G338" t="b">
        <v>0</v>
      </c>
      <c r="H338">
        <v>6</v>
      </c>
      <c r="I338">
        <v>1</v>
      </c>
      <c r="J338">
        <v>0.14000000000000001</v>
      </c>
      <c r="K338">
        <v>0.21210000000000001</v>
      </c>
      <c r="L338">
        <v>0.86</v>
      </c>
      <c r="M338">
        <v>0</v>
      </c>
      <c r="N338">
        <v>2</v>
      </c>
      <c r="O338">
        <v>22</v>
      </c>
      <c r="P338">
        <v>24</v>
      </c>
    </row>
    <row r="339" spans="1:16" x14ac:dyDescent="0.3">
      <c r="A339">
        <v>948</v>
      </c>
      <c r="B339" s="4">
        <v>40586</v>
      </c>
      <c r="C339">
        <v>1</v>
      </c>
      <c r="D339">
        <v>0</v>
      </c>
      <c r="E339">
        <v>2</v>
      </c>
      <c r="F339">
        <v>2</v>
      </c>
      <c r="G339" t="b">
        <v>0</v>
      </c>
      <c r="H339">
        <v>6</v>
      </c>
      <c r="I339">
        <v>1</v>
      </c>
      <c r="J339">
        <v>0.14000000000000001</v>
      </c>
      <c r="K339">
        <v>0.21210000000000001</v>
      </c>
      <c r="L339">
        <v>0.8</v>
      </c>
      <c r="M339">
        <v>0</v>
      </c>
      <c r="N339">
        <v>2</v>
      </c>
      <c r="O339">
        <v>13</v>
      </c>
      <c r="P339">
        <v>15</v>
      </c>
    </row>
    <row r="340" spans="1:16" x14ac:dyDescent="0.3">
      <c r="A340">
        <v>949</v>
      </c>
      <c r="B340" s="4">
        <v>40586</v>
      </c>
      <c r="C340">
        <v>1</v>
      </c>
      <c r="D340">
        <v>0</v>
      </c>
      <c r="E340">
        <v>2</v>
      </c>
      <c r="F340">
        <v>3</v>
      </c>
      <c r="G340" t="b">
        <v>0</v>
      </c>
      <c r="H340">
        <v>6</v>
      </c>
      <c r="I340">
        <v>1</v>
      </c>
      <c r="J340">
        <v>0.12</v>
      </c>
      <c r="K340">
        <v>0.19700000000000001</v>
      </c>
      <c r="L340">
        <v>0.8</v>
      </c>
      <c r="M340">
        <v>0</v>
      </c>
      <c r="N340">
        <v>3</v>
      </c>
      <c r="O340">
        <v>7</v>
      </c>
      <c r="P340">
        <v>10</v>
      </c>
    </row>
    <row r="341" spans="1:16" x14ac:dyDescent="0.3">
      <c r="A341">
        <v>950</v>
      </c>
      <c r="B341" s="4">
        <v>40586</v>
      </c>
      <c r="C341">
        <v>1</v>
      </c>
      <c r="D341">
        <v>0</v>
      </c>
      <c r="E341">
        <v>2</v>
      </c>
      <c r="F341">
        <v>4</v>
      </c>
      <c r="G341" t="b">
        <v>0</v>
      </c>
      <c r="H341">
        <v>6</v>
      </c>
      <c r="I341">
        <v>1</v>
      </c>
      <c r="J341">
        <v>0.12</v>
      </c>
      <c r="K341">
        <v>0.16669999999999999</v>
      </c>
      <c r="L341">
        <v>0.74</v>
      </c>
      <c r="M341">
        <v>8.9599999999999999E-2</v>
      </c>
      <c r="N341">
        <v>0</v>
      </c>
      <c r="O341">
        <v>4</v>
      </c>
      <c r="P341">
        <v>4</v>
      </c>
    </row>
    <row r="342" spans="1:16" x14ac:dyDescent="0.3">
      <c r="A342">
        <v>951</v>
      </c>
      <c r="B342" s="4">
        <v>40586</v>
      </c>
      <c r="C342">
        <v>1</v>
      </c>
      <c r="D342">
        <v>0</v>
      </c>
      <c r="E342">
        <v>2</v>
      </c>
      <c r="F342">
        <v>5</v>
      </c>
      <c r="G342" t="b">
        <v>0</v>
      </c>
      <c r="H342">
        <v>6</v>
      </c>
      <c r="I342">
        <v>1</v>
      </c>
      <c r="J342">
        <v>0.12</v>
      </c>
      <c r="K342">
        <v>0.16669999999999999</v>
      </c>
      <c r="L342">
        <v>0.74</v>
      </c>
      <c r="M342">
        <v>8.9599999999999999E-2</v>
      </c>
      <c r="N342">
        <v>0</v>
      </c>
      <c r="O342">
        <v>1</v>
      </c>
      <c r="P342">
        <v>1</v>
      </c>
    </row>
    <row r="343" spans="1:16" x14ac:dyDescent="0.3">
      <c r="A343">
        <v>952</v>
      </c>
      <c r="B343" s="4">
        <v>40586</v>
      </c>
      <c r="C343">
        <v>1</v>
      </c>
      <c r="D343">
        <v>0</v>
      </c>
      <c r="E343">
        <v>2</v>
      </c>
      <c r="F343">
        <v>6</v>
      </c>
      <c r="G343" t="b">
        <v>0</v>
      </c>
      <c r="H343">
        <v>6</v>
      </c>
      <c r="I343">
        <v>1</v>
      </c>
      <c r="J343">
        <v>0.12</v>
      </c>
      <c r="K343">
        <v>0.13639999999999999</v>
      </c>
      <c r="L343">
        <v>0.93</v>
      </c>
      <c r="M343">
        <v>0.19400000000000001</v>
      </c>
      <c r="N343">
        <v>1</v>
      </c>
      <c r="O343">
        <v>1</v>
      </c>
      <c r="P343">
        <v>2</v>
      </c>
    </row>
    <row r="344" spans="1:16" x14ac:dyDescent="0.3">
      <c r="A344">
        <v>953</v>
      </c>
      <c r="B344" s="4">
        <v>40586</v>
      </c>
      <c r="C344">
        <v>1</v>
      </c>
      <c r="D344">
        <v>0</v>
      </c>
      <c r="E344">
        <v>2</v>
      </c>
      <c r="F344">
        <v>7</v>
      </c>
      <c r="G344" t="b">
        <v>0</v>
      </c>
      <c r="H344">
        <v>6</v>
      </c>
      <c r="I344">
        <v>1</v>
      </c>
      <c r="J344">
        <v>0.12</v>
      </c>
      <c r="K344">
        <v>0.1515</v>
      </c>
      <c r="L344">
        <v>0.8</v>
      </c>
      <c r="M344">
        <v>0.1045</v>
      </c>
      <c r="N344">
        <v>2</v>
      </c>
      <c r="O344">
        <v>9</v>
      </c>
      <c r="P344">
        <v>11</v>
      </c>
    </row>
    <row r="345" spans="1:16" x14ac:dyDescent="0.3">
      <c r="A345">
        <v>954</v>
      </c>
      <c r="B345" s="4">
        <v>40586</v>
      </c>
      <c r="C345">
        <v>1</v>
      </c>
      <c r="D345">
        <v>0</v>
      </c>
      <c r="E345">
        <v>2</v>
      </c>
      <c r="F345">
        <v>8</v>
      </c>
      <c r="G345" t="b">
        <v>0</v>
      </c>
      <c r="H345">
        <v>6</v>
      </c>
      <c r="I345">
        <v>1</v>
      </c>
      <c r="J345">
        <v>0.14000000000000001</v>
      </c>
      <c r="K345">
        <v>0.1515</v>
      </c>
      <c r="L345">
        <v>0.86</v>
      </c>
      <c r="M345">
        <v>0.1343</v>
      </c>
      <c r="N345">
        <v>2</v>
      </c>
      <c r="O345">
        <v>28</v>
      </c>
      <c r="P345">
        <v>30</v>
      </c>
    </row>
    <row r="346" spans="1:16" x14ac:dyDescent="0.3">
      <c r="A346">
        <v>955</v>
      </c>
      <c r="B346" s="4">
        <v>40586</v>
      </c>
      <c r="C346">
        <v>1</v>
      </c>
      <c r="D346">
        <v>0</v>
      </c>
      <c r="E346">
        <v>2</v>
      </c>
      <c r="F346">
        <v>9</v>
      </c>
      <c r="G346" t="b">
        <v>0</v>
      </c>
      <c r="H346">
        <v>6</v>
      </c>
      <c r="I346">
        <v>1</v>
      </c>
      <c r="J346">
        <v>0.16</v>
      </c>
      <c r="K346">
        <v>0.18179999999999999</v>
      </c>
      <c r="L346">
        <v>0.64</v>
      </c>
      <c r="M346">
        <v>0.1343</v>
      </c>
      <c r="N346">
        <v>5</v>
      </c>
      <c r="O346">
        <v>38</v>
      </c>
      <c r="P346">
        <v>43</v>
      </c>
    </row>
    <row r="347" spans="1:16" x14ac:dyDescent="0.3">
      <c r="A347">
        <v>956</v>
      </c>
      <c r="B347" s="4">
        <v>40586</v>
      </c>
      <c r="C347">
        <v>1</v>
      </c>
      <c r="D347">
        <v>0</v>
      </c>
      <c r="E347">
        <v>2</v>
      </c>
      <c r="F347">
        <v>10</v>
      </c>
      <c r="G347" t="b">
        <v>0</v>
      </c>
      <c r="H347">
        <v>6</v>
      </c>
      <c r="I347">
        <v>1</v>
      </c>
      <c r="J347">
        <v>0.22</v>
      </c>
      <c r="K347">
        <v>0.21210000000000001</v>
      </c>
      <c r="L347">
        <v>0.41</v>
      </c>
      <c r="M347">
        <v>0.25369999999999998</v>
      </c>
      <c r="N347">
        <v>13</v>
      </c>
      <c r="O347">
        <v>71</v>
      </c>
      <c r="P347">
        <v>84</v>
      </c>
    </row>
    <row r="348" spans="1:16" x14ac:dyDescent="0.3">
      <c r="A348">
        <v>957</v>
      </c>
      <c r="B348" s="4">
        <v>40586</v>
      </c>
      <c r="C348">
        <v>1</v>
      </c>
      <c r="D348">
        <v>0</v>
      </c>
      <c r="E348">
        <v>2</v>
      </c>
      <c r="F348">
        <v>11</v>
      </c>
      <c r="G348" t="b">
        <v>0</v>
      </c>
      <c r="H348">
        <v>6</v>
      </c>
      <c r="I348">
        <v>1</v>
      </c>
      <c r="J348">
        <v>0.3</v>
      </c>
      <c r="K348">
        <v>0.2727</v>
      </c>
      <c r="L348">
        <v>0.28000000000000003</v>
      </c>
      <c r="M348">
        <v>0.32840000000000003</v>
      </c>
      <c r="N348">
        <v>30</v>
      </c>
      <c r="O348">
        <v>84</v>
      </c>
      <c r="P348">
        <v>114</v>
      </c>
    </row>
    <row r="349" spans="1:16" x14ac:dyDescent="0.3">
      <c r="A349">
        <v>958</v>
      </c>
      <c r="B349" s="4">
        <v>40586</v>
      </c>
      <c r="C349">
        <v>1</v>
      </c>
      <c r="D349">
        <v>0</v>
      </c>
      <c r="E349">
        <v>2</v>
      </c>
      <c r="F349">
        <v>12</v>
      </c>
      <c r="G349" t="b">
        <v>0</v>
      </c>
      <c r="H349">
        <v>6</v>
      </c>
      <c r="I349">
        <v>1</v>
      </c>
      <c r="J349">
        <v>0.3</v>
      </c>
      <c r="K349">
        <v>0.2727</v>
      </c>
      <c r="L349">
        <v>0.39</v>
      </c>
      <c r="M349">
        <v>0.4627</v>
      </c>
      <c r="N349">
        <v>27</v>
      </c>
      <c r="O349">
        <v>93</v>
      </c>
      <c r="P349">
        <v>120</v>
      </c>
    </row>
    <row r="350" spans="1:16" x14ac:dyDescent="0.3">
      <c r="A350">
        <v>959</v>
      </c>
      <c r="B350" s="4">
        <v>40586</v>
      </c>
      <c r="C350">
        <v>1</v>
      </c>
      <c r="D350">
        <v>0</v>
      </c>
      <c r="E350">
        <v>2</v>
      </c>
      <c r="F350">
        <v>13</v>
      </c>
      <c r="G350" t="b">
        <v>0</v>
      </c>
      <c r="H350">
        <v>6</v>
      </c>
      <c r="I350">
        <v>1</v>
      </c>
      <c r="J350">
        <v>0.3</v>
      </c>
      <c r="K350">
        <v>0.2727</v>
      </c>
      <c r="L350">
        <v>0.39</v>
      </c>
      <c r="M350">
        <v>0.41789999999999999</v>
      </c>
      <c r="N350">
        <v>32</v>
      </c>
      <c r="O350">
        <v>103</v>
      </c>
      <c r="P350">
        <v>135</v>
      </c>
    </row>
    <row r="351" spans="1:16" x14ac:dyDescent="0.3">
      <c r="A351">
        <v>960</v>
      </c>
      <c r="B351" s="4">
        <v>40586</v>
      </c>
      <c r="C351">
        <v>1</v>
      </c>
      <c r="D351">
        <v>0</v>
      </c>
      <c r="E351">
        <v>2</v>
      </c>
      <c r="F351">
        <v>14</v>
      </c>
      <c r="G351" t="b">
        <v>0</v>
      </c>
      <c r="H351">
        <v>6</v>
      </c>
      <c r="I351">
        <v>1</v>
      </c>
      <c r="J351">
        <v>0.34</v>
      </c>
      <c r="K351">
        <v>0.31819999999999998</v>
      </c>
      <c r="L351">
        <v>0.31</v>
      </c>
      <c r="M351">
        <v>0.28360000000000002</v>
      </c>
      <c r="N351">
        <v>30</v>
      </c>
      <c r="O351">
        <v>90</v>
      </c>
      <c r="P351">
        <v>120</v>
      </c>
    </row>
    <row r="352" spans="1:16" x14ac:dyDescent="0.3">
      <c r="A352">
        <v>961</v>
      </c>
      <c r="B352" s="4">
        <v>40586</v>
      </c>
      <c r="C352">
        <v>1</v>
      </c>
      <c r="D352">
        <v>0</v>
      </c>
      <c r="E352">
        <v>2</v>
      </c>
      <c r="F352">
        <v>15</v>
      </c>
      <c r="G352" t="b">
        <v>0</v>
      </c>
      <c r="H352">
        <v>6</v>
      </c>
      <c r="I352">
        <v>1</v>
      </c>
      <c r="J352">
        <v>0.34</v>
      </c>
      <c r="K352">
        <v>0.30299999999999999</v>
      </c>
      <c r="L352">
        <v>0.28999999999999998</v>
      </c>
      <c r="M352">
        <v>0.41789999999999999</v>
      </c>
      <c r="N352">
        <v>47</v>
      </c>
      <c r="O352">
        <v>127</v>
      </c>
      <c r="P352">
        <v>174</v>
      </c>
    </row>
    <row r="353" spans="1:16" x14ac:dyDescent="0.3">
      <c r="A353">
        <v>962</v>
      </c>
      <c r="B353" s="4">
        <v>40586</v>
      </c>
      <c r="C353">
        <v>1</v>
      </c>
      <c r="D353">
        <v>0</v>
      </c>
      <c r="E353">
        <v>2</v>
      </c>
      <c r="F353">
        <v>16</v>
      </c>
      <c r="G353" t="b">
        <v>0</v>
      </c>
      <c r="H353">
        <v>6</v>
      </c>
      <c r="I353">
        <v>1</v>
      </c>
      <c r="J353">
        <v>0.34</v>
      </c>
      <c r="K353">
        <v>0.30299999999999999</v>
      </c>
      <c r="L353">
        <v>0.28999999999999998</v>
      </c>
      <c r="M353">
        <v>0.41789999999999999</v>
      </c>
      <c r="N353">
        <v>42</v>
      </c>
      <c r="O353">
        <v>103</v>
      </c>
      <c r="P353">
        <v>145</v>
      </c>
    </row>
    <row r="354" spans="1:16" x14ac:dyDescent="0.3">
      <c r="A354">
        <v>963</v>
      </c>
      <c r="B354" s="4">
        <v>40586</v>
      </c>
      <c r="C354">
        <v>1</v>
      </c>
      <c r="D354">
        <v>0</v>
      </c>
      <c r="E354">
        <v>2</v>
      </c>
      <c r="F354">
        <v>17</v>
      </c>
      <c r="G354" t="b">
        <v>0</v>
      </c>
      <c r="H354">
        <v>6</v>
      </c>
      <c r="I354">
        <v>1</v>
      </c>
      <c r="J354">
        <v>0.32</v>
      </c>
      <c r="K354">
        <v>0.28789999999999999</v>
      </c>
      <c r="L354">
        <v>0.31</v>
      </c>
      <c r="M354">
        <v>0.52239999999999998</v>
      </c>
      <c r="N354">
        <v>24</v>
      </c>
      <c r="O354">
        <v>113</v>
      </c>
      <c r="P354">
        <v>137</v>
      </c>
    </row>
    <row r="355" spans="1:16" x14ac:dyDescent="0.3">
      <c r="A355">
        <v>964</v>
      </c>
      <c r="B355" s="4">
        <v>40586</v>
      </c>
      <c r="C355">
        <v>1</v>
      </c>
      <c r="D355">
        <v>0</v>
      </c>
      <c r="E355">
        <v>2</v>
      </c>
      <c r="F355">
        <v>18</v>
      </c>
      <c r="G355" t="b">
        <v>0</v>
      </c>
      <c r="H355">
        <v>6</v>
      </c>
      <c r="I355">
        <v>1</v>
      </c>
      <c r="J355">
        <v>0.28000000000000003</v>
      </c>
      <c r="K355">
        <v>0.2576</v>
      </c>
      <c r="L355">
        <v>0.38</v>
      </c>
      <c r="M355">
        <v>0.32840000000000003</v>
      </c>
      <c r="N355">
        <v>4</v>
      </c>
      <c r="O355">
        <v>60</v>
      </c>
      <c r="P355">
        <v>64</v>
      </c>
    </row>
    <row r="356" spans="1:16" x14ac:dyDescent="0.3">
      <c r="A356">
        <v>965</v>
      </c>
      <c r="B356" s="4">
        <v>40586</v>
      </c>
      <c r="C356">
        <v>1</v>
      </c>
      <c r="D356">
        <v>0</v>
      </c>
      <c r="E356">
        <v>2</v>
      </c>
      <c r="F356">
        <v>19</v>
      </c>
      <c r="G356" t="b">
        <v>0</v>
      </c>
      <c r="H356">
        <v>6</v>
      </c>
      <c r="I356">
        <v>1</v>
      </c>
      <c r="J356">
        <v>0.28000000000000003</v>
      </c>
      <c r="K356">
        <v>0.2727</v>
      </c>
      <c r="L356">
        <v>0.38</v>
      </c>
      <c r="M356">
        <v>0.16420000000000001</v>
      </c>
      <c r="N356">
        <v>2</v>
      </c>
      <c r="O356">
        <v>39</v>
      </c>
      <c r="P356">
        <v>41</v>
      </c>
    </row>
    <row r="357" spans="1:16" x14ac:dyDescent="0.3">
      <c r="A357">
        <v>966</v>
      </c>
      <c r="B357" s="4">
        <v>40586</v>
      </c>
      <c r="C357">
        <v>1</v>
      </c>
      <c r="D357">
        <v>0</v>
      </c>
      <c r="E357">
        <v>2</v>
      </c>
      <c r="F357">
        <v>20</v>
      </c>
      <c r="G357" t="b">
        <v>0</v>
      </c>
      <c r="H357">
        <v>6</v>
      </c>
      <c r="I357">
        <v>1</v>
      </c>
      <c r="J357">
        <v>0.26</v>
      </c>
      <c r="K357">
        <v>0.2576</v>
      </c>
      <c r="L357">
        <v>0.41</v>
      </c>
      <c r="M357">
        <v>0.22389999999999999</v>
      </c>
      <c r="N357">
        <v>1</v>
      </c>
      <c r="O357">
        <v>39</v>
      </c>
      <c r="P357">
        <v>40</v>
      </c>
    </row>
    <row r="358" spans="1:16" x14ac:dyDescent="0.3">
      <c r="A358">
        <v>967</v>
      </c>
      <c r="B358" s="4">
        <v>40586</v>
      </c>
      <c r="C358">
        <v>1</v>
      </c>
      <c r="D358">
        <v>0</v>
      </c>
      <c r="E358">
        <v>2</v>
      </c>
      <c r="F358">
        <v>21</v>
      </c>
      <c r="G358" t="b">
        <v>0</v>
      </c>
      <c r="H358">
        <v>6</v>
      </c>
      <c r="I358">
        <v>1</v>
      </c>
      <c r="J358">
        <v>0.26</v>
      </c>
      <c r="K358">
        <v>0.30299999999999999</v>
      </c>
      <c r="L358">
        <v>0.41</v>
      </c>
      <c r="M358">
        <v>0</v>
      </c>
      <c r="N358">
        <v>9</v>
      </c>
      <c r="O358">
        <v>42</v>
      </c>
      <c r="P358">
        <v>51</v>
      </c>
    </row>
    <row r="359" spans="1:16" x14ac:dyDescent="0.3">
      <c r="A359">
        <v>968</v>
      </c>
      <c r="B359" s="4">
        <v>40586</v>
      </c>
      <c r="C359">
        <v>1</v>
      </c>
      <c r="D359">
        <v>0</v>
      </c>
      <c r="E359">
        <v>2</v>
      </c>
      <c r="F359">
        <v>22</v>
      </c>
      <c r="G359" t="b">
        <v>0</v>
      </c>
      <c r="H359">
        <v>6</v>
      </c>
      <c r="I359">
        <v>1</v>
      </c>
      <c r="J359">
        <v>0.24</v>
      </c>
      <c r="K359">
        <v>0.2576</v>
      </c>
      <c r="L359">
        <v>0.44</v>
      </c>
      <c r="M359">
        <v>8.9599999999999999E-2</v>
      </c>
      <c r="N359">
        <v>6</v>
      </c>
      <c r="O359">
        <v>39</v>
      </c>
      <c r="P359">
        <v>45</v>
      </c>
    </row>
    <row r="360" spans="1:16" x14ac:dyDescent="0.3">
      <c r="A360">
        <v>969</v>
      </c>
      <c r="B360" s="4">
        <v>40586</v>
      </c>
      <c r="C360">
        <v>1</v>
      </c>
      <c r="D360">
        <v>0</v>
      </c>
      <c r="E360">
        <v>2</v>
      </c>
      <c r="F360">
        <v>23</v>
      </c>
      <c r="G360" t="b">
        <v>0</v>
      </c>
      <c r="H360">
        <v>6</v>
      </c>
      <c r="I360">
        <v>1</v>
      </c>
      <c r="J360">
        <v>0.22</v>
      </c>
      <c r="K360">
        <v>0.2273</v>
      </c>
      <c r="L360">
        <v>0.51</v>
      </c>
      <c r="M360">
        <v>0.1343</v>
      </c>
      <c r="N360">
        <v>1</v>
      </c>
      <c r="O360">
        <v>31</v>
      </c>
      <c r="P360">
        <v>32</v>
      </c>
    </row>
    <row r="361" spans="1:16" x14ac:dyDescent="0.3">
      <c r="A361">
        <v>970</v>
      </c>
      <c r="B361" s="4">
        <v>40587</v>
      </c>
      <c r="C361">
        <v>1</v>
      </c>
      <c r="D361">
        <v>0</v>
      </c>
      <c r="E361">
        <v>2</v>
      </c>
      <c r="F361">
        <v>0</v>
      </c>
      <c r="G361" t="b">
        <v>0</v>
      </c>
      <c r="H361">
        <v>0</v>
      </c>
      <c r="I361">
        <v>1</v>
      </c>
      <c r="J361">
        <v>0.2</v>
      </c>
      <c r="K361">
        <v>0.2273</v>
      </c>
      <c r="L361">
        <v>0.64</v>
      </c>
      <c r="M361">
        <v>0.1045</v>
      </c>
      <c r="N361">
        <v>5</v>
      </c>
      <c r="O361">
        <v>34</v>
      </c>
      <c r="P361">
        <v>39</v>
      </c>
    </row>
    <row r="362" spans="1:16" x14ac:dyDescent="0.3">
      <c r="A362">
        <v>971</v>
      </c>
      <c r="B362" s="4">
        <v>40587</v>
      </c>
      <c r="C362">
        <v>1</v>
      </c>
      <c r="D362">
        <v>0</v>
      </c>
      <c r="E362">
        <v>2</v>
      </c>
      <c r="F362">
        <v>1</v>
      </c>
      <c r="G362" t="b">
        <v>0</v>
      </c>
      <c r="H362">
        <v>0</v>
      </c>
      <c r="I362">
        <v>1</v>
      </c>
      <c r="J362">
        <v>0.2</v>
      </c>
      <c r="K362">
        <v>0.2273</v>
      </c>
      <c r="L362">
        <v>0.59</v>
      </c>
      <c r="M362">
        <v>8.9599999999999999E-2</v>
      </c>
      <c r="N362">
        <v>1</v>
      </c>
      <c r="O362">
        <v>23</v>
      </c>
      <c r="P362">
        <v>24</v>
      </c>
    </row>
    <row r="363" spans="1:16" x14ac:dyDescent="0.3">
      <c r="A363">
        <v>972</v>
      </c>
      <c r="B363" s="4">
        <v>40587</v>
      </c>
      <c r="C363">
        <v>1</v>
      </c>
      <c r="D363">
        <v>0</v>
      </c>
      <c r="E363">
        <v>2</v>
      </c>
      <c r="F363">
        <v>2</v>
      </c>
      <c r="G363" t="b">
        <v>0</v>
      </c>
      <c r="H363">
        <v>0</v>
      </c>
      <c r="I363">
        <v>2</v>
      </c>
      <c r="J363">
        <v>0.2</v>
      </c>
      <c r="K363">
        <v>0.2273</v>
      </c>
      <c r="L363">
        <v>0.75</v>
      </c>
      <c r="M363">
        <v>8.9599999999999999E-2</v>
      </c>
      <c r="N363">
        <v>1</v>
      </c>
      <c r="O363">
        <v>19</v>
      </c>
      <c r="P363">
        <v>20</v>
      </c>
    </row>
    <row r="364" spans="1:16" x14ac:dyDescent="0.3">
      <c r="A364">
        <v>973</v>
      </c>
      <c r="B364" s="4">
        <v>40587</v>
      </c>
      <c r="C364">
        <v>1</v>
      </c>
      <c r="D364">
        <v>0</v>
      </c>
      <c r="E364">
        <v>2</v>
      </c>
      <c r="F364">
        <v>3</v>
      </c>
      <c r="G364" t="b">
        <v>0</v>
      </c>
      <c r="H364">
        <v>0</v>
      </c>
      <c r="I364">
        <v>2</v>
      </c>
      <c r="J364">
        <v>0.2</v>
      </c>
      <c r="K364">
        <v>0.2273</v>
      </c>
      <c r="L364">
        <v>0.69</v>
      </c>
      <c r="M364">
        <v>0.1045</v>
      </c>
      <c r="N364">
        <v>4</v>
      </c>
      <c r="O364">
        <v>8</v>
      </c>
      <c r="P364">
        <v>12</v>
      </c>
    </row>
    <row r="365" spans="1:16" x14ac:dyDescent="0.3">
      <c r="A365">
        <v>974</v>
      </c>
      <c r="B365" s="4">
        <v>40587</v>
      </c>
      <c r="C365">
        <v>1</v>
      </c>
      <c r="D365">
        <v>0</v>
      </c>
      <c r="E365">
        <v>2</v>
      </c>
      <c r="F365">
        <v>4</v>
      </c>
      <c r="G365" t="b">
        <v>0</v>
      </c>
      <c r="H365">
        <v>0</v>
      </c>
      <c r="I365">
        <v>2</v>
      </c>
      <c r="J365">
        <v>0.2</v>
      </c>
      <c r="K365">
        <v>0.21210000000000001</v>
      </c>
      <c r="L365">
        <v>0.69</v>
      </c>
      <c r="M365">
        <v>0.16420000000000001</v>
      </c>
      <c r="N365">
        <v>0</v>
      </c>
      <c r="O365">
        <v>2</v>
      </c>
      <c r="P365">
        <v>2</v>
      </c>
    </row>
    <row r="366" spans="1:16" x14ac:dyDescent="0.3">
      <c r="A366">
        <v>975</v>
      </c>
      <c r="B366" s="4">
        <v>40587</v>
      </c>
      <c r="C366">
        <v>1</v>
      </c>
      <c r="D366">
        <v>0</v>
      </c>
      <c r="E366">
        <v>2</v>
      </c>
      <c r="F366">
        <v>6</v>
      </c>
      <c r="G366" t="b">
        <v>0</v>
      </c>
      <c r="H366">
        <v>0</v>
      </c>
      <c r="I366">
        <v>2</v>
      </c>
      <c r="J366">
        <v>0.2</v>
      </c>
      <c r="K366">
        <v>0.21210000000000001</v>
      </c>
      <c r="L366">
        <v>0.69</v>
      </c>
      <c r="M366">
        <v>0.1343</v>
      </c>
      <c r="N366">
        <v>2</v>
      </c>
      <c r="O366">
        <v>3</v>
      </c>
      <c r="P366">
        <v>5</v>
      </c>
    </row>
    <row r="367" spans="1:16" x14ac:dyDescent="0.3">
      <c r="A367">
        <v>976</v>
      </c>
      <c r="B367" s="4">
        <v>40587</v>
      </c>
      <c r="C367">
        <v>1</v>
      </c>
      <c r="D367">
        <v>0</v>
      </c>
      <c r="E367">
        <v>2</v>
      </c>
      <c r="F367">
        <v>7</v>
      </c>
      <c r="G367" t="b">
        <v>0</v>
      </c>
      <c r="H367">
        <v>0</v>
      </c>
      <c r="I367">
        <v>2</v>
      </c>
      <c r="J367">
        <v>0.22</v>
      </c>
      <c r="K367">
        <v>0.2727</v>
      </c>
      <c r="L367">
        <v>0.55000000000000004</v>
      </c>
      <c r="M367">
        <v>0</v>
      </c>
      <c r="N367">
        <v>0</v>
      </c>
      <c r="O367">
        <v>3</v>
      </c>
      <c r="P367">
        <v>3</v>
      </c>
    </row>
    <row r="368" spans="1:16" x14ac:dyDescent="0.3">
      <c r="A368">
        <v>977</v>
      </c>
      <c r="B368" s="4">
        <v>40587</v>
      </c>
      <c r="C368">
        <v>1</v>
      </c>
      <c r="D368">
        <v>0</v>
      </c>
      <c r="E368">
        <v>2</v>
      </c>
      <c r="F368">
        <v>8</v>
      </c>
      <c r="G368" t="b">
        <v>0</v>
      </c>
      <c r="H368">
        <v>0</v>
      </c>
      <c r="I368">
        <v>2</v>
      </c>
      <c r="J368">
        <v>0.22</v>
      </c>
      <c r="K368">
        <v>0.2273</v>
      </c>
      <c r="L368">
        <v>0.64</v>
      </c>
      <c r="M368">
        <v>0.19400000000000001</v>
      </c>
      <c r="N368">
        <v>1</v>
      </c>
      <c r="O368">
        <v>11</v>
      </c>
      <c r="P368">
        <v>12</v>
      </c>
    </row>
    <row r="369" spans="1:16" x14ac:dyDescent="0.3">
      <c r="A369">
        <v>978</v>
      </c>
      <c r="B369" s="4">
        <v>40587</v>
      </c>
      <c r="C369">
        <v>1</v>
      </c>
      <c r="D369">
        <v>0</v>
      </c>
      <c r="E369">
        <v>2</v>
      </c>
      <c r="F369">
        <v>9</v>
      </c>
      <c r="G369" t="b">
        <v>0</v>
      </c>
      <c r="H369">
        <v>0</v>
      </c>
      <c r="I369">
        <v>2</v>
      </c>
      <c r="J369">
        <v>0.24</v>
      </c>
      <c r="K369">
        <v>0.2273</v>
      </c>
      <c r="L369">
        <v>0.6</v>
      </c>
      <c r="M369">
        <v>0.22389999999999999</v>
      </c>
      <c r="N369">
        <v>12</v>
      </c>
      <c r="O369">
        <v>35</v>
      </c>
      <c r="P369">
        <v>47</v>
      </c>
    </row>
    <row r="370" spans="1:16" x14ac:dyDescent="0.3">
      <c r="A370">
        <v>979</v>
      </c>
      <c r="B370" s="4">
        <v>40587</v>
      </c>
      <c r="C370">
        <v>1</v>
      </c>
      <c r="D370">
        <v>0</v>
      </c>
      <c r="E370">
        <v>2</v>
      </c>
      <c r="F370">
        <v>10</v>
      </c>
      <c r="G370" t="b">
        <v>0</v>
      </c>
      <c r="H370">
        <v>0</v>
      </c>
      <c r="I370">
        <v>1</v>
      </c>
      <c r="J370">
        <v>0.3</v>
      </c>
      <c r="K370">
        <v>0.2727</v>
      </c>
      <c r="L370">
        <v>0.45</v>
      </c>
      <c r="M370">
        <v>0.32840000000000003</v>
      </c>
      <c r="N370">
        <v>19</v>
      </c>
      <c r="O370">
        <v>86</v>
      </c>
      <c r="P370">
        <v>105</v>
      </c>
    </row>
    <row r="371" spans="1:16" x14ac:dyDescent="0.3">
      <c r="A371">
        <v>980</v>
      </c>
      <c r="B371" s="4">
        <v>40587</v>
      </c>
      <c r="C371">
        <v>1</v>
      </c>
      <c r="D371">
        <v>0</v>
      </c>
      <c r="E371">
        <v>2</v>
      </c>
      <c r="F371">
        <v>11</v>
      </c>
      <c r="G371" t="b">
        <v>0</v>
      </c>
      <c r="H371">
        <v>0</v>
      </c>
      <c r="I371">
        <v>1</v>
      </c>
      <c r="J371">
        <v>0.32</v>
      </c>
      <c r="K371">
        <v>0.28789999999999999</v>
      </c>
      <c r="L371">
        <v>0.39</v>
      </c>
      <c r="M371">
        <v>0.44779999999999998</v>
      </c>
      <c r="N371">
        <v>26</v>
      </c>
      <c r="O371">
        <v>86</v>
      </c>
      <c r="P371">
        <v>112</v>
      </c>
    </row>
    <row r="372" spans="1:16" x14ac:dyDescent="0.3">
      <c r="A372">
        <v>981</v>
      </c>
      <c r="B372" s="4">
        <v>40587</v>
      </c>
      <c r="C372">
        <v>1</v>
      </c>
      <c r="D372">
        <v>0</v>
      </c>
      <c r="E372">
        <v>2</v>
      </c>
      <c r="F372">
        <v>12</v>
      </c>
      <c r="G372" t="b">
        <v>0</v>
      </c>
      <c r="H372">
        <v>0</v>
      </c>
      <c r="I372">
        <v>1</v>
      </c>
      <c r="J372">
        <v>0.36</v>
      </c>
      <c r="K372">
        <v>0.31819999999999998</v>
      </c>
      <c r="L372">
        <v>0.32</v>
      </c>
      <c r="M372">
        <v>0.4627</v>
      </c>
      <c r="N372">
        <v>58</v>
      </c>
      <c r="O372">
        <v>94</v>
      </c>
      <c r="P372">
        <v>152</v>
      </c>
    </row>
    <row r="373" spans="1:16" x14ac:dyDescent="0.3">
      <c r="A373">
        <v>982</v>
      </c>
      <c r="B373" s="4">
        <v>40587</v>
      </c>
      <c r="C373">
        <v>1</v>
      </c>
      <c r="D373">
        <v>0</v>
      </c>
      <c r="E373">
        <v>2</v>
      </c>
      <c r="F373">
        <v>13</v>
      </c>
      <c r="G373" t="b">
        <v>0</v>
      </c>
      <c r="H373">
        <v>0</v>
      </c>
      <c r="I373">
        <v>1</v>
      </c>
      <c r="J373">
        <v>0.38</v>
      </c>
      <c r="K373">
        <v>0.39389999999999997</v>
      </c>
      <c r="L373">
        <v>0.28999999999999998</v>
      </c>
      <c r="M373">
        <v>0.35820000000000002</v>
      </c>
      <c r="N373">
        <v>62</v>
      </c>
      <c r="O373">
        <v>92</v>
      </c>
      <c r="P373">
        <v>154</v>
      </c>
    </row>
    <row r="374" spans="1:16" x14ac:dyDescent="0.3">
      <c r="A374">
        <v>983</v>
      </c>
      <c r="B374" s="4">
        <v>40587</v>
      </c>
      <c r="C374">
        <v>1</v>
      </c>
      <c r="D374">
        <v>0</v>
      </c>
      <c r="E374">
        <v>2</v>
      </c>
      <c r="F374">
        <v>14</v>
      </c>
      <c r="G374" t="b">
        <v>0</v>
      </c>
      <c r="H374">
        <v>0</v>
      </c>
      <c r="I374">
        <v>2</v>
      </c>
      <c r="J374">
        <v>0.4</v>
      </c>
      <c r="K374">
        <v>0.40910000000000002</v>
      </c>
      <c r="L374">
        <v>0.3</v>
      </c>
      <c r="M374">
        <v>0.41789999999999999</v>
      </c>
      <c r="N374">
        <v>51</v>
      </c>
      <c r="O374">
        <v>110</v>
      </c>
      <c r="P374">
        <v>161</v>
      </c>
    </row>
    <row r="375" spans="1:16" x14ac:dyDescent="0.3">
      <c r="A375">
        <v>984</v>
      </c>
      <c r="B375" s="4">
        <v>40587</v>
      </c>
      <c r="C375">
        <v>1</v>
      </c>
      <c r="D375">
        <v>0</v>
      </c>
      <c r="E375">
        <v>2</v>
      </c>
      <c r="F375">
        <v>15</v>
      </c>
      <c r="G375" t="b">
        <v>0</v>
      </c>
      <c r="H375">
        <v>0</v>
      </c>
      <c r="I375">
        <v>2</v>
      </c>
      <c r="J375">
        <v>0.4</v>
      </c>
      <c r="K375">
        <v>0.40910000000000002</v>
      </c>
      <c r="L375">
        <v>0.3</v>
      </c>
      <c r="M375">
        <v>0.29849999999999999</v>
      </c>
      <c r="N375">
        <v>40</v>
      </c>
      <c r="O375">
        <v>122</v>
      </c>
      <c r="P375">
        <v>162</v>
      </c>
    </row>
    <row r="376" spans="1:16" x14ac:dyDescent="0.3">
      <c r="A376">
        <v>985</v>
      </c>
      <c r="B376" s="4">
        <v>40587</v>
      </c>
      <c r="C376">
        <v>1</v>
      </c>
      <c r="D376">
        <v>0</v>
      </c>
      <c r="E376">
        <v>2</v>
      </c>
      <c r="F376">
        <v>16</v>
      </c>
      <c r="G376" t="b">
        <v>0</v>
      </c>
      <c r="H376">
        <v>0</v>
      </c>
      <c r="I376">
        <v>2</v>
      </c>
      <c r="J376">
        <v>0.42</v>
      </c>
      <c r="K376">
        <v>0.42420000000000002</v>
      </c>
      <c r="L376">
        <v>0.28000000000000003</v>
      </c>
      <c r="M376">
        <v>0.32840000000000003</v>
      </c>
      <c r="N376">
        <v>28</v>
      </c>
      <c r="O376">
        <v>106</v>
      </c>
      <c r="P376">
        <v>134</v>
      </c>
    </row>
    <row r="377" spans="1:16" x14ac:dyDescent="0.3">
      <c r="A377">
        <v>986</v>
      </c>
      <c r="B377" s="4">
        <v>40587</v>
      </c>
      <c r="C377">
        <v>1</v>
      </c>
      <c r="D377">
        <v>0</v>
      </c>
      <c r="E377">
        <v>2</v>
      </c>
      <c r="F377">
        <v>17</v>
      </c>
      <c r="G377" t="b">
        <v>0</v>
      </c>
      <c r="H377">
        <v>0</v>
      </c>
      <c r="I377">
        <v>1</v>
      </c>
      <c r="J377">
        <v>0.42</v>
      </c>
      <c r="K377">
        <v>0.42420000000000002</v>
      </c>
      <c r="L377">
        <v>0.28000000000000003</v>
      </c>
      <c r="M377">
        <v>0.32840000000000003</v>
      </c>
      <c r="N377">
        <v>30</v>
      </c>
      <c r="O377">
        <v>95</v>
      </c>
      <c r="P377">
        <v>125</v>
      </c>
    </row>
    <row r="378" spans="1:16" x14ac:dyDescent="0.3">
      <c r="A378">
        <v>987</v>
      </c>
      <c r="B378" s="4">
        <v>40587</v>
      </c>
      <c r="C378">
        <v>1</v>
      </c>
      <c r="D378">
        <v>0</v>
      </c>
      <c r="E378">
        <v>2</v>
      </c>
      <c r="F378">
        <v>18</v>
      </c>
      <c r="G378" t="b">
        <v>0</v>
      </c>
      <c r="H378">
        <v>0</v>
      </c>
      <c r="I378">
        <v>1</v>
      </c>
      <c r="J378">
        <v>0.4</v>
      </c>
      <c r="K378">
        <v>0.40910000000000002</v>
      </c>
      <c r="L378">
        <v>0.32</v>
      </c>
      <c r="M378">
        <v>0.29849999999999999</v>
      </c>
      <c r="N378">
        <v>17</v>
      </c>
      <c r="O378">
        <v>78</v>
      </c>
      <c r="P378">
        <v>95</v>
      </c>
    </row>
    <row r="379" spans="1:16" x14ac:dyDescent="0.3">
      <c r="A379">
        <v>988</v>
      </c>
      <c r="B379" s="4">
        <v>40587</v>
      </c>
      <c r="C379">
        <v>1</v>
      </c>
      <c r="D379">
        <v>0</v>
      </c>
      <c r="E379">
        <v>2</v>
      </c>
      <c r="F379">
        <v>19</v>
      </c>
      <c r="G379" t="b">
        <v>0</v>
      </c>
      <c r="H379">
        <v>0</v>
      </c>
      <c r="I379">
        <v>1</v>
      </c>
      <c r="J379">
        <v>0.4</v>
      </c>
      <c r="K379">
        <v>0.40910000000000002</v>
      </c>
      <c r="L379">
        <v>0.35</v>
      </c>
      <c r="M379">
        <v>0.28360000000000002</v>
      </c>
      <c r="N379">
        <v>11</v>
      </c>
      <c r="O379">
        <v>50</v>
      </c>
      <c r="P379">
        <v>61</v>
      </c>
    </row>
    <row r="380" spans="1:16" x14ac:dyDescent="0.3">
      <c r="A380">
        <v>989</v>
      </c>
      <c r="B380" s="4">
        <v>40587</v>
      </c>
      <c r="C380">
        <v>1</v>
      </c>
      <c r="D380">
        <v>0</v>
      </c>
      <c r="E380">
        <v>2</v>
      </c>
      <c r="F380">
        <v>20</v>
      </c>
      <c r="G380" t="b">
        <v>0</v>
      </c>
      <c r="H380">
        <v>0</v>
      </c>
      <c r="I380">
        <v>1</v>
      </c>
      <c r="J380">
        <v>0.4</v>
      </c>
      <c r="K380">
        <v>0.40910000000000002</v>
      </c>
      <c r="L380">
        <v>0.35</v>
      </c>
      <c r="M380">
        <v>0.32840000000000003</v>
      </c>
      <c r="N380">
        <v>15</v>
      </c>
      <c r="O380">
        <v>32</v>
      </c>
      <c r="P380">
        <v>47</v>
      </c>
    </row>
    <row r="381" spans="1:16" x14ac:dyDescent="0.3">
      <c r="A381">
        <v>990</v>
      </c>
      <c r="B381" s="4">
        <v>40587</v>
      </c>
      <c r="C381">
        <v>1</v>
      </c>
      <c r="D381">
        <v>0</v>
      </c>
      <c r="E381">
        <v>2</v>
      </c>
      <c r="F381">
        <v>21</v>
      </c>
      <c r="G381" t="b">
        <v>0</v>
      </c>
      <c r="H381">
        <v>0</v>
      </c>
      <c r="I381">
        <v>1</v>
      </c>
      <c r="J381">
        <v>0.4</v>
      </c>
      <c r="K381">
        <v>0.40910000000000002</v>
      </c>
      <c r="L381">
        <v>0.35</v>
      </c>
      <c r="M381">
        <v>0.35820000000000002</v>
      </c>
      <c r="N381">
        <v>6</v>
      </c>
      <c r="O381">
        <v>45</v>
      </c>
      <c r="P381">
        <v>51</v>
      </c>
    </row>
    <row r="382" spans="1:16" x14ac:dyDescent="0.3">
      <c r="A382">
        <v>991</v>
      </c>
      <c r="B382" s="4">
        <v>40587</v>
      </c>
      <c r="C382">
        <v>1</v>
      </c>
      <c r="D382">
        <v>0</v>
      </c>
      <c r="E382">
        <v>2</v>
      </c>
      <c r="F382">
        <v>22</v>
      </c>
      <c r="G382" t="b">
        <v>0</v>
      </c>
      <c r="H382">
        <v>0</v>
      </c>
      <c r="I382">
        <v>1</v>
      </c>
      <c r="J382">
        <v>0.4</v>
      </c>
      <c r="K382">
        <v>0.40910000000000002</v>
      </c>
      <c r="L382">
        <v>0.35</v>
      </c>
      <c r="M382">
        <v>0.29849999999999999</v>
      </c>
      <c r="N382">
        <v>5</v>
      </c>
      <c r="O382">
        <v>31</v>
      </c>
      <c r="P382">
        <v>36</v>
      </c>
    </row>
    <row r="383" spans="1:16" x14ac:dyDescent="0.3">
      <c r="A383">
        <v>992</v>
      </c>
      <c r="B383" s="4">
        <v>40587</v>
      </c>
      <c r="C383">
        <v>1</v>
      </c>
      <c r="D383">
        <v>0</v>
      </c>
      <c r="E383">
        <v>2</v>
      </c>
      <c r="F383">
        <v>23</v>
      </c>
      <c r="G383" t="b">
        <v>0</v>
      </c>
      <c r="H383">
        <v>0</v>
      </c>
      <c r="I383">
        <v>1</v>
      </c>
      <c r="J383">
        <v>0.4</v>
      </c>
      <c r="K383">
        <v>0.40910000000000002</v>
      </c>
      <c r="L383">
        <v>0.35</v>
      </c>
      <c r="M383">
        <v>0.35820000000000002</v>
      </c>
      <c r="N383">
        <v>3</v>
      </c>
      <c r="O383">
        <v>27</v>
      </c>
      <c r="P383">
        <v>30</v>
      </c>
    </row>
    <row r="384" spans="1:16" x14ac:dyDescent="0.3">
      <c r="A384">
        <v>993</v>
      </c>
      <c r="B384" s="4">
        <v>40588</v>
      </c>
      <c r="C384">
        <v>1</v>
      </c>
      <c r="D384">
        <v>0</v>
      </c>
      <c r="E384">
        <v>2</v>
      </c>
      <c r="F384">
        <v>0</v>
      </c>
      <c r="G384" t="b">
        <v>0</v>
      </c>
      <c r="H384">
        <v>1</v>
      </c>
      <c r="I384">
        <v>1</v>
      </c>
      <c r="J384">
        <v>0.38</v>
      </c>
      <c r="K384">
        <v>0.39389999999999997</v>
      </c>
      <c r="L384">
        <v>0.37</v>
      </c>
      <c r="M384">
        <v>0.35820000000000002</v>
      </c>
      <c r="N384">
        <v>3</v>
      </c>
      <c r="O384">
        <v>8</v>
      </c>
      <c r="P384">
        <v>11</v>
      </c>
    </row>
    <row r="385" spans="1:16" x14ac:dyDescent="0.3">
      <c r="A385">
        <v>994</v>
      </c>
      <c r="B385" s="4">
        <v>40588</v>
      </c>
      <c r="C385">
        <v>1</v>
      </c>
      <c r="D385">
        <v>0</v>
      </c>
      <c r="E385">
        <v>2</v>
      </c>
      <c r="F385">
        <v>1</v>
      </c>
      <c r="G385" t="b">
        <v>0</v>
      </c>
      <c r="H385">
        <v>1</v>
      </c>
      <c r="I385">
        <v>1</v>
      </c>
      <c r="J385">
        <v>0.38</v>
      </c>
      <c r="K385">
        <v>0.39389999999999997</v>
      </c>
      <c r="L385">
        <v>0.37</v>
      </c>
      <c r="M385">
        <v>0.35820000000000002</v>
      </c>
      <c r="N385">
        <v>1</v>
      </c>
      <c r="O385">
        <v>6</v>
      </c>
      <c r="P385">
        <v>7</v>
      </c>
    </row>
    <row r="386" spans="1:16" x14ac:dyDescent="0.3">
      <c r="A386">
        <v>995</v>
      </c>
      <c r="B386" s="4">
        <v>40588</v>
      </c>
      <c r="C386">
        <v>1</v>
      </c>
      <c r="D386">
        <v>0</v>
      </c>
      <c r="E386">
        <v>2</v>
      </c>
      <c r="F386">
        <v>2</v>
      </c>
      <c r="G386" t="b">
        <v>0</v>
      </c>
      <c r="H386">
        <v>1</v>
      </c>
      <c r="I386">
        <v>1</v>
      </c>
      <c r="J386">
        <v>0.36</v>
      </c>
      <c r="K386">
        <v>0.33329999999999999</v>
      </c>
      <c r="L386">
        <v>0.4</v>
      </c>
      <c r="M386">
        <v>0.29849999999999999</v>
      </c>
      <c r="N386">
        <v>0</v>
      </c>
      <c r="O386">
        <v>2</v>
      </c>
      <c r="P386">
        <v>2</v>
      </c>
    </row>
    <row r="387" spans="1:16" x14ac:dyDescent="0.3">
      <c r="A387">
        <v>996</v>
      </c>
      <c r="B387" s="4">
        <v>40588</v>
      </c>
      <c r="C387">
        <v>1</v>
      </c>
      <c r="D387">
        <v>0</v>
      </c>
      <c r="E387">
        <v>2</v>
      </c>
      <c r="F387">
        <v>3</v>
      </c>
      <c r="G387" t="b">
        <v>0</v>
      </c>
      <c r="H387">
        <v>1</v>
      </c>
      <c r="I387">
        <v>1</v>
      </c>
      <c r="J387">
        <v>0.34</v>
      </c>
      <c r="K387">
        <v>0.31819999999999998</v>
      </c>
      <c r="L387">
        <v>0.46</v>
      </c>
      <c r="M387">
        <v>0.22389999999999999</v>
      </c>
      <c r="N387">
        <v>1</v>
      </c>
      <c r="O387">
        <v>1</v>
      </c>
      <c r="P387">
        <v>2</v>
      </c>
    </row>
    <row r="388" spans="1:16" x14ac:dyDescent="0.3">
      <c r="A388">
        <v>997</v>
      </c>
      <c r="B388" s="4">
        <v>40588</v>
      </c>
      <c r="C388">
        <v>1</v>
      </c>
      <c r="D388">
        <v>0</v>
      </c>
      <c r="E388">
        <v>2</v>
      </c>
      <c r="F388">
        <v>4</v>
      </c>
      <c r="G388" t="b">
        <v>0</v>
      </c>
      <c r="H388">
        <v>1</v>
      </c>
      <c r="I388">
        <v>1</v>
      </c>
      <c r="J388">
        <v>0.32</v>
      </c>
      <c r="K388">
        <v>0.30299999999999999</v>
      </c>
      <c r="L388">
        <v>0.53</v>
      </c>
      <c r="M388">
        <v>0.28360000000000002</v>
      </c>
      <c r="N388">
        <v>0</v>
      </c>
      <c r="O388">
        <v>2</v>
      </c>
      <c r="P388">
        <v>2</v>
      </c>
    </row>
    <row r="389" spans="1:16" x14ac:dyDescent="0.3">
      <c r="A389">
        <v>998</v>
      </c>
      <c r="B389" s="4">
        <v>40588</v>
      </c>
      <c r="C389">
        <v>1</v>
      </c>
      <c r="D389">
        <v>0</v>
      </c>
      <c r="E389">
        <v>2</v>
      </c>
      <c r="F389">
        <v>5</v>
      </c>
      <c r="G389" t="b">
        <v>0</v>
      </c>
      <c r="H389">
        <v>1</v>
      </c>
      <c r="I389">
        <v>1</v>
      </c>
      <c r="J389">
        <v>0.32</v>
      </c>
      <c r="K389">
        <v>0.30299999999999999</v>
      </c>
      <c r="L389">
        <v>0.53</v>
      </c>
      <c r="M389">
        <v>0.28360000000000002</v>
      </c>
      <c r="N389">
        <v>0</v>
      </c>
      <c r="O389">
        <v>3</v>
      </c>
      <c r="P389">
        <v>3</v>
      </c>
    </row>
    <row r="390" spans="1:16" x14ac:dyDescent="0.3">
      <c r="A390">
        <v>999</v>
      </c>
      <c r="B390" s="4">
        <v>40588</v>
      </c>
      <c r="C390">
        <v>1</v>
      </c>
      <c r="D390">
        <v>0</v>
      </c>
      <c r="E390">
        <v>2</v>
      </c>
      <c r="F390">
        <v>6</v>
      </c>
      <c r="G390" t="b">
        <v>0</v>
      </c>
      <c r="H390">
        <v>1</v>
      </c>
      <c r="I390">
        <v>1</v>
      </c>
      <c r="J390">
        <v>0.34</v>
      </c>
      <c r="K390">
        <v>0.30299999999999999</v>
      </c>
      <c r="L390">
        <v>0.46</v>
      </c>
      <c r="M390">
        <v>0.29849999999999999</v>
      </c>
      <c r="N390">
        <v>1</v>
      </c>
      <c r="O390">
        <v>25</v>
      </c>
      <c r="P390">
        <v>26</v>
      </c>
    </row>
    <row r="391" spans="1:16" x14ac:dyDescent="0.3">
      <c r="A391">
        <v>1000</v>
      </c>
      <c r="B391" s="4">
        <v>40588</v>
      </c>
      <c r="C391">
        <v>1</v>
      </c>
      <c r="D391">
        <v>0</v>
      </c>
      <c r="E391">
        <v>2</v>
      </c>
      <c r="F391">
        <v>7</v>
      </c>
      <c r="G391" t="b">
        <v>0</v>
      </c>
      <c r="H391">
        <v>1</v>
      </c>
      <c r="I391">
        <v>1</v>
      </c>
      <c r="J391">
        <v>0.34</v>
      </c>
      <c r="K391">
        <v>0.30299999999999999</v>
      </c>
      <c r="L391">
        <v>0.46</v>
      </c>
      <c r="M391">
        <v>0.29849999999999999</v>
      </c>
      <c r="N391">
        <v>2</v>
      </c>
      <c r="O391">
        <v>96</v>
      </c>
      <c r="P391">
        <v>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7CB8D-CC05-4F05-B512-874864E397CC}">
  <dimension ref="A1:R611"/>
  <sheetViews>
    <sheetView workbookViewId="0">
      <selection sqref="A1:P611"/>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8" x14ac:dyDescent="0.3">
      <c r="A2">
        <v>1</v>
      </c>
      <c r="B2" s="4">
        <v>40544</v>
      </c>
      <c r="C2">
        <v>1</v>
      </c>
      <c r="D2">
        <v>0</v>
      </c>
      <c r="E2">
        <v>1</v>
      </c>
      <c r="F2">
        <v>0</v>
      </c>
      <c r="G2" t="b">
        <v>0</v>
      </c>
      <c r="H2">
        <v>6</v>
      </c>
      <c r="I2">
        <v>1</v>
      </c>
      <c r="J2">
        <v>0.24</v>
      </c>
      <c r="K2">
        <v>0.28789999999999999</v>
      </c>
      <c r="L2">
        <v>0.81</v>
      </c>
      <c r="M2">
        <v>0</v>
      </c>
      <c r="N2">
        <v>3</v>
      </c>
      <c r="O2">
        <v>13</v>
      </c>
      <c r="P2">
        <v>16</v>
      </c>
      <c r="R2" s="5" t="s">
        <v>16</v>
      </c>
    </row>
    <row r="3" spans="1:18" x14ac:dyDescent="0.3">
      <c r="A3">
        <v>2</v>
      </c>
      <c r="B3" s="4">
        <v>40544</v>
      </c>
      <c r="C3">
        <v>1</v>
      </c>
      <c r="D3">
        <v>0</v>
      </c>
      <c r="E3">
        <v>1</v>
      </c>
      <c r="F3">
        <v>1</v>
      </c>
      <c r="G3" t="b">
        <v>0</v>
      </c>
      <c r="H3">
        <v>6</v>
      </c>
      <c r="I3">
        <v>1</v>
      </c>
      <c r="J3">
        <v>0.22</v>
      </c>
      <c r="K3">
        <v>0.2727</v>
      </c>
      <c r="L3">
        <v>0.8</v>
      </c>
      <c r="M3">
        <v>0</v>
      </c>
      <c r="N3">
        <v>8</v>
      </c>
      <c r="O3">
        <v>32</v>
      </c>
      <c r="P3">
        <v>40</v>
      </c>
    </row>
    <row r="4" spans="1:18" x14ac:dyDescent="0.3">
      <c r="A4">
        <v>3</v>
      </c>
      <c r="B4" s="4">
        <v>40544</v>
      </c>
      <c r="C4">
        <v>1</v>
      </c>
      <c r="D4">
        <v>0</v>
      </c>
      <c r="E4">
        <v>1</v>
      </c>
      <c r="F4">
        <v>2</v>
      </c>
      <c r="G4" t="b">
        <v>0</v>
      </c>
      <c r="H4">
        <v>6</v>
      </c>
      <c r="I4">
        <v>1</v>
      </c>
      <c r="J4">
        <v>0.22</v>
      </c>
      <c r="K4">
        <v>0.2727</v>
      </c>
      <c r="L4">
        <v>0.8</v>
      </c>
      <c r="M4">
        <v>0</v>
      </c>
      <c r="N4">
        <v>5</v>
      </c>
      <c r="O4">
        <v>27</v>
      </c>
      <c r="P4">
        <v>32</v>
      </c>
    </row>
    <row r="5" spans="1:18" x14ac:dyDescent="0.3">
      <c r="A5">
        <v>4</v>
      </c>
      <c r="B5" s="4">
        <v>40544</v>
      </c>
      <c r="C5">
        <v>1</v>
      </c>
      <c r="D5">
        <v>0</v>
      </c>
      <c r="E5">
        <v>1</v>
      </c>
      <c r="F5">
        <v>3</v>
      </c>
      <c r="G5" t="b">
        <v>0</v>
      </c>
      <c r="H5">
        <v>6</v>
      </c>
      <c r="I5">
        <v>1</v>
      </c>
      <c r="J5">
        <v>0.24</v>
      </c>
      <c r="K5">
        <v>0.28789999999999999</v>
      </c>
      <c r="L5">
        <v>0.75</v>
      </c>
      <c r="M5">
        <v>0</v>
      </c>
      <c r="N5">
        <v>3</v>
      </c>
      <c r="O5">
        <v>10</v>
      </c>
      <c r="P5">
        <v>13</v>
      </c>
    </row>
    <row r="6" spans="1:18" x14ac:dyDescent="0.3">
      <c r="A6">
        <v>5</v>
      </c>
      <c r="B6" s="4">
        <v>40544</v>
      </c>
      <c r="C6">
        <v>1</v>
      </c>
      <c r="D6">
        <v>0</v>
      </c>
      <c r="E6">
        <v>1</v>
      </c>
      <c r="F6">
        <v>4</v>
      </c>
      <c r="G6" t="b">
        <v>0</v>
      </c>
      <c r="H6">
        <v>6</v>
      </c>
      <c r="I6">
        <v>1</v>
      </c>
      <c r="J6">
        <v>0.24</v>
      </c>
      <c r="K6">
        <v>0.28789999999999999</v>
      </c>
      <c r="L6">
        <v>0.75</v>
      </c>
      <c r="M6">
        <v>0</v>
      </c>
      <c r="N6">
        <v>0</v>
      </c>
      <c r="O6">
        <v>1</v>
      </c>
      <c r="P6">
        <v>1</v>
      </c>
    </row>
    <row r="7" spans="1:18" x14ac:dyDescent="0.3">
      <c r="A7">
        <v>6</v>
      </c>
      <c r="B7" s="4">
        <v>40544</v>
      </c>
      <c r="C7">
        <v>1</v>
      </c>
      <c r="D7">
        <v>0</v>
      </c>
      <c r="E7">
        <v>1</v>
      </c>
      <c r="F7">
        <v>5</v>
      </c>
      <c r="G7" t="b">
        <v>0</v>
      </c>
      <c r="H7">
        <v>6</v>
      </c>
      <c r="I7">
        <v>2</v>
      </c>
      <c r="J7">
        <v>0.24</v>
      </c>
      <c r="K7">
        <v>0.2576</v>
      </c>
      <c r="L7">
        <v>0.75</v>
      </c>
      <c r="M7">
        <v>8.9599999999999999E-2</v>
      </c>
      <c r="N7">
        <v>0</v>
      </c>
      <c r="O7">
        <v>1</v>
      </c>
      <c r="P7">
        <v>1</v>
      </c>
    </row>
    <row r="8" spans="1:18" x14ac:dyDescent="0.3">
      <c r="A8">
        <v>7</v>
      </c>
      <c r="B8" s="4">
        <v>40544</v>
      </c>
      <c r="C8">
        <v>1</v>
      </c>
      <c r="D8">
        <v>0</v>
      </c>
      <c r="E8">
        <v>1</v>
      </c>
      <c r="F8">
        <v>6</v>
      </c>
      <c r="G8" t="b">
        <v>0</v>
      </c>
      <c r="H8">
        <v>6</v>
      </c>
      <c r="I8">
        <v>1</v>
      </c>
      <c r="J8">
        <v>0.22</v>
      </c>
      <c r="K8">
        <v>0.2727</v>
      </c>
      <c r="L8">
        <v>0.8</v>
      </c>
      <c r="M8">
        <v>0</v>
      </c>
      <c r="N8">
        <v>2</v>
      </c>
      <c r="O8">
        <v>0</v>
      </c>
      <c r="P8">
        <v>2</v>
      </c>
    </row>
    <row r="9" spans="1:18" x14ac:dyDescent="0.3">
      <c r="A9">
        <v>8</v>
      </c>
      <c r="B9" s="4">
        <v>40544</v>
      </c>
      <c r="C9">
        <v>1</v>
      </c>
      <c r="D9">
        <v>0</v>
      </c>
      <c r="E9">
        <v>1</v>
      </c>
      <c r="F9">
        <v>7</v>
      </c>
      <c r="G9" t="b">
        <v>0</v>
      </c>
      <c r="H9">
        <v>6</v>
      </c>
      <c r="I9">
        <v>1</v>
      </c>
      <c r="J9">
        <v>0.2</v>
      </c>
      <c r="K9">
        <v>0.2576</v>
      </c>
      <c r="L9">
        <v>0.86</v>
      </c>
      <c r="M9">
        <v>0</v>
      </c>
      <c r="N9">
        <v>1</v>
      </c>
      <c r="O9">
        <v>2</v>
      </c>
      <c r="P9">
        <v>3</v>
      </c>
    </row>
    <row r="10" spans="1:18" x14ac:dyDescent="0.3">
      <c r="A10">
        <v>9</v>
      </c>
      <c r="B10" s="4">
        <v>40544</v>
      </c>
      <c r="C10">
        <v>1</v>
      </c>
      <c r="D10">
        <v>0</v>
      </c>
      <c r="E10">
        <v>1</v>
      </c>
      <c r="F10">
        <v>8</v>
      </c>
      <c r="G10" t="b">
        <v>0</v>
      </c>
      <c r="H10">
        <v>6</v>
      </c>
      <c r="I10">
        <v>1</v>
      </c>
      <c r="J10">
        <v>0.24</v>
      </c>
      <c r="K10">
        <v>0.19989999999999999</v>
      </c>
      <c r="L10">
        <v>0.75</v>
      </c>
      <c r="M10">
        <v>0</v>
      </c>
      <c r="N10">
        <v>1</v>
      </c>
      <c r="O10">
        <v>7</v>
      </c>
      <c r="P10">
        <v>8</v>
      </c>
    </row>
    <row r="11" spans="1:18" x14ac:dyDescent="0.3">
      <c r="A11">
        <v>10</v>
      </c>
      <c r="B11" s="4">
        <v>40544</v>
      </c>
      <c r="C11">
        <v>1</v>
      </c>
      <c r="D11">
        <v>0</v>
      </c>
      <c r="E11">
        <v>1</v>
      </c>
      <c r="F11">
        <v>9</v>
      </c>
      <c r="G11" t="b">
        <v>0</v>
      </c>
      <c r="H11">
        <v>6</v>
      </c>
      <c r="I11">
        <v>1</v>
      </c>
      <c r="J11">
        <v>0.32</v>
      </c>
      <c r="K11">
        <v>0.34849999999999998</v>
      </c>
      <c r="L11">
        <v>0.76</v>
      </c>
      <c r="M11">
        <v>0</v>
      </c>
      <c r="N11">
        <v>8</v>
      </c>
      <c r="O11">
        <v>6</v>
      </c>
      <c r="P11">
        <v>14</v>
      </c>
    </row>
    <row r="12" spans="1:18" x14ac:dyDescent="0.3">
      <c r="A12">
        <v>11</v>
      </c>
      <c r="B12" s="4">
        <v>40544</v>
      </c>
      <c r="C12">
        <v>1</v>
      </c>
      <c r="D12">
        <v>0</v>
      </c>
      <c r="E12">
        <v>1</v>
      </c>
      <c r="F12">
        <v>10</v>
      </c>
      <c r="G12" t="b">
        <v>0</v>
      </c>
      <c r="H12">
        <v>6</v>
      </c>
      <c r="I12">
        <v>1</v>
      </c>
      <c r="J12">
        <v>0.38</v>
      </c>
      <c r="K12">
        <v>0.39389999999999997</v>
      </c>
      <c r="L12">
        <v>0.76</v>
      </c>
      <c r="M12">
        <v>0.25369999999999998</v>
      </c>
      <c r="N12">
        <v>12</v>
      </c>
      <c r="O12">
        <v>24</v>
      </c>
      <c r="P12">
        <v>36</v>
      </c>
    </row>
    <row r="13" spans="1:18" x14ac:dyDescent="0.3">
      <c r="A13">
        <v>12</v>
      </c>
      <c r="B13" s="4">
        <v>40544</v>
      </c>
      <c r="C13">
        <v>1</v>
      </c>
      <c r="D13">
        <v>0</v>
      </c>
      <c r="E13">
        <v>1</v>
      </c>
      <c r="F13">
        <v>11</v>
      </c>
      <c r="G13" t="b">
        <v>0</v>
      </c>
      <c r="H13">
        <v>6</v>
      </c>
      <c r="I13">
        <v>1</v>
      </c>
      <c r="J13">
        <v>0.36</v>
      </c>
      <c r="K13">
        <v>0.33329999999999999</v>
      </c>
      <c r="L13">
        <v>0.81</v>
      </c>
      <c r="M13">
        <v>0.28360000000000002</v>
      </c>
      <c r="N13">
        <v>26</v>
      </c>
      <c r="O13">
        <v>30</v>
      </c>
      <c r="P13">
        <v>56</v>
      </c>
    </row>
    <row r="14" spans="1:18" x14ac:dyDescent="0.3">
      <c r="A14">
        <v>13</v>
      </c>
      <c r="B14" s="4">
        <v>40544</v>
      </c>
      <c r="C14">
        <v>1</v>
      </c>
      <c r="D14">
        <v>0</v>
      </c>
      <c r="E14">
        <v>1</v>
      </c>
      <c r="F14">
        <v>12</v>
      </c>
      <c r="G14" t="b">
        <v>0</v>
      </c>
      <c r="H14">
        <v>6</v>
      </c>
      <c r="I14">
        <v>1</v>
      </c>
      <c r="J14">
        <v>0.42</v>
      </c>
      <c r="K14">
        <v>0.42420000000000002</v>
      </c>
      <c r="L14">
        <v>0.77</v>
      </c>
      <c r="M14">
        <v>0.28360000000000002</v>
      </c>
      <c r="N14">
        <v>29</v>
      </c>
      <c r="O14">
        <v>55</v>
      </c>
      <c r="P14">
        <v>84</v>
      </c>
    </row>
    <row r="15" spans="1:18" x14ac:dyDescent="0.3">
      <c r="A15">
        <v>14</v>
      </c>
      <c r="B15" s="4">
        <v>40544</v>
      </c>
      <c r="C15">
        <v>1</v>
      </c>
      <c r="D15">
        <v>0</v>
      </c>
      <c r="E15">
        <v>1</v>
      </c>
      <c r="F15">
        <v>13</v>
      </c>
      <c r="G15" t="b">
        <v>0</v>
      </c>
      <c r="H15">
        <v>6</v>
      </c>
      <c r="I15">
        <v>2</v>
      </c>
      <c r="J15">
        <v>0.46</v>
      </c>
      <c r="K15">
        <v>0.45450000000000002</v>
      </c>
      <c r="L15">
        <v>0.72</v>
      </c>
      <c r="M15">
        <v>0.29849999999999999</v>
      </c>
      <c r="N15">
        <v>47</v>
      </c>
      <c r="O15">
        <v>47</v>
      </c>
      <c r="P15">
        <v>94</v>
      </c>
    </row>
    <row r="16" spans="1:18" x14ac:dyDescent="0.3">
      <c r="A16">
        <v>15</v>
      </c>
      <c r="B16" s="4">
        <v>40544</v>
      </c>
      <c r="C16">
        <v>1</v>
      </c>
      <c r="D16">
        <v>0</v>
      </c>
      <c r="E16">
        <v>1</v>
      </c>
      <c r="F16">
        <v>14</v>
      </c>
      <c r="G16" t="b">
        <v>0</v>
      </c>
      <c r="H16">
        <v>6</v>
      </c>
      <c r="I16">
        <v>2</v>
      </c>
      <c r="J16">
        <v>0.46</v>
      </c>
      <c r="K16">
        <v>0.45450000000000002</v>
      </c>
      <c r="L16">
        <v>0.72</v>
      </c>
      <c r="M16">
        <v>0.28360000000000002</v>
      </c>
      <c r="N16">
        <v>35</v>
      </c>
      <c r="O16">
        <v>71</v>
      </c>
      <c r="P16">
        <v>106</v>
      </c>
    </row>
    <row r="17" spans="1:16" x14ac:dyDescent="0.3">
      <c r="A17">
        <v>16</v>
      </c>
      <c r="B17" s="4">
        <v>40544</v>
      </c>
      <c r="C17">
        <v>1</v>
      </c>
      <c r="D17">
        <v>0</v>
      </c>
      <c r="E17">
        <v>1</v>
      </c>
      <c r="F17">
        <v>15</v>
      </c>
      <c r="G17" t="b">
        <v>0</v>
      </c>
      <c r="H17">
        <v>6</v>
      </c>
      <c r="I17">
        <v>2</v>
      </c>
      <c r="J17">
        <v>0.44</v>
      </c>
      <c r="K17">
        <v>0.43940000000000001</v>
      </c>
      <c r="L17">
        <v>0.77</v>
      </c>
      <c r="M17">
        <v>0.29849999999999999</v>
      </c>
      <c r="N17">
        <v>40</v>
      </c>
      <c r="O17">
        <v>70</v>
      </c>
      <c r="P17">
        <v>110</v>
      </c>
    </row>
    <row r="18" spans="1:16" x14ac:dyDescent="0.3">
      <c r="A18">
        <v>17</v>
      </c>
      <c r="B18" s="4">
        <v>40544</v>
      </c>
      <c r="C18">
        <v>1</v>
      </c>
      <c r="D18">
        <v>0</v>
      </c>
      <c r="E18">
        <v>1</v>
      </c>
      <c r="F18">
        <v>16</v>
      </c>
      <c r="G18" t="b">
        <v>0</v>
      </c>
      <c r="H18">
        <v>6</v>
      </c>
      <c r="I18">
        <v>2</v>
      </c>
      <c r="J18">
        <v>0.42</v>
      </c>
      <c r="K18">
        <v>0.42420000000000002</v>
      </c>
      <c r="L18">
        <v>0.82</v>
      </c>
      <c r="M18">
        <v>0.29849999999999999</v>
      </c>
      <c r="N18">
        <v>41</v>
      </c>
      <c r="O18">
        <v>52</v>
      </c>
      <c r="P18">
        <v>93</v>
      </c>
    </row>
    <row r="19" spans="1:16" x14ac:dyDescent="0.3">
      <c r="A19">
        <v>18</v>
      </c>
      <c r="B19" s="4">
        <v>40544</v>
      </c>
      <c r="C19">
        <v>1</v>
      </c>
      <c r="D19">
        <v>0</v>
      </c>
      <c r="E19">
        <v>1</v>
      </c>
      <c r="F19">
        <v>17</v>
      </c>
      <c r="G19" t="b">
        <v>0</v>
      </c>
      <c r="H19">
        <v>6</v>
      </c>
      <c r="I19">
        <v>2</v>
      </c>
      <c r="J19">
        <v>0.44</v>
      </c>
      <c r="K19">
        <v>0.19989999999999999</v>
      </c>
      <c r="L19">
        <v>0.82</v>
      </c>
      <c r="M19">
        <v>0.28360000000000002</v>
      </c>
      <c r="N19">
        <v>15</v>
      </c>
      <c r="O19">
        <v>52</v>
      </c>
      <c r="P19">
        <v>67</v>
      </c>
    </row>
    <row r="20" spans="1:16" x14ac:dyDescent="0.3">
      <c r="A20">
        <v>19</v>
      </c>
      <c r="B20" s="4">
        <v>40544</v>
      </c>
      <c r="C20">
        <v>1</v>
      </c>
      <c r="D20">
        <v>0</v>
      </c>
      <c r="E20">
        <v>1</v>
      </c>
      <c r="F20">
        <v>18</v>
      </c>
      <c r="G20" t="b">
        <v>0</v>
      </c>
      <c r="H20">
        <v>6</v>
      </c>
      <c r="I20">
        <v>3</v>
      </c>
      <c r="J20">
        <v>0.42</v>
      </c>
      <c r="K20">
        <v>0.42420000000000002</v>
      </c>
      <c r="L20">
        <v>0.88</v>
      </c>
      <c r="M20">
        <v>0.25369999999999998</v>
      </c>
      <c r="N20">
        <v>9</v>
      </c>
      <c r="O20">
        <v>26</v>
      </c>
      <c r="P20">
        <v>35</v>
      </c>
    </row>
    <row r="21" spans="1:16" x14ac:dyDescent="0.3">
      <c r="A21">
        <v>20</v>
      </c>
      <c r="B21" s="4">
        <v>40544</v>
      </c>
      <c r="C21">
        <v>1</v>
      </c>
      <c r="D21">
        <v>0</v>
      </c>
      <c r="E21">
        <v>1</v>
      </c>
      <c r="F21">
        <v>19</v>
      </c>
      <c r="G21" t="b">
        <v>0</v>
      </c>
      <c r="H21">
        <v>6</v>
      </c>
      <c r="I21">
        <v>3</v>
      </c>
      <c r="J21">
        <v>0.42</v>
      </c>
      <c r="K21">
        <v>0.42420000000000002</v>
      </c>
      <c r="L21">
        <v>0.88</v>
      </c>
      <c r="M21">
        <v>0.25369999999999998</v>
      </c>
      <c r="N21">
        <v>6</v>
      </c>
      <c r="O21">
        <v>31</v>
      </c>
      <c r="P21">
        <v>37</v>
      </c>
    </row>
    <row r="22" spans="1:16" x14ac:dyDescent="0.3">
      <c r="A22">
        <v>21</v>
      </c>
      <c r="B22" s="4">
        <v>40544</v>
      </c>
      <c r="C22">
        <v>1</v>
      </c>
      <c r="D22">
        <v>0</v>
      </c>
      <c r="E22">
        <v>1</v>
      </c>
      <c r="F22">
        <v>20</v>
      </c>
      <c r="G22" t="b">
        <v>0</v>
      </c>
      <c r="H22">
        <v>6</v>
      </c>
      <c r="I22">
        <v>2</v>
      </c>
      <c r="J22">
        <v>0.4</v>
      </c>
      <c r="K22">
        <v>0.40910000000000002</v>
      </c>
      <c r="L22">
        <v>0.87</v>
      </c>
      <c r="M22">
        <v>0.25369999999999998</v>
      </c>
      <c r="N22">
        <v>11</v>
      </c>
      <c r="O22">
        <v>25</v>
      </c>
      <c r="P22">
        <v>36</v>
      </c>
    </row>
    <row r="23" spans="1:16" x14ac:dyDescent="0.3">
      <c r="A23">
        <v>22</v>
      </c>
      <c r="B23" s="4">
        <v>40544</v>
      </c>
      <c r="C23">
        <v>1</v>
      </c>
      <c r="D23">
        <v>0</v>
      </c>
      <c r="E23">
        <v>1</v>
      </c>
      <c r="F23">
        <v>21</v>
      </c>
      <c r="G23" t="b">
        <v>0</v>
      </c>
      <c r="H23">
        <v>6</v>
      </c>
      <c r="I23">
        <v>2</v>
      </c>
      <c r="J23">
        <v>0.4</v>
      </c>
      <c r="K23">
        <v>0.40910000000000002</v>
      </c>
      <c r="L23">
        <v>0.87</v>
      </c>
      <c r="M23">
        <v>0.19400000000000001</v>
      </c>
      <c r="N23">
        <v>3</v>
      </c>
      <c r="O23">
        <v>31</v>
      </c>
      <c r="P23">
        <v>34</v>
      </c>
    </row>
    <row r="24" spans="1:16" x14ac:dyDescent="0.3">
      <c r="A24">
        <v>23</v>
      </c>
      <c r="B24" s="4">
        <v>40544</v>
      </c>
      <c r="C24">
        <v>1</v>
      </c>
      <c r="D24">
        <v>0</v>
      </c>
      <c r="E24">
        <v>1</v>
      </c>
      <c r="F24">
        <v>22</v>
      </c>
      <c r="G24" t="b">
        <v>0</v>
      </c>
      <c r="H24">
        <v>6</v>
      </c>
      <c r="I24">
        <v>2</v>
      </c>
      <c r="J24">
        <v>0.4</v>
      </c>
      <c r="K24">
        <v>0.40910000000000002</v>
      </c>
      <c r="L24">
        <v>0.94</v>
      </c>
      <c r="M24">
        <v>0.22389999999999999</v>
      </c>
      <c r="N24">
        <v>11</v>
      </c>
      <c r="O24">
        <v>17</v>
      </c>
      <c r="P24">
        <v>28</v>
      </c>
    </row>
    <row r="25" spans="1:16" x14ac:dyDescent="0.3">
      <c r="A25">
        <v>24</v>
      </c>
      <c r="B25" s="4">
        <v>40544</v>
      </c>
      <c r="C25">
        <v>1</v>
      </c>
      <c r="D25">
        <v>0</v>
      </c>
      <c r="E25">
        <v>1</v>
      </c>
      <c r="F25">
        <v>23</v>
      </c>
      <c r="G25" t="b">
        <v>0</v>
      </c>
      <c r="H25">
        <v>6</v>
      </c>
      <c r="I25">
        <v>2</v>
      </c>
      <c r="J25">
        <v>0.46</v>
      </c>
      <c r="K25">
        <v>0.19989999999999999</v>
      </c>
      <c r="L25">
        <v>0.88</v>
      </c>
      <c r="M25">
        <v>0.29849999999999999</v>
      </c>
      <c r="N25">
        <v>15</v>
      </c>
      <c r="O25">
        <v>24</v>
      </c>
      <c r="P25">
        <v>39</v>
      </c>
    </row>
    <row r="26" spans="1:16" x14ac:dyDescent="0.3">
      <c r="A26">
        <v>25</v>
      </c>
      <c r="B26" s="4">
        <v>40545</v>
      </c>
      <c r="C26">
        <v>1</v>
      </c>
      <c r="D26">
        <v>0</v>
      </c>
      <c r="E26">
        <v>1</v>
      </c>
      <c r="F26">
        <v>0</v>
      </c>
      <c r="G26" t="b">
        <v>0</v>
      </c>
      <c r="H26">
        <v>0</v>
      </c>
      <c r="I26">
        <v>2</v>
      </c>
      <c r="J26">
        <v>0.46</v>
      </c>
      <c r="K26">
        <v>0.45450000000000002</v>
      </c>
      <c r="L26">
        <v>0.88</v>
      </c>
      <c r="M26">
        <v>0.29849999999999999</v>
      </c>
      <c r="N26">
        <v>4</v>
      </c>
      <c r="O26">
        <v>13</v>
      </c>
      <c r="P26">
        <v>17</v>
      </c>
    </row>
    <row r="27" spans="1:16" x14ac:dyDescent="0.3">
      <c r="A27">
        <v>26</v>
      </c>
      <c r="B27" s="4">
        <v>40545</v>
      </c>
      <c r="C27">
        <v>1</v>
      </c>
      <c r="D27">
        <v>0</v>
      </c>
      <c r="E27">
        <v>1</v>
      </c>
      <c r="F27">
        <v>1</v>
      </c>
      <c r="G27" t="b">
        <v>0</v>
      </c>
      <c r="H27">
        <v>0</v>
      </c>
      <c r="I27">
        <v>2</v>
      </c>
      <c r="J27">
        <v>0.44</v>
      </c>
      <c r="K27">
        <v>0.43940000000000001</v>
      </c>
      <c r="L27">
        <v>0.94</v>
      </c>
      <c r="M27">
        <v>0.25369999999999998</v>
      </c>
      <c r="N27">
        <v>1</v>
      </c>
      <c r="O27">
        <v>16</v>
      </c>
      <c r="P27">
        <v>17</v>
      </c>
    </row>
    <row r="28" spans="1:16" x14ac:dyDescent="0.3">
      <c r="A28">
        <v>27</v>
      </c>
      <c r="B28" s="4">
        <v>40545</v>
      </c>
      <c r="C28">
        <v>1</v>
      </c>
      <c r="D28">
        <v>0</v>
      </c>
      <c r="E28">
        <v>1</v>
      </c>
      <c r="F28">
        <v>2</v>
      </c>
      <c r="G28" t="b">
        <v>0</v>
      </c>
      <c r="H28">
        <v>0</v>
      </c>
      <c r="I28">
        <v>2</v>
      </c>
      <c r="J28">
        <v>0.42</v>
      </c>
      <c r="K28">
        <v>0.42420000000000002</v>
      </c>
      <c r="L28">
        <v>1</v>
      </c>
      <c r="M28">
        <v>0.28360000000000002</v>
      </c>
      <c r="N28">
        <v>1</v>
      </c>
      <c r="O28">
        <v>8</v>
      </c>
      <c r="P28">
        <v>9</v>
      </c>
    </row>
    <row r="29" spans="1:16" x14ac:dyDescent="0.3">
      <c r="A29">
        <v>28</v>
      </c>
      <c r="B29" s="4">
        <v>40545</v>
      </c>
      <c r="C29">
        <v>1</v>
      </c>
      <c r="D29">
        <v>0</v>
      </c>
      <c r="E29">
        <v>1</v>
      </c>
      <c r="F29">
        <v>3</v>
      </c>
      <c r="G29" t="b">
        <v>0</v>
      </c>
      <c r="H29">
        <v>0</v>
      </c>
      <c r="I29">
        <v>2</v>
      </c>
      <c r="J29">
        <v>0.46</v>
      </c>
      <c r="K29">
        <v>0.45450000000000002</v>
      </c>
      <c r="L29">
        <v>0.94</v>
      </c>
      <c r="M29">
        <v>0.19400000000000001</v>
      </c>
      <c r="N29">
        <v>2</v>
      </c>
      <c r="O29">
        <v>4</v>
      </c>
      <c r="P29">
        <v>6</v>
      </c>
    </row>
    <row r="30" spans="1:16" x14ac:dyDescent="0.3">
      <c r="A30">
        <v>29</v>
      </c>
      <c r="B30" s="4">
        <v>40545</v>
      </c>
      <c r="C30">
        <v>1</v>
      </c>
      <c r="D30">
        <v>0</v>
      </c>
      <c r="E30">
        <v>1</v>
      </c>
      <c r="F30">
        <v>4</v>
      </c>
      <c r="G30" t="b">
        <v>0</v>
      </c>
      <c r="H30">
        <v>0</v>
      </c>
      <c r="I30">
        <v>2</v>
      </c>
      <c r="J30">
        <v>0.46</v>
      </c>
      <c r="K30">
        <v>0.19989999999999999</v>
      </c>
      <c r="L30">
        <v>0.94</v>
      </c>
      <c r="M30">
        <v>0.19400000000000001</v>
      </c>
      <c r="N30">
        <v>2</v>
      </c>
      <c r="O30">
        <v>1</v>
      </c>
      <c r="P30">
        <v>3</v>
      </c>
    </row>
    <row r="31" spans="1:16" x14ac:dyDescent="0.3">
      <c r="A31">
        <v>30</v>
      </c>
      <c r="B31" s="4">
        <v>40545</v>
      </c>
      <c r="C31">
        <v>1</v>
      </c>
      <c r="D31">
        <v>0</v>
      </c>
      <c r="E31">
        <v>1</v>
      </c>
      <c r="F31">
        <v>6</v>
      </c>
      <c r="G31" t="b">
        <v>0</v>
      </c>
      <c r="H31">
        <v>0</v>
      </c>
      <c r="I31">
        <v>3</v>
      </c>
      <c r="J31">
        <v>0.42</v>
      </c>
      <c r="K31">
        <v>0.42420000000000002</v>
      </c>
      <c r="L31">
        <v>0.77</v>
      </c>
      <c r="M31">
        <v>0.29849999999999999</v>
      </c>
      <c r="N31">
        <v>0</v>
      </c>
      <c r="O31">
        <v>2</v>
      </c>
      <c r="P31">
        <v>2</v>
      </c>
    </row>
    <row r="32" spans="1:16" x14ac:dyDescent="0.3">
      <c r="A32">
        <v>31</v>
      </c>
      <c r="B32" s="4">
        <v>40545</v>
      </c>
      <c r="C32">
        <v>1</v>
      </c>
      <c r="D32">
        <v>0</v>
      </c>
      <c r="E32">
        <v>1</v>
      </c>
      <c r="F32">
        <v>7</v>
      </c>
      <c r="G32" t="b">
        <v>0</v>
      </c>
      <c r="H32">
        <v>0</v>
      </c>
      <c r="I32">
        <v>2</v>
      </c>
      <c r="J32">
        <v>0.4</v>
      </c>
      <c r="K32">
        <v>0.40910000000000002</v>
      </c>
      <c r="L32">
        <v>0.76</v>
      </c>
      <c r="M32">
        <v>0.19400000000000001</v>
      </c>
      <c r="N32">
        <v>0</v>
      </c>
      <c r="O32">
        <v>1</v>
      </c>
      <c r="P32">
        <v>1</v>
      </c>
    </row>
    <row r="33" spans="1:16" x14ac:dyDescent="0.3">
      <c r="A33">
        <v>32</v>
      </c>
      <c r="B33" s="4">
        <v>40545</v>
      </c>
      <c r="C33">
        <v>1</v>
      </c>
      <c r="D33">
        <v>0</v>
      </c>
      <c r="E33">
        <v>1</v>
      </c>
      <c r="F33">
        <v>8</v>
      </c>
      <c r="G33" t="b">
        <v>0</v>
      </c>
      <c r="H33">
        <v>0</v>
      </c>
      <c r="I33">
        <v>3</v>
      </c>
      <c r="J33">
        <v>0.4</v>
      </c>
      <c r="K33">
        <v>0.40910000000000002</v>
      </c>
      <c r="L33">
        <v>0.71</v>
      </c>
      <c r="M33">
        <v>0.22389999999999999</v>
      </c>
      <c r="N33">
        <v>0</v>
      </c>
      <c r="O33">
        <v>8</v>
      </c>
      <c r="P33">
        <v>8</v>
      </c>
    </row>
    <row r="34" spans="1:16" x14ac:dyDescent="0.3">
      <c r="A34">
        <v>33</v>
      </c>
      <c r="B34" s="4">
        <v>40545</v>
      </c>
      <c r="C34">
        <v>1</v>
      </c>
      <c r="D34">
        <v>0</v>
      </c>
      <c r="E34">
        <v>1</v>
      </c>
      <c r="F34">
        <v>9</v>
      </c>
      <c r="G34" t="b">
        <v>0</v>
      </c>
      <c r="H34">
        <v>0</v>
      </c>
      <c r="I34">
        <v>2</v>
      </c>
      <c r="J34">
        <v>0.38</v>
      </c>
      <c r="K34">
        <v>0.19989999999999999</v>
      </c>
      <c r="L34">
        <v>0.76</v>
      </c>
      <c r="M34">
        <v>0.22389999999999999</v>
      </c>
      <c r="N34">
        <v>1</v>
      </c>
      <c r="O34">
        <v>19</v>
      </c>
      <c r="P34">
        <v>20</v>
      </c>
    </row>
    <row r="35" spans="1:16" x14ac:dyDescent="0.3">
      <c r="A35">
        <v>34</v>
      </c>
      <c r="B35" s="4">
        <v>40545</v>
      </c>
      <c r="C35">
        <v>1</v>
      </c>
      <c r="D35">
        <v>0</v>
      </c>
      <c r="E35">
        <v>1</v>
      </c>
      <c r="F35">
        <v>10</v>
      </c>
      <c r="G35" t="b">
        <v>0</v>
      </c>
      <c r="H35">
        <v>0</v>
      </c>
      <c r="I35">
        <v>2</v>
      </c>
      <c r="J35">
        <v>0.36</v>
      </c>
      <c r="K35">
        <v>0.34849999999999998</v>
      </c>
      <c r="L35">
        <v>0.81</v>
      </c>
      <c r="M35">
        <v>0.22389999999999999</v>
      </c>
      <c r="N35">
        <v>7</v>
      </c>
      <c r="O35">
        <v>46</v>
      </c>
      <c r="P35">
        <v>53</v>
      </c>
    </row>
    <row r="36" spans="1:16" x14ac:dyDescent="0.3">
      <c r="A36">
        <v>35</v>
      </c>
      <c r="B36" s="4">
        <v>40545</v>
      </c>
      <c r="C36">
        <v>1</v>
      </c>
      <c r="D36">
        <v>0</v>
      </c>
      <c r="E36">
        <v>1</v>
      </c>
      <c r="F36">
        <v>11</v>
      </c>
      <c r="G36" t="b">
        <v>0</v>
      </c>
      <c r="H36">
        <v>0</v>
      </c>
      <c r="I36">
        <v>2</v>
      </c>
      <c r="J36">
        <v>0.36</v>
      </c>
      <c r="K36">
        <v>0.33329999999999999</v>
      </c>
      <c r="L36">
        <v>0.71</v>
      </c>
      <c r="M36">
        <v>0.25369999999999998</v>
      </c>
      <c r="N36">
        <v>16</v>
      </c>
      <c r="O36">
        <v>54</v>
      </c>
      <c r="P36">
        <v>70</v>
      </c>
    </row>
    <row r="37" spans="1:16" x14ac:dyDescent="0.3">
      <c r="A37">
        <v>36</v>
      </c>
      <c r="B37" s="4">
        <v>40545</v>
      </c>
      <c r="C37">
        <v>1</v>
      </c>
      <c r="D37">
        <v>0</v>
      </c>
      <c r="E37">
        <v>1</v>
      </c>
      <c r="F37">
        <v>12</v>
      </c>
      <c r="G37" t="b">
        <v>0</v>
      </c>
      <c r="H37">
        <v>0</v>
      </c>
      <c r="I37">
        <v>2</v>
      </c>
      <c r="J37">
        <v>0.36</v>
      </c>
      <c r="K37">
        <v>0.33329999999999999</v>
      </c>
      <c r="L37">
        <v>0.66</v>
      </c>
      <c r="M37">
        <v>0.29849999999999999</v>
      </c>
      <c r="N37">
        <v>20</v>
      </c>
      <c r="O37">
        <v>73</v>
      </c>
      <c r="P37">
        <v>93</v>
      </c>
    </row>
    <row r="38" spans="1:16" x14ac:dyDescent="0.3">
      <c r="A38">
        <v>37</v>
      </c>
      <c r="B38" s="4">
        <v>40545</v>
      </c>
      <c r="C38">
        <v>1</v>
      </c>
      <c r="D38">
        <v>0</v>
      </c>
      <c r="E38">
        <v>1</v>
      </c>
      <c r="F38">
        <v>13</v>
      </c>
      <c r="G38" t="b">
        <v>0</v>
      </c>
      <c r="H38">
        <v>0</v>
      </c>
      <c r="I38">
        <v>2</v>
      </c>
      <c r="J38">
        <v>0.36</v>
      </c>
      <c r="K38">
        <v>0.34849999999999998</v>
      </c>
      <c r="L38">
        <v>0.66</v>
      </c>
      <c r="M38">
        <v>0.1343</v>
      </c>
      <c r="N38">
        <v>11</v>
      </c>
      <c r="O38">
        <v>64</v>
      </c>
      <c r="P38">
        <v>75</v>
      </c>
    </row>
    <row r="39" spans="1:16" x14ac:dyDescent="0.3">
      <c r="A39">
        <v>38</v>
      </c>
      <c r="B39" s="4">
        <v>40545</v>
      </c>
      <c r="C39">
        <v>1</v>
      </c>
      <c r="D39">
        <v>0</v>
      </c>
      <c r="E39">
        <v>1</v>
      </c>
      <c r="F39">
        <v>14</v>
      </c>
      <c r="G39" t="b">
        <v>0</v>
      </c>
      <c r="H39">
        <v>0</v>
      </c>
      <c r="I39">
        <v>3</v>
      </c>
      <c r="J39">
        <v>0.36</v>
      </c>
      <c r="K39">
        <v>0.19989999999999999</v>
      </c>
      <c r="L39">
        <v>0.76</v>
      </c>
      <c r="M39">
        <v>0.19400000000000001</v>
      </c>
      <c r="N39">
        <v>4</v>
      </c>
      <c r="O39">
        <v>55</v>
      </c>
      <c r="P39">
        <v>59</v>
      </c>
    </row>
    <row r="40" spans="1:16" x14ac:dyDescent="0.3">
      <c r="A40">
        <v>39</v>
      </c>
      <c r="B40" s="4">
        <v>40545</v>
      </c>
      <c r="C40">
        <v>1</v>
      </c>
      <c r="D40">
        <v>0</v>
      </c>
      <c r="E40">
        <v>1</v>
      </c>
      <c r="F40">
        <v>15</v>
      </c>
      <c r="G40" t="b">
        <v>0</v>
      </c>
      <c r="H40">
        <v>0</v>
      </c>
      <c r="I40">
        <v>3</v>
      </c>
      <c r="J40">
        <v>0.34</v>
      </c>
      <c r="K40">
        <v>0.33329999999999999</v>
      </c>
      <c r="L40">
        <v>0.81</v>
      </c>
      <c r="M40">
        <v>0.16420000000000001</v>
      </c>
      <c r="N40">
        <v>19</v>
      </c>
      <c r="O40">
        <v>55</v>
      </c>
      <c r="P40">
        <v>74</v>
      </c>
    </row>
    <row r="41" spans="1:16" x14ac:dyDescent="0.3">
      <c r="A41">
        <v>40</v>
      </c>
      <c r="B41" s="4">
        <v>40545</v>
      </c>
      <c r="C41">
        <v>1</v>
      </c>
      <c r="D41">
        <v>0</v>
      </c>
      <c r="E41">
        <v>1</v>
      </c>
      <c r="F41">
        <v>16</v>
      </c>
      <c r="G41" t="b">
        <v>0</v>
      </c>
      <c r="H41">
        <v>0</v>
      </c>
      <c r="I41">
        <v>3</v>
      </c>
      <c r="J41">
        <v>0.34</v>
      </c>
      <c r="K41">
        <v>0.33329999999999999</v>
      </c>
      <c r="L41">
        <v>0.71</v>
      </c>
      <c r="M41">
        <v>0.16420000000000001</v>
      </c>
      <c r="N41">
        <v>9</v>
      </c>
      <c r="O41">
        <v>67</v>
      </c>
      <c r="P41">
        <v>76</v>
      </c>
    </row>
    <row r="42" spans="1:16" x14ac:dyDescent="0.3">
      <c r="A42">
        <v>41</v>
      </c>
      <c r="B42" s="4">
        <v>40545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3">
      <c r="A43">
        <v>42</v>
      </c>
      <c r="B43" s="4">
        <v>40545</v>
      </c>
      <c r="C43">
        <v>1</v>
      </c>
      <c r="D43">
        <v>0</v>
      </c>
      <c r="E43">
        <v>1</v>
      </c>
      <c r="F43">
        <v>18</v>
      </c>
      <c r="G43" t="b">
        <v>0</v>
      </c>
      <c r="H43">
        <v>0</v>
      </c>
      <c r="I43">
        <v>2</v>
      </c>
      <c r="J43">
        <v>0.36</v>
      </c>
      <c r="K43">
        <v>0.33329999999999999</v>
      </c>
      <c r="L43">
        <v>0.46</v>
      </c>
      <c r="M43">
        <v>0.32840000000000003</v>
      </c>
      <c r="N43">
        <v>10</v>
      </c>
      <c r="O43">
        <v>43</v>
      </c>
      <c r="P43">
        <v>53</v>
      </c>
    </row>
    <row r="44" spans="1:16" x14ac:dyDescent="0.3">
      <c r="A44">
        <v>43</v>
      </c>
      <c r="B44" s="4">
        <v>40545</v>
      </c>
      <c r="C44">
        <v>1</v>
      </c>
      <c r="D44">
        <v>0</v>
      </c>
      <c r="E44">
        <v>1</v>
      </c>
      <c r="F44">
        <v>19</v>
      </c>
      <c r="G44" t="b">
        <v>0</v>
      </c>
      <c r="H44">
        <v>0</v>
      </c>
      <c r="I44">
        <v>1</v>
      </c>
      <c r="J44">
        <v>0.32</v>
      </c>
      <c r="K44">
        <v>0.28789999999999999</v>
      </c>
      <c r="L44">
        <v>0.42</v>
      </c>
      <c r="M44">
        <v>0.44779999999999998</v>
      </c>
      <c r="N44">
        <v>1</v>
      </c>
      <c r="O44">
        <v>29</v>
      </c>
      <c r="P44">
        <v>30</v>
      </c>
    </row>
    <row r="45" spans="1:16" x14ac:dyDescent="0.3">
      <c r="A45">
        <v>44</v>
      </c>
      <c r="B45" s="4">
        <v>40545</v>
      </c>
      <c r="C45">
        <v>1</v>
      </c>
      <c r="D45">
        <v>0</v>
      </c>
      <c r="E45">
        <v>1</v>
      </c>
      <c r="F45">
        <v>20</v>
      </c>
      <c r="G45" t="b">
        <v>0</v>
      </c>
      <c r="H45">
        <v>0</v>
      </c>
      <c r="I45">
        <v>1</v>
      </c>
      <c r="J45">
        <v>0.3</v>
      </c>
      <c r="K45">
        <v>0.19989999999999999</v>
      </c>
      <c r="L45">
        <v>0.39</v>
      </c>
      <c r="M45">
        <v>0.35820000000000002</v>
      </c>
      <c r="N45">
        <v>5</v>
      </c>
      <c r="O45">
        <v>17</v>
      </c>
      <c r="P45">
        <v>22</v>
      </c>
    </row>
    <row r="46" spans="1:16" x14ac:dyDescent="0.3">
      <c r="A46">
        <v>45</v>
      </c>
      <c r="B46" s="4">
        <v>40545</v>
      </c>
      <c r="C46">
        <v>1</v>
      </c>
      <c r="D46">
        <v>0</v>
      </c>
      <c r="E46">
        <v>1</v>
      </c>
      <c r="F46">
        <v>21</v>
      </c>
      <c r="G46" t="b">
        <v>0</v>
      </c>
      <c r="H46">
        <v>0</v>
      </c>
      <c r="I46">
        <v>1</v>
      </c>
      <c r="J46">
        <v>0.26</v>
      </c>
      <c r="K46">
        <v>0.2273</v>
      </c>
      <c r="L46">
        <v>0.44</v>
      </c>
      <c r="M46">
        <v>0.32840000000000003</v>
      </c>
      <c r="N46">
        <v>11</v>
      </c>
      <c r="O46">
        <v>20</v>
      </c>
      <c r="P46">
        <v>31</v>
      </c>
    </row>
    <row r="47" spans="1:16" x14ac:dyDescent="0.3">
      <c r="A47">
        <v>46</v>
      </c>
      <c r="B47" s="4">
        <v>40545</v>
      </c>
      <c r="C47">
        <v>1</v>
      </c>
      <c r="D47">
        <v>0</v>
      </c>
      <c r="E47">
        <v>1</v>
      </c>
      <c r="F47">
        <v>22</v>
      </c>
      <c r="G47" t="b">
        <v>0</v>
      </c>
      <c r="H47">
        <v>0</v>
      </c>
      <c r="I47">
        <v>1</v>
      </c>
      <c r="J47">
        <v>0.24</v>
      </c>
      <c r="K47">
        <v>0.21210000000000001</v>
      </c>
      <c r="L47">
        <v>0.44</v>
      </c>
      <c r="M47">
        <v>0.29849999999999999</v>
      </c>
      <c r="N47">
        <v>0</v>
      </c>
      <c r="O47">
        <v>9</v>
      </c>
      <c r="P47">
        <v>9</v>
      </c>
    </row>
    <row r="48" spans="1:16" x14ac:dyDescent="0.3">
      <c r="A48">
        <v>47</v>
      </c>
      <c r="B48" s="4">
        <v>40545</v>
      </c>
      <c r="C48">
        <v>1</v>
      </c>
      <c r="D48">
        <v>0</v>
      </c>
      <c r="E48">
        <v>1</v>
      </c>
      <c r="F48">
        <v>23</v>
      </c>
      <c r="G48" t="b">
        <v>0</v>
      </c>
      <c r="H48">
        <v>0</v>
      </c>
      <c r="I48">
        <v>1</v>
      </c>
      <c r="J48">
        <v>0.22</v>
      </c>
      <c r="K48">
        <v>0.2273</v>
      </c>
      <c r="L48">
        <v>0.47</v>
      </c>
      <c r="M48">
        <v>0.16420000000000001</v>
      </c>
      <c r="N48">
        <v>0</v>
      </c>
      <c r="O48">
        <v>8</v>
      </c>
      <c r="P48">
        <v>8</v>
      </c>
    </row>
    <row r="49" spans="1:16" x14ac:dyDescent="0.3">
      <c r="A49">
        <v>48</v>
      </c>
      <c r="B49" s="4">
        <v>40546</v>
      </c>
      <c r="C49">
        <v>1</v>
      </c>
      <c r="D49">
        <v>0</v>
      </c>
      <c r="E49">
        <v>1</v>
      </c>
      <c r="F49">
        <v>0</v>
      </c>
      <c r="G49" t="b">
        <v>0</v>
      </c>
      <c r="H49">
        <v>1</v>
      </c>
      <c r="I49">
        <v>1</v>
      </c>
      <c r="J49">
        <v>0.22</v>
      </c>
      <c r="K49">
        <v>0.19700000000000001</v>
      </c>
      <c r="L49">
        <v>0.44</v>
      </c>
      <c r="M49">
        <v>0.35820000000000002</v>
      </c>
      <c r="N49">
        <v>0</v>
      </c>
      <c r="O49">
        <v>5</v>
      </c>
      <c r="P49">
        <v>5</v>
      </c>
    </row>
    <row r="50" spans="1:16" x14ac:dyDescent="0.3">
      <c r="A50">
        <v>49</v>
      </c>
      <c r="B50" s="4">
        <v>40546</v>
      </c>
      <c r="C50">
        <v>1</v>
      </c>
      <c r="D50">
        <v>0</v>
      </c>
      <c r="E50">
        <v>1</v>
      </c>
      <c r="F50">
        <v>1</v>
      </c>
      <c r="G50" t="b">
        <v>0</v>
      </c>
      <c r="H50">
        <v>1</v>
      </c>
      <c r="I50">
        <v>1</v>
      </c>
      <c r="J50">
        <v>0.2</v>
      </c>
      <c r="K50">
        <v>0.19989999999999999</v>
      </c>
      <c r="L50">
        <v>0.44</v>
      </c>
      <c r="M50">
        <v>0.41789999999999999</v>
      </c>
      <c r="N50">
        <v>0</v>
      </c>
      <c r="O50">
        <v>2</v>
      </c>
      <c r="P50">
        <v>2</v>
      </c>
    </row>
    <row r="51" spans="1:16" x14ac:dyDescent="0.3">
      <c r="A51">
        <v>50</v>
      </c>
      <c r="B51" s="4">
        <v>40546</v>
      </c>
      <c r="C51">
        <v>1</v>
      </c>
      <c r="D51">
        <v>0</v>
      </c>
      <c r="E51">
        <v>1</v>
      </c>
      <c r="F51">
        <v>4</v>
      </c>
      <c r="G51" t="b">
        <v>0</v>
      </c>
      <c r="H51">
        <v>1</v>
      </c>
      <c r="I51">
        <v>1</v>
      </c>
      <c r="J51">
        <v>0.16</v>
      </c>
      <c r="K51">
        <v>0.13639999999999999</v>
      </c>
      <c r="L51">
        <v>0.47</v>
      </c>
      <c r="M51">
        <v>0.3881</v>
      </c>
      <c r="N51">
        <v>0</v>
      </c>
      <c r="O51">
        <v>1</v>
      </c>
      <c r="P51">
        <v>1</v>
      </c>
    </row>
    <row r="52" spans="1:16" x14ac:dyDescent="0.3">
      <c r="A52">
        <v>51</v>
      </c>
      <c r="B52" s="4">
        <v>40546</v>
      </c>
      <c r="C52">
        <v>1</v>
      </c>
      <c r="D52">
        <v>0</v>
      </c>
      <c r="E52">
        <v>1</v>
      </c>
      <c r="F52">
        <v>5</v>
      </c>
      <c r="G52" t="b">
        <v>0</v>
      </c>
      <c r="H52">
        <v>1</v>
      </c>
      <c r="I52">
        <v>1</v>
      </c>
      <c r="J52">
        <v>0.16</v>
      </c>
      <c r="K52">
        <v>0.13639999999999999</v>
      </c>
      <c r="L52">
        <v>0.47</v>
      </c>
      <c r="M52">
        <v>0.28360000000000002</v>
      </c>
      <c r="N52">
        <v>0</v>
      </c>
      <c r="O52">
        <v>3</v>
      </c>
      <c r="P52">
        <v>3</v>
      </c>
    </row>
    <row r="53" spans="1:16" x14ac:dyDescent="0.3">
      <c r="A53">
        <v>52</v>
      </c>
      <c r="B53" s="4">
        <v>40546</v>
      </c>
      <c r="C53">
        <v>1</v>
      </c>
      <c r="D53">
        <v>0</v>
      </c>
      <c r="E53">
        <v>1</v>
      </c>
      <c r="F53">
        <v>6</v>
      </c>
      <c r="G53" t="b">
        <v>0</v>
      </c>
      <c r="H53">
        <v>1</v>
      </c>
      <c r="I53">
        <v>1</v>
      </c>
      <c r="J53">
        <v>0.14000000000000001</v>
      </c>
      <c r="K53">
        <v>0.1061</v>
      </c>
      <c r="L53">
        <v>0.5</v>
      </c>
      <c r="M53">
        <v>0.3881</v>
      </c>
      <c r="N53">
        <v>0</v>
      </c>
      <c r="O53">
        <v>30</v>
      </c>
      <c r="P53">
        <v>30</v>
      </c>
    </row>
    <row r="54" spans="1:16" x14ac:dyDescent="0.3">
      <c r="A54">
        <v>53</v>
      </c>
      <c r="B54" s="4">
        <v>40546</v>
      </c>
      <c r="C54">
        <v>1</v>
      </c>
      <c r="D54">
        <v>0</v>
      </c>
      <c r="E54">
        <v>1</v>
      </c>
      <c r="F54">
        <v>7</v>
      </c>
      <c r="G54" t="b">
        <v>0</v>
      </c>
      <c r="H54">
        <v>1</v>
      </c>
      <c r="I54">
        <v>1</v>
      </c>
      <c r="J54">
        <v>0.14000000000000001</v>
      </c>
      <c r="K54">
        <v>0.13639999999999999</v>
      </c>
      <c r="L54">
        <v>0.5</v>
      </c>
      <c r="M54">
        <v>0.19400000000000001</v>
      </c>
      <c r="N54">
        <v>1</v>
      </c>
      <c r="O54">
        <v>63</v>
      </c>
      <c r="P54">
        <v>64</v>
      </c>
    </row>
    <row r="55" spans="1:16" x14ac:dyDescent="0.3">
      <c r="A55">
        <v>54</v>
      </c>
      <c r="B55" s="4">
        <v>40546</v>
      </c>
      <c r="C55">
        <v>1</v>
      </c>
      <c r="D55">
        <v>0</v>
      </c>
      <c r="E55">
        <v>1</v>
      </c>
      <c r="F55">
        <v>8</v>
      </c>
      <c r="G55" t="b">
        <v>0</v>
      </c>
      <c r="H55">
        <v>1</v>
      </c>
      <c r="I55">
        <v>1</v>
      </c>
      <c r="J55">
        <v>0.14000000000000001</v>
      </c>
      <c r="K55">
        <v>0.1212</v>
      </c>
      <c r="L55">
        <v>0.5</v>
      </c>
      <c r="M55">
        <v>0.28360000000000002</v>
      </c>
      <c r="N55">
        <v>1</v>
      </c>
      <c r="O55">
        <v>153</v>
      </c>
      <c r="P55">
        <v>154</v>
      </c>
    </row>
    <row r="56" spans="1:16" x14ac:dyDescent="0.3">
      <c r="A56">
        <v>55</v>
      </c>
      <c r="B56" s="4">
        <v>40546</v>
      </c>
      <c r="C56">
        <v>1</v>
      </c>
      <c r="D56">
        <v>0</v>
      </c>
      <c r="E56">
        <v>1</v>
      </c>
      <c r="F56">
        <v>9</v>
      </c>
      <c r="G56" t="b">
        <v>0</v>
      </c>
      <c r="H56">
        <v>1</v>
      </c>
      <c r="I56">
        <v>1</v>
      </c>
      <c r="J56">
        <v>0.16</v>
      </c>
      <c r="K56">
        <v>0.13639999999999999</v>
      </c>
      <c r="L56">
        <v>0.43</v>
      </c>
      <c r="M56">
        <v>0.3881</v>
      </c>
      <c r="N56">
        <v>7</v>
      </c>
      <c r="O56">
        <v>81</v>
      </c>
      <c r="P56">
        <v>88</v>
      </c>
    </row>
    <row r="57" spans="1:16" x14ac:dyDescent="0.3">
      <c r="A57">
        <v>56</v>
      </c>
      <c r="B57" s="4">
        <v>40546</v>
      </c>
      <c r="C57">
        <v>1</v>
      </c>
      <c r="D57">
        <v>0</v>
      </c>
      <c r="E57">
        <v>1</v>
      </c>
      <c r="F57">
        <v>10</v>
      </c>
      <c r="G57" t="b">
        <v>0</v>
      </c>
      <c r="H57">
        <v>1</v>
      </c>
      <c r="I57">
        <v>1</v>
      </c>
      <c r="J57">
        <v>0.18</v>
      </c>
      <c r="K57">
        <v>0.16669999999999999</v>
      </c>
      <c r="L57">
        <v>0.43</v>
      </c>
      <c r="M57">
        <v>0.25369999999999998</v>
      </c>
      <c r="N57">
        <v>11</v>
      </c>
      <c r="O57">
        <v>33</v>
      </c>
      <c r="P57">
        <v>44</v>
      </c>
    </row>
    <row r="58" spans="1:16" x14ac:dyDescent="0.3">
      <c r="A58">
        <v>57</v>
      </c>
      <c r="B58" s="4">
        <v>40546</v>
      </c>
      <c r="C58">
        <v>1</v>
      </c>
      <c r="D58">
        <v>0</v>
      </c>
      <c r="E58">
        <v>1</v>
      </c>
      <c r="F58">
        <v>11</v>
      </c>
      <c r="G58" t="b">
        <v>0</v>
      </c>
      <c r="H58">
        <v>1</v>
      </c>
      <c r="I58">
        <v>1</v>
      </c>
      <c r="J58">
        <v>0.2</v>
      </c>
      <c r="K58">
        <v>0.18179999999999999</v>
      </c>
      <c r="L58">
        <v>0.4</v>
      </c>
      <c r="M58">
        <v>0.32840000000000003</v>
      </c>
      <c r="N58">
        <v>10</v>
      </c>
      <c r="O58">
        <v>41</v>
      </c>
      <c r="P58">
        <v>51</v>
      </c>
    </row>
    <row r="59" spans="1:16" x14ac:dyDescent="0.3">
      <c r="A59">
        <v>58</v>
      </c>
      <c r="B59" s="4">
        <v>40546</v>
      </c>
      <c r="C59">
        <v>1</v>
      </c>
      <c r="D59">
        <v>0</v>
      </c>
      <c r="E59">
        <v>1</v>
      </c>
      <c r="F59">
        <v>12</v>
      </c>
      <c r="G59" t="b">
        <v>0</v>
      </c>
      <c r="H59">
        <v>1</v>
      </c>
      <c r="I59">
        <v>1</v>
      </c>
      <c r="J59">
        <v>0.22</v>
      </c>
      <c r="K59">
        <v>0.21210000000000001</v>
      </c>
      <c r="L59">
        <v>0.35</v>
      </c>
      <c r="M59">
        <v>0.29849999999999999</v>
      </c>
      <c r="N59">
        <v>13</v>
      </c>
      <c r="O59">
        <v>48</v>
      </c>
      <c r="P59">
        <v>61</v>
      </c>
    </row>
    <row r="60" spans="1:16" x14ac:dyDescent="0.3">
      <c r="A60">
        <v>59</v>
      </c>
      <c r="B60" s="4">
        <v>40546</v>
      </c>
      <c r="C60">
        <v>1</v>
      </c>
      <c r="D60">
        <v>0</v>
      </c>
      <c r="E60">
        <v>1</v>
      </c>
      <c r="F60">
        <v>13</v>
      </c>
      <c r="G60" t="b">
        <v>0</v>
      </c>
      <c r="H60">
        <v>1</v>
      </c>
      <c r="I60">
        <v>1</v>
      </c>
      <c r="J60">
        <v>0.24</v>
      </c>
      <c r="K60">
        <v>0.19989999999999999</v>
      </c>
      <c r="L60">
        <v>0.35</v>
      </c>
      <c r="M60">
        <v>0.28360000000000002</v>
      </c>
      <c r="N60">
        <v>8</v>
      </c>
      <c r="O60">
        <v>53</v>
      </c>
      <c r="P60">
        <v>61</v>
      </c>
    </row>
    <row r="61" spans="1:16" x14ac:dyDescent="0.3">
      <c r="A61">
        <v>60</v>
      </c>
      <c r="B61" s="4">
        <v>40546</v>
      </c>
      <c r="C61">
        <v>1</v>
      </c>
      <c r="D61">
        <v>0</v>
      </c>
      <c r="E61">
        <v>1</v>
      </c>
      <c r="F61">
        <v>14</v>
      </c>
      <c r="G61" t="b">
        <v>0</v>
      </c>
      <c r="H61">
        <v>1</v>
      </c>
      <c r="I61">
        <v>1</v>
      </c>
      <c r="J61">
        <v>0.26</v>
      </c>
      <c r="K61">
        <v>0.2424</v>
      </c>
      <c r="L61">
        <v>0.3</v>
      </c>
      <c r="M61">
        <v>0.28360000000000002</v>
      </c>
      <c r="N61">
        <v>11</v>
      </c>
      <c r="O61">
        <v>66</v>
      </c>
      <c r="P61">
        <v>77</v>
      </c>
    </row>
    <row r="62" spans="1:16" x14ac:dyDescent="0.3">
      <c r="A62">
        <v>61</v>
      </c>
      <c r="B62" s="4">
        <v>40546</v>
      </c>
      <c r="C62">
        <v>1</v>
      </c>
      <c r="D62">
        <v>0</v>
      </c>
      <c r="E62">
        <v>1</v>
      </c>
      <c r="F62">
        <v>15</v>
      </c>
      <c r="G62" t="b">
        <v>0</v>
      </c>
      <c r="H62">
        <v>1</v>
      </c>
      <c r="I62">
        <v>1</v>
      </c>
      <c r="J62">
        <v>0.26</v>
      </c>
      <c r="K62">
        <v>0.2424</v>
      </c>
      <c r="L62">
        <v>0.3</v>
      </c>
      <c r="M62">
        <v>0.25369999999999998</v>
      </c>
      <c r="N62">
        <v>14</v>
      </c>
      <c r="O62">
        <v>58</v>
      </c>
      <c r="P62">
        <v>72</v>
      </c>
    </row>
    <row r="63" spans="1:16" x14ac:dyDescent="0.3">
      <c r="A63">
        <v>62</v>
      </c>
      <c r="B63" s="4">
        <v>40546</v>
      </c>
      <c r="C63">
        <v>1</v>
      </c>
      <c r="D63">
        <v>0</v>
      </c>
      <c r="E63">
        <v>1</v>
      </c>
      <c r="F63">
        <v>16</v>
      </c>
      <c r="G63" t="b">
        <v>0</v>
      </c>
      <c r="H63">
        <v>1</v>
      </c>
      <c r="I63">
        <v>1</v>
      </c>
      <c r="J63">
        <v>0.26</v>
      </c>
      <c r="K63">
        <v>0.2424</v>
      </c>
      <c r="L63">
        <v>0.3</v>
      </c>
      <c r="M63">
        <v>0.25369999999999998</v>
      </c>
      <c r="N63">
        <v>9</v>
      </c>
      <c r="O63">
        <v>67</v>
      </c>
      <c r="P63">
        <v>76</v>
      </c>
    </row>
    <row r="64" spans="1:16" x14ac:dyDescent="0.3">
      <c r="A64">
        <v>63</v>
      </c>
      <c r="B64" s="4">
        <v>40546</v>
      </c>
      <c r="C64">
        <v>1</v>
      </c>
      <c r="D64">
        <v>0</v>
      </c>
      <c r="E64">
        <v>1</v>
      </c>
      <c r="F64">
        <v>17</v>
      </c>
      <c r="G64" t="b">
        <v>0</v>
      </c>
      <c r="H64">
        <v>1</v>
      </c>
      <c r="I64">
        <v>1</v>
      </c>
      <c r="J64">
        <v>0.24</v>
      </c>
      <c r="K64">
        <v>0.2273</v>
      </c>
      <c r="L64">
        <v>0.3</v>
      </c>
      <c r="M64">
        <v>0.22389999999999999</v>
      </c>
      <c r="N64">
        <v>11</v>
      </c>
      <c r="O64">
        <v>146</v>
      </c>
      <c r="P64">
        <v>157</v>
      </c>
    </row>
    <row r="65" spans="1:16" x14ac:dyDescent="0.3">
      <c r="A65">
        <v>64</v>
      </c>
      <c r="B65" s="4">
        <v>40546</v>
      </c>
      <c r="C65">
        <v>1</v>
      </c>
      <c r="D65">
        <v>0</v>
      </c>
      <c r="E65">
        <v>1</v>
      </c>
      <c r="F65">
        <v>18</v>
      </c>
      <c r="G65" t="b">
        <v>0</v>
      </c>
      <c r="H65">
        <v>1</v>
      </c>
      <c r="I65">
        <v>1</v>
      </c>
      <c r="J65">
        <v>0.24</v>
      </c>
      <c r="K65">
        <v>0.2576</v>
      </c>
      <c r="L65">
        <v>0.32</v>
      </c>
      <c r="M65">
        <v>0.1045</v>
      </c>
      <c r="N65">
        <v>9</v>
      </c>
      <c r="O65">
        <v>148</v>
      </c>
      <c r="P65">
        <v>157</v>
      </c>
    </row>
    <row r="66" spans="1:16" x14ac:dyDescent="0.3">
      <c r="A66">
        <v>65</v>
      </c>
      <c r="B66" s="4">
        <v>40546</v>
      </c>
      <c r="C66">
        <v>1</v>
      </c>
      <c r="D66">
        <v>0</v>
      </c>
      <c r="E66">
        <v>1</v>
      </c>
      <c r="F66">
        <v>19</v>
      </c>
      <c r="G66" t="b">
        <v>0</v>
      </c>
      <c r="H66">
        <v>1</v>
      </c>
      <c r="I66">
        <v>1</v>
      </c>
      <c r="J66">
        <v>0.2</v>
      </c>
      <c r="K66">
        <v>0.2576</v>
      </c>
      <c r="L66">
        <v>0.47</v>
      </c>
      <c r="M66">
        <v>0</v>
      </c>
      <c r="N66">
        <v>8</v>
      </c>
      <c r="O66">
        <v>102</v>
      </c>
      <c r="P66">
        <v>110</v>
      </c>
    </row>
    <row r="67" spans="1:16" x14ac:dyDescent="0.3">
      <c r="A67">
        <v>66</v>
      </c>
      <c r="B67" s="4">
        <v>40546</v>
      </c>
      <c r="C67">
        <v>1</v>
      </c>
      <c r="D67">
        <v>0</v>
      </c>
      <c r="E67">
        <v>1</v>
      </c>
      <c r="F67">
        <v>20</v>
      </c>
      <c r="G67" t="b">
        <v>0</v>
      </c>
      <c r="H67">
        <v>1</v>
      </c>
      <c r="I67">
        <v>1</v>
      </c>
      <c r="J67">
        <v>0.2</v>
      </c>
      <c r="K67">
        <v>0.19989999999999999</v>
      </c>
      <c r="L67">
        <v>0.47</v>
      </c>
      <c r="M67">
        <v>0.1045</v>
      </c>
      <c r="N67">
        <v>3</v>
      </c>
      <c r="O67">
        <v>49</v>
      </c>
      <c r="P67">
        <v>52</v>
      </c>
    </row>
    <row r="68" spans="1:16" x14ac:dyDescent="0.3">
      <c r="A68">
        <v>67</v>
      </c>
      <c r="B68" s="4">
        <v>40546</v>
      </c>
      <c r="C68">
        <v>1</v>
      </c>
      <c r="D68">
        <v>0</v>
      </c>
      <c r="E68">
        <v>1</v>
      </c>
      <c r="F68">
        <v>21</v>
      </c>
      <c r="G68" t="b">
        <v>0</v>
      </c>
      <c r="H68">
        <v>1</v>
      </c>
      <c r="I68">
        <v>1</v>
      </c>
      <c r="J68">
        <v>0.18</v>
      </c>
      <c r="K68">
        <v>0.19700000000000001</v>
      </c>
      <c r="L68">
        <v>0.64</v>
      </c>
      <c r="M68">
        <v>0.1343</v>
      </c>
      <c r="N68">
        <v>3</v>
      </c>
      <c r="O68">
        <v>49</v>
      </c>
      <c r="P68">
        <v>52</v>
      </c>
    </row>
    <row r="69" spans="1:16" x14ac:dyDescent="0.3">
      <c r="A69">
        <v>68</v>
      </c>
      <c r="B69" s="4">
        <v>40546</v>
      </c>
      <c r="C69">
        <v>1</v>
      </c>
      <c r="D69">
        <v>0</v>
      </c>
      <c r="E69">
        <v>1</v>
      </c>
      <c r="F69">
        <v>22</v>
      </c>
      <c r="G69" t="b">
        <v>0</v>
      </c>
      <c r="H69">
        <v>1</v>
      </c>
      <c r="I69">
        <v>1</v>
      </c>
      <c r="J69">
        <v>0.14000000000000001</v>
      </c>
      <c r="K69">
        <v>0.1515</v>
      </c>
      <c r="L69">
        <v>0.69</v>
      </c>
      <c r="M69">
        <v>0.1343</v>
      </c>
      <c r="N69">
        <v>0</v>
      </c>
      <c r="O69">
        <v>20</v>
      </c>
      <c r="P69">
        <v>20</v>
      </c>
    </row>
    <row r="70" spans="1:16" x14ac:dyDescent="0.3">
      <c r="A70">
        <v>69</v>
      </c>
      <c r="B70" s="4">
        <v>40546</v>
      </c>
      <c r="C70">
        <v>1</v>
      </c>
      <c r="D70">
        <v>0</v>
      </c>
      <c r="E70">
        <v>1</v>
      </c>
      <c r="F70">
        <v>23</v>
      </c>
      <c r="G70" t="b">
        <v>0</v>
      </c>
      <c r="H70">
        <v>1</v>
      </c>
      <c r="I70">
        <v>1</v>
      </c>
      <c r="J70">
        <v>0.18</v>
      </c>
      <c r="K70">
        <v>0.21210000000000001</v>
      </c>
      <c r="L70">
        <v>0.55000000000000004</v>
      </c>
      <c r="M70">
        <v>0.1045</v>
      </c>
      <c r="N70">
        <v>1</v>
      </c>
      <c r="O70">
        <v>11</v>
      </c>
      <c r="P70">
        <v>12</v>
      </c>
    </row>
    <row r="71" spans="1:16" x14ac:dyDescent="0.3">
      <c r="A71">
        <v>70</v>
      </c>
      <c r="B71" s="4">
        <v>40547</v>
      </c>
      <c r="C71">
        <v>1</v>
      </c>
      <c r="D71">
        <v>0</v>
      </c>
      <c r="E71">
        <v>1</v>
      </c>
      <c r="F71">
        <v>0</v>
      </c>
      <c r="G71" t="b">
        <v>0</v>
      </c>
      <c r="H71">
        <v>2</v>
      </c>
      <c r="I71">
        <v>1</v>
      </c>
      <c r="J71">
        <v>0.16</v>
      </c>
      <c r="K71">
        <v>0.19989999999999999</v>
      </c>
      <c r="L71">
        <v>0.55000000000000004</v>
      </c>
      <c r="M71">
        <v>0.1045</v>
      </c>
      <c r="N71">
        <v>0</v>
      </c>
      <c r="O71">
        <v>5</v>
      </c>
      <c r="P71">
        <v>5</v>
      </c>
    </row>
    <row r="72" spans="1:16" x14ac:dyDescent="0.3">
      <c r="A72">
        <v>71</v>
      </c>
      <c r="B72" s="4">
        <v>40547</v>
      </c>
      <c r="C72">
        <v>1</v>
      </c>
      <c r="D72">
        <v>0</v>
      </c>
      <c r="E72">
        <v>1</v>
      </c>
      <c r="F72">
        <v>1</v>
      </c>
      <c r="G72" t="b">
        <v>0</v>
      </c>
      <c r="H72">
        <v>2</v>
      </c>
      <c r="I72">
        <v>1</v>
      </c>
      <c r="J72">
        <v>0.16</v>
      </c>
      <c r="K72">
        <v>0.18179999999999999</v>
      </c>
      <c r="L72">
        <v>0.59</v>
      </c>
      <c r="M72">
        <v>0.1045</v>
      </c>
      <c r="N72">
        <v>0</v>
      </c>
      <c r="O72">
        <v>2</v>
      </c>
      <c r="P72">
        <v>2</v>
      </c>
    </row>
    <row r="73" spans="1:16" x14ac:dyDescent="0.3">
      <c r="A73">
        <v>72</v>
      </c>
      <c r="B73" s="4">
        <v>40547</v>
      </c>
      <c r="C73">
        <v>1</v>
      </c>
      <c r="D73">
        <v>0</v>
      </c>
      <c r="E73">
        <v>1</v>
      </c>
      <c r="F73">
        <v>2</v>
      </c>
      <c r="G73" t="b">
        <v>0</v>
      </c>
      <c r="H73">
        <v>2</v>
      </c>
      <c r="I73">
        <v>1</v>
      </c>
      <c r="J73">
        <v>0.14000000000000001</v>
      </c>
      <c r="K73">
        <v>0.1515</v>
      </c>
      <c r="L73">
        <v>0.63</v>
      </c>
      <c r="M73">
        <v>0.1343</v>
      </c>
      <c r="N73">
        <v>0</v>
      </c>
      <c r="O73">
        <v>1</v>
      </c>
      <c r="P73">
        <v>1</v>
      </c>
    </row>
    <row r="74" spans="1:16" x14ac:dyDescent="0.3">
      <c r="A74">
        <v>73</v>
      </c>
      <c r="B74" s="4">
        <v>40547</v>
      </c>
      <c r="C74">
        <v>1</v>
      </c>
      <c r="D74">
        <v>0</v>
      </c>
      <c r="E74">
        <v>1</v>
      </c>
      <c r="F74">
        <v>4</v>
      </c>
      <c r="G74" t="b">
        <v>0</v>
      </c>
      <c r="H74">
        <v>2</v>
      </c>
      <c r="I74">
        <v>1</v>
      </c>
      <c r="J74">
        <v>0.14000000000000001</v>
      </c>
      <c r="K74">
        <v>0.18179999999999999</v>
      </c>
      <c r="L74">
        <v>0.63</v>
      </c>
      <c r="M74">
        <v>8.9599999999999999E-2</v>
      </c>
      <c r="N74">
        <v>0</v>
      </c>
      <c r="O74">
        <v>2</v>
      </c>
      <c r="P74">
        <v>2</v>
      </c>
    </row>
    <row r="75" spans="1:16" x14ac:dyDescent="0.3">
      <c r="A75">
        <v>74</v>
      </c>
      <c r="B75" s="4">
        <v>40547</v>
      </c>
      <c r="C75">
        <v>1</v>
      </c>
      <c r="D75">
        <v>0</v>
      </c>
      <c r="E75">
        <v>1</v>
      </c>
      <c r="F75">
        <v>5</v>
      </c>
      <c r="G75" t="b">
        <v>0</v>
      </c>
      <c r="H75">
        <v>2</v>
      </c>
      <c r="I75">
        <v>1</v>
      </c>
      <c r="J75">
        <v>0.12</v>
      </c>
      <c r="K75">
        <v>0.1515</v>
      </c>
      <c r="L75">
        <v>0.68</v>
      </c>
      <c r="M75">
        <v>0.1045</v>
      </c>
      <c r="N75">
        <v>0</v>
      </c>
      <c r="O75">
        <v>4</v>
      </c>
      <c r="P75">
        <v>4</v>
      </c>
    </row>
    <row r="76" spans="1:16" x14ac:dyDescent="0.3">
      <c r="A76">
        <v>75</v>
      </c>
      <c r="B76" s="4">
        <v>40547</v>
      </c>
      <c r="C76">
        <v>1</v>
      </c>
      <c r="D76">
        <v>0</v>
      </c>
      <c r="E76">
        <v>1</v>
      </c>
      <c r="F76">
        <v>6</v>
      </c>
      <c r="G76" t="b">
        <v>0</v>
      </c>
      <c r="H76">
        <v>2</v>
      </c>
      <c r="I76">
        <v>1</v>
      </c>
      <c r="J76">
        <v>0.12</v>
      </c>
      <c r="K76">
        <v>0.1515</v>
      </c>
      <c r="L76">
        <v>0.74</v>
      </c>
      <c r="M76">
        <v>0.1045</v>
      </c>
      <c r="N76">
        <v>0</v>
      </c>
      <c r="O76">
        <v>36</v>
      </c>
      <c r="P76">
        <v>36</v>
      </c>
    </row>
    <row r="77" spans="1:16" x14ac:dyDescent="0.3">
      <c r="A77">
        <v>76</v>
      </c>
      <c r="B77" s="4">
        <v>40547</v>
      </c>
      <c r="C77">
        <v>1</v>
      </c>
      <c r="D77">
        <v>0</v>
      </c>
      <c r="E77">
        <v>1</v>
      </c>
      <c r="F77">
        <v>7</v>
      </c>
      <c r="G77" t="b">
        <v>0</v>
      </c>
      <c r="H77">
        <v>2</v>
      </c>
      <c r="I77">
        <v>1</v>
      </c>
      <c r="J77">
        <v>0.12</v>
      </c>
      <c r="K77">
        <v>0.1515</v>
      </c>
      <c r="L77">
        <v>0.74</v>
      </c>
      <c r="M77">
        <v>0.1343</v>
      </c>
      <c r="N77">
        <v>2</v>
      </c>
      <c r="O77">
        <v>92</v>
      </c>
      <c r="P77">
        <v>94</v>
      </c>
    </row>
    <row r="78" spans="1:16" x14ac:dyDescent="0.3">
      <c r="A78">
        <v>77</v>
      </c>
      <c r="B78" s="4">
        <v>40547</v>
      </c>
      <c r="C78">
        <v>1</v>
      </c>
      <c r="D78">
        <v>0</v>
      </c>
      <c r="E78">
        <v>1</v>
      </c>
      <c r="F78">
        <v>8</v>
      </c>
      <c r="G78" t="b">
        <v>0</v>
      </c>
      <c r="H78">
        <v>2</v>
      </c>
      <c r="I78">
        <v>1</v>
      </c>
      <c r="J78">
        <v>0.14000000000000001</v>
      </c>
      <c r="K78">
        <v>0.1515</v>
      </c>
      <c r="L78">
        <v>0.69</v>
      </c>
      <c r="M78">
        <v>0.16420000000000001</v>
      </c>
      <c r="N78">
        <v>2</v>
      </c>
      <c r="O78">
        <v>177</v>
      </c>
      <c r="P78">
        <v>179</v>
      </c>
    </row>
    <row r="79" spans="1:16" x14ac:dyDescent="0.3">
      <c r="A79">
        <v>78</v>
      </c>
      <c r="B79" s="4">
        <v>40547</v>
      </c>
      <c r="C79">
        <v>1</v>
      </c>
      <c r="D79">
        <v>0</v>
      </c>
      <c r="E79">
        <v>1</v>
      </c>
      <c r="F79">
        <v>9</v>
      </c>
      <c r="G79" t="b">
        <v>0</v>
      </c>
      <c r="H79">
        <v>2</v>
      </c>
      <c r="I79">
        <v>1</v>
      </c>
      <c r="J79">
        <v>0.16</v>
      </c>
      <c r="K79">
        <v>0.1515</v>
      </c>
      <c r="L79">
        <v>0.64</v>
      </c>
      <c r="M79">
        <v>0.22389999999999999</v>
      </c>
      <c r="N79">
        <v>2</v>
      </c>
      <c r="O79">
        <v>98</v>
      </c>
      <c r="P79">
        <v>100</v>
      </c>
    </row>
    <row r="80" spans="1:16" x14ac:dyDescent="0.3">
      <c r="A80">
        <v>79</v>
      </c>
      <c r="B80" s="4">
        <v>40547</v>
      </c>
      <c r="C80">
        <v>1</v>
      </c>
      <c r="D80">
        <v>0</v>
      </c>
      <c r="E80">
        <v>1</v>
      </c>
      <c r="F80">
        <v>10</v>
      </c>
      <c r="G80" t="b">
        <v>0</v>
      </c>
      <c r="H80">
        <v>2</v>
      </c>
      <c r="I80">
        <v>2</v>
      </c>
      <c r="J80">
        <v>0.16</v>
      </c>
      <c r="K80">
        <v>0.13639999999999999</v>
      </c>
      <c r="L80">
        <v>0.69</v>
      </c>
      <c r="M80">
        <v>0.32840000000000003</v>
      </c>
      <c r="N80">
        <v>5</v>
      </c>
      <c r="O80">
        <v>37</v>
      </c>
      <c r="P80">
        <v>42</v>
      </c>
    </row>
    <row r="81" spans="1:16" x14ac:dyDescent="0.3">
      <c r="A81">
        <v>80</v>
      </c>
      <c r="B81" s="4">
        <v>40547</v>
      </c>
      <c r="C81">
        <v>1</v>
      </c>
      <c r="D81">
        <v>0</v>
      </c>
      <c r="E81">
        <v>1</v>
      </c>
      <c r="F81">
        <v>11</v>
      </c>
      <c r="G81" t="b">
        <v>0</v>
      </c>
      <c r="H81">
        <v>2</v>
      </c>
      <c r="I81">
        <v>1</v>
      </c>
      <c r="J81">
        <v>0.22</v>
      </c>
      <c r="K81">
        <v>0.21210000000000001</v>
      </c>
      <c r="L81">
        <v>0.51</v>
      </c>
      <c r="M81">
        <v>0.29849999999999999</v>
      </c>
      <c r="N81">
        <v>7</v>
      </c>
      <c r="O81">
        <v>50</v>
      </c>
      <c r="P81">
        <v>57</v>
      </c>
    </row>
    <row r="82" spans="1:16" x14ac:dyDescent="0.3">
      <c r="A82">
        <v>81</v>
      </c>
      <c r="B82" s="4">
        <v>40547</v>
      </c>
      <c r="C82">
        <v>1</v>
      </c>
      <c r="D82">
        <v>0</v>
      </c>
      <c r="E82">
        <v>1</v>
      </c>
      <c r="F82">
        <v>12</v>
      </c>
      <c r="G82" t="b">
        <v>0</v>
      </c>
      <c r="H82">
        <v>2</v>
      </c>
      <c r="I82">
        <v>1</v>
      </c>
      <c r="J82">
        <v>0.22</v>
      </c>
      <c r="K82">
        <v>0.2273</v>
      </c>
      <c r="L82">
        <v>0.51</v>
      </c>
      <c r="M82">
        <v>0.16420000000000001</v>
      </c>
      <c r="N82">
        <v>12</v>
      </c>
      <c r="O82">
        <v>66</v>
      </c>
      <c r="P82">
        <v>78</v>
      </c>
    </row>
    <row r="83" spans="1:16" x14ac:dyDescent="0.3">
      <c r="A83">
        <v>82</v>
      </c>
      <c r="B83" s="4">
        <v>40547</v>
      </c>
      <c r="C83">
        <v>1</v>
      </c>
      <c r="D83">
        <v>0</v>
      </c>
      <c r="E83">
        <v>1</v>
      </c>
      <c r="F83">
        <v>13</v>
      </c>
      <c r="G83" t="b">
        <v>0</v>
      </c>
      <c r="H83">
        <v>2</v>
      </c>
      <c r="I83">
        <v>1</v>
      </c>
      <c r="J83">
        <v>0.24</v>
      </c>
      <c r="K83">
        <v>0.2273</v>
      </c>
      <c r="L83">
        <v>0.56000000000000005</v>
      </c>
      <c r="M83">
        <v>0.19400000000000001</v>
      </c>
      <c r="N83">
        <v>18</v>
      </c>
      <c r="O83">
        <v>79</v>
      </c>
      <c r="P83">
        <v>97</v>
      </c>
    </row>
    <row r="84" spans="1:16" x14ac:dyDescent="0.3">
      <c r="A84">
        <v>83</v>
      </c>
      <c r="B84" s="4">
        <v>40547</v>
      </c>
      <c r="C84">
        <v>1</v>
      </c>
      <c r="D84">
        <v>0</v>
      </c>
      <c r="E84">
        <v>1</v>
      </c>
      <c r="F84">
        <v>14</v>
      </c>
      <c r="G84" t="b">
        <v>0</v>
      </c>
      <c r="H84">
        <v>2</v>
      </c>
      <c r="I84">
        <v>1</v>
      </c>
      <c r="J84">
        <v>0.26</v>
      </c>
      <c r="K84">
        <v>0.2576</v>
      </c>
      <c r="L84">
        <v>0.52</v>
      </c>
      <c r="M84">
        <v>0.22389999999999999</v>
      </c>
      <c r="N84">
        <v>9</v>
      </c>
      <c r="O84">
        <v>54</v>
      </c>
      <c r="P84">
        <v>63</v>
      </c>
    </row>
    <row r="85" spans="1:16" x14ac:dyDescent="0.3">
      <c r="A85">
        <v>84</v>
      </c>
      <c r="B85" s="4">
        <v>40547</v>
      </c>
      <c r="C85">
        <v>1</v>
      </c>
      <c r="D85">
        <v>0</v>
      </c>
      <c r="E85">
        <v>1</v>
      </c>
      <c r="F85">
        <v>15</v>
      </c>
      <c r="G85" t="b">
        <v>0</v>
      </c>
      <c r="H85">
        <v>2</v>
      </c>
      <c r="I85">
        <v>1</v>
      </c>
      <c r="J85">
        <v>0.28000000000000003</v>
      </c>
      <c r="K85">
        <v>0.2727</v>
      </c>
      <c r="L85">
        <v>0.52</v>
      </c>
      <c r="M85">
        <v>0.25369999999999998</v>
      </c>
      <c r="N85">
        <v>17</v>
      </c>
      <c r="O85">
        <v>48</v>
      </c>
      <c r="P85">
        <v>65</v>
      </c>
    </row>
    <row r="86" spans="1:16" x14ac:dyDescent="0.3">
      <c r="A86">
        <v>85</v>
      </c>
      <c r="B86" s="4">
        <v>40547</v>
      </c>
      <c r="C86">
        <v>1</v>
      </c>
      <c r="D86">
        <v>0</v>
      </c>
      <c r="E86">
        <v>1</v>
      </c>
      <c r="F86">
        <v>16</v>
      </c>
      <c r="G86" t="b">
        <v>0</v>
      </c>
      <c r="H86">
        <v>2</v>
      </c>
      <c r="I86">
        <v>1</v>
      </c>
      <c r="J86">
        <v>0.3</v>
      </c>
      <c r="K86">
        <v>0.28789999999999999</v>
      </c>
      <c r="L86">
        <v>0.49</v>
      </c>
      <c r="M86">
        <v>0.25369999999999998</v>
      </c>
      <c r="N86">
        <v>15</v>
      </c>
      <c r="O86">
        <v>68</v>
      </c>
      <c r="P86">
        <v>83</v>
      </c>
    </row>
    <row r="87" spans="1:16" x14ac:dyDescent="0.3">
      <c r="A87">
        <v>86</v>
      </c>
      <c r="B87" s="4">
        <v>40547</v>
      </c>
      <c r="C87">
        <v>1</v>
      </c>
      <c r="D87">
        <v>0</v>
      </c>
      <c r="E87">
        <v>1</v>
      </c>
      <c r="F87">
        <v>17</v>
      </c>
      <c r="G87" t="b">
        <v>0</v>
      </c>
      <c r="H87">
        <v>2</v>
      </c>
      <c r="I87">
        <v>1</v>
      </c>
      <c r="J87">
        <v>0.28000000000000003</v>
      </c>
      <c r="K87">
        <v>0.2727</v>
      </c>
      <c r="L87">
        <v>0.48</v>
      </c>
      <c r="M87">
        <v>0.22389999999999999</v>
      </c>
      <c r="N87">
        <v>10</v>
      </c>
      <c r="O87">
        <v>202</v>
      </c>
      <c r="P87">
        <v>212</v>
      </c>
    </row>
    <row r="88" spans="1:16" x14ac:dyDescent="0.3">
      <c r="A88">
        <v>87</v>
      </c>
      <c r="B88" s="4">
        <v>40547</v>
      </c>
      <c r="C88">
        <v>1</v>
      </c>
      <c r="D88">
        <v>0</v>
      </c>
      <c r="E88">
        <v>1</v>
      </c>
      <c r="F88">
        <v>18</v>
      </c>
      <c r="G88" t="b">
        <v>0</v>
      </c>
      <c r="H88">
        <v>2</v>
      </c>
      <c r="I88">
        <v>1</v>
      </c>
      <c r="J88">
        <v>0.26</v>
      </c>
      <c r="K88">
        <v>0.2576</v>
      </c>
      <c r="L88">
        <v>0.48</v>
      </c>
      <c r="M88">
        <v>0.19400000000000001</v>
      </c>
      <c r="N88">
        <v>3</v>
      </c>
      <c r="O88">
        <v>179</v>
      </c>
      <c r="P88">
        <v>182</v>
      </c>
    </row>
    <row r="89" spans="1:16" x14ac:dyDescent="0.3">
      <c r="A89">
        <v>88</v>
      </c>
      <c r="B89" s="4">
        <v>40547</v>
      </c>
      <c r="C89">
        <v>1</v>
      </c>
      <c r="D89">
        <v>0</v>
      </c>
      <c r="E89">
        <v>1</v>
      </c>
      <c r="F89">
        <v>19</v>
      </c>
      <c r="G89" t="b">
        <v>0</v>
      </c>
      <c r="H89">
        <v>2</v>
      </c>
      <c r="I89">
        <v>1</v>
      </c>
      <c r="J89">
        <v>0.24</v>
      </c>
      <c r="K89">
        <v>0.2576</v>
      </c>
      <c r="L89">
        <v>0.48</v>
      </c>
      <c r="M89">
        <v>0.1045</v>
      </c>
      <c r="N89">
        <v>2</v>
      </c>
      <c r="O89">
        <v>110</v>
      </c>
      <c r="P89">
        <v>112</v>
      </c>
    </row>
    <row r="90" spans="1:16" x14ac:dyDescent="0.3">
      <c r="A90">
        <v>89</v>
      </c>
      <c r="B90" s="4">
        <v>40547</v>
      </c>
      <c r="C90">
        <v>1</v>
      </c>
      <c r="D90">
        <v>0</v>
      </c>
      <c r="E90">
        <v>1</v>
      </c>
      <c r="F90">
        <v>20</v>
      </c>
      <c r="G90" t="b">
        <v>0</v>
      </c>
      <c r="H90">
        <v>2</v>
      </c>
      <c r="I90">
        <v>1</v>
      </c>
      <c r="J90">
        <v>0.24</v>
      </c>
      <c r="K90">
        <v>0.2576</v>
      </c>
      <c r="L90">
        <v>0.48</v>
      </c>
      <c r="M90">
        <v>0.1045</v>
      </c>
      <c r="N90">
        <v>1</v>
      </c>
      <c r="O90">
        <v>53</v>
      </c>
      <c r="P90">
        <v>54</v>
      </c>
    </row>
    <row r="91" spans="1:16" x14ac:dyDescent="0.3">
      <c r="A91">
        <v>90</v>
      </c>
      <c r="B91" s="4">
        <v>40547</v>
      </c>
      <c r="C91">
        <v>1</v>
      </c>
      <c r="D91">
        <v>0</v>
      </c>
      <c r="E91">
        <v>1</v>
      </c>
      <c r="F91">
        <v>21</v>
      </c>
      <c r="G91" t="b">
        <v>0</v>
      </c>
      <c r="H91">
        <v>2</v>
      </c>
      <c r="I91">
        <v>1</v>
      </c>
      <c r="J91">
        <v>0.22</v>
      </c>
      <c r="K91">
        <v>0.2727</v>
      </c>
      <c r="L91">
        <v>0.64</v>
      </c>
      <c r="M91">
        <v>0</v>
      </c>
      <c r="N91">
        <v>0</v>
      </c>
      <c r="O91">
        <v>48</v>
      </c>
      <c r="P91">
        <v>48</v>
      </c>
    </row>
    <row r="92" spans="1:16" x14ac:dyDescent="0.3">
      <c r="A92">
        <v>91</v>
      </c>
      <c r="B92" s="4">
        <v>40547</v>
      </c>
      <c r="C92">
        <v>1</v>
      </c>
      <c r="D92">
        <v>0</v>
      </c>
      <c r="E92">
        <v>1</v>
      </c>
      <c r="F92">
        <v>22</v>
      </c>
      <c r="G92" t="b">
        <v>0</v>
      </c>
      <c r="H92">
        <v>2</v>
      </c>
      <c r="I92">
        <v>1</v>
      </c>
      <c r="J92">
        <v>0.22</v>
      </c>
      <c r="K92">
        <v>0.2576</v>
      </c>
      <c r="L92">
        <v>0.64</v>
      </c>
      <c r="M92">
        <v>8.9599999999999999E-2</v>
      </c>
      <c r="N92">
        <v>1</v>
      </c>
      <c r="O92">
        <v>34</v>
      </c>
      <c r="P92">
        <v>35</v>
      </c>
    </row>
    <row r="93" spans="1:16" x14ac:dyDescent="0.3">
      <c r="A93">
        <v>92</v>
      </c>
      <c r="B93" s="4">
        <v>40547</v>
      </c>
      <c r="C93">
        <v>1</v>
      </c>
      <c r="D93">
        <v>0</v>
      </c>
      <c r="E93">
        <v>1</v>
      </c>
      <c r="F93">
        <v>23</v>
      </c>
      <c r="G93" t="b">
        <v>0</v>
      </c>
      <c r="H93">
        <v>2</v>
      </c>
      <c r="I93">
        <v>1</v>
      </c>
      <c r="J93">
        <v>0.2</v>
      </c>
      <c r="K93">
        <v>0.2273</v>
      </c>
      <c r="L93">
        <v>0.69</v>
      </c>
      <c r="M93">
        <v>8.9599999999999999E-2</v>
      </c>
      <c r="N93">
        <v>2</v>
      </c>
      <c r="O93">
        <v>9</v>
      </c>
      <c r="P93">
        <v>11</v>
      </c>
    </row>
    <row r="94" spans="1:16" x14ac:dyDescent="0.3">
      <c r="A94">
        <v>93</v>
      </c>
      <c r="B94" s="4">
        <v>40548</v>
      </c>
      <c r="C94">
        <v>1</v>
      </c>
      <c r="D94">
        <v>0</v>
      </c>
      <c r="E94">
        <v>1</v>
      </c>
      <c r="F94">
        <v>0</v>
      </c>
      <c r="G94" t="b">
        <v>0</v>
      </c>
      <c r="H94">
        <v>3</v>
      </c>
      <c r="I94">
        <v>1</v>
      </c>
      <c r="J94">
        <v>0.2</v>
      </c>
      <c r="K94">
        <v>0.2576</v>
      </c>
      <c r="L94">
        <v>0.64</v>
      </c>
      <c r="M94">
        <v>0</v>
      </c>
      <c r="N94">
        <v>0</v>
      </c>
      <c r="O94">
        <v>6</v>
      </c>
      <c r="P94">
        <v>6</v>
      </c>
    </row>
    <row r="95" spans="1:16" x14ac:dyDescent="0.3">
      <c r="A95">
        <v>94</v>
      </c>
      <c r="B95" s="4">
        <v>40548</v>
      </c>
      <c r="C95">
        <v>1</v>
      </c>
      <c r="D95">
        <v>0</v>
      </c>
      <c r="E95">
        <v>1</v>
      </c>
      <c r="F95">
        <v>1</v>
      </c>
      <c r="G95" t="b">
        <v>0</v>
      </c>
      <c r="H95">
        <v>3</v>
      </c>
      <c r="I95">
        <v>1</v>
      </c>
      <c r="J95">
        <v>0.16</v>
      </c>
      <c r="K95">
        <v>0.19700000000000001</v>
      </c>
      <c r="L95">
        <v>0.74</v>
      </c>
      <c r="M95">
        <v>8.9599999999999999E-2</v>
      </c>
      <c r="N95">
        <v>0</v>
      </c>
      <c r="O95">
        <v>6</v>
      </c>
      <c r="P95">
        <v>6</v>
      </c>
    </row>
    <row r="96" spans="1:16" x14ac:dyDescent="0.3">
      <c r="A96">
        <v>95</v>
      </c>
      <c r="B96" s="4">
        <v>40548</v>
      </c>
      <c r="C96">
        <v>1</v>
      </c>
      <c r="D96">
        <v>0</v>
      </c>
      <c r="E96">
        <v>1</v>
      </c>
      <c r="F96">
        <v>2</v>
      </c>
      <c r="G96" t="b">
        <v>0</v>
      </c>
      <c r="H96">
        <v>3</v>
      </c>
      <c r="I96">
        <v>1</v>
      </c>
      <c r="J96">
        <v>0.16</v>
      </c>
      <c r="K96">
        <v>0.19700000000000001</v>
      </c>
      <c r="L96">
        <v>0.74</v>
      </c>
      <c r="M96">
        <v>8.9599999999999999E-2</v>
      </c>
      <c r="N96">
        <v>0</v>
      </c>
      <c r="O96">
        <v>2</v>
      </c>
      <c r="P96">
        <v>2</v>
      </c>
    </row>
    <row r="97" spans="1:16" x14ac:dyDescent="0.3">
      <c r="A97">
        <v>96</v>
      </c>
      <c r="B97" s="4">
        <v>40548</v>
      </c>
      <c r="C97">
        <v>1</v>
      </c>
      <c r="D97">
        <v>0</v>
      </c>
      <c r="E97">
        <v>1</v>
      </c>
      <c r="F97">
        <v>4</v>
      </c>
      <c r="G97" t="b">
        <v>0</v>
      </c>
      <c r="H97">
        <v>3</v>
      </c>
      <c r="I97">
        <v>1</v>
      </c>
      <c r="J97">
        <v>0.24</v>
      </c>
      <c r="K97">
        <v>0.2273</v>
      </c>
      <c r="L97">
        <v>0.48</v>
      </c>
      <c r="M97">
        <v>0.22389999999999999</v>
      </c>
      <c r="N97">
        <v>0</v>
      </c>
      <c r="O97">
        <v>2</v>
      </c>
      <c r="P97">
        <v>2</v>
      </c>
    </row>
    <row r="98" spans="1:16" x14ac:dyDescent="0.3">
      <c r="A98">
        <v>97</v>
      </c>
      <c r="B98" s="4">
        <v>40548</v>
      </c>
      <c r="C98">
        <v>1</v>
      </c>
      <c r="D98">
        <v>0</v>
      </c>
      <c r="E98">
        <v>1</v>
      </c>
      <c r="F98">
        <v>5</v>
      </c>
      <c r="G98" t="b">
        <v>0</v>
      </c>
      <c r="H98">
        <v>3</v>
      </c>
      <c r="I98">
        <v>1</v>
      </c>
      <c r="J98">
        <v>0.22</v>
      </c>
      <c r="K98">
        <v>0.2273</v>
      </c>
      <c r="L98">
        <v>0.47</v>
      </c>
      <c r="M98">
        <v>0.16420000000000001</v>
      </c>
      <c r="N98">
        <v>0</v>
      </c>
      <c r="O98">
        <v>3</v>
      </c>
      <c r="P98">
        <v>3</v>
      </c>
    </row>
    <row r="99" spans="1:16" x14ac:dyDescent="0.3">
      <c r="A99">
        <v>98</v>
      </c>
      <c r="B99" s="4">
        <v>40548</v>
      </c>
      <c r="C99">
        <v>1</v>
      </c>
      <c r="D99">
        <v>0</v>
      </c>
      <c r="E99">
        <v>1</v>
      </c>
      <c r="F99">
        <v>6</v>
      </c>
      <c r="G99" t="b">
        <v>0</v>
      </c>
      <c r="H99">
        <v>3</v>
      </c>
      <c r="I99">
        <v>1</v>
      </c>
      <c r="J99">
        <v>0.2</v>
      </c>
      <c r="K99">
        <v>0.19700000000000001</v>
      </c>
      <c r="L99">
        <v>0.47</v>
      </c>
      <c r="M99">
        <v>0.22389999999999999</v>
      </c>
      <c r="N99">
        <v>0</v>
      </c>
      <c r="O99">
        <v>33</v>
      </c>
      <c r="P99">
        <v>33</v>
      </c>
    </row>
    <row r="100" spans="1:16" x14ac:dyDescent="0.3">
      <c r="A100">
        <v>99</v>
      </c>
      <c r="B100" s="4">
        <v>40548</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3">
      <c r="A101">
        <v>100</v>
      </c>
      <c r="B101" s="4">
        <v>40548</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3">
      <c r="A102">
        <v>101</v>
      </c>
      <c r="B102" s="4">
        <v>40548</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3">
      <c r="A103">
        <v>102</v>
      </c>
      <c r="B103" s="4">
        <v>40548</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3">
      <c r="A104">
        <v>103</v>
      </c>
      <c r="B104" s="4">
        <v>40548</v>
      </c>
      <c r="C104">
        <v>1</v>
      </c>
      <c r="D104">
        <v>0</v>
      </c>
      <c r="E104">
        <v>1</v>
      </c>
      <c r="F104">
        <v>11</v>
      </c>
      <c r="G104" t="b">
        <v>0</v>
      </c>
      <c r="H104">
        <v>3</v>
      </c>
      <c r="I104">
        <v>1</v>
      </c>
      <c r="J104">
        <v>0.26</v>
      </c>
      <c r="K104">
        <v>0.2273</v>
      </c>
      <c r="L104">
        <v>0.33</v>
      </c>
      <c r="M104">
        <v>0.32840000000000003</v>
      </c>
      <c r="N104">
        <v>12</v>
      </c>
      <c r="O104">
        <v>34</v>
      </c>
      <c r="P104">
        <v>46</v>
      </c>
    </row>
    <row r="105" spans="1:16" x14ac:dyDescent="0.3">
      <c r="A105">
        <v>104</v>
      </c>
      <c r="B105" s="4">
        <v>40548</v>
      </c>
      <c r="C105">
        <v>1</v>
      </c>
      <c r="D105">
        <v>0</v>
      </c>
      <c r="E105">
        <v>1</v>
      </c>
      <c r="F105">
        <v>12</v>
      </c>
      <c r="G105" t="b">
        <v>0</v>
      </c>
      <c r="H105">
        <v>3</v>
      </c>
      <c r="I105">
        <v>1</v>
      </c>
      <c r="J105">
        <v>0.26</v>
      </c>
      <c r="K105">
        <v>0.2273</v>
      </c>
      <c r="L105">
        <v>0.33</v>
      </c>
      <c r="M105">
        <v>0.32840000000000003</v>
      </c>
      <c r="N105">
        <v>5</v>
      </c>
      <c r="O105">
        <v>74</v>
      </c>
      <c r="P105">
        <v>79</v>
      </c>
    </row>
    <row r="106" spans="1:16" x14ac:dyDescent="0.3">
      <c r="A106">
        <v>105</v>
      </c>
      <c r="B106" s="4">
        <v>40548</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3">
      <c r="A107">
        <v>106</v>
      </c>
      <c r="B107" s="4">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3">
      <c r="A108">
        <v>107</v>
      </c>
      <c r="B108" s="4">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3">
      <c r="A109">
        <v>108</v>
      </c>
      <c r="B109" s="4">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3">
      <c r="A110">
        <v>109</v>
      </c>
      <c r="B110" s="4">
        <v>40548</v>
      </c>
      <c r="C110">
        <v>1</v>
      </c>
      <c r="D110">
        <v>0</v>
      </c>
      <c r="E110">
        <v>1</v>
      </c>
      <c r="F110">
        <v>17</v>
      </c>
      <c r="G110" t="b">
        <v>0</v>
      </c>
      <c r="H110">
        <v>3</v>
      </c>
      <c r="I110">
        <v>1</v>
      </c>
      <c r="J110">
        <v>0.24</v>
      </c>
      <c r="K110">
        <v>0.2273</v>
      </c>
      <c r="L110">
        <v>0.38</v>
      </c>
      <c r="M110">
        <v>0.19400000000000001</v>
      </c>
      <c r="N110">
        <v>4</v>
      </c>
      <c r="O110">
        <v>186</v>
      </c>
      <c r="P110">
        <v>190</v>
      </c>
    </row>
    <row r="111" spans="1:16" x14ac:dyDescent="0.3">
      <c r="A111">
        <v>110</v>
      </c>
      <c r="B111" s="4">
        <v>40548</v>
      </c>
      <c r="C111">
        <v>1</v>
      </c>
      <c r="D111">
        <v>0</v>
      </c>
      <c r="E111">
        <v>1</v>
      </c>
      <c r="F111">
        <v>18</v>
      </c>
      <c r="G111" t="b">
        <v>0</v>
      </c>
      <c r="H111">
        <v>3</v>
      </c>
      <c r="I111">
        <v>1</v>
      </c>
      <c r="J111">
        <v>0.24</v>
      </c>
      <c r="K111">
        <v>0.2424</v>
      </c>
      <c r="L111">
        <v>0.38</v>
      </c>
      <c r="M111">
        <v>0.1343</v>
      </c>
      <c r="N111">
        <v>3</v>
      </c>
      <c r="O111">
        <v>166</v>
      </c>
      <c r="P111">
        <v>169</v>
      </c>
    </row>
    <row r="112" spans="1:16" x14ac:dyDescent="0.3">
      <c r="A112">
        <v>111</v>
      </c>
      <c r="B112" s="4">
        <v>40548</v>
      </c>
      <c r="C112">
        <v>1</v>
      </c>
      <c r="D112">
        <v>0</v>
      </c>
      <c r="E112">
        <v>1</v>
      </c>
      <c r="F112">
        <v>19</v>
      </c>
      <c r="G112" t="b">
        <v>0</v>
      </c>
      <c r="H112">
        <v>3</v>
      </c>
      <c r="I112">
        <v>1</v>
      </c>
      <c r="J112">
        <v>0.24</v>
      </c>
      <c r="K112">
        <v>0.2576</v>
      </c>
      <c r="L112">
        <v>0.38</v>
      </c>
      <c r="M112">
        <v>0.1045</v>
      </c>
      <c r="N112">
        <v>5</v>
      </c>
      <c r="O112">
        <v>127</v>
      </c>
      <c r="P112">
        <v>132</v>
      </c>
    </row>
    <row r="113" spans="1:16" x14ac:dyDescent="0.3">
      <c r="A113">
        <v>112</v>
      </c>
      <c r="B113" s="4">
        <v>40548</v>
      </c>
      <c r="C113">
        <v>1</v>
      </c>
      <c r="D113">
        <v>0</v>
      </c>
      <c r="E113">
        <v>1</v>
      </c>
      <c r="F113">
        <v>20</v>
      </c>
      <c r="G113" t="b">
        <v>0</v>
      </c>
      <c r="H113">
        <v>3</v>
      </c>
      <c r="I113">
        <v>1</v>
      </c>
      <c r="J113">
        <v>0.22</v>
      </c>
      <c r="K113">
        <v>0.2273</v>
      </c>
      <c r="L113">
        <v>0.47</v>
      </c>
      <c r="M113">
        <v>0.16420000000000001</v>
      </c>
      <c r="N113">
        <v>7</v>
      </c>
      <c r="O113">
        <v>82</v>
      </c>
      <c r="P113">
        <v>89</v>
      </c>
    </row>
    <row r="114" spans="1:16" x14ac:dyDescent="0.3">
      <c r="A114">
        <v>113</v>
      </c>
      <c r="B114" s="4">
        <v>40548</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3">
      <c r="A115">
        <v>114</v>
      </c>
      <c r="B115" s="4">
        <v>40548</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3">
      <c r="A116">
        <v>115</v>
      </c>
      <c r="B116" s="4">
        <v>40548</v>
      </c>
      <c r="C116">
        <v>1</v>
      </c>
      <c r="D116">
        <v>0</v>
      </c>
      <c r="E116">
        <v>1</v>
      </c>
      <c r="F116">
        <v>23</v>
      </c>
      <c r="G116" t="b">
        <v>0</v>
      </c>
      <c r="H116">
        <v>3</v>
      </c>
      <c r="I116">
        <v>1</v>
      </c>
      <c r="J116">
        <v>0.2</v>
      </c>
      <c r="K116">
        <v>0.2576</v>
      </c>
      <c r="L116">
        <v>0.47</v>
      </c>
      <c r="M116">
        <v>0</v>
      </c>
      <c r="N116">
        <v>1</v>
      </c>
      <c r="O116">
        <v>18</v>
      </c>
      <c r="P116">
        <v>19</v>
      </c>
    </row>
    <row r="117" spans="1:16" x14ac:dyDescent="0.3">
      <c r="A117">
        <v>116</v>
      </c>
      <c r="B117" s="4">
        <v>40549</v>
      </c>
      <c r="C117">
        <v>1</v>
      </c>
      <c r="D117">
        <v>0</v>
      </c>
      <c r="E117">
        <v>1</v>
      </c>
      <c r="F117">
        <v>0</v>
      </c>
      <c r="G117" t="b">
        <v>0</v>
      </c>
      <c r="H117">
        <v>4</v>
      </c>
      <c r="I117">
        <v>1</v>
      </c>
      <c r="J117">
        <v>0.18</v>
      </c>
      <c r="K117">
        <v>0.2424</v>
      </c>
      <c r="L117">
        <v>0.55000000000000004</v>
      </c>
      <c r="M117">
        <v>0</v>
      </c>
      <c r="N117">
        <v>0</v>
      </c>
      <c r="O117">
        <v>11</v>
      </c>
      <c r="P117">
        <v>11</v>
      </c>
    </row>
    <row r="118" spans="1:16" x14ac:dyDescent="0.3">
      <c r="A118">
        <v>117</v>
      </c>
      <c r="B118" s="4">
        <v>40549</v>
      </c>
      <c r="C118">
        <v>1</v>
      </c>
      <c r="D118">
        <v>0</v>
      </c>
      <c r="E118">
        <v>1</v>
      </c>
      <c r="F118">
        <v>1</v>
      </c>
      <c r="G118" t="b">
        <v>0</v>
      </c>
      <c r="H118">
        <v>4</v>
      </c>
      <c r="I118">
        <v>1</v>
      </c>
      <c r="J118">
        <v>0.16</v>
      </c>
      <c r="K118">
        <v>0.2273</v>
      </c>
      <c r="L118">
        <v>0.64</v>
      </c>
      <c r="M118">
        <v>0</v>
      </c>
      <c r="N118">
        <v>0</v>
      </c>
      <c r="O118">
        <v>4</v>
      </c>
      <c r="P118">
        <v>4</v>
      </c>
    </row>
    <row r="119" spans="1:16" x14ac:dyDescent="0.3">
      <c r="A119">
        <v>118</v>
      </c>
      <c r="B119" s="4">
        <v>40549</v>
      </c>
      <c r="C119">
        <v>1</v>
      </c>
      <c r="D119">
        <v>0</v>
      </c>
      <c r="E119">
        <v>1</v>
      </c>
      <c r="F119">
        <v>2</v>
      </c>
      <c r="G119" t="b">
        <v>0</v>
      </c>
      <c r="H119">
        <v>4</v>
      </c>
      <c r="I119">
        <v>1</v>
      </c>
      <c r="J119">
        <v>0.16</v>
      </c>
      <c r="K119">
        <v>0.2273</v>
      </c>
      <c r="L119">
        <v>0.64</v>
      </c>
      <c r="M119">
        <v>0</v>
      </c>
      <c r="N119">
        <v>0</v>
      </c>
      <c r="O119">
        <v>2</v>
      </c>
      <c r="P119">
        <v>2</v>
      </c>
    </row>
    <row r="120" spans="1:16" x14ac:dyDescent="0.3">
      <c r="A120">
        <v>119</v>
      </c>
      <c r="B120" s="4">
        <v>40549</v>
      </c>
      <c r="C120">
        <v>1</v>
      </c>
      <c r="D120">
        <v>0</v>
      </c>
      <c r="E120">
        <v>1</v>
      </c>
      <c r="F120">
        <v>4</v>
      </c>
      <c r="G120" t="b">
        <v>0</v>
      </c>
      <c r="H120">
        <v>4</v>
      </c>
      <c r="I120">
        <v>2</v>
      </c>
      <c r="J120">
        <v>0.16</v>
      </c>
      <c r="K120">
        <v>0.19700000000000001</v>
      </c>
      <c r="L120">
        <v>0.64</v>
      </c>
      <c r="M120">
        <v>8.9599999999999999E-2</v>
      </c>
      <c r="N120">
        <v>0</v>
      </c>
      <c r="O120">
        <v>1</v>
      </c>
      <c r="P120">
        <v>1</v>
      </c>
    </row>
    <row r="121" spans="1:16" x14ac:dyDescent="0.3">
      <c r="A121">
        <v>120</v>
      </c>
      <c r="B121" s="4">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3">
      <c r="A122">
        <v>121</v>
      </c>
      <c r="B122" s="4">
        <v>40549</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3">
      <c r="A123">
        <v>122</v>
      </c>
      <c r="B123" s="4">
        <v>40549</v>
      </c>
      <c r="C123">
        <v>1</v>
      </c>
      <c r="D123">
        <v>0</v>
      </c>
      <c r="E123">
        <v>1</v>
      </c>
      <c r="F123">
        <v>7</v>
      </c>
      <c r="G123" t="b">
        <v>0</v>
      </c>
      <c r="H123">
        <v>4</v>
      </c>
      <c r="I123">
        <v>2</v>
      </c>
      <c r="J123">
        <v>0.16</v>
      </c>
      <c r="K123">
        <v>0.2273</v>
      </c>
      <c r="L123">
        <v>0.59</v>
      </c>
      <c r="M123">
        <v>0</v>
      </c>
      <c r="N123">
        <v>0</v>
      </c>
      <c r="O123">
        <v>95</v>
      </c>
      <c r="P123">
        <v>95</v>
      </c>
    </row>
    <row r="124" spans="1:16" x14ac:dyDescent="0.3">
      <c r="A124">
        <v>123</v>
      </c>
      <c r="B124" s="4">
        <v>40549</v>
      </c>
      <c r="C124">
        <v>1</v>
      </c>
      <c r="D124">
        <v>0</v>
      </c>
      <c r="E124">
        <v>1</v>
      </c>
      <c r="F124">
        <v>8</v>
      </c>
      <c r="G124" t="b">
        <v>0</v>
      </c>
      <c r="H124">
        <v>4</v>
      </c>
      <c r="I124">
        <v>1</v>
      </c>
      <c r="J124">
        <v>0.16</v>
      </c>
      <c r="K124">
        <v>0.2273</v>
      </c>
      <c r="L124">
        <v>0.59</v>
      </c>
      <c r="M124">
        <v>0</v>
      </c>
      <c r="N124">
        <v>3</v>
      </c>
      <c r="O124">
        <v>216</v>
      </c>
      <c r="P124">
        <v>219</v>
      </c>
    </row>
    <row r="125" spans="1:16" x14ac:dyDescent="0.3">
      <c r="A125">
        <v>124</v>
      </c>
      <c r="B125" s="4">
        <v>40549</v>
      </c>
      <c r="C125">
        <v>1</v>
      </c>
      <c r="D125">
        <v>0</v>
      </c>
      <c r="E125">
        <v>1</v>
      </c>
      <c r="F125">
        <v>9</v>
      </c>
      <c r="G125" t="b">
        <v>0</v>
      </c>
      <c r="H125">
        <v>4</v>
      </c>
      <c r="I125">
        <v>2</v>
      </c>
      <c r="J125">
        <v>0.18</v>
      </c>
      <c r="K125">
        <v>0.2424</v>
      </c>
      <c r="L125">
        <v>0.51</v>
      </c>
      <c r="M125">
        <v>0</v>
      </c>
      <c r="N125">
        <v>6</v>
      </c>
      <c r="O125">
        <v>116</v>
      </c>
      <c r="P125">
        <v>122</v>
      </c>
    </row>
    <row r="126" spans="1:16" x14ac:dyDescent="0.3">
      <c r="A126">
        <v>125</v>
      </c>
      <c r="B126" s="4">
        <v>40549</v>
      </c>
      <c r="C126">
        <v>1</v>
      </c>
      <c r="D126">
        <v>0</v>
      </c>
      <c r="E126">
        <v>1</v>
      </c>
      <c r="F126">
        <v>10</v>
      </c>
      <c r="G126" t="b">
        <v>0</v>
      </c>
      <c r="H126">
        <v>4</v>
      </c>
      <c r="I126">
        <v>1</v>
      </c>
      <c r="J126">
        <v>0.2</v>
      </c>
      <c r="K126">
        <v>0.2576</v>
      </c>
      <c r="L126">
        <v>0.47</v>
      </c>
      <c r="M126">
        <v>0</v>
      </c>
      <c r="N126">
        <v>3</v>
      </c>
      <c r="O126">
        <v>42</v>
      </c>
      <c r="P126">
        <v>45</v>
      </c>
    </row>
    <row r="127" spans="1:16" x14ac:dyDescent="0.3">
      <c r="A127">
        <v>126</v>
      </c>
      <c r="B127" s="4">
        <v>40549</v>
      </c>
      <c r="C127">
        <v>1</v>
      </c>
      <c r="D127">
        <v>0</v>
      </c>
      <c r="E127">
        <v>1</v>
      </c>
      <c r="F127">
        <v>11</v>
      </c>
      <c r="G127" t="b">
        <v>0</v>
      </c>
      <c r="H127">
        <v>4</v>
      </c>
      <c r="I127">
        <v>1</v>
      </c>
      <c r="J127">
        <v>0.22</v>
      </c>
      <c r="K127">
        <v>0.2576</v>
      </c>
      <c r="L127">
        <v>0.44</v>
      </c>
      <c r="M127">
        <v>8.9599999999999999E-2</v>
      </c>
      <c r="N127">
        <v>2</v>
      </c>
      <c r="O127">
        <v>57</v>
      </c>
      <c r="P127">
        <v>59</v>
      </c>
    </row>
    <row r="128" spans="1:16" x14ac:dyDescent="0.3">
      <c r="A128">
        <v>127</v>
      </c>
      <c r="B128" s="4">
        <v>40549</v>
      </c>
      <c r="C128">
        <v>1</v>
      </c>
      <c r="D128">
        <v>0</v>
      </c>
      <c r="E128">
        <v>1</v>
      </c>
      <c r="F128">
        <v>12</v>
      </c>
      <c r="G128" t="b">
        <v>0</v>
      </c>
      <c r="H128">
        <v>4</v>
      </c>
      <c r="I128">
        <v>1</v>
      </c>
      <c r="J128">
        <v>0.26</v>
      </c>
      <c r="K128">
        <v>0.28789999999999999</v>
      </c>
      <c r="L128">
        <v>0.35</v>
      </c>
      <c r="M128">
        <v>0</v>
      </c>
      <c r="N128">
        <v>6</v>
      </c>
      <c r="O128">
        <v>78</v>
      </c>
      <c r="P128">
        <v>84</v>
      </c>
    </row>
    <row r="129" spans="1:16" x14ac:dyDescent="0.3">
      <c r="A129">
        <v>128</v>
      </c>
      <c r="B129" s="4">
        <v>40549</v>
      </c>
      <c r="C129">
        <v>1</v>
      </c>
      <c r="D129">
        <v>0</v>
      </c>
      <c r="E129">
        <v>1</v>
      </c>
      <c r="F129">
        <v>13</v>
      </c>
      <c r="G129" t="b">
        <v>0</v>
      </c>
      <c r="H129">
        <v>4</v>
      </c>
      <c r="I129">
        <v>1</v>
      </c>
      <c r="J129">
        <v>0.26</v>
      </c>
      <c r="K129">
        <v>0.2727</v>
      </c>
      <c r="L129">
        <v>0.35</v>
      </c>
      <c r="M129">
        <v>0.1045</v>
      </c>
      <c r="N129">
        <v>12</v>
      </c>
      <c r="O129">
        <v>55</v>
      </c>
      <c r="P129">
        <v>67</v>
      </c>
    </row>
    <row r="130" spans="1:16" x14ac:dyDescent="0.3">
      <c r="A130">
        <v>129</v>
      </c>
      <c r="B130" s="4">
        <v>40549</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3">
      <c r="A131">
        <v>130</v>
      </c>
      <c r="B131" s="4">
        <v>40549</v>
      </c>
      <c r="C131">
        <v>1</v>
      </c>
      <c r="D131">
        <v>0</v>
      </c>
      <c r="E131">
        <v>1</v>
      </c>
      <c r="F131">
        <v>15</v>
      </c>
      <c r="G131" t="b">
        <v>0</v>
      </c>
      <c r="H131">
        <v>4</v>
      </c>
      <c r="I131">
        <v>1</v>
      </c>
      <c r="J131">
        <v>0.28000000000000003</v>
      </c>
      <c r="K131">
        <v>0.2727</v>
      </c>
      <c r="L131">
        <v>0.36</v>
      </c>
      <c r="M131">
        <v>0</v>
      </c>
      <c r="N131">
        <v>8</v>
      </c>
      <c r="O131">
        <v>54</v>
      </c>
      <c r="P131">
        <v>62</v>
      </c>
    </row>
    <row r="132" spans="1:16" x14ac:dyDescent="0.3">
      <c r="A132">
        <v>131</v>
      </c>
      <c r="B132" s="4">
        <v>40549</v>
      </c>
      <c r="C132">
        <v>1</v>
      </c>
      <c r="D132">
        <v>0</v>
      </c>
      <c r="E132">
        <v>1</v>
      </c>
      <c r="F132">
        <v>16</v>
      </c>
      <c r="G132" t="b">
        <v>0</v>
      </c>
      <c r="H132">
        <v>4</v>
      </c>
      <c r="I132">
        <v>1</v>
      </c>
      <c r="J132">
        <v>0.26</v>
      </c>
      <c r="K132">
        <v>0.2576</v>
      </c>
      <c r="L132">
        <v>0.38</v>
      </c>
      <c r="M132">
        <v>0.16420000000000001</v>
      </c>
      <c r="N132">
        <v>12</v>
      </c>
      <c r="O132">
        <v>74</v>
      </c>
      <c r="P132">
        <v>86</v>
      </c>
    </row>
    <row r="133" spans="1:16" x14ac:dyDescent="0.3">
      <c r="A133">
        <v>132</v>
      </c>
      <c r="B133" s="4">
        <v>40549</v>
      </c>
      <c r="C133">
        <v>1</v>
      </c>
      <c r="D133">
        <v>0</v>
      </c>
      <c r="E133">
        <v>1</v>
      </c>
      <c r="F133">
        <v>17</v>
      </c>
      <c r="G133" t="b">
        <v>0</v>
      </c>
      <c r="H133">
        <v>4</v>
      </c>
      <c r="I133">
        <v>1</v>
      </c>
      <c r="J133">
        <v>0.22</v>
      </c>
      <c r="K133">
        <v>0.2273</v>
      </c>
      <c r="L133">
        <v>0.51</v>
      </c>
      <c r="M133">
        <v>0.16420000000000001</v>
      </c>
      <c r="N133">
        <v>9</v>
      </c>
      <c r="O133">
        <v>163</v>
      </c>
      <c r="P133">
        <v>172</v>
      </c>
    </row>
    <row r="134" spans="1:16" x14ac:dyDescent="0.3">
      <c r="A134">
        <v>133</v>
      </c>
      <c r="B134" s="4">
        <v>40549</v>
      </c>
      <c r="C134">
        <v>1</v>
      </c>
      <c r="D134">
        <v>0</v>
      </c>
      <c r="E134">
        <v>1</v>
      </c>
      <c r="F134">
        <v>18</v>
      </c>
      <c r="G134" t="b">
        <v>0</v>
      </c>
      <c r="H134">
        <v>4</v>
      </c>
      <c r="I134">
        <v>1</v>
      </c>
      <c r="J134">
        <v>0.22</v>
      </c>
      <c r="K134">
        <v>0.2273</v>
      </c>
      <c r="L134">
        <v>0.51</v>
      </c>
      <c r="M134">
        <v>0.1343</v>
      </c>
      <c r="N134">
        <v>5</v>
      </c>
      <c r="O134">
        <v>158</v>
      </c>
      <c r="P134">
        <v>163</v>
      </c>
    </row>
    <row r="135" spans="1:16" x14ac:dyDescent="0.3">
      <c r="A135">
        <v>134</v>
      </c>
      <c r="B135" s="4">
        <v>40549</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3">
      <c r="A136">
        <v>135</v>
      </c>
      <c r="B136" s="4">
        <v>40549</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3">
      <c r="A137">
        <v>136</v>
      </c>
      <c r="B137" s="4">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3">
      <c r="A138">
        <v>137</v>
      </c>
      <c r="B138" s="4">
        <v>40549</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3">
      <c r="A139">
        <v>138</v>
      </c>
      <c r="B139" s="4">
        <v>40549</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3">
      <c r="A140">
        <v>139</v>
      </c>
      <c r="B140" s="4">
        <v>40550</v>
      </c>
      <c r="C140">
        <v>1</v>
      </c>
      <c r="D140">
        <v>0</v>
      </c>
      <c r="E140">
        <v>1</v>
      </c>
      <c r="F140">
        <v>0</v>
      </c>
      <c r="G140" t="b">
        <v>0</v>
      </c>
      <c r="H140">
        <v>5</v>
      </c>
      <c r="I140">
        <v>2</v>
      </c>
      <c r="J140">
        <v>0.2</v>
      </c>
      <c r="K140">
        <v>0.19700000000000001</v>
      </c>
      <c r="L140">
        <v>0.64</v>
      </c>
      <c r="M140">
        <v>0.19400000000000001</v>
      </c>
      <c r="N140">
        <v>4</v>
      </c>
      <c r="O140">
        <v>13</v>
      </c>
      <c r="P140">
        <v>17</v>
      </c>
    </row>
    <row r="141" spans="1:16" x14ac:dyDescent="0.3">
      <c r="A141">
        <v>140</v>
      </c>
      <c r="B141" s="4">
        <v>40550</v>
      </c>
      <c r="C141">
        <v>1</v>
      </c>
      <c r="D141">
        <v>0</v>
      </c>
      <c r="E141">
        <v>1</v>
      </c>
      <c r="F141">
        <v>1</v>
      </c>
      <c r="G141" t="b">
        <v>0</v>
      </c>
      <c r="H141">
        <v>5</v>
      </c>
      <c r="I141">
        <v>2</v>
      </c>
      <c r="J141">
        <v>0.2</v>
      </c>
      <c r="K141">
        <v>0.19700000000000001</v>
      </c>
      <c r="L141">
        <v>0.69</v>
      </c>
      <c r="M141">
        <v>0.22389999999999999</v>
      </c>
      <c r="N141">
        <v>2</v>
      </c>
      <c r="O141">
        <v>5</v>
      </c>
      <c r="P141">
        <v>7</v>
      </c>
    </row>
    <row r="142" spans="1:16" x14ac:dyDescent="0.3">
      <c r="A142">
        <v>141</v>
      </c>
      <c r="B142" s="4">
        <v>40550</v>
      </c>
      <c r="C142">
        <v>1</v>
      </c>
      <c r="D142">
        <v>0</v>
      </c>
      <c r="E142">
        <v>1</v>
      </c>
      <c r="F142">
        <v>2</v>
      </c>
      <c r="G142" t="b">
        <v>0</v>
      </c>
      <c r="H142">
        <v>5</v>
      </c>
      <c r="I142">
        <v>2</v>
      </c>
      <c r="J142">
        <v>0.2</v>
      </c>
      <c r="K142">
        <v>0.19700000000000001</v>
      </c>
      <c r="L142">
        <v>0.69</v>
      </c>
      <c r="M142">
        <v>0.22389999999999999</v>
      </c>
      <c r="N142">
        <v>0</v>
      </c>
      <c r="O142">
        <v>1</v>
      </c>
      <c r="P142">
        <v>1</v>
      </c>
    </row>
    <row r="143" spans="1:16" x14ac:dyDescent="0.3">
      <c r="A143">
        <v>142</v>
      </c>
      <c r="B143" s="4">
        <v>40550</v>
      </c>
      <c r="C143">
        <v>1</v>
      </c>
      <c r="D143">
        <v>0</v>
      </c>
      <c r="E143">
        <v>1</v>
      </c>
      <c r="F143">
        <v>4</v>
      </c>
      <c r="G143" t="b">
        <v>0</v>
      </c>
      <c r="H143">
        <v>5</v>
      </c>
      <c r="I143">
        <v>2</v>
      </c>
      <c r="J143">
        <v>0.2</v>
      </c>
      <c r="K143">
        <v>0.21210000000000001</v>
      </c>
      <c r="L143">
        <v>0.69</v>
      </c>
      <c r="M143">
        <v>0.1343</v>
      </c>
      <c r="N143">
        <v>0</v>
      </c>
      <c r="O143">
        <v>1</v>
      </c>
      <c r="P143">
        <v>1</v>
      </c>
    </row>
    <row r="144" spans="1:16" x14ac:dyDescent="0.3">
      <c r="A144">
        <v>143</v>
      </c>
      <c r="B144" s="4">
        <v>40550</v>
      </c>
      <c r="C144">
        <v>1</v>
      </c>
      <c r="D144">
        <v>0</v>
      </c>
      <c r="E144">
        <v>1</v>
      </c>
      <c r="F144">
        <v>5</v>
      </c>
      <c r="G144" t="b">
        <v>0</v>
      </c>
      <c r="H144">
        <v>5</v>
      </c>
      <c r="I144">
        <v>3</v>
      </c>
      <c r="J144">
        <v>0.22</v>
      </c>
      <c r="K144">
        <v>0.2727</v>
      </c>
      <c r="L144">
        <v>0.55000000000000004</v>
      </c>
      <c r="M144">
        <v>0</v>
      </c>
      <c r="N144">
        <v>0</v>
      </c>
      <c r="O144">
        <v>5</v>
      </c>
      <c r="P144">
        <v>5</v>
      </c>
    </row>
    <row r="145" spans="1:16" x14ac:dyDescent="0.3">
      <c r="A145">
        <v>144</v>
      </c>
      <c r="B145" s="4">
        <v>40550</v>
      </c>
      <c r="C145">
        <v>1</v>
      </c>
      <c r="D145">
        <v>0</v>
      </c>
      <c r="E145">
        <v>1</v>
      </c>
      <c r="F145">
        <v>6</v>
      </c>
      <c r="G145" t="b">
        <v>0</v>
      </c>
      <c r="H145">
        <v>5</v>
      </c>
      <c r="I145">
        <v>2</v>
      </c>
      <c r="J145">
        <v>0.2</v>
      </c>
      <c r="K145">
        <v>0.2576</v>
      </c>
      <c r="L145">
        <v>0.69</v>
      </c>
      <c r="M145">
        <v>0</v>
      </c>
      <c r="N145">
        <v>8</v>
      </c>
      <c r="O145">
        <v>26</v>
      </c>
      <c r="P145">
        <v>34</v>
      </c>
    </row>
    <row r="146" spans="1:16" x14ac:dyDescent="0.3">
      <c r="A146">
        <v>145</v>
      </c>
      <c r="B146" s="4">
        <v>40550</v>
      </c>
      <c r="C146">
        <v>1</v>
      </c>
      <c r="D146">
        <v>0</v>
      </c>
      <c r="E146">
        <v>1</v>
      </c>
      <c r="F146">
        <v>7</v>
      </c>
      <c r="G146" t="b">
        <v>0</v>
      </c>
      <c r="H146">
        <v>5</v>
      </c>
      <c r="I146">
        <v>1</v>
      </c>
      <c r="J146">
        <v>0.2</v>
      </c>
      <c r="K146">
        <v>0.21210000000000001</v>
      </c>
      <c r="L146">
        <v>0.69</v>
      </c>
      <c r="M146">
        <v>0.1343</v>
      </c>
      <c r="N146">
        <v>8</v>
      </c>
      <c r="O146">
        <v>76</v>
      </c>
      <c r="P146">
        <v>84</v>
      </c>
    </row>
    <row r="147" spans="1:16" x14ac:dyDescent="0.3">
      <c r="A147">
        <v>146</v>
      </c>
      <c r="B147" s="4">
        <v>40550</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3">
      <c r="A148">
        <v>147</v>
      </c>
      <c r="B148" s="4">
        <v>40550</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3">
      <c r="A149">
        <v>148</v>
      </c>
      <c r="B149" s="4">
        <v>40550</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3">
      <c r="A150">
        <v>149</v>
      </c>
      <c r="B150" s="4">
        <v>40550</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3">
      <c r="A151">
        <v>150</v>
      </c>
      <c r="B151" s="4">
        <v>40550</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3">
      <c r="A152">
        <v>151</v>
      </c>
      <c r="B152" s="4">
        <v>40550</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3">
      <c r="A153">
        <v>152</v>
      </c>
      <c r="B153" s="4">
        <v>40550</v>
      </c>
      <c r="C153">
        <v>1</v>
      </c>
      <c r="D153">
        <v>0</v>
      </c>
      <c r="E153">
        <v>1</v>
      </c>
      <c r="F153">
        <v>14</v>
      </c>
      <c r="G153" t="b">
        <v>0</v>
      </c>
      <c r="H153">
        <v>5</v>
      </c>
      <c r="I153">
        <v>2</v>
      </c>
      <c r="J153">
        <v>0.2</v>
      </c>
      <c r="K153">
        <v>0.19700000000000001</v>
      </c>
      <c r="L153">
        <v>0.4</v>
      </c>
      <c r="M153">
        <v>0.25369999999999998</v>
      </c>
      <c r="N153">
        <v>7</v>
      </c>
      <c r="O153">
        <v>43</v>
      </c>
      <c r="P153">
        <v>50</v>
      </c>
    </row>
    <row r="154" spans="1:16" x14ac:dyDescent="0.3">
      <c r="A154">
        <v>153</v>
      </c>
      <c r="B154" s="4">
        <v>40550</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3">
      <c r="A155">
        <v>154</v>
      </c>
      <c r="B155" s="4">
        <v>40550</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3">
      <c r="A156">
        <v>155</v>
      </c>
      <c r="B156" s="4">
        <v>40550</v>
      </c>
      <c r="C156">
        <v>1</v>
      </c>
      <c r="D156">
        <v>0</v>
      </c>
      <c r="E156">
        <v>1</v>
      </c>
      <c r="F156">
        <v>17</v>
      </c>
      <c r="G156" t="b">
        <v>0</v>
      </c>
      <c r="H156">
        <v>5</v>
      </c>
      <c r="I156">
        <v>2</v>
      </c>
      <c r="J156">
        <v>0.2</v>
      </c>
      <c r="K156">
        <v>0.2576</v>
      </c>
      <c r="L156">
        <v>0.37</v>
      </c>
      <c r="M156">
        <v>0</v>
      </c>
      <c r="N156">
        <v>9</v>
      </c>
      <c r="O156">
        <v>178</v>
      </c>
      <c r="P156">
        <v>187</v>
      </c>
    </row>
    <row r="157" spans="1:16" x14ac:dyDescent="0.3">
      <c r="A157">
        <v>156</v>
      </c>
      <c r="B157" s="4">
        <v>40550</v>
      </c>
      <c r="C157">
        <v>1</v>
      </c>
      <c r="D157">
        <v>0</v>
      </c>
      <c r="E157">
        <v>1</v>
      </c>
      <c r="F157">
        <v>18</v>
      </c>
      <c r="G157" t="b">
        <v>0</v>
      </c>
      <c r="H157">
        <v>5</v>
      </c>
      <c r="I157">
        <v>1</v>
      </c>
      <c r="J157">
        <v>0.2</v>
      </c>
      <c r="K157">
        <v>0.2273</v>
      </c>
      <c r="L157">
        <v>0.4</v>
      </c>
      <c r="M157">
        <v>8.9599999999999999E-2</v>
      </c>
      <c r="N157">
        <v>7</v>
      </c>
      <c r="O157">
        <v>116</v>
      </c>
      <c r="P157">
        <v>123</v>
      </c>
    </row>
    <row r="158" spans="1:16" x14ac:dyDescent="0.3">
      <c r="A158">
        <v>157</v>
      </c>
      <c r="B158" s="4">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3">
      <c r="A159">
        <v>158</v>
      </c>
      <c r="B159" s="4">
        <v>40550</v>
      </c>
      <c r="C159">
        <v>1</v>
      </c>
      <c r="D159">
        <v>0</v>
      </c>
      <c r="E159">
        <v>1</v>
      </c>
      <c r="F159">
        <v>20</v>
      </c>
      <c r="G159" t="b">
        <v>0</v>
      </c>
      <c r="H159">
        <v>5</v>
      </c>
      <c r="I159">
        <v>1</v>
      </c>
      <c r="J159">
        <v>0.18</v>
      </c>
      <c r="K159">
        <v>0.21210000000000001</v>
      </c>
      <c r="L159">
        <v>0.47</v>
      </c>
      <c r="M159">
        <v>0.1045</v>
      </c>
      <c r="N159">
        <v>1</v>
      </c>
      <c r="O159">
        <v>50</v>
      </c>
      <c r="P159">
        <v>51</v>
      </c>
    </row>
    <row r="160" spans="1:16" x14ac:dyDescent="0.3">
      <c r="A160">
        <v>159</v>
      </c>
      <c r="B160" s="4">
        <v>40550</v>
      </c>
      <c r="C160">
        <v>1</v>
      </c>
      <c r="D160">
        <v>0</v>
      </c>
      <c r="E160">
        <v>1</v>
      </c>
      <c r="F160">
        <v>21</v>
      </c>
      <c r="G160" t="b">
        <v>0</v>
      </c>
      <c r="H160">
        <v>5</v>
      </c>
      <c r="I160">
        <v>1</v>
      </c>
      <c r="J160">
        <v>0.18</v>
      </c>
      <c r="K160">
        <v>0.19700000000000001</v>
      </c>
      <c r="L160">
        <v>0.47</v>
      </c>
      <c r="M160">
        <v>0.1343</v>
      </c>
      <c r="N160">
        <v>0</v>
      </c>
      <c r="O160">
        <v>39</v>
      </c>
      <c r="P160">
        <v>39</v>
      </c>
    </row>
    <row r="161" spans="1:16" x14ac:dyDescent="0.3">
      <c r="A161">
        <v>160</v>
      </c>
      <c r="B161" s="4">
        <v>40550</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3">
      <c r="A162">
        <v>161</v>
      </c>
      <c r="B162" s="4">
        <v>40550</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3">
      <c r="A163">
        <v>162</v>
      </c>
      <c r="B163" s="4">
        <v>40551</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3">
      <c r="A164">
        <v>163</v>
      </c>
      <c r="B164" s="4">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3">
      <c r="A165">
        <v>164</v>
      </c>
      <c r="B165" s="4">
        <v>40551</v>
      </c>
      <c r="C165">
        <v>1</v>
      </c>
      <c r="D165">
        <v>0</v>
      </c>
      <c r="E165">
        <v>1</v>
      </c>
      <c r="F165">
        <v>2</v>
      </c>
      <c r="G165" t="b">
        <v>0</v>
      </c>
      <c r="H165">
        <v>6</v>
      </c>
      <c r="I165">
        <v>2</v>
      </c>
      <c r="J165">
        <v>0.18</v>
      </c>
      <c r="K165">
        <v>0.2424</v>
      </c>
      <c r="L165">
        <v>0.55000000000000004</v>
      </c>
      <c r="M165">
        <v>0</v>
      </c>
      <c r="N165">
        <v>3</v>
      </c>
      <c r="O165">
        <v>13</v>
      </c>
      <c r="P165">
        <v>16</v>
      </c>
    </row>
    <row r="166" spans="1:16" x14ac:dyDescent="0.3">
      <c r="A166">
        <v>165</v>
      </c>
      <c r="B166" s="4">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3">
      <c r="A167">
        <v>166</v>
      </c>
      <c r="B167" s="4">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3">
      <c r="A168">
        <v>167</v>
      </c>
      <c r="B168" s="4">
        <v>40551</v>
      </c>
      <c r="C168">
        <v>1</v>
      </c>
      <c r="D168">
        <v>0</v>
      </c>
      <c r="E168">
        <v>1</v>
      </c>
      <c r="F168">
        <v>5</v>
      </c>
      <c r="G168" t="b">
        <v>0</v>
      </c>
      <c r="H168">
        <v>6</v>
      </c>
      <c r="I168">
        <v>2</v>
      </c>
      <c r="J168">
        <v>0.16</v>
      </c>
      <c r="K168">
        <v>0.16669999999999999</v>
      </c>
      <c r="L168">
        <v>0.74</v>
      </c>
      <c r="M168">
        <v>0.16420000000000001</v>
      </c>
      <c r="N168">
        <v>0</v>
      </c>
      <c r="O168">
        <v>5</v>
      </c>
      <c r="P168">
        <v>5</v>
      </c>
    </row>
    <row r="169" spans="1:16" x14ac:dyDescent="0.3">
      <c r="A169">
        <v>168</v>
      </c>
      <c r="B169" s="4">
        <v>40551</v>
      </c>
      <c r="C169">
        <v>1</v>
      </c>
      <c r="D169">
        <v>0</v>
      </c>
      <c r="E169">
        <v>1</v>
      </c>
      <c r="F169">
        <v>6</v>
      </c>
      <c r="G169" t="b">
        <v>0</v>
      </c>
      <c r="H169">
        <v>6</v>
      </c>
      <c r="I169">
        <v>2</v>
      </c>
      <c r="J169">
        <v>0.16</v>
      </c>
      <c r="K169">
        <v>0.16669999999999999</v>
      </c>
      <c r="L169">
        <v>0.74</v>
      </c>
      <c r="M169">
        <v>0.16420000000000001</v>
      </c>
      <c r="N169">
        <v>0</v>
      </c>
      <c r="O169">
        <v>2</v>
      </c>
      <c r="P169">
        <v>2</v>
      </c>
    </row>
    <row r="170" spans="1:16" x14ac:dyDescent="0.3">
      <c r="A170">
        <v>169</v>
      </c>
      <c r="B170" s="4">
        <v>40551</v>
      </c>
      <c r="C170">
        <v>1</v>
      </c>
      <c r="D170">
        <v>0</v>
      </c>
      <c r="E170">
        <v>1</v>
      </c>
      <c r="F170">
        <v>7</v>
      </c>
      <c r="G170" t="b">
        <v>0</v>
      </c>
      <c r="H170">
        <v>6</v>
      </c>
      <c r="I170">
        <v>2</v>
      </c>
      <c r="J170">
        <v>0.16</v>
      </c>
      <c r="K170">
        <v>0.18179999999999999</v>
      </c>
      <c r="L170">
        <v>0.74</v>
      </c>
      <c r="M170">
        <v>0.1045</v>
      </c>
      <c r="N170">
        <v>1</v>
      </c>
      <c r="O170">
        <v>8</v>
      </c>
      <c r="P170">
        <v>9</v>
      </c>
    </row>
    <row r="171" spans="1:16" x14ac:dyDescent="0.3">
      <c r="A171">
        <v>170</v>
      </c>
      <c r="B171" s="4">
        <v>40551</v>
      </c>
      <c r="C171">
        <v>1</v>
      </c>
      <c r="D171">
        <v>0</v>
      </c>
      <c r="E171">
        <v>1</v>
      </c>
      <c r="F171">
        <v>8</v>
      </c>
      <c r="G171" t="b">
        <v>0</v>
      </c>
      <c r="H171">
        <v>6</v>
      </c>
      <c r="I171">
        <v>3</v>
      </c>
      <c r="J171">
        <v>0.16</v>
      </c>
      <c r="K171">
        <v>0.18179999999999999</v>
      </c>
      <c r="L171">
        <v>0.93</v>
      </c>
      <c r="M171">
        <v>0.1045</v>
      </c>
      <c r="N171">
        <v>0</v>
      </c>
      <c r="O171">
        <v>15</v>
      </c>
      <c r="P171">
        <v>15</v>
      </c>
    </row>
    <row r="172" spans="1:16" x14ac:dyDescent="0.3">
      <c r="A172">
        <v>171</v>
      </c>
      <c r="B172" s="4">
        <v>40551</v>
      </c>
      <c r="C172">
        <v>1</v>
      </c>
      <c r="D172">
        <v>0</v>
      </c>
      <c r="E172">
        <v>1</v>
      </c>
      <c r="F172">
        <v>9</v>
      </c>
      <c r="G172" t="b">
        <v>0</v>
      </c>
      <c r="H172">
        <v>6</v>
      </c>
      <c r="I172">
        <v>3</v>
      </c>
      <c r="J172">
        <v>0.16</v>
      </c>
      <c r="K172">
        <v>0.18179999999999999</v>
      </c>
      <c r="L172">
        <v>0.93</v>
      </c>
      <c r="M172">
        <v>0.1045</v>
      </c>
      <c r="N172">
        <v>0</v>
      </c>
      <c r="O172">
        <v>20</v>
      </c>
      <c r="P172">
        <v>20</v>
      </c>
    </row>
    <row r="173" spans="1:16" x14ac:dyDescent="0.3">
      <c r="A173">
        <v>172</v>
      </c>
      <c r="B173" s="4">
        <v>40551</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3">
      <c r="A174">
        <v>173</v>
      </c>
      <c r="B174" s="4">
        <v>40551</v>
      </c>
      <c r="C174">
        <v>1</v>
      </c>
      <c r="D174">
        <v>0</v>
      </c>
      <c r="E174">
        <v>1</v>
      </c>
      <c r="F174">
        <v>11</v>
      </c>
      <c r="G174" t="b">
        <v>0</v>
      </c>
      <c r="H174">
        <v>6</v>
      </c>
      <c r="I174">
        <v>2</v>
      </c>
      <c r="J174">
        <v>0.2</v>
      </c>
      <c r="K174">
        <v>0.18179999999999999</v>
      </c>
      <c r="L174">
        <v>0.69</v>
      </c>
      <c r="M174">
        <v>0.3881</v>
      </c>
      <c r="N174">
        <v>2</v>
      </c>
      <c r="O174">
        <v>60</v>
      </c>
      <c r="P174">
        <v>62</v>
      </c>
    </row>
    <row r="175" spans="1:16" x14ac:dyDescent="0.3">
      <c r="A175">
        <v>174</v>
      </c>
      <c r="B175" s="4">
        <v>40551</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3">
      <c r="A176">
        <v>175</v>
      </c>
      <c r="B176" s="4">
        <v>40551</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3">
      <c r="A177">
        <v>176</v>
      </c>
      <c r="B177" s="4">
        <v>40551</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3">
      <c r="A178">
        <v>177</v>
      </c>
      <c r="B178" s="4">
        <v>40551</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3">
      <c r="A179">
        <v>178</v>
      </c>
      <c r="B179" s="4">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3">
      <c r="A180">
        <v>179</v>
      </c>
      <c r="B180" s="4">
        <v>40551</v>
      </c>
      <c r="C180">
        <v>1</v>
      </c>
      <c r="D180">
        <v>0</v>
      </c>
      <c r="E180">
        <v>1</v>
      </c>
      <c r="F180">
        <v>17</v>
      </c>
      <c r="G180" t="b">
        <v>0</v>
      </c>
      <c r="H180">
        <v>6</v>
      </c>
      <c r="I180">
        <v>1</v>
      </c>
      <c r="J180">
        <v>0.16</v>
      </c>
      <c r="K180">
        <v>0.1212</v>
      </c>
      <c r="L180">
        <v>0.37</v>
      </c>
      <c r="M180">
        <v>0.55220000000000002</v>
      </c>
      <c r="N180">
        <v>5</v>
      </c>
      <c r="O180">
        <v>64</v>
      </c>
      <c r="P180">
        <v>69</v>
      </c>
    </row>
    <row r="181" spans="1:16" x14ac:dyDescent="0.3">
      <c r="A181">
        <v>180</v>
      </c>
      <c r="B181" s="4">
        <v>40551</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3">
      <c r="A182">
        <v>181</v>
      </c>
      <c r="B182" s="4">
        <v>40551</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3">
      <c r="A183">
        <v>182</v>
      </c>
      <c r="B183" s="4">
        <v>40551</v>
      </c>
      <c r="C183">
        <v>1</v>
      </c>
      <c r="D183">
        <v>0</v>
      </c>
      <c r="E183">
        <v>1</v>
      </c>
      <c r="F183">
        <v>20</v>
      </c>
      <c r="G183" t="b">
        <v>0</v>
      </c>
      <c r="H183">
        <v>6</v>
      </c>
      <c r="I183">
        <v>1</v>
      </c>
      <c r="J183">
        <v>0.12</v>
      </c>
      <c r="K183">
        <v>0.1212</v>
      </c>
      <c r="L183">
        <v>0.36</v>
      </c>
      <c r="M183">
        <v>0.25369999999999998</v>
      </c>
      <c r="N183">
        <v>0</v>
      </c>
      <c r="O183">
        <v>28</v>
      </c>
      <c r="P183">
        <v>28</v>
      </c>
    </row>
    <row r="184" spans="1:16" x14ac:dyDescent="0.3">
      <c r="A184">
        <v>183</v>
      </c>
      <c r="B184" s="4">
        <v>40551</v>
      </c>
      <c r="C184">
        <v>1</v>
      </c>
      <c r="D184">
        <v>0</v>
      </c>
      <c r="E184">
        <v>1</v>
      </c>
      <c r="F184">
        <v>21</v>
      </c>
      <c r="G184" t="b">
        <v>0</v>
      </c>
      <c r="H184">
        <v>6</v>
      </c>
      <c r="I184">
        <v>1</v>
      </c>
      <c r="J184">
        <v>0.12</v>
      </c>
      <c r="K184">
        <v>0.1061</v>
      </c>
      <c r="L184">
        <v>0.39</v>
      </c>
      <c r="M184">
        <v>0.35820000000000002</v>
      </c>
      <c r="N184">
        <v>2</v>
      </c>
      <c r="O184">
        <v>35</v>
      </c>
      <c r="P184">
        <v>37</v>
      </c>
    </row>
    <row r="185" spans="1:16" x14ac:dyDescent="0.3">
      <c r="A185">
        <v>184</v>
      </c>
      <c r="B185" s="4">
        <v>40551</v>
      </c>
      <c r="C185">
        <v>1</v>
      </c>
      <c r="D185">
        <v>0</v>
      </c>
      <c r="E185">
        <v>1</v>
      </c>
      <c r="F185">
        <v>22</v>
      </c>
      <c r="G185" t="b">
        <v>0</v>
      </c>
      <c r="H185">
        <v>6</v>
      </c>
      <c r="I185">
        <v>1</v>
      </c>
      <c r="J185">
        <v>0.12</v>
      </c>
      <c r="K185">
        <v>0.1061</v>
      </c>
      <c r="L185">
        <v>0.36</v>
      </c>
      <c r="M185">
        <v>0.3881</v>
      </c>
      <c r="N185">
        <v>1</v>
      </c>
      <c r="O185">
        <v>33</v>
      </c>
      <c r="P185">
        <v>34</v>
      </c>
    </row>
    <row r="186" spans="1:16" x14ac:dyDescent="0.3">
      <c r="A186">
        <v>185</v>
      </c>
      <c r="B186" s="4">
        <v>40551</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3">
      <c r="A187">
        <v>186</v>
      </c>
      <c r="B187" s="4">
        <v>40552</v>
      </c>
      <c r="C187">
        <v>1</v>
      </c>
      <c r="D187">
        <v>0</v>
      </c>
      <c r="E187">
        <v>1</v>
      </c>
      <c r="F187">
        <v>0</v>
      </c>
      <c r="G187" t="b">
        <v>0</v>
      </c>
      <c r="H187">
        <v>0</v>
      </c>
      <c r="I187">
        <v>1</v>
      </c>
      <c r="J187">
        <v>0.1</v>
      </c>
      <c r="K187">
        <v>7.5800000000000006E-2</v>
      </c>
      <c r="L187">
        <v>0.42</v>
      </c>
      <c r="M187">
        <v>0.3881</v>
      </c>
      <c r="N187">
        <v>1</v>
      </c>
      <c r="O187">
        <v>24</v>
      </c>
      <c r="P187">
        <v>25</v>
      </c>
    </row>
    <row r="188" spans="1:16" x14ac:dyDescent="0.3">
      <c r="A188">
        <v>187</v>
      </c>
      <c r="B188" s="4">
        <v>40552</v>
      </c>
      <c r="C188">
        <v>1</v>
      </c>
      <c r="D188">
        <v>0</v>
      </c>
      <c r="E188">
        <v>1</v>
      </c>
      <c r="F188">
        <v>1</v>
      </c>
      <c r="G188" t="b">
        <v>0</v>
      </c>
      <c r="H188">
        <v>0</v>
      </c>
      <c r="I188">
        <v>1</v>
      </c>
      <c r="J188">
        <v>0.1</v>
      </c>
      <c r="K188">
        <v>6.0600000000000001E-2</v>
      </c>
      <c r="L188">
        <v>0.42</v>
      </c>
      <c r="M188">
        <v>0.4627</v>
      </c>
      <c r="N188">
        <v>0</v>
      </c>
      <c r="O188">
        <v>12</v>
      </c>
      <c r="P188">
        <v>12</v>
      </c>
    </row>
    <row r="189" spans="1:16" x14ac:dyDescent="0.3">
      <c r="A189">
        <v>188</v>
      </c>
      <c r="B189" s="4">
        <v>40552</v>
      </c>
      <c r="C189">
        <v>1</v>
      </c>
      <c r="D189">
        <v>0</v>
      </c>
      <c r="E189">
        <v>1</v>
      </c>
      <c r="F189">
        <v>2</v>
      </c>
      <c r="G189" t="b">
        <v>0</v>
      </c>
      <c r="H189">
        <v>0</v>
      </c>
      <c r="I189">
        <v>1</v>
      </c>
      <c r="J189">
        <v>0.1</v>
      </c>
      <c r="K189">
        <v>6.0600000000000001E-2</v>
      </c>
      <c r="L189">
        <v>0.46</v>
      </c>
      <c r="M189">
        <v>0.4627</v>
      </c>
      <c r="N189">
        <v>0</v>
      </c>
      <c r="O189">
        <v>11</v>
      </c>
      <c r="P189">
        <v>11</v>
      </c>
    </row>
    <row r="190" spans="1:16" x14ac:dyDescent="0.3">
      <c r="A190">
        <v>189</v>
      </c>
      <c r="B190" s="4">
        <v>40552</v>
      </c>
      <c r="C190">
        <v>1</v>
      </c>
      <c r="D190">
        <v>0</v>
      </c>
      <c r="E190">
        <v>1</v>
      </c>
      <c r="F190">
        <v>3</v>
      </c>
      <c r="G190" t="b">
        <v>0</v>
      </c>
      <c r="H190">
        <v>0</v>
      </c>
      <c r="I190">
        <v>1</v>
      </c>
      <c r="J190">
        <v>0.1</v>
      </c>
      <c r="K190">
        <v>7.5800000000000006E-2</v>
      </c>
      <c r="L190">
        <v>0.46</v>
      </c>
      <c r="M190">
        <v>0.41789999999999999</v>
      </c>
      <c r="N190">
        <v>0</v>
      </c>
      <c r="O190">
        <v>4</v>
      </c>
      <c r="P190">
        <v>4</v>
      </c>
    </row>
    <row r="191" spans="1:16" x14ac:dyDescent="0.3">
      <c r="A191">
        <v>190</v>
      </c>
      <c r="B191" s="4">
        <v>40552</v>
      </c>
      <c r="C191">
        <v>1</v>
      </c>
      <c r="D191">
        <v>0</v>
      </c>
      <c r="E191">
        <v>1</v>
      </c>
      <c r="F191">
        <v>4</v>
      </c>
      <c r="G191" t="b">
        <v>0</v>
      </c>
      <c r="H191">
        <v>0</v>
      </c>
      <c r="I191">
        <v>1</v>
      </c>
      <c r="J191">
        <v>0.08</v>
      </c>
      <c r="K191">
        <v>9.0899999999999995E-2</v>
      </c>
      <c r="L191">
        <v>0.53</v>
      </c>
      <c r="M191">
        <v>0.19400000000000001</v>
      </c>
      <c r="N191">
        <v>0</v>
      </c>
      <c r="O191">
        <v>1</v>
      </c>
      <c r="P191">
        <v>1</v>
      </c>
    </row>
    <row r="192" spans="1:16" x14ac:dyDescent="0.3">
      <c r="A192">
        <v>191</v>
      </c>
      <c r="B192" s="4">
        <v>40552</v>
      </c>
      <c r="C192">
        <v>1</v>
      </c>
      <c r="D192">
        <v>0</v>
      </c>
      <c r="E192">
        <v>1</v>
      </c>
      <c r="F192">
        <v>5</v>
      </c>
      <c r="G192" t="b">
        <v>0</v>
      </c>
      <c r="H192">
        <v>0</v>
      </c>
      <c r="I192">
        <v>1</v>
      </c>
      <c r="J192">
        <v>0.08</v>
      </c>
      <c r="K192">
        <v>9.0899999999999995E-2</v>
      </c>
      <c r="L192">
        <v>0.53</v>
      </c>
      <c r="M192">
        <v>0.19400000000000001</v>
      </c>
      <c r="N192">
        <v>0</v>
      </c>
      <c r="O192">
        <v>1</v>
      </c>
      <c r="P192">
        <v>1</v>
      </c>
    </row>
    <row r="193" spans="1:16" x14ac:dyDescent="0.3">
      <c r="A193">
        <v>192</v>
      </c>
      <c r="B193" s="4">
        <v>40552</v>
      </c>
      <c r="C193">
        <v>1</v>
      </c>
      <c r="D193">
        <v>0</v>
      </c>
      <c r="E193">
        <v>1</v>
      </c>
      <c r="F193">
        <v>6</v>
      </c>
      <c r="G193" t="b">
        <v>0</v>
      </c>
      <c r="H193">
        <v>0</v>
      </c>
      <c r="I193">
        <v>1</v>
      </c>
      <c r="J193">
        <v>0.1</v>
      </c>
      <c r="K193">
        <v>9.0899999999999995E-2</v>
      </c>
      <c r="L193">
        <v>0.49</v>
      </c>
      <c r="M193">
        <v>0.28360000000000002</v>
      </c>
      <c r="N193">
        <v>0</v>
      </c>
      <c r="O193">
        <v>1</v>
      </c>
      <c r="P193">
        <v>1</v>
      </c>
    </row>
    <row r="194" spans="1:16" x14ac:dyDescent="0.3">
      <c r="A194">
        <v>193</v>
      </c>
      <c r="B194" s="4">
        <v>40552</v>
      </c>
      <c r="C194">
        <v>1</v>
      </c>
      <c r="D194">
        <v>0</v>
      </c>
      <c r="E194">
        <v>1</v>
      </c>
      <c r="F194">
        <v>7</v>
      </c>
      <c r="G194" t="b">
        <v>0</v>
      </c>
      <c r="H194">
        <v>0</v>
      </c>
      <c r="I194">
        <v>1</v>
      </c>
      <c r="J194">
        <v>0.08</v>
      </c>
      <c r="K194">
        <v>9.0899999999999995E-2</v>
      </c>
      <c r="L194">
        <v>0.53</v>
      </c>
      <c r="M194">
        <v>0.19400000000000001</v>
      </c>
      <c r="N194">
        <v>1</v>
      </c>
      <c r="O194">
        <v>5</v>
      </c>
      <c r="P194">
        <v>6</v>
      </c>
    </row>
    <row r="195" spans="1:16" x14ac:dyDescent="0.3">
      <c r="A195">
        <v>194</v>
      </c>
      <c r="B195" s="4">
        <v>40552</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3">
      <c r="A196">
        <v>195</v>
      </c>
      <c r="B196" s="4">
        <v>40552</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3">
      <c r="A197">
        <v>196</v>
      </c>
      <c r="B197" s="4">
        <v>40552</v>
      </c>
      <c r="C197">
        <v>1</v>
      </c>
      <c r="D197">
        <v>0</v>
      </c>
      <c r="E197">
        <v>1</v>
      </c>
      <c r="F197">
        <v>10</v>
      </c>
      <c r="G197" t="b">
        <v>0</v>
      </c>
      <c r="H197">
        <v>0</v>
      </c>
      <c r="I197">
        <v>1</v>
      </c>
      <c r="J197">
        <v>0.14000000000000001</v>
      </c>
      <c r="K197">
        <v>0.1061</v>
      </c>
      <c r="L197">
        <v>0.43</v>
      </c>
      <c r="M197">
        <v>0.3881</v>
      </c>
      <c r="N197">
        <v>0</v>
      </c>
      <c r="O197">
        <v>49</v>
      </c>
      <c r="P197">
        <v>49</v>
      </c>
    </row>
    <row r="198" spans="1:16" x14ac:dyDescent="0.3">
      <c r="A198">
        <v>197</v>
      </c>
      <c r="B198" s="4">
        <v>40552</v>
      </c>
      <c r="C198">
        <v>1</v>
      </c>
      <c r="D198">
        <v>0</v>
      </c>
      <c r="E198">
        <v>1</v>
      </c>
      <c r="F198">
        <v>11</v>
      </c>
      <c r="G198" t="b">
        <v>0</v>
      </c>
      <c r="H198">
        <v>0</v>
      </c>
      <c r="I198">
        <v>1</v>
      </c>
      <c r="J198">
        <v>0.16</v>
      </c>
      <c r="K198">
        <v>0.1212</v>
      </c>
      <c r="L198">
        <v>0.4</v>
      </c>
      <c r="M198">
        <v>0.52239999999999998</v>
      </c>
      <c r="N198">
        <v>2</v>
      </c>
      <c r="O198">
        <v>47</v>
      </c>
      <c r="P198">
        <v>49</v>
      </c>
    </row>
    <row r="199" spans="1:16" x14ac:dyDescent="0.3">
      <c r="A199">
        <v>198</v>
      </c>
      <c r="B199" s="4">
        <v>40552</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3">
      <c r="A200">
        <v>199</v>
      </c>
      <c r="B200" s="4">
        <v>40552</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3">
      <c r="A201">
        <v>200</v>
      </c>
      <c r="B201" s="4">
        <v>40552</v>
      </c>
      <c r="C201">
        <v>1</v>
      </c>
      <c r="D201">
        <v>0</v>
      </c>
      <c r="E201">
        <v>1</v>
      </c>
      <c r="F201">
        <v>14</v>
      </c>
      <c r="G201" t="b">
        <v>0</v>
      </c>
      <c r="H201">
        <v>0</v>
      </c>
      <c r="I201">
        <v>1</v>
      </c>
      <c r="J201">
        <v>0.22</v>
      </c>
      <c r="K201">
        <v>0.18179999999999999</v>
      </c>
      <c r="L201">
        <v>0.32</v>
      </c>
      <c r="M201">
        <v>0.4627</v>
      </c>
      <c r="N201">
        <v>8</v>
      </c>
      <c r="O201">
        <v>64</v>
      </c>
      <c r="P201">
        <v>72</v>
      </c>
    </row>
    <row r="202" spans="1:16" x14ac:dyDescent="0.3">
      <c r="A202">
        <v>201</v>
      </c>
      <c r="B202" s="4">
        <v>40552</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3">
      <c r="A203">
        <v>202</v>
      </c>
      <c r="B203" s="4">
        <v>40552</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3">
      <c r="A204">
        <v>203</v>
      </c>
      <c r="B204" s="4">
        <v>40552</v>
      </c>
      <c r="C204">
        <v>1</v>
      </c>
      <c r="D204">
        <v>0</v>
      </c>
      <c r="E204">
        <v>1</v>
      </c>
      <c r="F204">
        <v>17</v>
      </c>
      <c r="G204" t="b">
        <v>0</v>
      </c>
      <c r="H204">
        <v>0</v>
      </c>
      <c r="I204">
        <v>1</v>
      </c>
      <c r="J204">
        <v>0.18</v>
      </c>
      <c r="K204">
        <v>0.1515</v>
      </c>
      <c r="L204">
        <v>0.37</v>
      </c>
      <c r="M204">
        <v>0.3881</v>
      </c>
      <c r="N204">
        <v>3</v>
      </c>
      <c r="O204">
        <v>59</v>
      </c>
      <c r="P204">
        <v>62</v>
      </c>
    </row>
    <row r="205" spans="1:16" x14ac:dyDescent="0.3">
      <c r="A205">
        <v>204</v>
      </c>
      <c r="B205" s="4">
        <v>40552</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3">
      <c r="A206">
        <v>205</v>
      </c>
      <c r="B206" s="4">
        <v>40552</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3">
      <c r="A207">
        <v>206</v>
      </c>
      <c r="B207" s="4">
        <v>40552</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3">
      <c r="A208">
        <v>207</v>
      </c>
      <c r="B208" s="4">
        <v>40552</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3">
      <c r="A209">
        <v>208</v>
      </c>
      <c r="B209" s="4">
        <v>40552</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3">
      <c r="A210">
        <v>209</v>
      </c>
      <c r="B210" s="4">
        <v>40552</v>
      </c>
      <c r="C210">
        <v>1</v>
      </c>
      <c r="D210">
        <v>0</v>
      </c>
      <c r="E210">
        <v>1</v>
      </c>
      <c r="F210">
        <v>23</v>
      </c>
      <c r="G210" t="b">
        <v>0</v>
      </c>
      <c r="H210">
        <v>0</v>
      </c>
      <c r="I210">
        <v>1</v>
      </c>
      <c r="J210">
        <v>0.12</v>
      </c>
      <c r="K210">
        <v>0.13639999999999999</v>
      </c>
      <c r="L210">
        <v>0.5</v>
      </c>
      <c r="M210">
        <v>0.19400000000000001</v>
      </c>
      <c r="N210">
        <v>0</v>
      </c>
      <c r="O210">
        <v>6</v>
      </c>
      <c r="P210">
        <v>6</v>
      </c>
    </row>
    <row r="211" spans="1:16" x14ac:dyDescent="0.3">
      <c r="A211">
        <v>210</v>
      </c>
      <c r="B211" s="4">
        <v>40553</v>
      </c>
      <c r="C211">
        <v>1</v>
      </c>
      <c r="D211">
        <v>0</v>
      </c>
      <c r="E211">
        <v>1</v>
      </c>
      <c r="F211">
        <v>0</v>
      </c>
      <c r="G211" t="b">
        <v>0</v>
      </c>
      <c r="H211">
        <v>1</v>
      </c>
      <c r="I211">
        <v>1</v>
      </c>
      <c r="J211">
        <v>0.12</v>
      </c>
      <c r="K211">
        <v>0.1212</v>
      </c>
      <c r="L211">
        <v>0.5</v>
      </c>
      <c r="M211">
        <v>0.28360000000000002</v>
      </c>
      <c r="N211">
        <v>2</v>
      </c>
      <c r="O211">
        <v>3</v>
      </c>
      <c r="P211">
        <v>5</v>
      </c>
    </row>
    <row r="212" spans="1:16" x14ac:dyDescent="0.3">
      <c r="A212">
        <v>211</v>
      </c>
      <c r="B212" s="4">
        <v>40553</v>
      </c>
      <c r="C212">
        <v>1</v>
      </c>
      <c r="D212">
        <v>0</v>
      </c>
      <c r="E212">
        <v>1</v>
      </c>
      <c r="F212">
        <v>1</v>
      </c>
      <c r="G212" t="b">
        <v>0</v>
      </c>
      <c r="H212">
        <v>1</v>
      </c>
      <c r="I212">
        <v>1</v>
      </c>
      <c r="J212">
        <v>0.12</v>
      </c>
      <c r="K212">
        <v>0.1212</v>
      </c>
      <c r="L212">
        <v>0.5</v>
      </c>
      <c r="M212">
        <v>0.28360000000000002</v>
      </c>
      <c r="N212">
        <v>1</v>
      </c>
      <c r="O212">
        <v>0</v>
      </c>
      <c r="P212">
        <v>1</v>
      </c>
    </row>
    <row r="213" spans="1:16" x14ac:dyDescent="0.3">
      <c r="A213">
        <v>212</v>
      </c>
      <c r="B213" s="4">
        <v>40553</v>
      </c>
      <c r="C213">
        <v>1</v>
      </c>
      <c r="D213">
        <v>0</v>
      </c>
      <c r="E213">
        <v>1</v>
      </c>
      <c r="F213">
        <v>2</v>
      </c>
      <c r="G213" t="b">
        <v>0</v>
      </c>
      <c r="H213">
        <v>1</v>
      </c>
      <c r="I213">
        <v>1</v>
      </c>
      <c r="J213">
        <v>0.12</v>
      </c>
      <c r="K213">
        <v>0.1212</v>
      </c>
      <c r="L213">
        <v>0.5</v>
      </c>
      <c r="M213">
        <v>0.22389999999999999</v>
      </c>
      <c r="N213">
        <v>0</v>
      </c>
      <c r="O213">
        <v>3</v>
      </c>
      <c r="P213">
        <v>3</v>
      </c>
    </row>
    <row r="214" spans="1:16" x14ac:dyDescent="0.3">
      <c r="A214">
        <v>213</v>
      </c>
      <c r="B214" s="4">
        <v>40553</v>
      </c>
      <c r="C214">
        <v>1</v>
      </c>
      <c r="D214">
        <v>0</v>
      </c>
      <c r="E214">
        <v>1</v>
      </c>
      <c r="F214">
        <v>3</v>
      </c>
      <c r="G214" t="b">
        <v>0</v>
      </c>
      <c r="H214">
        <v>1</v>
      </c>
      <c r="I214">
        <v>1</v>
      </c>
      <c r="J214">
        <v>0.12</v>
      </c>
      <c r="K214">
        <v>0.1212</v>
      </c>
      <c r="L214">
        <v>0.5</v>
      </c>
      <c r="M214">
        <v>0.22389999999999999</v>
      </c>
      <c r="N214">
        <v>0</v>
      </c>
      <c r="O214">
        <v>1</v>
      </c>
      <c r="P214">
        <v>1</v>
      </c>
    </row>
    <row r="215" spans="1:16" x14ac:dyDescent="0.3">
      <c r="A215">
        <v>214</v>
      </c>
      <c r="B215" s="4">
        <v>40553</v>
      </c>
      <c r="C215">
        <v>1</v>
      </c>
      <c r="D215">
        <v>0</v>
      </c>
      <c r="E215">
        <v>1</v>
      </c>
      <c r="F215">
        <v>4</v>
      </c>
      <c r="G215" t="b">
        <v>0</v>
      </c>
      <c r="H215">
        <v>1</v>
      </c>
      <c r="I215">
        <v>1</v>
      </c>
      <c r="J215">
        <v>0.1</v>
      </c>
      <c r="K215">
        <v>0.1212</v>
      </c>
      <c r="L215">
        <v>0.54</v>
      </c>
      <c r="M215">
        <v>0.1343</v>
      </c>
      <c r="N215">
        <v>1</v>
      </c>
      <c r="O215">
        <v>2</v>
      </c>
      <c r="P215">
        <v>3</v>
      </c>
    </row>
    <row r="216" spans="1:16" x14ac:dyDescent="0.3">
      <c r="A216">
        <v>215</v>
      </c>
      <c r="B216" s="4">
        <v>40553</v>
      </c>
      <c r="C216">
        <v>1</v>
      </c>
      <c r="D216">
        <v>0</v>
      </c>
      <c r="E216">
        <v>1</v>
      </c>
      <c r="F216">
        <v>5</v>
      </c>
      <c r="G216" t="b">
        <v>0</v>
      </c>
      <c r="H216">
        <v>1</v>
      </c>
      <c r="I216">
        <v>1</v>
      </c>
      <c r="J216">
        <v>0.1</v>
      </c>
      <c r="K216">
        <v>0.1061</v>
      </c>
      <c r="L216">
        <v>0.54</v>
      </c>
      <c r="M216">
        <v>0.25369999999999998</v>
      </c>
      <c r="N216">
        <v>0</v>
      </c>
      <c r="O216">
        <v>3</v>
      </c>
      <c r="P216">
        <v>3</v>
      </c>
    </row>
    <row r="217" spans="1:16" x14ac:dyDescent="0.3">
      <c r="A217">
        <v>216</v>
      </c>
      <c r="B217" s="4">
        <v>40553</v>
      </c>
      <c r="C217">
        <v>1</v>
      </c>
      <c r="D217">
        <v>0</v>
      </c>
      <c r="E217">
        <v>1</v>
      </c>
      <c r="F217">
        <v>6</v>
      </c>
      <c r="G217" t="b">
        <v>0</v>
      </c>
      <c r="H217">
        <v>1</v>
      </c>
      <c r="I217">
        <v>1</v>
      </c>
      <c r="J217">
        <v>0.12</v>
      </c>
      <c r="K217">
        <v>0.1212</v>
      </c>
      <c r="L217">
        <v>0.5</v>
      </c>
      <c r="M217">
        <v>0.28360000000000002</v>
      </c>
      <c r="N217">
        <v>0</v>
      </c>
      <c r="O217">
        <v>31</v>
      </c>
      <c r="P217">
        <v>31</v>
      </c>
    </row>
    <row r="218" spans="1:16" x14ac:dyDescent="0.3">
      <c r="A218">
        <v>217</v>
      </c>
      <c r="B218" s="4">
        <v>40553</v>
      </c>
      <c r="C218">
        <v>1</v>
      </c>
      <c r="D218">
        <v>0</v>
      </c>
      <c r="E218">
        <v>1</v>
      </c>
      <c r="F218">
        <v>7</v>
      </c>
      <c r="G218" t="b">
        <v>0</v>
      </c>
      <c r="H218">
        <v>1</v>
      </c>
      <c r="I218">
        <v>1</v>
      </c>
      <c r="J218">
        <v>0.12</v>
      </c>
      <c r="K218">
        <v>0.1212</v>
      </c>
      <c r="L218">
        <v>0.5</v>
      </c>
      <c r="M218">
        <v>0.22389999999999999</v>
      </c>
      <c r="N218">
        <v>2</v>
      </c>
      <c r="O218">
        <v>75</v>
      </c>
      <c r="P218">
        <v>77</v>
      </c>
    </row>
    <row r="219" spans="1:16" x14ac:dyDescent="0.3">
      <c r="A219">
        <v>218</v>
      </c>
      <c r="B219" s="4">
        <v>40553</v>
      </c>
      <c r="C219">
        <v>1</v>
      </c>
      <c r="D219">
        <v>0</v>
      </c>
      <c r="E219">
        <v>1</v>
      </c>
      <c r="F219">
        <v>8</v>
      </c>
      <c r="G219" t="b">
        <v>0</v>
      </c>
      <c r="H219">
        <v>1</v>
      </c>
      <c r="I219">
        <v>2</v>
      </c>
      <c r="J219">
        <v>0.12</v>
      </c>
      <c r="K219">
        <v>0.1212</v>
      </c>
      <c r="L219">
        <v>0.5</v>
      </c>
      <c r="M219">
        <v>0.28360000000000002</v>
      </c>
      <c r="N219">
        <v>4</v>
      </c>
      <c r="O219">
        <v>184</v>
      </c>
      <c r="P219">
        <v>188</v>
      </c>
    </row>
    <row r="220" spans="1:16" x14ac:dyDescent="0.3">
      <c r="A220">
        <v>219</v>
      </c>
      <c r="B220" s="4">
        <v>40553</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3">
      <c r="A221">
        <v>220</v>
      </c>
      <c r="B221" s="4">
        <v>40553</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3">
      <c r="A222">
        <v>221</v>
      </c>
      <c r="B222" s="4">
        <v>40553</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3">
      <c r="A223">
        <v>222</v>
      </c>
      <c r="B223" s="4">
        <v>40553</v>
      </c>
      <c r="C223">
        <v>1</v>
      </c>
      <c r="D223">
        <v>0</v>
      </c>
      <c r="E223">
        <v>1</v>
      </c>
      <c r="F223">
        <v>12</v>
      </c>
      <c r="G223" t="b">
        <v>0</v>
      </c>
      <c r="H223">
        <v>1</v>
      </c>
      <c r="I223">
        <v>2</v>
      </c>
      <c r="J223">
        <v>0.2</v>
      </c>
      <c r="K223">
        <v>0.18179999999999999</v>
      </c>
      <c r="L223">
        <v>0.4</v>
      </c>
      <c r="M223">
        <v>0.28360000000000002</v>
      </c>
      <c r="N223">
        <v>5</v>
      </c>
      <c r="O223">
        <v>47</v>
      </c>
      <c r="P223">
        <v>52</v>
      </c>
    </row>
    <row r="224" spans="1:16" x14ac:dyDescent="0.3">
      <c r="A224">
        <v>223</v>
      </c>
      <c r="B224" s="4">
        <v>40553</v>
      </c>
      <c r="C224">
        <v>1</v>
      </c>
      <c r="D224">
        <v>0</v>
      </c>
      <c r="E224">
        <v>1</v>
      </c>
      <c r="F224">
        <v>13</v>
      </c>
      <c r="G224" t="b">
        <v>0</v>
      </c>
      <c r="H224">
        <v>1</v>
      </c>
      <c r="I224">
        <v>2</v>
      </c>
      <c r="J224">
        <v>0.2</v>
      </c>
      <c r="K224">
        <v>0.18179999999999999</v>
      </c>
      <c r="L224">
        <v>0.4</v>
      </c>
      <c r="M224">
        <v>0.28360000000000002</v>
      </c>
      <c r="N224">
        <v>4</v>
      </c>
      <c r="O224">
        <v>50</v>
      </c>
      <c r="P224">
        <v>54</v>
      </c>
    </row>
    <row r="225" spans="1:16" x14ac:dyDescent="0.3">
      <c r="A225">
        <v>224</v>
      </c>
      <c r="B225" s="4">
        <v>40553</v>
      </c>
      <c r="C225">
        <v>1</v>
      </c>
      <c r="D225">
        <v>0</v>
      </c>
      <c r="E225">
        <v>1</v>
      </c>
      <c r="F225">
        <v>14</v>
      </c>
      <c r="G225" t="b">
        <v>0</v>
      </c>
      <c r="H225">
        <v>1</v>
      </c>
      <c r="I225">
        <v>2</v>
      </c>
      <c r="J225">
        <v>0.2</v>
      </c>
      <c r="K225">
        <v>0.19700000000000001</v>
      </c>
      <c r="L225">
        <v>0.4</v>
      </c>
      <c r="M225">
        <v>0.22389999999999999</v>
      </c>
      <c r="N225">
        <v>0</v>
      </c>
      <c r="O225">
        <v>47</v>
      </c>
      <c r="P225">
        <v>47</v>
      </c>
    </row>
    <row r="226" spans="1:16" x14ac:dyDescent="0.3">
      <c r="A226">
        <v>225</v>
      </c>
      <c r="B226" s="4">
        <v>40553</v>
      </c>
      <c r="C226">
        <v>1</v>
      </c>
      <c r="D226">
        <v>0</v>
      </c>
      <c r="E226">
        <v>1</v>
      </c>
      <c r="F226">
        <v>15</v>
      </c>
      <c r="G226" t="b">
        <v>0</v>
      </c>
      <c r="H226">
        <v>1</v>
      </c>
      <c r="I226">
        <v>2</v>
      </c>
      <c r="J226">
        <v>0.2</v>
      </c>
      <c r="K226">
        <v>0.19700000000000001</v>
      </c>
      <c r="L226">
        <v>0.4</v>
      </c>
      <c r="M226">
        <v>0.22389999999999999</v>
      </c>
      <c r="N226">
        <v>2</v>
      </c>
      <c r="O226">
        <v>43</v>
      </c>
      <c r="P226">
        <v>45</v>
      </c>
    </row>
    <row r="227" spans="1:16" x14ac:dyDescent="0.3">
      <c r="A227">
        <v>226</v>
      </c>
      <c r="B227" s="4">
        <v>40553</v>
      </c>
      <c r="C227">
        <v>1</v>
      </c>
      <c r="D227">
        <v>0</v>
      </c>
      <c r="E227">
        <v>1</v>
      </c>
      <c r="F227">
        <v>16</v>
      </c>
      <c r="G227" t="b">
        <v>0</v>
      </c>
      <c r="H227">
        <v>1</v>
      </c>
      <c r="I227">
        <v>1</v>
      </c>
      <c r="J227">
        <v>0.2</v>
      </c>
      <c r="K227">
        <v>0.21210000000000001</v>
      </c>
      <c r="L227">
        <v>0.4</v>
      </c>
      <c r="M227">
        <v>0.1343</v>
      </c>
      <c r="N227">
        <v>4</v>
      </c>
      <c r="O227">
        <v>70</v>
      </c>
      <c r="P227">
        <v>74</v>
      </c>
    </row>
    <row r="228" spans="1:16" x14ac:dyDescent="0.3">
      <c r="A228">
        <v>227</v>
      </c>
      <c r="B228" s="4">
        <v>40553</v>
      </c>
      <c r="C228">
        <v>1</v>
      </c>
      <c r="D228">
        <v>0</v>
      </c>
      <c r="E228">
        <v>1</v>
      </c>
      <c r="F228">
        <v>17</v>
      </c>
      <c r="G228" t="b">
        <v>0</v>
      </c>
      <c r="H228">
        <v>1</v>
      </c>
      <c r="I228">
        <v>1</v>
      </c>
      <c r="J228">
        <v>0.2</v>
      </c>
      <c r="K228">
        <v>0.2273</v>
      </c>
      <c r="L228">
        <v>0.4</v>
      </c>
      <c r="M228">
        <v>0.1045</v>
      </c>
      <c r="N228">
        <v>4</v>
      </c>
      <c r="O228">
        <v>174</v>
      </c>
      <c r="P228">
        <v>178</v>
      </c>
    </row>
    <row r="229" spans="1:16" x14ac:dyDescent="0.3">
      <c r="A229">
        <v>228</v>
      </c>
      <c r="B229" s="4">
        <v>40553</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3">
      <c r="A230">
        <v>229</v>
      </c>
      <c r="B230" s="4">
        <v>40553</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3">
      <c r="A231">
        <v>230</v>
      </c>
      <c r="B231" s="4">
        <v>40553</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3">
      <c r="A232">
        <v>231</v>
      </c>
      <c r="B232" s="4">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3">
      <c r="A233">
        <v>232</v>
      </c>
      <c r="B233" s="4">
        <v>40553</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3">
      <c r="A234">
        <v>233</v>
      </c>
      <c r="B234" s="4">
        <v>40553</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3">
      <c r="A235">
        <v>234</v>
      </c>
      <c r="B235" s="4">
        <v>40554</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3">
      <c r="A236">
        <v>235</v>
      </c>
      <c r="B236" s="4">
        <v>40554</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3">
      <c r="A237">
        <v>236</v>
      </c>
      <c r="B237" s="4">
        <v>40554</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3">
      <c r="A238">
        <v>237</v>
      </c>
      <c r="B238" s="4">
        <v>40554</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3">
      <c r="A239">
        <v>238</v>
      </c>
      <c r="B239" s="4">
        <v>40554</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3">
      <c r="A240">
        <v>239</v>
      </c>
      <c r="B240" s="4">
        <v>40554</v>
      </c>
      <c r="C240">
        <v>1</v>
      </c>
      <c r="D240">
        <v>0</v>
      </c>
      <c r="E240">
        <v>1</v>
      </c>
      <c r="F240">
        <v>7</v>
      </c>
      <c r="G240" t="b">
        <v>0</v>
      </c>
      <c r="H240">
        <v>2</v>
      </c>
      <c r="I240">
        <v>2</v>
      </c>
      <c r="J240">
        <v>0.16</v>
      </c>
      <c r="K240">
        <v>0.2273</v>
      </c>
      <c r="L240">
        <v>0.55000000000000004</v>
      </c>
      <c r="M240">
        <v>0</v>
      </c>
      <c r="N240">
        <v>2</v>
      </c>
      <c r="O240">
        <v>97</v>
      </c>
      <c r="P240">
        <v>99</v>
      </c>
    </row>
    <row r="241" spans="1:16" x14ac:dyDescent="0.3">
      <c r="A241">
        <v>240</v>
      </c>
      <c r="B241" s="4">
        <v>40554</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3">
      <c r="A242">
        <v>241</v>
      </c>
      <c r="B242" s="4">
        <v>40554</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3">
      <c r="A243">
        <v>242</v>
      </c>
      <c r="B243" s="4">
        <v>40554</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3">
      <c r="A244">
        <v>243</v>
      </c>
      <c r="B244" s="4">
        <v>40554</v>
      </c>
      <c r="C244">
        <v>1</v>
      </c>
      <c r="D244">
        <v>0</v>
      </c>
      <c r="E244">
        <v>1</v>
      </c>
      <c r="F244">
        <v>11</v>
      </c>
      <c r="G244" t="b">
        <v>0</v>
      </c>
      <c r="H244">
        <v>2</v>
      </c>
      <c r="I244">
        <v>2</v>
      </c>
      <c r="J244">
        <v>0.2</v>
      </c>
      <c r="K244">
        <v>0.21210000000000001</v>
      </c>
      <c r="L244">
        <v>0.47</v>
      </c>
      <c r="M244">
        <v>0.1343</v>
      </c>
      <c r="N244">
        <v>4</v>
      </c>
      <c r="O244">
        <v>31</v>
      </c>
      <c r="P244">
        <v>35</v>
      </c>
    </row>
    <row r="245" spans="1:16" x14ac:dyDescent="0.3">
      <c r="A245">
        <v>244</v>
      </c>
      <c r="B245" s="4">
        <v>40554</v>
      </c>
      <c r="C245">
        <v>1</v>
      </c>
      <c r="D245">
        <v>0</v>
      </c>
      <c r="E245">
        <v>1</v>
      </c>
      <c r="F245">
        <v>12</v>
      </c>
      <c r="G245" t="b">
        <v>0</v>
      </c>
      <c r="H245">
        <v>2</v>
      </c>
      <c r="I245">
        <v>2</v>
      </c>
      <c r="J245">
        <v>0.2</v>
      </c>
      <c r="K245">
        <v>0.2273</v>
      </c>
      <c r="L245">
        <v>0.51</v>
      </c>
      <c r="M245">
        <v>0.1045</v>
      </c>
      <c r="N245">
        <v>2</v>
      </c>
      <c r="O245">
        <v>55</v>
      </c>
      <c r="P245">
        <v>57</v>
      </c>
    </row>
    <row r="246" spans="1:16" x14ac:dyDescent="0.3">
      <c r="A246">
        <v>245</v>
      </c>
      <c r="B246" s="4">
        <v>40554</v>
      </c>
      <c r="C246">
        <v>1</v>
      </c>
      <c r="D246">
        <v>0</v>
      </c>
      <c r="E246">
        <v>1</v>
      </c>
      <c r="F246">
        <v>13</v>
      </c>
      <c r="G246" t="b">
        <v>0</v>
      </c>
      <c r="H246">
        <v>2</v>
      </c>
      <c r="I246">
        <v>2</v>
      </c>
      <c r="J246">
        <v>0.2</v>
      </c>
      <c r="K246">
        <v>0.2273</v>
      </c>
      <c r="L246">
        <v>0.59</v>
      </c>
      <c r="M246">
        <v>8.9599999999999999E-2</v>
      </c>
      <c r="N246">
        <v>6</v>
      </c>
      <c r="O246">
        <v>46</v>
      </c>
      <c r="P246">
        <v>52</v>
      </c>
    </row>
    <row r="247" spans="1:16" x14ac:dyDescent="0.3">
      <c r="A247">
        <v>246</v>
      </c>
      <c r="B247" s="4">
        <v>40554</v>
      </c>
      <c r="C247">
        <v>1</v>
      </c>
      <c r="D247">
        <v>0</v>
      </c>
      <c r="E247">
        <v>1</v>
      </c>
      <c r="F247">
        <v>14</v>
      </c>
      <c r="G247" t="b">
        <v>0</v>
      </c>
      <c r="H247">
        <v>2</v>
      </c>
      <c r="I247">
        <v>2</v>
      </c>
      <c r="J247">
        <v>0.2</v>
      </c>
      <c r="K247">
        <v>0.2273</v>
      </c>
      <c r="L247">
        <v>0.59</v>
      </c>
      <c r="M247">
        <v>8.9599999999999999E-2</v>
      </c>
      <c r="N247">
        <v>3</v>
      </c>
      <c r="O247">
        <v>60</v>
      </c>
      <c r="P247">
        <v>63</v>
      </c>
    </row>
    <row r="248" spans="1:16" x14ac:dyDescent="0.3">
      <c r="A248">
        <v>247</v>
      </c>
      <c r="B248" s="4">
        <v>40554</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3">
      <c r="A249">
        <v>248</v>
      </c>
      <c r="B249" s="4">
        <v>40554</v>
      </c>
      <c r="C249">
        <v>1</v>
      </c>
      <c r="D249">
        <v>0</v>
      </c>
      <c r="E249">
        <v>1</v>
      </c>
      <c r="F249">
        <v>16</v>
      </c>
      <c r="G249" t="b">
        <v>0</v>
      </c>
      <c r="H249">
        <v>2</v>
      </c>
      <c r="I249">
        <v>2</v>
      </c>
      <c r="J249">
        <v>0.16</v>
      </c>
      <c r="K249">
        <v>0.1515</v>
      </c>
      <c r="L249">
        <v>0.86</v>
      </c>
      <c r="M249">
        <v>0.22389999999999999</v>
      </c>
      <c r="N249">
        <v>4</v>
      </c>
      <c r="O249">
        <v>72</v>
      </c>
      <c r="P249">
        <v>76</v>
      </c>
    </row>
    <row r="250" spans="1:16" x14ac:dyDescent="0.3">
      <c r="A250">
        <v>249</v>
      </c>
      <c r="B250" s="4">
        <v>40554</v>
      </c>
      <c r="C250">
        <v>1</v>
      </c>
      <c r="D250">
        <v>0</v>
      </c>
      <c r="E250">
        <v>1</v>
      </c>
      <c r="F250">
        <v>17</v>
      </c>
      <c r="G250" t="b">
        <v>0</v>
      </c>
      <c r="H250">
        <v>2</v>
      </c>
      <c r="I250">
        <v>2</v>
      </c>
      <c r="J250">
        <v>0.16</v>
      </c>
      <c r="K250">
        <v>0.1515</v>
      </c>
      <c r="L250">
        <v>0.86</v>
      </c>
      <c r="M250">
        <v>0.22389999999999999</v>
      </c>
      <c r="N250">
        <v>6</v>
      </c>
      <c r="O250">
        <v>130</v>
      </c>
      <c r="P250">
        <v>136</v>
      </c>
    </row>
    <row r="251" spans="1:16" x14ac:dyDescent="0.3">
      <c r="A251">
        <v>250</v>
      </c>
      <c r="B251" s="4">
        <v>40554</v>
      </c>
      <c r="C251">
        <v>1</v>
      </c>
      <c r="D251">
        <v>0</v>
      </c>
      <c r="E251">
        <v>1</v>
      </c>
      <c r="F251">
        <v>18</v>
      </c>
      <c r="G251" t="b">
        <v>0</v>
      </c>
      <c r="H251">
        <v>2</v>
      </c>
      <c r="I251">
        <v>3</v>
      </c>
      <c r="J251">
        <v>0.16</v>
      </c>
      <c r="K251">
        <v>0.18179999999999999</v>
      </c>
      <c r="L251">
        <v>0.93</v>
      </c>
      <c r="M251">
        <v>0.1045</v>
      </c>
      <c r="N251">
        <v>1</v>
      </c>
      <c r="O251">
        <v>94</v>
      </c>
      <c r="P251">
        <v>95</v>
      </c>
    </row>
    <row r="252" spans="1:16" x14ac:dyDescent="0.3">
      <c r="A252">
        <v>251</v>
      </c>
      <c r="B252" s="4">
        <v>40554</v>
      </c>
      <c r="C252">
        <v>1</v>
      </c>
      <c r="D252">
        <v>0</v>
      </c>
      <c r="E252">
        <v>1</v>
      </c>
      <c r="F252">
        <v>19</v>
      </c>
      <c r="G252" t="b">
        <v>0</v>
      </c>
      <c r="H252">
        <v>2</v>
      </c>
      <c r="I252">
        <v>3</v>
      </c>
      <c r="J252">
        <v>0.16</v>
      </c>
      <c r="K252">
        <v>0.2273</v>
      </c>
      <c r="L252">
        <v>0.93</v>
      </c>
      <c r="M252">
        <v>0</v>
      </c>
      <c r="N252">
        <v>0</v>
      </c>
      <c r="O252">
        <v>51</v>
      </c>
      <c r="P252">
        <v>51</v>
      </c>
    </row>
    <row r="253" spans="1:16" x14ac:dyDescent="0.3">
      <c r="A253">
        <v>252</v>
      </c>
      <c r="B253" s="4">
        <v>40554</v>
      </c>
      <c r="C253">
        <v>1</v>
      </c>
      <c r="D253">
        <v>0</v>
      </c>
      <c r="E253">
        <v>1</v>
      </c>
      <c r="F253">
        <v>20</v>
      </c>
      <c r="G253" t="b">
        <v>0</v>
      </c>
      <c r="H253">
        <v>2</v>
      </c>
      <c r="I253">
        <v>3</v>
      </c>
      <c r="J253">
        <v>0.16</v>
      </c>
      <c r="K253">
        <v>0.1515</v>
      </c>
      <c r="L253">
        <v>0.93</v>
      </c>
      <c r="M253">
        <v>0.19400000000000001</v>
      </c>
      <c r="N253">
        <v>0</v>
      </c>
      <c r="O253">
        <v>32</v>
      </c>
      <c r="P253">
        <v>32</v>
      </c>
    </row>
    <row r="254" spans="1:16" x14ac:dyDescent="0.3">
      <c r="A254">
        <v>253</v>
      </c>
      <c r="B254" s="4">
        <v>40554</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3">
      <c r="A255">
        <v>254</v>
      </c>
      <c r="B255" s="4">
        <v>40554</v>
      </c>
      <c r="C255">
        <v>1</v>
      </c>
      <c r="D255">
        <v>0</v>
      </c>
      <c r="E255">
        <v>1</v>
      </c>
      <c r="F255">
        <v>22</v>
      </c>
      <c r="G255" t="b">
        <v>0</v>
      </c>
      <c r="H255">
        <v>2</v>
      </c>
      <c r="I255">
        <v>3</v>
      </c>
      <c r="J255">
        <v>0.16</v>
      </c>
      <c r="K255">
        <v>0.18179999999999999</v>
      </c>
      <c r="L255">
        <v>0.93</v>
      </c>
      <c r="M255">
        <v>0.1045</v>
      </c>
      <c r="N255">
        <v>1</v>
      </c>
      <c r="O255">
        <v>28</v>
      </c>
      <c r="P255">
        <v>29</v>
      </c>
    </row>
    <row r="256" spans="1:16" x14ac:dyDescent="0.3">
      <c r="A256">
        <v>255</v>
      </c>
      <c r="B256" s="4">
        <v>40554</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3">
      <c r="A257">
        <v>256</v>
      </c>
      <c r="B257" s="4">
        <v>40555</v>
      </c>
      <c r="C257">
        <v>1</v>
      </c>
      <c r="D257">
        <v>0</v>
      </c>
      <c r="E257">
        <v>1</v>
      </c>
      <c r="F257">
        <v>0</v>
      </c>
      <c r="G257" t="b">
        <v>0</v>
      </c>
      <c r="H257">
        <v>3</v>
      </c>
      <c r="I257">
        <v>2</v>
      </c>
      <c r="J257">
        <v>0.16</v>
      </c>
      <c r="K257">
        <v>0.19700000000000001</v>
      </c>
      <c r="L257">
        <v>0.86</v>
      </c>
      <c r="M257">
        <v>8.9599999999999999E-2</v>
      </c>
      <c r="N257">
        <v>0</v>
      </c>
      <c r="O257">
        <v>7</v>
      </c>
      <c r="P257">
        <v>7</v>
      </c>
    </row>
    <row r="258" spans="1:16" x14ac:dyDescent="0.3">
      <c r="A258">
        <v>257</v>
      </c>
      <c r="B258" s="4">
        <v>40555</v>
      </c>
      <c r="C258">
        <v>1</v>
      </c>
      <c r="D258">
        <v>0</v>
      </c>
      <c r="E258">
        <v>1</v>
      </c>
      <c r="F258">
        <v>1</v>
      </c>
      <c r="G258" t="b">
        <v>0</v>
      </c>
      <c r="H258">
        <v>3</v>
      </c>
      <c r="I258">
        <v>2</v>
      </c>
      <c r="J258">
        <v>0.16</v>
      </c>
      <c r="K258">
        <v>0.18179999999999999</v>
      </c>
      <c r="L258">
        <v>0.86</v>
      </c>
      <c r="M258">
        <v>0.1045</v>
      </c>
      <c r="N258">
        <v>0</v>
      </c>
      <c r="O258">
        <v>6</v>
      </c>
      <c r="P258">
        <v>6</v>
      </c>
    </row>
    <row r="259" spans="1:16" x14ac:dyDescent="0.3">
      <c r="A259">
        <v>258</v>
      </c>
      <c r="B259" s="4">
        <v>40555</v>
      </c>
      <c r="C259">
        <v>1</v>
      </c>
      <c r="D259">
        <v>0</v>
      </c>
      <c r="E259">
        <v>1</v>
      </c>
      <c r="F259">
        <v>2</v>
      </c>
      <c r="G259" t="b">
        <v>0</v>
      </c>
      <c r="H259">
        <v>3</v>
      </c>
      <c r="I259">
        <v>1</v>
      </c>
      <c r="J259">
        <v>0.14000000000000001</v>
      </c>
      <c r="K259">
        <v>0.1515</v>
      </c>
      <c r="L259">
        <v>0.86</v>
      </c>
      <c r="M259">
        <v>0.1343</v>
      </c>
      <c r="N259">
        <v>0</v>
      </c>
      <c r="O259">
        <v>1</v>
      </c>
      <c r="P259">
        <v>1</v>
      </c>
    </row>
    <row r="260" spans="1:16" x14ac:dyDescent="0.3">
      <c r="A260">
        <v>259</v>
      </c>
      <c r="B260" s="4">
        <v>40555</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3">
      <c r="A261">
        <v>260</v>
      </c>
      <c r="B261" s="4">
        <v>40555</v>
      </c>
      <c r="C261">
        <v>1</v>
      </c>
      <c r="D261">
        <v>0</v>
      </c>
      <c r="E261">
        <v>1</v>
      </c>
      <c r="F261">
        <v>6</v>
      </c>
      <c r="G261" t="b">
        <v>0</v>
      </c>
      <c r="H261">
        <v>3</v>
      </c>
      <c r="I261">
        <v>1</v>
      </c>
      <c r="J261">
        <v>0.12</v>
      </c>
      <c r="K261">
        <v>0.1515</v>
      </c>
      <c r="L261">
        <v>0.93</v>
      </c>
      <c r="M261">
        <v>0.1343</v>
      </c>
      <c r="N261">
        <v>0</v>
      </c>
      <c r="O261">
        <v>16</v>
      </c>
      <c r="P261">
        <v>16</v>
      </c>
    </row>
    <row r="262" spans="1:16" x14ac:dyDescent="0.3">
      <c r="A262">
        <v>261</v>
      </c>
      <c r="B262" s="4">
        <v>40555</v>
      </c>
      <c r="C262">
        <v>1</v>
      </c>
      <c r="D262">
        <v>0</v>
      </c>
      <c r="E262">
        <v>1</v>
      </c>
      <c r="F262">
        <v>7</v>
      </c>
      <c r="G262" t="b">
        <v>0</v>
      </c>
      <c r="H262">
        <v>3</v>
      </c>
      <c r="I262">
        <v>1</v>
      </c>
      <c r="J262">
        <v>0.14000000000000001</v>
      </c>
      <c r="K262">
        <v>0.1515</v>
      </c>
      <c r="L262">
        <v>0.69</v>
      </c>
      <c r="M262">
        <v>0.1343</v>
      </c>
      <c r="N262">
        <v>0</v>
      </c>
      <c r="O262">
        <v>54</v>
      </c>
      <c r="P262">
        <v>54</v>
      </c>
    </row>
    <row r="263" spans="1:16" x14ac:dyDescent="0.3">
      <c r="A263">
        <v>262</v>
      </c>
      <c r="B263" s="4">
        <v>40555</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3">
      <c r="A264">
        <v>263</v>
      </c>
      <c r="B264" s="4">
        <v>40555</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3">
      <c r="A265">
        <v>264</v>
      </c>
      <c r="B265" s="4">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3">
      <c r="A266">
        <v>265</v>
      </c>
      <c r="B266" s="4">
        <v>40555</v>
      </c>
      <c r="C266">
        <v>1</v>
      </c>
      <c r="D266">
        <v>0</v>
      </c>
      <c r="E266">
        <v>1</v>
      </c>
      <c r="F266">
        <v>11</v>
      </c>
      <c r="G266" t="b">
        <v>0</v>
      </c>
      <c r="H266">
        <v>3</v>
      </c>
      <c r="I266">
        <v>1</v>
      </c>
      <c r="J266">
        <v>0.2</v>
      </c>
      <c r="K266">
        <v>0.18179999999999999</v>
      </c>
      <c r="L266">
        <v>0.51</v>
      </c>
      <c r="M266">
        <v>0.3881</v>
      </c>
      <c r="N266">
        <v>3</v>
      </c>
      <c r="O266">
        <v>32</v>
      </c>
      <c r="P266">
        <v>35</v>
      </c>
    </row>
    <row r="267" spans="1:16" x14ac:dyDescent="0.3">
      <c r="A267">
        <v>266</v>
      </c>
      <c r="B267" s="4">
        <v>40555</v>
      </c>
      <c r="C267">
        <v>1</v>
      </c>
      <c r="D267">
        <v>0</v>
      </c>
      <c r="E267">
        <v>1</v>
      </c>
      <c r="F267">
        <v>12</v>
      </c>
      <c r="G267" t="b">
        <v>0</v>
      </c>
      <c r="H267">
        <v>3</v>
      </c>
      <c r="I267">
        <v>1</v>
      </c>
      <c r="J267">
        <v>0.2</v>
      </c>
      <c r="K267">
        <v>0.1515</v>
      </c>
      <c r="L267">
        <v>0.47</v>
      </c>
      <c r="M267">
        <v>0.58209999999999995</v>
      </c>
      <c r="N267">
        <v>3</v>
      </c>
      <c r="O267">
        <v>52</v>
      </c>
      <c r="P267">
        <v>55</v>
      </c>
    </row>
    <row r="268" spans="1:16" x14ac:dyDescent="0.3">
      <c r="A268">
        <v>267</v>
      </c>
      <c r="B268" s="4">
        <v>40555</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3">
      <c r="A269">
        <v>268</v>
      </c>
      <c r="B269" s="4">
        <v>40555</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3">
      <c r="A270">
        <v>269</v>
      </c>
      <c r="B270" s="4">
        <v>40555</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3">
      <c r="A271">
        <v>270</v>
      </c>
      <c r="B271" s="4">
        <v>40555</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3">
      <c r="A272">
        <v>271</v>
      </c>
      <c r="B272" s="4">
        <v>40555</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3">
      <c r="A273">
        <v>272</v>
      </c>
      <c r="B273" s="4">
        <v>40555</v>
      </c>
      <c r="C273">
        <v>1</v>
      </c>
      <c r="D273">
        <v>0</v>
      </c>
      <c r="E273">
        <v>1</v>
      </c>
      <c r="F273">
        <v>18</v>
      </c>
      <c r="G273" t="b">
        <v>0</v>
      </c>
      <c r="H273">
        <v>3</v>
      </c>
      <c r="I273">
        <v>1</v>
      </c>
      <c r="J273">
        <v>0.2</v>
      </c>
      <c r="K273">
        <v>0.1515</v>
      </c>
      <c r="L273">
        <v>0.47</v>
      </c>
      <c r="M273">
        <v>0.52239999999999998</v>
      </c>
      <c r="N273">
        <v>2</v>
      </c>
      <c r="O273">
        <v>135</v>
      </c>
      <c r="P273">
        <v>137</v>
      </c>
    </row>
    <row r="274" spans="1:16" x14ac:dyDescent="0.3">
      <c r="A274">
        <v>273</v>
      </c>
      <c r="B274" s="4">
        <v>40555</v>
      </c>
      <c r="C274">
        <v>1</v>
      </c>
      <c r="D274">
        <v>0</v>
      </c>
      <c r="E274">
        <v>1</v>
      </c>
      <c r="F274">
        <v>19</v>
      </c>
      <c r="G274" t="b">
        <v>0</v>
      </c>
      <c r="H274">
        <v>3</v>
      </c>
      <c r="I274">
        <v>1</v>
      </c>
      <c r="J274">
        <v>0.18</v>
      </c>
      <c r="K274">
        <v>0.1515</v>
      </c>
      <c r="L274">
        <v>0.47</v>
      </c>
      <c r="M274">
        <v>0.41789999999999999</v>
      </c>
      <c r="N274">
        <v>1</v>
      </c>
      <c r="O274">
        <v>82</v>
      </c>
      <c r="P274">
        <v>83</v>
      </c>
    </row>
    <row r="275" spans="1:16" x14ac:dyDescent="0.3">
      <c r="A275">
        <v>274</v>
      </c>
      <c r="B275" s="4">
        <v>40555</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3">
      <c r="A276">
        <v>275</v>
      </c>
      <c r="B276" s="4">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3">
      <c r="A277">
        <v>276</v>
      </c>
      <c r="B277" s="4">
        <v>40555</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3">
      <c r="A278">
        <v>277</v>
      </c>
      <c r="B278" s="4">
        <v>40555</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3">
      <c r="A279">
        <v>278</v>
      </c>
      <c r="B279" s="4">
        <v>40556</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3">
      <c r="A280">
        <v>279</v>
      </c>
      <c r="B280" s="4">
        <v>40556</v>
      </c>
      <c r="C280">
        <v>1</v>
      </c>
      <c r="D280">
        <v>0</v>
      </c>
      <c r="E280">
        <v>1</v>
      </c>
      <c r="F280">
        <v>1</v>
      </c>
      <c r="G280" t="b">
        <v>0</v>
      </c>
      <c r="H280">
        <v>4</v>
      </c>
      <c r="I280">
        <v>1</v>
      </c>
      <c r="J280">
        <v>0.14000000000000001</v>
      </c>
      <c r="K280">
        <v>0.1212</v>
      </c>
      <c r="L280">
        <v>0.5</v>
      </c>
      <c r="M280">
        <v>0.28360000000000002</v>
      </c>
      <c r="N280">
        <v>0</v>
      </c>
      <c r="O280">
        <v>2</v>
      </c>
      <c r="P280">
        <v>2</v>
      </c>
    </row>
    <row r="281" spans="1:16" x14ac:dyDescent="0.3">
      <c r="A281">
        <v>280</v>
      </c>
      <c r="B281" s="4">
        <v>40556</v>
      </c>
      <c r="C281">
        <v>1</v>
      </c>
      <c r="D281">
        <v>0</v>
      </c>
      <c r="E281">
        <v>1</v>
      </c>
      <c r="F281">
        <v>2</v>
      </c>
      <c r="G281" t="b">
        <v>0</v>
      </c>
      <c r="H281">
        <v>4</v>
      </c>
      <c r="I281">
        <v>1</v>
      </c>
      <c r="J281">
        <v>0.14000000000000001</v>
      </c>
      <c r="K281">
        <v>0.1212</v>
      </c>
      <c r="L281">
        <v>0.5</v>
      </c>
      <c r="M281">
        <v>0.35820000000000002</v>
      </c>
      <c r="N281">
        <v>0</v>
      </c>
      <c r="O281">
        <v>2</v>
      </c>
      <c r="P281">
        <v>2</v>
      </c>
    </row>
    <row r="282" spans="1:16" x14ac:dyDescent="0.3">
      <c r="A282">
        <v>281</v>
      </c>
      <c r="B282" s="4">
        <v>40556</v>
      </c>
      <c r="C282">
        <v>1</v>
      </c>
      <c r="D282">
        <v>0</v>
      </c>
      <c r="E282">
        <v>1</v>
      </c>
      <c r="F282">
        <v>3</v>
      </c>
      <c r="G282" t="b">
        <v>0</v>
      </c>
      <c r="H282">
        <v>4</v>
      </c>
      <c r="I282">
        <v>1</v>
      </c>
      <c r="J282">
        <v>0.14000000000000001</v>
      </c>
      <c r="K282">
        <v>0.1212</v>
      </c>
      <c r="L282">
        <v>0.5</v>
      </c>
      <c r="M282">
        <v>0.32840000000000003</v>
      </c>
      <c r="N282">
        <v>0</v>
      </c>
      <c r="O282">
        <v>3</v>
      </c>
      <c r="P282">
        <v>3</v>
      </c>
    </row>
    <row r="283" spans="1:16" x14ac:dyDescent="0.3">
      <c r="A283">
        <v>282</v>
      </c>
      <c r="B283" s="4">
        <v>40556</v>
      </c>
      <c r="C283">
        <v>1</v>
      </c>
      <c r="D283">
        <v>0</v>
      </c>
      <c r="E283">
        <v>1</v>
      </c>
      <c r="F283">
        <v>4</v>
      </c>
      <c r="G283" t="b">
        <v>0</v>
      </c>
      <c r="H283">
        <v>4</v>
      </c>
      <c r="I283">
        <v>1</v>
      </c>
      <c r="J283">
        <v>0.14000000000000001</v>
      </c>
      <c r="K283">
        <v>0.1212</v>
      </c>
      <c r="L283">
        <v>0.5</v>
      </c>
      <c r="M283">
        <v>0.25369999999999998</v>
      </c>
      <c r="N283">
        <v>0</v>
      </c>
      <c r="O283">
        <v>4</v>
      </c>
      <c r="P283">
        <v>4</v>
      </c>
    </row>
    <row r="284" spans="1:16" x14ac:dyDescent="0.3">
      <c r="A284">
        <v>283</v>
      </c>
      <c r="B284" s="4">
        <v>40556</v>
      </c>
      <c r="C284">
        <v>1</v>
      </c>
      <c r="D284">
        <v>0</v>
      </c>
      <c r="E284">
        <v>1</v>
      </c>
      <c r="F284">
        <v>5</v>
      </c>
      <c r="G284" t="b">
        <v>0</v>
      </c>
      <c r="H284">
        <v>4</v>
      </c>
      <c r="I284">
        <v>1</v>
      </c>
      <c r="J284">
        <v>0.14000000000000001</v>
      </c>
      <c r="K284">
        <v>0.1212</v>
      </c>
      <c r="L284">
        <v>0.5</v>
      </c>
      <c r="M284">
        <v>0.29849999999999999</v>
      </c>
      <c r="N284">
        <v>0</v>
      </c>
      <c r="O284">
        <v>3</v>
      </c>
      <c r="P284">
        <v>3</v>
      </c>
    </row>
    <row r="285" spans="1:16" x14ac:dyDescent="0.3">
      <c r="A285">
        <v>284</v>
      </c>
      <c r="B285" s="4">
        <v>40556</v>
      </c>
      <c r="C285">
        <v>1</v>
      </c>
      <c r="D285">
        <v>0</v>
      </c>
      <c r="E285">
        <v>1</v>
      </c>
      <c r="F285">
        <v>6</v>
      </c>
      <c r="G285" t="b">
        <v>0</v>
      </c>
      <c r="H285">
        <v>4</v>
      </c>
      <c r="I285">
        <v>1</v>
      </c>
      <c r="J285">
        <v>0.12</v>
      </c>
      <c r="K285">
        <v>0.1515</v>
      </c>
      <c r="L285">
        <v>0.54</v>
      </c>
      <c r="M285">
        <v>0.1343</v>
      </c>
      <c r="N285">
        <v>0</v>
      </c>
      <c r="O285">
        <v>28</v>
      </c>
      <c r="P285">
        <v>28</v>
      </c>
    </row>
    <row r="286" spans="1:16" x14ac:dyDescent="0.3">
      <c r="A286">
        <v>285</v>
      </c>
      <c r="B286" s="4">
        <v>40556</v>
      </c>
      <c r="C286">
        <v>1</v>
      </c>
      <c r="D286">
        <v>0</v>
      </c>
      <c r="E286">
        <v>1</v>
      </c>
      <c r="F286">
        <v>7</v>
      </c>
      <c r="G286" t="b">
        <v>0</v>
      </c>
      <c r="H286">
        <v>4</v>
      </c>
      <c r="I286">
        <v>1</v>
      </c>
      <c r="J286">
        <v>0.12</v>
      </c>
      <c r="K286">
        <v>0.1515</v>
      </c>
      <c r="L286">
        <v>0.54</v>
      </c>
      <c r="M286">
        <v>0.1343</v>
      </c>
      <c r="N286">
        <v>0</v>
      </c>
      <c r="O286">
        <v>72</v>
      </c>
      <c r="P286">
        <v>72</v>
      </c>
    </row>
    <row r="287" spans="1:16" x14ac:dyDescent="0.3">
      <c r="A287">
        <v>286</v>
      </c>
      <c r="B287" s="4">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3">
      <c r="A288">
        <v>287</v>
      </c>
      <c r="B288" s="4">
        <v>40556</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3">
      <c r="A289">
        <v>288</v>
      </c>
      <c r="B289" s="4">
        <v>40556</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3">
      <c r="A290">
        <v>289</v>
      </c>
      <c r="B290" s="4">
        <v>40556</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3">
      <c r="A291">
        <v>290</v>
      </c>
      <c r="B291" s="4">
        <v>40556</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3">
      <c r="A292">
        <v>291</v>
      </c>
      <c r="B292" s="4">
        <v>40556</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3">
      <c r="A293">
        <v>292</v>
      </c>
      <c r="B293" s="4">
        <v>40556</v>
      </c>
      <c r="C293">
        <v>1</v>
      </c>
      <c r="D293">
        <v>0</v>
      </c>
      <c r="E293">
        <v>1</v>
      </c>
      <c r="F293">
        <v>14</v>
      </c>
      <c r="G293" t="b">
        <v>0</v>
      </c>
      <c r="H293">
        <v>4</v>
      </c>
      <c r="I293">
        <v>1</v>
      </c>
      <c r="J293">
        <v>0.22</v>
      </c>
      <c r="K293">
        <v>0.19700000000000001</v>
      </c>
      <c r="L293">
        <v>0.41</v>
      </c>
      <c r="M293">
        <v>0.3881</v>
      </c>
      <c r="N293">
        <v>3</v>
      </c>
      <c r="O293">
        <v>39</v>
      </c>
      <c r="P293">
        <v>42</v>
      </c>
    </row>
    <row r="294" spans="1:16" x14ac:dyDescent="0.3">
      <c r="A294">
        <v>293</v>
      </c>
      <c r="B294" s="4">
        <v>40556</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3">
      <c r="A295">
        <v>294</v>
      </c>
      <c r="B295" s="4">
        <v>40556</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3">
      <c r="A296">
        <v>295</v>
      </c>
      <c r="B296" s="4">
        <v>40556</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3">
      <c r="A297">
        <v>296</v>
      </c>
      <c r="B297" s="4">
        <v>40556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3">
      <c r="A298">
        <v>297</v>
      </c>
      <c r="B298" s="4">
        <v>40556</v>
      </c>
      <c r="C298">
        <v>1</v>
      </c>
      <c r="D298">
        <v>0</v>
      </c>
      <c r="E298">
        <v>1</v>
      </c>
      <c r="F298">
        <v>19</v>
      </c>
      <c r="G298" t="b">
        <v>0</v>
      </c>
      <c r="H298">
        <v>4</v>
      </c>
      <c r="I298">
        <v>1</v>
      </c>
      <c r="J298">
        <v>0.16</v>
      </c>
      <c r="K298">
        <v>0.1515</v>
      </c>
      <c r="L298">
        <v>0.47</v>
      </c>
      <c r="M298">
        <v>0.25369999999999998</v>
      </c>
      <c r="N298">
        <v>1</v>
      </c>
      <c r="O298">
        <v>98</v>
      </c>
      <c r="P298">
        <v>99</v>
      </c>
    </row>
    <row r="299" spans="1:16" x14ac:dyDescent="0.3">
      <c r="A299">
        <v>298</v>
      </c>
      <c r="B299" s="4">
        <v>40556</v>
      </c>
      <c r="C299">
        <v>1</v>
      </c>
      <c r="D299">
        <v>0</v>
      </c>
      <c r="E299">
        <v>1</v>
      </c>
      <c r="F299">
        <v>20</v>
      </c>
      <c r="G299" t="b">
        <v>0</v>
      </c>
      <c r="H299">
        <v>4</v>
      </c>
      <c r="I299">
        <v>1</v>
      </c>
      <c r="J299">
        <v>0.16</v>
      </c>
      <c r="K299">
        <v>0.1515</v>
      </c>
      <c r="L299">
        <v>0.47</v>
      </c>
      <c r="M299">
        <v>0.22389999999999999</v>
      </c>
      <c r="N299">
        <v>0</v>
      </c>
      <c r="O299">
        <v>64</v>
      </c>
      <c r="P299">
        <v>64</v>
      </c>
    </row>
    <row r="300" spans="1:16" x14ac:dyDescent="0.3">
      <c r="A300">
        <v>299</v>
      </c>
      <c r="B300" s="4">
        <v>40556</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3">
      <c r="A301">
        <v>300</v>
      </c>
      <c r="B301" s="4">
        <v>40556</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3">
      <c r="A302">
        <v>301</v>
      </c>
      <c r="B302" s="4">
        <v>40556</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3">
      <c r="A303">
        <v>302</v>
      </c>
      <c r="B303" s="4">
        <v>40557</v>
      </c>
      <c r="C303">
        <v>1</v>
      </c>
      <c r="D303">
        <v>0</v>
      </c>
      <c r="E303">
        <v>1</v>
      </c>
      <c r="F303">
        <v>0</v>
      </c>
      <c r="G303" t="b">
        <v>0</v>
      </c>
      <c r="H303">
        <v>5</v>
      </c>
      <c r="I303">
        <v>1</v>
      </c>
      <c r="J303">
        <v>0.12</v>
      </c>
      <c r="K303">
        <v>0.13639999999999999</v>
      </c>
      <c r="L303">
        <v>0.5</v>
      </c>
      <c r="M303">
        <v>0.19400000000000001</v>
      </c>
      <c r="N303">
        <v>0</v>
      </c>
      <c r="O303">
        <v>14</v>
      </c>
      <c r="P303">
        <v>14</v>
      </c>
    </row>
    <row r="304" spans="1:16" x14ac:dyDescent="0.3">
      <c r="A304">
        <v>303</v>
      </c>
      <c r="B304" s="4">
        <v>40557</v>
      </c>
      <c r="C304">
        <v>1</v>
      </c>
      <c r="D304">
        <v>0</v>
      </c>
      <c r="E304">
        <v>1</v>
      </c>
      <c r="F304">
        <v>1</v>
      </c>
      <c r="G304" t="b">
        <v>0</v>
      </c>
      <c r="H304">
        <v>5</v>
      </c>
      <c r="I304">
        <v>1</v>
      </c>
      <c r="J304">
        <v>0.1</v>
      </c>
      <c r="K304">
        <v>0.1212</v>
      </c>
      <c r="L304">
        <v>0.54</v>
      </c>
      <c r="M304">
        <v>0.16420000000000001</v>
      </c>
      <c r="N304">
        <v>0</v>
      </c>
      <c r="O304">
        <v>5</v>
      </c>
      <c r="P304">
        <v>5</v>
      </c>
    </row>
    <row r="305" spans="1:16" x14ac:dyDescent="0.3">
      <c r="A305">
        <v>304</v>
      </c>
      <c r="B305" s="4">
        <v>40557</v>
      </c>
      <c r="C305">
        <v>1</v>
      </c>
      <c r="D305">
        <v>0</v>
      </c>
      <c r="E305">
        <v>1</v>
      </c>
      <c r="F305">
        <v>2</v>
      </c>
      <c r="G305" t="b">
        <v>0</v>
      </c>
      <c r="H305">
        <v>5</v>
      </c>
      <c r="I305">
        <v>1</v>
      </c>
      <c r="J305">
        <v>0.1</v>
      </c>
      <c r="K305">
        <v>0.1212</v>
      </c>
      <c r="L305">
        <v>0.54</v>
      </c>
      <c r="M305">
        <v>0.1343</v>
      </c>
      <c r="N305">
        <v>0</v>
      </c>
      <c r="O305">
        <v>1</v>
      </c>
      <c r="P305">
        <v>1</v>
      </c>
    </row>
    <row r="306" spans="1:16" x14ac:dyDescent="0.3">
      <c r="A306">
        <v>305</v>
      </c>
      <c r="B306" s="4">
        <v>40557</v>
      </c>
      <c r="C306">
        <v>1</v>
      </c>
      <c r="D306">
        <v>0</v>
      </c>
      <c r="E306">
        <v>1</v>
      </c>
      <c r="F306">
        <v>3</v>
      </c>
      <c r="G306" t="b">
        <v>0</v>
      </c>
      <c r="H306">
        <v>5</v>
      </c>
      <c r="I306">
        <v>1</v>
      </c>
      <c r="J306">
        <v>0.1</v>
      </c>
      <c r="K306">
        <v>0.13639999999999999</v>
      </c>
      <c r="L306">
        <v>0.54</v>
      </c>
      <c r="M306">
        <v>0.1045</v>
      </c>
      <c r="N306">
        <v>0</v>
      </c>
      <c r="O306">
        <v>1</v>
      </c>
      <c r="P306">
        <v>1</v>
      </c>
    </row>
    <row r="307" spans="1:16" x14ac:dyDescent="0.3">
      <c r="A307">
        <v>306</v>
      </c>
      <c r="B307" s="4">
        <v>40557</v>
      </c>
      <c r="C307">
        <v>1</v>
      </c>
      <c r="D307">
        <v>0</v>
      </c>
      <c r="E307">
        <v>1</v>
      </c>
      <c r="F307">
        <v>5</v>
      </c>
      <c r="G307" t="b">
        <v>0</v>
      </c>
      <c r="H307">
        <v>5</v>
      </c>
      <c r="I307">
        <v>1</v>
      </c>
      <c r="J307">
        <v>0.1</v>
      </c>
      <c r="K307">
        <v>0.13639999999999999</v>
      </c>
      <c r="L307">
        <v>0.54</v>
      </c>
      <c r="M307">
        <v>8.9599999999999999E-2</v>
      </c>
      <c r="N307">
        <v>0</v>
      </c>
      <c r="O307">
        <v>8</v>
      </c>
      <c r="P307">
        <v>8</v>
      </c>
    </row>
    <row r="308" spans="1:16" x14ac:dyDescent="0.3">
      <c r="A308">
        <v>307</v>
      </c>
      <c r="B308" s="4">
        <v>40557</v>
      </c>
      <c r="C308">
        <v>1</v>
      </c>
      <c r="D308">
        <v>0</v>
      </c>
      <c r="E308">
        <v>1</v>
      </c>
      <c r="F308">
        <v>6</v>
      </c>
      <c r="G308" t="b">
        <v>0</v>
      </c>
      <c r="H308">
        <v>5</v>
      </c>
      <c r="I308">
        <v>1</v>
      </c>
      <c r="J308">
        <v>0.1</v>
      </c>
      <c r="K308">
        <v>0.18179999999999999</v>
      </c>
      <c r="L308">
        <v>0.54</v>
      </c>
      <c r="M308">
        <v>0</v>
      </c>
      <c r="N308">
        <v>0</v>
      </c>
      <c r="O308">
        <v>17</v>
      </c>
      <c r="P308">
        <v>17</v>
      </c>
    </row>
    <row r="309" spans="1:16" x14ac:dyDescent="0.3">
      <c r="A309">
        <v>308</v>
      </c>
      <c r="B309" s="4">
        <v>40557</v>
      </c>
      <c r="C309">
        <v>1</v>
      </c>
      <c r="D309">
        <v>0</v>
      </c>
      <c r="E309">
        <v>1</v>
      </c>
      <c r="F309">
        <v>7</v>
      </c>
      <c r="G309" t="b">
        <v>0</v>
      </c>
      <c r="H309">
        <v>5</v>
      </c>
      <c r="I309">
        <v>1</v>
      </c>
      <c r="J309">
        <v>0.1</v>
      </c>
      <c r="K309">
        <v>0.1212</v>
      </c>
      <c r="L309">
        <v>0.74</v>
      </c>
      <c r="M309">
        <v>0.16420000000000001</v>
      </c>
      <c r="N309">
        <v>0</v>
      </c>
      <c r="O309">
        <v>70</v>
      </c>
      <c r="P309">
        <v>70</v>
      </c>
    </row>
    <row r="310" spans="1:16" x14ac:dyDescent="0.3">
      <c r="A310">
        <v>309</v>
      </c>
      <c r="B310" s="4">
        <v>40557</v>
      </c>
      <c r="C310">
        <v>1</v>
      </c>
      <c r="D310">
        <v>0</v>
      </c>
      <c r="E310">
        <v>1</v>
      </c>
      <c r="F310">
        <v>8</v>
      </c>
      <c r="G310" t="b">
        <v>0</v>
      </c>
      <c r="H310">
        <v>5</v>
      </c>
      <c r="I310">
        <v>1</v>
      </c>
      <c r="J310">
        <v>0.12</v>
      </c>
      <c r="K310">
        <v>0.16669999999999999</v>
      </c>
      <c r="L310">
        <v>0.68</v>
      </c>
      <c r="M310">
        <v>0</v>
      </c>
      <c r="N310">
        <v>2</v>
      </c>
      <c r="O310">
        <v>156</v>
      </c>
      <c r="P310">
        <v>158</v>
      </c>
    </row>
    <row r="311" spans="1:16" x14ac:dyDescent="0.3">
      <c r="A311">
        <v>310</v>
      </c>
      <c r="B311" s="4">
        <v>40557</v>
      </c>
      <c r="C311">
        <v>1</v>
      </c>
      <c r="D311">
        <v>0</v>
      </c>
      <c r="E311">
        <v>1</v>
      </c>
      <c r="F311">
        <v>9</v>
      </c>
      <c r="G311" t="b">
        <v>0</v>
      </c>
      <c r="H311">
        <v>5</v>
      </c>
      <c r="I311">
        <v>1</v>
      </c>
      <c r="J311">
        <v>0.14000000000000001</v>
      </c>
      <c r="K311">
        <v>0.1515</v>
      </c>
      <c r="L311">
        <v>0.69</v>
      </c>
      <c r="M311">
        <v>0.1343</v>
      </c>
      <c r="N311">
        <v>0</v>
      </c>
      <c r="O311">
        <v>117</v>
      </c>
      <c r="P311">
        <v>117</v>
      </c>
    </row>
    <row r="312" spans="1:16" x14ac:dyDescent="0.3">
      <c r="A312">
        <v>311</v>
      </c>
      <c r="B312" s="4">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3">
      <c r="A313">
        <v>312</v>
      </c>
      <c r="B313" s="4">
        <v>40557</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3">
      <c r="A314">
        <v>313</v>
      </c>
      <c r="B314" s="4">
        <v>40557</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3">
      <c r="A315">
        <v>314</v>
      </c>
      <c r="B315" s="4">
        <v>40557</v>
      </c>
      <c r="C315">
        <v>1</v>
      </c>
      <c r="D315">
        <v>0</v>
      </c>
      <c r="E315">
        <v>1</v>
      </c>
      <c r="F315">
        <v>13</v>
      </c>
      <c r="G315" t="b">
        <v>0</v>
      </c>
      <c r="H315">
        <v>5</v>
      </c>
      <c r="I315">
        <v>1</v>
      </c>
      <c r="J315">
        <v>0.22</v>
      </c>
      <c r="K315">
        <v>0.19700000000000001</v>
      </c>
      <c r="L315">
        <v>0.37</v>
      </c>
      <c r="M315">
        <v>0.3881</v>
      </c>
      <c r="N315">
        <v>4</v>
      </c>
      <c r="O315">
        <v>73</v>
      </c>
      <c r="P315">
        <v>77</v>
      </c>
    </row>
    <row r="316" spans="1:16" x14ac:dyDescent="0.3">
      <c r="A316">
        <v>315</v>
      </c>
      <c r="B316" s="4">
        <v>40557</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3">
      <c r="A317">
        <v>316</v>
      </c>
      <c r="B317" s="4">
        <v>40557</v>
      </c>
      <c r="C317">
        <v>1</v>
      </c>
      <c r="D317">
        <v>0</v>
      </c>
      <c r="E317">
        <v>1</v>
      </c>
      <c r="F317">
        <v>15</v>
      </c>
      <c r="G317" t="b">
        <v>0</v>
      </c>
      <c r="H317">
        <v>5</v>
      </c>
      <c r="I317">
        <v>1</v>
      </c>
      <c r="J317">
        <v>0.24</v>
      </c>
      <c r="K317">
        <v>0.2424</v>
      </c>
      <c r="L317">
        <v>0.38</v>
      </c>
      <c r="M317">
        <v>0.16420000000000001</v>
      </c>
      <c r="N317">
        <v>9</v>
      </c>
      <c r="O317">
        <v>59</v>
      </c>
      <c r="P317">
        <v>68</v>
      </c>
    </row>
    <row r="318" spans="1:16" x14ac:dyDescent="0.3">
      <c r="A318">
        <v>317</v>
      </c>
      <c r="B318" s="4">
        <v>40557</v>
      </c>
      <c r="C318">
        <v>1</v>
      </c>
      <c r="D318">
        <v>0</v>
      </c>
      <c r="E318">
        <v>1</v>
      </c>
      <c r="F318">
        <v>16</v>
      </c>
      <c r="G318" t="b">
        <v>0</v>
      </c>
      <c r="H318">
        <v>5</v>
      </c>
      <c r="I318">
        <v>1</v>
      </c>
      <c r="J318">
        <v>0.22</v>
      </c>
      <c r="K318">
        <v>0.2424</v>
      </c>
      <c r="L318">
        <v>0.41</v>
      </c>
      <c r="M318">
        <v>0.1045</v>
      </c>
      <c r="N318">
        <v>3</v>
      </c>
      <c r="O318">
        <v>87</v>
      </c>
      <c r="P318">
        <v>90</v>
      </c>
    </row>
    <row r="319" spans="1:16" x14ac:dyDescent="0.3">
      <c r="A319">
        <v>318</v>
      </c>
      <c r="B319" s="4">
        <v>40557</v>
      </c>
      <c r="C319">
        <v>1</v>
      </c>
      <c r="D319">
        <v>0</v>
      </c>
      <c r="E319">
        <v>1</v>
      </c>
      <c r="F319">
        <v>17</v>
      </c>
      <c r="G319" t="b">
        <v>0</v>
      </c>
      <c r="H319">
        <v>5</v>
      </c>
      <c r="I319">
        <v>1</v>
      </c>
      <c r="J319">
        <v>0.22</v>
      </c>
      <c r="K319">
        <v>0.2273</v>
      </c>
      <c r="L319">
        <v>0.41</v>
      </c>
      <c r="M319">
        <v>0.16420000000000001</v>
      </c>
      <c r="N319">
        <v>4</v>
      </c>
      <c r="O319">
        <v>155</v>
      </c>
      <c r="P319">
        <v>159</v>
      </c>
    </row>
    <row r="320" spans="1:16" x14ac:dyDescent="0.3">
      <c r="A320">
        <v>319</v>
      </c>
      <c r="B320" s="4">
        <v>40557</v>
      </c>
      <c r="C320">
        <v>1</v>
      </c>
      <c r="D320">
        <v>0</v>
      </c>
      <c r="E320">
        <v>1</v>
      </c>
      <c r="F320">
        <v>18</v>
      </c>
      <c r="G320" t="b">
        <v>0</v>
      </c>
      <c r="H320">
        <v>5</v>
      </c>
      <c r="I320">
        <v>1</v>
      </c>
      <c r="J320">
        <v>0.2</v>
      </c>
      <c r="K320">
        <v>0.2576</v>
      </c>
      <c r="L320">
        <v>0.47</v>
      </c>
      <c r="M320">
        <v>0</v>
      </c>
      <c r="N320">
        <v>5</v>
      </c>
      <c r="O320">
        <v>134</v>
      </c>
      <c r="P320">
        <v>139</v>
      </c>
    </row>
    <row r="321" spans="1:16" x14ac:dyDescent="0.3">
      <c r="A321">
        <v>320</v>
      </c>
      <c r="B321" s="4">
        <v>40557</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3">
      <c r="A322">
        <v>321</v>
      </c>
      <c r="B322" s="4">
        <v>40557</v>
      </c>
      <c r="C322">
        <v>1</v>
      </c>
      <c r="D322">
        <v>0</v>
      </c>
      <c r="E322">
        <v>1</v>
      </c>
      <c r="F322">
        <v>20</v>
      </c>
      <c r="G322" t="b">
        <v>0</v>
      </c>
      <c r="H322">
        <v>5</v>
      </c>
      <c r="I322">
        <v>1</v>
      </c>
      <c r="J322">
        <v>0.18</v>
      </c>
      <c r="K322">
        <v>0.2424</v>
      </c>
      <c r="L322">
        <v>0.59</v>
      </c>
      <c r="M322">
        <v>0</v>
      </c>
      <c r="N322">
        <v>0</v>
      </c>
      <c r="O322">
        <v>68</v>
      </c>
      <c r="P322">
        <v>68</v>
      </c>
    </row>
    <row r="323" spans="1:16" x14ac:dyDescent="0.3">
      <c r="A323">
        <v>322</v>
      </c>
      <c r="B323" s="4">
        <v>40557</v>
      </c>
      <c r="C323">
        <v>1</v>
      </c>
      <c r="D323">
        <v>0</v>
      </c>
      <c r="E323">
        <v>1</v>
      </c>
      <c r="F323">
        <v>21</v>
      </c>
      <c r="G323" t="b">
        <v>0</v>
      </c>
      <c r="H323">
        <v>5</v>
      </c>
      <c r="I323">
        <v>1</v>
      </c>
      <c r="J323">
        <v>0.16</v>
      </c>
      <c r="K323">
        <v>0.2273</v>
      </c>
      <c r="L323">
        <v>0.69</v>
      </c>
      <c r="M323">
        <v>0</v>
      </c>
      <c r="N323">
        <v>4</v>
      </c>
      <c r="O323">
        <v>48</v>
      </c>
      <c r="P323">
        <v>52</v>
      </c>
    </row>
    <row r="324" spans="1:16" x14ac:dyDescent="0.3">
      <c r="A324">
        <v>323</v>
      </c>
      <c r="B324" s="4">
        <v>40557</v>
      </c>
      <c r="C324">
        <v>1</v>
      </c>
      <c r="D324">
        <v>0</v>
      </c>
      <c r="E324">
        <v>1</v>
      </c>
      <c r="F324">
        <v>22</v>
      </c>
      <c r="G324" t="b">
        <v>0</v>
      </c>
      <c r="H324">
        <v>5</v>
      </c>
      <c r="I324">
        <v>2</v>
      </c>
      <c r="J324">
        <v>0.16</v>
      </c>
      <c r="K324">
        <v>0.2273</v>
      </c>
      <c r="L324">
        <v>0.69</v>
      </c>
      <c r="M324">
        <v>0</v>
      </c>
      <c r="N324">
        <v>2</v>
      </c>
      <c r="O324">
        <v>34</v>
      </c>
      <c r="P324">
        <v>36</v>
      </c>
    </row>
    <row r="325" spans="1:16" x14ac:dyDescent="0.3">
      <c r="A325">
        <v>324</v>
      </c>
      <c r="B325" s="4">
        <v>40557</v>
      </c>
      <c r="C325">
        <v>1</v>
      </c>
      <c r="D325">
        <v>0</v>
      </c>
      <c r="E325">
        <v>1</v>
      </c>
      <c r="F325">
        <v>23</v>
      </c>
      <c r="G325" t="b">
        <v>0</v>
      </c>
      <c r="H325">
        <v>5</v>
      </c>
      <c r="I325">
        <v>2</v>
      </c>
      <c r="J325">
        <v>0.18</v>
      </c>
      <c r="K325">
        <v>0.2424</v>
      </c>
      <c r="L325">
        <v>0.55000000000000004</v>
      </c>
      <c r="M325">
        <v>0</v>
      </c>
      <c r="N325">
        <v>1</v>
      </c>
      <c r="O325">
        <v>26</v>
      </c>
      <c r="P325">
        <v>27</v>
      </c>
    </row>
    <row r="326" spans="1:16" x14ac:dyDescent="0.3">
      <c r="A326">
        <v>325</v>
      </c>
      <c r="B326" s="4">
        <v>40558</v>
      </c>
      <c r="C326">
        <v>1</v>
      </c>
      <c r="D326">
        <v>0</v>
      </c>
      <c r="E326">
        <v>1</v>
      </c>
      <c r="F326">
        <v>0</v>
      </c>
      <c r="G326" t="b">
        <v>0</v>
      </c>
      <c r="H326">
        <v>6</v>
      </c>
      <c r="I326">
        <v>1</v>
      </c>
      <c r="J326">
        <v>0.18</v>
      </c>
      <c r="K326">
        <v>0.2424</v>
      </c>
      <c r="L326">
        <v>0.55000000000000004</v>
      </c>
      <c r="M326">
        <v>0</v>
      </c>
      <c r="N326">
        <v>3</v>
      </c>
      <c r="O326">
        <v>25</v>
      </c>
      <c r="P326">
        <v>28</v>
      </c>
    </row>
    <row r="327" spans="1:16" x14ac:dyDescent="0.3">
      <c r="A327">
        <v>326</v>
      </c>
      <c r="B327" s="4">
        <v>40558</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3">
      <c r="A328">
        <v>327</v>
      </c>
      <c r="B328" s="4">
        <v>40558</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3">
      <c r="A329">
        <v>328</v>
      </c>
      <c r="B329" s="4">
        <v>40558</v>
      </c>
      <c r="C329">
        <v>1</v>
      </c>
      <c r="D329">
        <v>0</v>
      </c>
      <c r="E329">
        <v>1</v>
      </c>
      <c r="F329">
        <v>3</v>
      </c>
      <c r="G329" t="b">
        <v>0</v>
      </c>
      <c r="H329">
        <v>6</v>
      </c>
      <c r="I329">
        <v>2</v>
      </c>
      <c r="J329">
        <v>0.16</v>
      </c>
      <c r="K329">
        <v>0.2273</v>
      </c>
      <c r="L329">
        <v>0.59</v>
      </c>
      <c r="M329">
        <v>0</v>
      </c>
      <c r="N329">
        <v>1</v>
      </c>
      <c r="O329">
        <v>7</v>
      </c>
      <c r="P329">
        <v>8</v>
      </c>
    </row>
    <row r="330" spans="1:16" x14ac:dyDescent="0.3">
      <c r="A330">
        <v>329</v>
      </c>
      <c r="B330" s="4">
        <v>40558</v>
      </c>
      <c r="C330">
        <v>1</v>
      </c>
      <c r="D330">
        <v>0</v>
      </c>
      <c r="E330">
        <v>1</v>
      </c>
      <c r="F330">
        <v>4</v>
      </c>
      <c r="G330" t="b">
        <v>0</v>
      </c>
      <c r="H330">
        <v>6</v>
      </c>
      <c r="I330">
        <v>2</v>
      </c>
      <c r="J330">
        <v>0.16</v>
      </c>
      <c r="K330">
        <v>0.2273</v>
      </c>
      <c r="L330">
        <v>0.59</v>
      </c>
      <c r="M330">
        <v>0</v>
      </c>
      <c r="N330">
        <v>0</v>
      </c>
      <c r="O330">
        <v>5</v>
      </c>
      <c r="P330">
        <v>5</v>
      </c>
    </row>
    <row r="331" spans="1:16" x14ac:dyDescent="0.3">
      <c r="A331">
        <v>330</v>
      </c>
      <c r="B331" s="4">
        <v>40558</v>
      </c>
      <c r="C331">
        <v>1</v>
      </c>
      <c r="D331">
        <v>0</v>
      </c>
      <c r="E331">
        <v>1</v>
      </c>
      <c r="F331">
        <v>5</v>
      </c>
      <c r="G331" t="b">
        <v>0</v>
      </c>
      <c r="H331">
        <v>6</v>
      </c>
      <c r="I331">
        <v>1</v>
      </c>
      <c r="J331">
        <v>0.16</v>
      </c>
      <c r="K331">
        <v>0.2273</v>
      </c>
      <c r="L331">
        <v>0.59</v>
      </c>
      <c r="M331">
        <v>0</v>
      </c>
      <c r="N331">
        <v>0</v>
      </c>
      <c r="O331">
        <v>1</v>
      </c>
      <c r="P331">
        <v>1</v>
      </c>
    </row>
    <row r="332" spans="1:16" x14ac:dyDescent="0.3">
      <c r="A332">
        <v>331</v>
      </c>
      <c r="B332" s="4">
        <v>40558</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3">
      <c r="A333">
        <v>332</v>
      </c>
      <c r="B333" s="4">
        <v>40558</v>
      </c>
      <c r="C333">
        <v>1</v>
      </c>
      <c r="D333">
        <v>0</v>
      </c>
      <c r="E333">
        <v>1</v>
      </c>
      <c r="F333">
        <v>7</v>
      </c>
      <c r="G333" t="b">
        <v>0</v>
      </c>
      <c r="H333">
        <v>6</v>
      </c>
      <c r="I333">
        <v>1</v>
      </c>
      <c r="J333">
        <v>0.14000000000000001</v>
      </c>
      <c r="K333">
        <v>0.21210000000000001</v>
      </c>
      <c r="L333">
        <v>0.63</v>
      </c>
      <c r="M333">
        <v>0</v>
      </c>
      <c r="N333">
        <v>1</v>
      </c>
      <c r="O333">
        <v>9</v>
      </c>
      <c r="P333">
        <v>10</v>
      </c>
    </row>
    <row r="334" spans="1:16" x14ac:dyDescent="0.3">
      <c r="A334">
        <v>333</v>
      </c>
      <c r="B334" s="4">
        <v>40558</v>
      </c>
      <c r="C334">
        <v>1</v>
      </c>
      <c r="D334">
        <v>0</v>
      </c>
      <c r="E334">
        <v>1</v>
      </c>
      <c r="F334">
        <v>8</v>
      </c>
      <c r="G334" t="b">
        <v>0</v>
      </c>
      <c r="H334">
        <v>6</v>
      </c>
      <c r="I334">
        <v>1</v>
      </c>
      <c r="J334">
        <v>0.14000000000000001</v>
      </c>
      <c r="K334">
        <v>0.1515</v>
      </c>
      <c r="L334">
        <v>0.63</v>
      </c>
      <c r="M334">
        <v>0.1343</v>
      </c>
      <c r="N334">
        <v>1</v>
      </c>
      <c r="O334">
        <v>22</v>
      </c>
      <c r="P334">
        <v>23</v>
      </c>
    </row>
    <row r="335" spans="1:16" x14ac:dyDescent="0.3">
      <c r="A335">
        <v>334</v>
      </c>
      <c r="B335" s="4">
        <v>40558</v>
      </c>
      <c r="C335">
        <v>1</v>
      </c>
      <c r="D335">
        <v>0</v>
      </c>
      <c r="E335">
        <v>1</v>
      </c>
      <c r="F335">
        <v>9</v>
      </c>
      <c r="G335" t="b">
        <v>0</v>
      </c>
      <c r="H335">
        <v>6</v>
      </c>
      <c r="I335">
        <v>1</v>
      </c>
      <c r="J335">
        <v>0.16</v>
      </c>
      <c r="K335">
        <v>0.18179999999999999</v>
      </c>
      <c r="L335">
        <v>0.64</v>
      </c>
      <c r="M335">
        <v>0.1343</v>
      </c>
      <c r="N335">
        <v>2</v>
      </c>
      <c r="O335">
        <v>31</v>
      </c>
      <c r="P335">
        <v>33</v>
      </c>
    </row>
    <row r="336" spans="1:16" x14ac:dyDescent="0.3">
      <c r="A336">
        <v>335</v>
      </c>
      <c r="B336" s="4">
        <v>40558</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3">
      <c r="A337">
        <v>336</v>
      </c>
      <c r="B337" s="4">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3">
      <c r="A338">
        <v>337</v>
      </c>
      <c r="B338" s="4">
        <v>40558</v>
      </c>
      <c r="C338">
        <v>1</v>
      </c>
      <c r="D338">
        <v>0</v>
      </c>
      <c r="E338">
        <v>1</v>
      </c>
      <c r="F338">
        <v>12</v>
      </c>
      <c r="G338" t="b">
        <v>0</v>
      </c>
      <c r="H338">
        <v>6</v>
      </c>
      <c r="I338">
        <v>1</v>
      </c>
      <c r="J338">
        <v>0.24</v>
      </c>
      <c r="K338">
        <v>0.2273</v>
      </c>
      <c r="L338">
        <v>0.48</v>
      </c>
      <c r="M338">
        <v>0.22389999999999999</v>
      </c>
      <c r="N338">
        <v>15</v>
      </c>
      <c r="O338">
        <v>74</v>
      </c>
      <c r="P338">
        <v>89</v>
      </c>
    </row>
    <row r="339" spans="1:16" x14ac:dyDescent="0.3">
      <c r="A339">
        <v>338</v>
      </c>
      <c r="B339" s="4">
        <v>40558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3">
      <c r="A340">
        <v>339</v>
      </c>
      <c r="B340" s="4">
        <v>40558</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3">
      <c r="A341">
        <v>340</v>
      </c>
      <c r="B341" s="4">
        <v>40558</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3">
      <c r="A342">
        <v>341</v>
      </c>
      <c r="B342" s="4">
        <v>40558</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3">
      <c r="A343">
        <v>342</v>
      </c>
      <c r="B343" s="4">
        <v>40558</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3">
      <c r="A344">
        <v>343</v>
      </c>
      <c r="B344" s="4">
        <v>40558</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3">
      <c r="A345">
        <v>344</v>
      </c>
      <c r="B345" s="4">
        <v>40558</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3">
      <c r="A346">
        <v>345</v>
      </c>
      <c r="B346" s="4">
        <v>40558</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3">
      <c r="A347">
        <v>346</v>
      </c>
      <c r="B347" s="4">
        <v>40558</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3">
      <c r="A348">
        <v>347</v>
      </c>
      <c r="B348" s="4">
        <v>40558</v>
      </c>
      <c r="C348">
        <v>1</v>
      </c>
      <c r="D348">
        <v>0</v>
      </c>
      <c r="E348">
        <v>1</v>
      </c>
      <c r="F348">
        <v>22</v>
      </c>
      <c r="G348" t="b">
        <v>0</v>
      </c>
      <c r="H348">
        <v>6</v>
      </c>
      <c r="I348">
        <v>2</v>
      </c>
      <c r="J348">
        <v>0.3</v>
      </c>
      <c r="K348">
        <v>0.31819999999999998</v>
      </c>
      <c r="L348">
        <v>0.42</v>
      </c>
      <c r="M348">
        <v>0.1045</v>
      </c>
      <c r="N348">
        <v>0</v>
      </c>
      <c r="O348">
        <v>26</v>
      </c>
      <c r="P348">
        <v>26</v>
      </c>
    </row>
    <row r="349" spans="1:16" x14ac:dyDescent="0.3">
      <c r="A349">
        <v>348</v>
      </c>
      <c r="B349" s="4">
        <v>40558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3">
      <c r="A350">
        <v>349</v>
      </c>
      <c r="B350" s="4">
        <v>40559</v>
      </c>
      <c r="C350">
        <v>1</v>
      </c>
      <c r="D350">
        <v>0</v>
      </c>
      <c r="E350">
        <v>1</v>
      </c>
      <c r="F350">
        <v>0</v>
      </c>
      <c r="G350" t="b">
        <v>0</v>
      </c>
      <c r="H350">
        <v>0</v>
      </c>
      <c r="I350">
        <v>1</v>
      </c>
      <c r="J350">
        <v>0.26</v>
      </c>
      <c r="K350">
        <v>0.30299999999999999</v>
      </c>
      <c r="L350">
        <v>0.56000000000000005</v>
      </c>
      <c r="M350">
        <v>0</v>
      </c>
      <c r="N350">
        <v>6</v>
      </c>
      <c r="O350">
        <v>33</v>
      </c>
      <c r="P350">
        <v>39</v>
      </c>
    </row>
    <row r="351" spans="1:16" x14ac:dyDescent="0.3">
      <c r="A351">
        <v>350</v>
      </c>
      <c r="B351" s="4">
        <v>40559</v>
      </c>
      <c r="C351">
        <v>1</v>
      </c>
      <c r="D351">
        <v>0</v>
      </c>
      <c r="E351">
        <v>1</v>
      </c>
      <c r="F351">
        <v>1</v>
      </c>
      <c r="G351" t="b">
        <v>0</v>
      </c>
      <c r="H351">
        <v>0</v>
      </c>
      <c r="I351">
        <v>1</v>
      </c>
      <c r="J351">
        <v>0.26</v>
      </c>
      <c r="K351">
        <v>0.2727</v>
      </c>
      <c r="L351">
        <v>0.56000000000000005</v>
      </c>
      <c r="M351">
        <v>0.1343</v>
      </c>
      <c r="N351">
        <v>4</v>
      </c>
      <c r="O351">
        <v>19</v>
      </c>
      <c r="P351">
        <v>23</v>
      </c>
    </row>
    <row r="352" spans="1:16" x14ac:dyDescent="0.3">
      <c r="A352">
        <v>351</v>
      </c>
      <c r="B352" s="4">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3">
      <c r="A353">
        <v>352</v>
      </c>
      <c r="B353" s="4">
        <v>40559</v>
      </c>
      <c r="C353">
        <v>1</v>
      </c>
      <c r="D353">
        <v>0</v>
      </c>
      <c r="E353">
        <v>1</v>
      </c>
      <c r="F353">
        <v>3</v>
      </c>
      <c r="G353" t="b">
        <v>0</v>
      </c>
      <c r="H353">
        <v>0</v>
      </c>
      <c r="I353">
        <v>1</v>
      </c>
      <c r="J353">
        <v>0.22</v>
      </c>
      <c r="K353">
        <v>0.2727</v>
      </c>
      <c r="L353">
        <v>0.69</v>
      </c>
      <c r="M353">
        <v>0</v>
      </c>
      <c r="N353">
        <v>9</v>
      </c>
      <c r="O353">
        <v>6</v>
      </c>
      <c r="P353">
        <v>15</v>
      </c>
    </row>
    <row r="354" spans="1:16" x14ac:dyDescent="0.3">
      <c r="A354">
        <v>353</v>
      </c>
      <c r="B354" s="4">
        <v>40559</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3">
      <c r="A355">
        <v>354</v>
      </c>
      <c r="B355" s="4">
        <v>40559</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3">
      <c r="A356">
        <v>355</v>
      </c>
      <c r="B356" s="4">
        <v>40559</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3">
      <c r="A357">
        <v>356</v>
      </c>
      <c r="B357" s="4">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3">
      <c r="A358">
        <v>357</v>
      </c>
      <c r="B358" s="4">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3">
      <c r="A359">
        <v>358</v>
      </c>
      <c r="B359" s="4">
        <v>40559</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3">
      <c r="A360">
        <v>359</v>
      </c>
      <c r="B360" s="4">
        <v>40559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3">
      <c r="A361">
        <v>360</v>
      </c>
      <c r="B361" s="4">
        <v>40559</v>
      </c>
      <c r="C361">
        <v>1</v>
      </c>
      <c r="D361">
        <v>0</v>
      </c>
      <c r="E361">
        <v>1</v>
      </c>
      <c r="F361">
        <v>11</v>
      </c>
      <c r="G361" t="b">
        <v>0</v>
      </c>
      <c r="H361">
        <v>0</v>
      </c>
      <c r="I361">
        <v>1</v>
      </c>
      <c r="J361">
        <v>0.24</v>
      </c>
      <c r="K361">
        <v>0.2273</v>
      </c>
      <c r="L361">
        <v>0.44</v>
      </c>
      <c r="M361">
        <v>0.25369999999999998</v>
      </c>
      <c r="N361">
        <v>23</v>
      </c>
      <c r="O361">
        <v>70</v>
      </c>
      <c r="P361">
        <v>93</v>
      </c>
    </row>
    <row r="362" spans="1:16" x14ac:dyDescent="0.3">
      <c r="A362">
        <v>361</v>
      </c>
      <c r="B362" s="4">
        <v>40559</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3">
      <c r="A363">
        <v>362</v>
      </c>
      <c r="B363" s="4">
        <v>40559</v>
      </c>
      <c r="C363">
        <v>1</v>
      </c>
      <c r="D363">
        <v>0</v>
      </c>
      <c r="E363">
        <v>1</v>
      </c>
      <c r="F363">
        <v>13</v>
      </c>
      <c r="G363" t="b">
        <v>0</v>
      </c>
      <c r="H363">
        <v>0</v>
      </c>
      <c r="I363">
        <v>1</v>
      </c>
      <c r="J363">
        <v>0.26</v>
      </c>
      <c r="K363">
        <v>0.2273</v>
      </c>
      <c r="L363">
        <v>0.35</v>
      </c>
      <c r="M363">
        <v>0.29849999999999999</v>
      </c>
      <c r="N363">
        <v>23</v>
      </c>
      <c r="O363">
        <v>95</v>
      </c>
      <c r="P363">
        <v>118</v>
      </c>
    </row>
    <row r="364" spans="1:16" x14ac:dyDescent="0.3">
      <c r="A364">
        <v>363</v>
      </c>
      <c r="B364" s="4">
        <v>40559</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3">
      <c r="A365">
        <v>364</v>
      </c>
      <c r="B365" s="4">
        <v>40559</v>
      </c>
      <c r="C365">
        <v>1</v>
      </c>
      <c r="D365">
        <v>0</v>
      </c>
      <c r="E365">
        <v>1</v>
      </c>
      <c r="F365">
        <v>15</v>
      </c>
      <c r="G365" t="b">
        <v>0</v>
      </c>
      <c r="H365">
        <v>0</v>
      </c>
      <c r="I365">
        <v>1</v>
      </c>
      <c r="J365">
        <v>0.26</v>
      </c>
      <c r="K365">
        <v>0.2424</v>
      </c>
      <c r="L365">
        <v>0.38</v>
      </c>
      <c r="M365">
        <v>0.25369999999999998</v>
      </c>
      <c r="N365">
        <v>35</v>
      </c>
      <c r="O365">
        <v>78</v>
      </c>
      <c r="P365">
        <v>113</v>
      </c>
    </row>
    <row r="366" spans="1:16" x14ac:dyDescent="0.3">
      <c r="A366">
        <v>365</v>
      </c>
      <c r="B366" s="4">
        <v>40559</v>
      </c>
      <c r="C366">
        <v>1</v>
      </c>
      <c r="D366">
        <v>0</v>
      </c>
      <c r="E366">
        <v>1</v>
      </c>
      <c r="F366">
        <v>16</v>
      </c>
      <c r="G366" t="b">
        <v>0</v>
      </c>
      <c r="H366">
        <v>0</v>
      </c>
      <c r="I366">
        <v>1</v>
      </c>
      <c r="J366">
        <v>0.24</v>
      </c>
      <c r="K366">
        <v>0.2273</v>
      </c>
      <c r="L366">
        <v>0.38</v>
      </c>
      <c r="M366">
        <v>0.22389999999999999</v>
      </c>
      <c r="N366">
        <v>22</v>
      </c>
      <c r="O366">
        <v>77</v>
      </c>
      <c r="P366">
        <v>99</v>
      </c>
    </row>
    <row r="367" spans="1:16" x14ac:dyDescent="0.3">
      <c r="A367">
        <v>366</v>
      </c>
      <c r="B367" s="4">
        <v>40559</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3">
      <c r="A368">
        <v>367</v>
      </c>
      <c r="B368" s="4">
        <v>40559</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3">
      <c r="A369">
        <v>368</v>
      </c>
      <c r="B369" s="4">
        <v>40559</v>
      </c>
      <c r="C369">
        <v>1</v>
      </c>
      <c r="D369">
        <v>0</v>
      </c>
      <c r="E369">
        <v>1</v>
      </c>
      <c r="F369">
        <v>19</v>
      </c>
      <c r="G369" t="b">
        <v>0</v>
      </c>
      <c r="H369">
        <v>0</v>
      </c>
      <c r="I369">
        <v>1</v>
      </c>
      <c r="J369">
        <v>0.18</v>
      </c>
      <c r="K369">
        <v>0.19700000000000001</v>
      </c>
      <c r="L369">
        <v>0.47</v>
      </c>
      <c r="M369">
        <v>0.1343</v>
      </c>
      <c r="N369">
        <v>14</v>
      </c>
      <c r="O369">
        <v>47</v>
      </c>
      <c r="P369">
        <v>61</v>
      </c>
    </row>
    <row r="370" spans="1:16" x14ac:dyDescent="0.3">
      <c r="A370">
        <v>369</v>
      </c>
      <c r="B370" s="4">
        <v>40559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3">
      <c r="A371">
        <v>370</v>
      </c>
      <c r="B371" s="4">
        <v>40559</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3">
      <c r="A372">
        <v>371</v>
      </c>
      <c r="B372" s="4">
        <v>40559</v>
      </c>
      <c r="C372">
        <v>1</v>
      </c>
      <c r="D372">
        <v>0</v>
      </c>
      <c r="E372">
        <v>1</v>
      </c>
      <c r="F372">
        <v>22</v>
      </c>
      <c r="G372" t="b">
        <v>0</v>
      </c>
      <c r="H372">
        <v>0</v>
      </c>
      <c r="I372">
        <v>2</v>
      </c>
      <c r="J372">
        <v>0.2</v>
      </c>
      <c r="K372">
        <v>0.21210000000000001</v>
      </c>
      <c r="L372">
        <v>0.49</v>
      </c>
      <c r="M372">
        <v>0.1343</v>
      </c>
      <c r="N372">
        <v>2</v>
      </c>
      <c r="O372">
        <v>19</v>
      </c>
      <c r="P372">
        <v>21</v>
      </c>
    </row>
    <row r="373" spans="1:16" x14ac:dyDescent="0.3">
      <c r="A373">
        <v>372</v>
      </c>
      <c r="B373" s="4">
        <v>40559</v>
      </c>
      <c r="C373">
        <v>1</v>
      </c>
      <c r="D373">
        <v>0</v>
      </c>
      <c r="E373">
        <v>1</v>
      </c>
      <c r="F373">
        <v>23</v>
      </c>
      <c r="G373" t="b">
        <v>0</v>
      </c>
      <c r="H373">
        <v>0</v>
      </c>
      <c r="I373">
        <v>2</v>
      </c>
      <c r="J373">
        <v>0.2</v>
      </c>
      <c r="K373">
        <v>0.2273</v>
      </c>
      <c r="L373">
        <v>0.4</v>
      </c>
      <c r="M373">
        <v>0.1045</v>
      </c>
      <c r="N373">
        <v>0</v>
      </c>
      <c r="O373">
        <v>18</v>
      </c>
      <c r="P373">
        <v>18</v>
      </c>
    </row>
    <row r="374" spans="1:16" x14ac:dyDescent="0.3">
      <c r="A374">
        <v>373</v>
      </c>
      <c r="B374" s="4">
        <v>40560</v>
      </c>
      <c r="C374">
        <v>1</v>
      </c>
      <c r="D374">
        <v>0</v>
      </c>
      <c r="E374">
        <v>1</v>
      </c>
      <c r="F374">
        <v>0</v>
      </c>
      <c r="G374" t="b">
        <v>1</v>
      </c>
      <c r="H374">
        <v>1</v>
      </c>
      <c r="I374">
        <v>2</v>
      </c>
      <c r="J374">
        <v>0.2</v>
      </c>
      <c r="K374">
        <v>0.19700000000000001</v>
      </c>
      <c r="L374">
        <v>0.47</v>
      </c>
      <c r="M374">
        <v>0.22389999999999999</v>
      </c>
      <c r="N374">
        <v>1</v>
      </c>
      <c r="O374">
        <v>16</v>
      </c>
      <c r="P374">
        <v>17</v>
      </c>
    </row>
    <row r="375" spans="1:16" x14ac:dyDescent="0.3">
      <c r="A375">
        <v>374</v>
      </c>
      <c r="B375" s="4">
        <v>40560</v>
      </c>
      <c r="C375">
        <v>1</v>
      </c>
      <c r="D375">
        <v>0</v>
      </c>
      <c r="E375">
        <v>1</v>
      </c>
      <c r="F375">
        <v>1</v>
      </c>
      <c r="G375" t="b">
        <v>1</v>
      </c>
      <c r="H375">
        <v>1</v>
      </c>
      <c r="I375">
        <v>2</v>
      </c>
      <c r="J375">
        <v>0.2</v>
      </c>
      <c r="K375">
        <v>0.19700000000000001</v>
      </c>
      <c r="L375">
        <v>0.44</v>
      </c>
      <c r="M375">
        <v>0.19400000000000001</v>
      </c>
      <c r="N375">
        <v>1</v>
      </c>
      <c r="O375">
        <v>15</v>
      </c>
      <c r="P375">
        <v>16</v>
      </c>
    </row>
    <row r="376" spans="1:16" x14ac:dyDescent="0.3">
      <c r="A376">
        <v>375</v>
      </c>
      <c r="B376" s="4">
        <v>40560</v>
      </c>
      <c r="C376">
        <v>1</v>
      </c>
      <c r="D376">
        <v>0</v>
      </c>
      <c r="E376">
        <v>1</v>
      </c>
      <c r="F376">
        <v>2</v>
      </c>
      <c r="G376" t="b">
        <v>1</v>
      </c>
      <c r="H376">
        <v>1</v>
      </c>
      <c r="I376">
        <v>2</v>
      </c>
      <c r="J376">
        <v>0.18</v>
      </c>
      <c r="K376">
        <v>0.16669999999999999</v>
      </c>
      <c r="L376">
        <v>0.43</v>
      </c>
      <c r="M376">
        <v>0.25369999999999998</v>
      </c>
      <c r="N376">
        <v>0</v>
      </c>
      <c r="O376">
        <v>8</v>
      </c>
      <c r="P376">
        <v>8</v>
      </c>
    </row>
    <row r="377" spans="1:16" x14ac:dyDescent="0.3">
      <c r="A377">
        <v>376</v>
      </c>
      <c r="B377" s="4">
        <v>40560</v>
      </c>
      <c r="C377">
        <v>1</v>
      </c>
      <c r="D377">
        <v>0</v>
      </c>
      <c r="E377">
        <v>1</v>
      </c>
      <c r="F377">
        <v>3</v>
      </c>
      <c r="G377" t="b">
        <v>1</v>
      </c>
      <c r="H377">
        <v>1</v>
      </c>
      <c r="I377">
        <v>2</v>
      </c>
      <c r="J377">
        <v>0.18</v>
      </c>
      <c r="K377">
        <v>0.18179999999999999</v>
      </c>
      <c r="L377">
        <v>0.43</v>
      </c>
      <c r="M377">
        <v>0.19400000000000001</v>
      </c>
      <c r="N377">
        <v>0</v>
      </c>
      <c r="O377">
        <v>2</v>
      </c>
      <c r="P377">
        <v>2</v>
      </c>
    </row>
    <row r="378" spans="1:16" x14ac:dyDescent="0.3">
      <c r="A378">
        <v>377</v>
      </c>
      <c r="B378" s="4">
        <v>40560</v>
      </c>
      <c r="C378">
        <v>1</v>
      </c>
      <c r="D378">
        <v>0</v>
      </c>
      <c r="E378">
        <v>1</v>
      </c>
      <c r="F378">
        <v>4</v>
      </c>
      <c r="G378" t="b">
        <v>1</v>
      </c>
      <c r="H378">
        <v>1</v>
      </c>
      <c r="I378">
        <v>2</v>
      </c>
      <c r="J378">
        <v>0.18</v>
      </c>
      <c r="K378">
        <v>0.19700000000000001</v>
      </c>
      <c r="L378">
        <v>0.43</v>
      </c>
      <c r="M378">
        <v>0.1343</v>
      </c>
      <c r="N378">
        <v>1</v>
      </c>
      <c r="O378">
        <v>2</v>
      </c>
      <c r="P378">
        <v>3</v>
      </c>
    </row>
    <row r="379" spans="1:16" x14ac:dyDescent="0.3">
      <c r="A379">
        <v>378</v>
      </c>
      <c r="B379" s="4">
        <v>40560</v>
      </c>
      <c r="C379">
        <v>1</v>
      </c>
      <c r="D379">
        <v>0</v>
      </c>
      <c r="E379">
        <v>1</v>
      </c>
      <c r="F379">
        <v>5</v>
      </c>
      <c r="G379" t="b">
        <v>1</v>
      </c>
      <c r="H379">
        <v>1</v>
      </c>
      <c r="I379">
        <v>2</v>
      </c>
      <c r="J379">
        <v>0.18</v>
      </c>
      <c r="K379">
        <v>0.19700000000000001</v>
      </c>
      <c r="L379">
        <v>0.43</v>
      </c>
      <c r="M379">
        <v>0.16420000000000001</v>
      </c>
      <c r="N379">
        <v>0</v>
      </c>
      <c r="O379">
        <v>1</v>
      </c>
      <c r="P379">
        <v>1</v>
      </c>
    </row>
    <row r="380" spans="1:16" x14ac:dyDescent="0.3">
      <c r="A380">
        <v>379</v>
      </c>
      <c r="B380" s="4">
        <v>40560</v>
      </c>
      <c r="C380">
        <v>1</v>
      </c>
      <c r="D380">
        <v>0</v>
      </c>
      <c r="E380">
        <v>1</v>
      </c>
      <c r="F380">
        <v>6</v>
      </c>
      <c r="G380" t="b">
        <v>1</v>
      </c>
      <c r="H380">
        <v>1</v>
      </c>
      <c r="I380">
        <v>2</v>
      </c>
      <c r="J380">
        <v>0.18</v>
      </c>
      <c r="K380">
        <v>0.18179999999999999</v>
      </c>
      <c r="L380">
        <v>0.43</v>
      </c>
      <c r="M380">
        <v>0.19400000000000001</v>
      </c>
      <c r="N380">
        <v>0</v>
      </c>
      <c r="O380">
        <v>5</v>
      </c>
      <c r="P380">
        <v>5</v>
      </c>
    </row>
    <row r="381" spans="1:16" x14ac:dyDescent="0.3">
      <c r="A381">
        <v>380</v>
      </c>
      <c r="B381" s="4">
        <v>40560</v>
      </c>
      <c r="C381">
        <v>1</v>
      </c>
      <c r="D381">
        <v>0</v>
      </c>
      <c r="E381">
        <v>1</v>
      </c>
      <c r="F381">
        <v>7</v>
      </c>
      <c r="G381" t="b">
        <v>1</v>
      </c>
      <c r="H381">
        <v>1</v>
      </c>
      <c r="I381">
        <v>2</v>
      </c>
      <c r="J381">
        <v>0.16</v>
      </c>
      <c r="K381">
        <v>0.18179999999999999</v>
      </c>
      <c r="L381">
        <v>0.5</v>
      </c>
      <c r="M381">
        <v>0.1343</v>
      </c>
      <c r="N381">
        <v>4</v>
      </c>
      <c r="O381">
        <v>9</v>
      </c>
      <c r="P381">
        <v>13</v>
      </c>
    </row>
    <row r="382" spans="1:16" x14ac:dyDescent="0.3">
      <c r="A382">
        <v>381</v>
      </c>
      <c r="B382" s="4">
        <v>40560</v>
      </c>
      <c r="C382">
        <v>1</v>
      </c>
      <c r="D382">
        <v>0</v>
      </c>
      <c r="E382">
        <v>1</v>
      </c>
      <c r="F382">
        <v>8</v>
      </c>
      <c r="G382" t="b">
        <v>1</v>
      </c>
      <c r="H382">
        <v>1</v>
      </c>
      <c r="I382">
        <v>2</v>
      </c>
      <c r="J382">
        <v>0.16</v>
      </c>
      <c r="K382">
        <v>0.1515</v>
      </c>
      <c r="L382">
        <v>0.47</v>
      </c>
      <c r="M382">
        <v>0.22389999999999999</v>
      </c>
      <c r="N382">
        <v>3</v>
      </c>
      <c r="O382">
        <v>30</v>
      </c>
      <c r="P382">
        <v>33</v>
      </c>
    </row>
    <row r="383" spans="1:16" x14ac:dyDescent="0.3">
      <c r="A383">
        <v>382</v>
      </c>
      <c r="B383" s="4">
        <v>40560</v>
      </c>
      <c r="C383">
        <v>1</v>
      </c>
      <c r="D383">
        <v>0</v>
      </c>
      <c r="E383">
        <v>1</v>
      </c>
      <c r="F383">
        <v>9</v>
      </c>
      <c r="G383" t="b">
        <v>1</v>
      </c>
      <c r="H383">
        <v>1</v>
      </c>
      <c r="I383">
        <v>2</v>
      </c>
      <c r="J383">
        <v>0.16</v>
      </c>
      <c r="K383">
        <v>0.1515</v>
      </c>
      <c r="L383">
        <v>0.47</v>
      </c>
      <c r="M383">
        <v>0.22389999999999999</v>
      </c>
      <c r="N383">
        <v>8</v>
      </c>
      <c r="O383">
        <v>39</v>
      </c>
      <c r="P383">
        <v>47</v>
      </c>
    </row>
    <row r="384" spans="1:16" x14ac:dyDescent="0.3">
      <c r="A384">
        <v>383</v>
      </c>
      <c r="B384" s="4">
        <v>40560</v>
      </c>
      <c r="C384">
        <v>1</v>
      </c>
      <c r="D384">
        <v>0</v>
      </c>
      <c r="E384">
        <v>1</v>
      </c>
      <c r="F384">
        <v>10</v>
      </c>
      <c r="G384" t="b">
        <v>1</v>
      </c>
      <c r="H384">
        <v>1</v>
      </c>
      <c r="I384">
        <v>2</v>
      </c>
      <c r="J384">
        <v>0.16</v>
      </c>
      <c r="K384">
        <v>0.1515</v>
      </c>
      <c r="L384">
        <v>0.5</v>
      </c>
      <c r="M384">
        <v>0.25369999999999998</v>
      </c>
      <c r="N384">
        <v>7</v>
      </c>
      <c r="O384">
        <v>50</v>
      </c>
      <c r="P384">
        <v>57</v>
      </c>
    </row>
    <row r="385" spans="1:16" x14ac:dyDescent="0.3">
      <c r="A385">
        <v>384</v>
      </c>
      <c r="B385" s="4">
        <v>40560</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3">
      <c r="A386">
        <v>385</v>
      </c>
      <c r="B386" s="4">
        <v>40560</v>
      </c>
      <c r="C386">
        <v>1</v>
      </c>
      <c r="D386">
        <v>0</v>
      </c>
      <c r="E386">
        <v>1</v>
      </c>
      <c r="F386">
        <v>12</v>
      </c>
      <c r="G386" t="b">
        <v>1</v>
      </c>
      <c r="H386">
        <v>1</v>
      </c>
      <c r="I386">
        <v>2</v>
      </c>
      <c r="J386">
        <v>0.18</v>
      </c>
      <c r="K386">
        <v>0.19700000000000001</v>
      </c>
      <c r="L386">
        <v>0.47</v>
      </c>
      <c r="M386">
        <v>0.1343</v>
      </c>
      <c r="N386">
        <v>10</v>
      </c>
      <c r="O386">
        <v>70</v>
      </c>
      <c r="P386">
        <v>80</v>
      </c>
    </row>
    <row r="387" spans="1:16" x14ac:dyDescent="0.3">
      <c r="A387">
        <v>386</v>
      </c>
      <c r="B387" s="4">
        <v>40560</v>
      </c>
      <c r="C387">
        <v>1</v>
      </c>
      <c r="D387">
        <v>0</v>
      </c>
      <c r="E387">
        <v>1</v>
      </c>
      <c r="F387">
        <v>13</v>
      </c>
      <c r="G387" t="b">
        <v>1</v>
      </c>
      <c r="H387">
        <v>1</v>
      </c>
      <c r="I387">
        <v>2</v>
      </c>
      <c r="J387">
        <v>0.18</v>
      </c>
      <c r="K387">
        <v>0.19700000000000001</v>
      </c>
      <c r="L387">
        <v>0.47</v>
      </c>
      <c r="M387">
        <v>0.1343</v>
      </c>
      <c r="N387">
        <v>13</v>
      </c>
      <c r="O387">
        <v>80</v>
      </c>
      <c r="P387">
        <v>93</v>
      </c>
    </row>
    <row r="388" spans="1:16" x14ac:dyDescent="0.3">
      <c r="A388">
        <v>387</v>
      </c>
      <c r="B388" s="4">
        <v>40560</v>
      </c>
      <c r="C388">
        <v>1</v>
      </c>
      <c r="D388">
        <v>0</v>
      </c>
      <c r="E388">
        <v>1</v>
      </c>
      <c r="F388">
        <v>14</v>
      </c>
      <c r="G388" t="b">
        <v>1</v>
      </c>
      <c r="H388">
        <v>1</v>
      </c>
      <c r="I388">
        <v>2</v>
      </c>
      <c r="J388">
        <v>0.18</v>
      </c>
      <c r="K388">
        <v>0.21210000000000001</v>
      </c>
      <c r="L388">
        <v>0.43</v>
      </c>
      <c r="M388">
        <v>0.1045</v>
      </c>
      <c r="N388">
        <v>12</v>
      </c>
      <c r="O388">
        <v>74</v>
      </c>
      <c r="P388">
        <v>86</v>
      </c>
    </row>
    <row r="389" spans="1:16" x14ac:dyDescent="0.3">
      <c r="A389">
        <v>388</v>
      </c>
      <c r="B389" s="4">
        <v>40560</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3">
      <c r="A390">
        <v>389</v>
      </c>
      <c r="B390" s="4">
        <v>40560</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3">
      <c r="A391">
        <v>390</v>
      </c>
      <c r="B391" s="4">
        <v>40560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3">
      <c r="A392">
        <v>391</v>
      </c>
      <c r="B392" s="4">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3">
      <c r="A393">
        <v>392</v>
      </c>
      <c r="B393" s="4">
        <v>40560</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3">
      <c r="A394">
        <v>393</v>
      </c>
      <c r="B394" s="4">
        <v>40560</v>
      </c>
      <c r="C394">
        <v>1</v>
      </c>
      <c r="D394">
        <v>0</v>
      </c>
      <c r="E394">
        <v>1</v>
      </c>
      <c r="F394">
        <v>20</v>
      </c>
      <c r="G394" t="b">
        <v>1</v>
      </c>
      <c r="H394">
        <v>1</v>
      </c>
      <c r="I394">
        <v>3</v>
      </c>
      <c r="J394">
        <v>0.16</v>
      </c>
      <c r="K394">
        <v>0.1515</v>
      </c>
      <c r="L394">
        <v>0.8</v>
      </c>
      <c r="M394">
        <v>0.19400000000000001</v>
      </c>
      <c r="N394">
        <v>4</v>
      </c>
      <c r="O394">
        <v>29</v>
      </c>
      <c r="P394">
        <v>33</v>
      </c>
    </row>
    <row r="395" spans="1:16" x14ac:dyDescent="0.3">
      <c r="A395">
        <v>394</v>
      </c>
      <c r="B395" s="4">
        <v>40560</v>
      </c>
      <c r="C395">
        <v>1</v>
      </c>
      <c r="D395">
        <v>0</v>
      </c>
      <c r="E395">
        <v>1</v>
      </c>
      <c r="F395">
        <v>21</v>
      </c>
      <c r="G395" t="b">
        <v>1</v>
      </c>
      <c r="H395">
        <v>1</v>
      </c>
      <c r="I395">
        <v>3</v>
      </c>
      <c r="J395">
        <v>0.16</v>
      </c>
      <c r="K395">
        <v>0.1515</v>
      </c>
      <c r="L395">
        <v>0.8</v>
      </c>
      <c r="M395">
        <v>0.19400000000000001</v>
      </c>
      <c r="N395">
        <v>3</v>
      </c>
      <c r="O395">
        <v>24</v>
      </c>
      <c r="P395">
        <v>27</v>
      </c>
    </row>
    <row r="396" spans="1:16" x14ac:dyDescent="0.3">
      <c r="A396">
        <v>395</v>
      </c>
      <c r="B396" s="4">
        <v>40560</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3">
      <c r="A397">
        <v>396</v>
      </c>
      <c r="B397" s="4">
        <v>40560</v>
      </c>
      <c r="C397">
        <v>1</v>
      </c>
      <c r="D397">
        <v>0</v>
      </c>
      <c r="E397">
        <v>1</v>
      </c>
      <c r="F397">
        <v>23</v>
      </c>
      <c r="G397" t="b">
        <v>1</v>
      </c>
      <c r="H397">
        <v>1</v>
      </c>
      <c r="I397">
        <v>3</v>
      </c>
      <c r="J397">
        <v>0.16</v>
      </c>
      <c r="K397">
        <v>0.13639999999999999</v>
      </c>
      <c r="L397">
        <v>0.86</v>
      </c>
      <c r="M397">
        <v>0.28360000000000002</v>
      </c>
      <c r="N397">
        <v>1</v>
      </c>
      <c r="O397">
        <v>3</v>
      </c>
      <c r="P397">
        <v>4</v>
      </c>
    </row>
    <row r="398" spans="1:16" x14ac:dyDescent="0.3">
      <c r="A398">
        <v>397</v>
      </c>
      <c r="B398" s="4">
        <v>40561</v>
      </c>
      <c r="C398">
        <v>1</v>
      </c>
      <c r="D398">
        <v>0</v>
      </c>
      <c r="E398">
        <v>1</v>
      </c>
      <c r="F398">
        <v>12</v>
      </c>
      <c r="G398" t="b">
        <v>0</v>
      </c>
      <c r="H398">
        <v>2</v>
      </c>
      <c r="I398">
        <v>2</v>
      </c>
      <c r="J398">
        <v>0.2</v>
      </c>
      <c r="K398">
        <v>0.18179999999999999</v>
      </c>
      <c r="L398">
        <v>0.86</v>
      </c>
      <c r="M398">
        <v>0.32840000000000003</v>
      </c>
      <c r="N398">
        <v>0</v>
      </c>
      <c r="O398">
        <v>3</v>
      </c>
      <c r="P398">
        <v>3</v>
      </c>
    </row>
    <row r="399" spans="1:16" x14ac:dyDescent="0.3">
      <c r="A399">
        <v>398</v>
      </c>
      <c r="B399" s="4">
        <v>40561</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3">
      <c r="A400">
        <v>399</v>
      </c>
      <c r="B400" s="4">
        <v>40561</v>
      </c>
      <c r="C400">
        <v>1</v>
      </c>
      <c r="D400">
        <v>0</v>
      </c>
      <c r="E400">
        <v>1</v>
      </c>
      <c r="F400">
        <v>14</v>
      </c>
      <c r="G400" t="b">
        <v>0</v>
      </c>
      <c r="H400">
        <v>2</v>
      </c>
      <c r="I400">
        <v>2</v>
      </c>
      <c r="J400">
        <v>0.22</v>
      </c>
      <c r="K400">
        <v>0.2273</v>
      </c>
      <c r="L400">
        <v>0.8</v>
      </c>
      <c r="M400">
        <v>0.16420000000000001</v>
      </c>
      <c r="N400">
        <v>2</v>
      </c>
      <c r="O400">
        <v>26</v>
      </c>
      <c r="P400">
        <v>28</v>
      </c>
    </row>
    <row r="401" spans="1:16" x14ac:dyDescent="0.3">
      <c r="A401">
        <v>400</v>
      </c>
      <c r="B401" s="4">
        <v>40561</v>
      </c>
      <c r="C401">
        <v>1</v>
      </c>
      <c r="D401">
        <v>0</v>
      </c>
      <c r="E401">
        <v>1</v>
      </c>
      <c r="F401">
        <v>15</v>
      </c>
      <c r="G401" t="b">
        <v>0</v>
      </c>
      <c r="H401">
        <v>2</v>
      </c>
      <c r="I401">
        <v>2</v>
      </c>
      <c r="J401">
        <v>0.22</v>
      </c>
      <c r="K401">
        <v>0.2273</v>
      </c>
      <c r="L401">
        <v>0.87</v>
      </c>
      <c r="M401">
        <v>0.16420000000000001</v>
      </c>
      <c r="N401">
        <v>3</v>
      </c>
      <c r="O401">
        <v>32</v>
      </c>
      <c r="P401">
        <v>35</v>
      </c>
    </row>
    <row r="402" spans="1:16" x14ac:dyDescent="0.3">
      <c r="A402">
        <v>401</v>
      </c>
      <c r="B402" s="4">
        <v>40561</v>
      </c>
      <c r="C402">
        <v>1</v>
      </c>
      <c r="D402">
        <v>0</v>
      </c>
      <c r="E402">
        <v>1</v>
      </c>
      <c r="F402">
        <v>16</v>
      </c>
      <c r="G402" t="b">
        <v>0</v>
      </c>
      <c r="H402">
        <v>2</v>
      </c>
      <c r="I402">
        <v>2</v>
      </c>
      <c r="J402">
        <v>0.22</v>
      </c>
      <c r="K402">
        <v>0.2273</v>
      </c>
      <c r="L402">
        <v>0.87</v>
      </c>
      <c r="M402">
        <v>0.19400000000000001</v>
      </c>
      <c r="N402">
        <v>0</v>
      </c>
      <c r="O402">
        <v>61</v>
      </c>
      <c r="P402">
        <v>61</v>
      </c>
    </row>
    <row r="403" spans="1:16" x14ac:dyDescent="0.3">
      <c r="A403">
        <v>402</v>
      </c>
      <c r="B403" s="4">
        <v>40561</v>
      </c>
      <c r="C403">
        <v>1</v>
      </c>
      <c r="D403">
        <v>0</v>
      </c>
      <c r="E403">
        <v>1</v>
      </c>
      <c r="F403">
        <v>17</v>
      </c>
      <c r="G403" t="b">
        <v>0</v>
      </c>
      <c r="H403">
        <v>2</v>
      </c>
      <c r="I403">
        <v>2</v>
      </c>
      <c r="J403">
        <v>0.22</v>
      </c>
      <c r="K403">
        <v>0.2273</v>
      </c>
      <c r="L403">
        <v>0.82</v>
      </c>
      <c r="M403">
        <v>0.19400000000000001</v>
      </c>
      <c r="N403">
        <v>1</v>
      </c>
      <c r="O403">
        <v>124</v>
      </c>
      <c r="P403">
        <v>125</v>
      </c>
    </row>
    <row r="404" spans="1:16" x14ac:dyDescent="0.3">
      <c r="A404">
        <v>403</v>
      </c>
      <c r="B404" s="4">
        <v>40561</v>
      </c>
      <c r="C404">
        <v>1</v>
      </c>
      <c r="D404">
        <v>0</v>
      </c>
      <c r="E404">
        <v>1</v>
      </c>
      <c r="F404">
        <v>18</v>
      </c>
      <c r="G404" t="b">
        <v>0</v>
      </c>
      <c r="H404">
        <v>2</v>
      </c>
      <c r="I404">
        <v>2</v>
      </c>
      <c r="J404">
        <v>0.22</v>
      </c>
      <c r="K404">
        <v>0.2273</v>
      </c>
      <c r="L404">
        <v>0.8</v>
      </c>
      <c r="M404">
        <v>0.16420000000000001</v>
      </c>
      <c r="N404">
        <v>1</v>
      </c>
      <c r="O404">
        <v>132</v>
      </c>
      <c r="P404">
        <v>133</v>
      </c>
    </row>
    <row r="405" spans="1:16" x14ac:dyDescent="0.3">
      <c r="A405">
        <v>404</v>
      </c>
      <c r="B405" s="4">
        <v>40561</v>
      </c>
      <c r="C405">
        <v>1</v>
      </c>
      <c r="D405">
        <v>0</v>
      </c>
      <c r="E405">
        <v>1</v>
      </c>
      <c r="F405">
        <v>19</v>
      </c>
      <c r="G405" t="b">
        <v>0</v>
      </c>
      <c r="H405">
        <v>2</v>
      </c>
      <c r="I405">
        <v>2</v>
      </c>
      <c r="J405">
        <v>0.22</v>
      </c>
      <c r="K405">
        <v>0.2273</v>
      </c>
      <c r="L405">
        <v>0.8</v>
      </c>
      <c r="M405">
        <v>0.1343</v>
      </c>
      <c r="N405">
        <v>1</v>
      </c>
      <c r="O405">
        <v>98</v>
      </c>
      <c r="P405">
        <v>99</v>
      </c>
    </row>
    <row r="406" spans="1:16" x14ac:dyDescent="0.3">
      <c r="A406">
        <v>405</v>
      </c>
      <c r="B406" s="4">
        <v>40561</v>
      </c>
      <c r="C406">
        <v>1</v>
      </c>
      <c r="D406">
        <v>0</v>
      </c>
      <c r="E406">
        <v>1</v>
      </c>
      <c r="F406">
        <v>20</v>
      </c>
      <c r="G406" t="b">
        <v>0</v>
      </c>
      <c r="H406">
        <v>2</v>
      </c>
      <c r="I406">
        <v>2</v>
      </c>
      <c r="J406">
        <v>0.22</v>
      </c>
      <c r="K406">
        <v>0.2727</v>
      </c>
      <c r="L406">
        <v>0.87</v>
      </c>
      <c r="M406">
        <v>0</v>
      </c>
      <c r="N406">
        <v>0</v>
      </c>
      <c r="O406">
        <v>83</v>
      </c>
      <c r="P406">
        <v>83</v>
      </c>
    </row>
    <row r="407" spans="1:16" x14ac:dyDescent="0.3">
      <c r="A407">
        <v>406</v>
      </c>
      <c r="B407" s="4">
        <v>40561</v>
      </c>
      <c r="C407">
        <v>1</v>
      </c>
      <c r="D407">
        <v>0</v>
      </c>
      <c r="E407">
        <v>1</v>
      </c>
      <c r="F407">
        <v>21</v>
      </c>
      <c r="G407" t="b">
        <v>0</v>
      </c>
      <c r="H407">
        <v>2</v>
      </c>
      <c r="I407">
        <v>2</v>
      </c>
      <c r="J407">
        <v>0.22</v>
      </c>
      <c r="K407">
        <v>0.2424</v>
      </c>
      <c r="L407">
        <v>0.93</v>
      </c>
      <c r="M407">
        <v>0.1045</v>
      </c>
      <c r="N407">
        <v>0</v>
      </c>
      <c r="O407">
        <v>41</v>
      </c>
      <c r="P407">
        <v>41</v>
      </c>
    </row>
    <row r="408" spans="1:16" x14ac:dyDescent="0.3">
      <c r="A408">
        <v>407</v>
      </c>
      <c r="B408" s="4">
        <v>40561</v>
      </c>
      <c r="C408">
        <v>1</v>
      </c>
      <c r="D408">
        <v>0</v>
      </c>
      <c r="E408">
        <v>1</v>
      </c>
      <c r="F408">
        <v>22</v>
      </c>
      <c r="G408" t="b">
        <v>0</v>
      </c>
      <c r="H408">
        <v>2</v>
      </c>
      <c r="I408">
        <v>2</v>
      </c>
      <c r="J408">
        <v>0.22</v>
      </c>
      <c r="K408">
        <v>0.2576</v>
      </c>
      <c r="L408">
        <v>0.93</v>
      </c>
      <c r="M408">
        <v>8.9599999999999999E-2</v>
      </c>
      <c r="N408">
        <v>0</v>
      </c>
      <c r="O408">
        <v>33</v>
      </c>
      <c r="P408">
        <v>33</v>
      </c>
    </row>
    <row r="409" spans="1:16" x14ac:dyDescent="0.3">
      <c r="A409">
        <v>408</v>
      </c>
      <c r="B409" s="4">
        <v>40561</v>
      </c>
      <c r="C409">
        <v>1</v>
      </c>
      <c r="D409">
        <v>0</v>
      </c>
      <c r="E409">
        <v>1</v>
      </c>
      <c r="F409">
        <v>23</v>
      </c>
      <c r="G409" t="b">
        <v>0</v>
      </c>
      <c r="H409">
        <v>2</v>
      </c>
      <c r="I409">
        <v>2</v>
      </c>
      <c r="J409">
        <v>0.22</v>
      </c>
      <c r="K409">
        <v>0.2727</v>
      </c>
      <c r="L409">
        <v>0.93</v>
      </c>
      <c r="M409">
        <v>0</v>
      </c>
      <c r="N409">
        <v>1</v>
      </c>
      <c r="O409">
        <v>19</v>
      </c>
      <c r="P409">
        <v>20</v>
      </c>
    </row>
    <row r="410" spans="1:16" x14ac:dyDescent="0.3">
      <c r="A410">
        <v>409</v>
      </c>
      <c r="B410" s="4">
        <v>40562</v>
      </c>
      <c r="C410">
        <v>1</v>
      </c>
      <c r="D410">
        <v>0</v>
      </c>
      <c r="E410">
        <v>1</v>
      </c>
      <c r="F410">
        <v>0</v>
      </c>
      <c r="G410" t="b">
        <v>0</v>
      </c>
      <c r="H410">
        <v>3</v>
      </c>
      <c r="I410">
        <v>2</v>
      </c>
      <c r="J410">
        <v>0.22</v>
      </c>
      <c r="K410">
        <v>0.2727</v>
      </c>
      <c r="L410">
        <v>0.93</v>
      </c>
      <c r="M410">
        <v>0</v>
      </c>
      <c r="N410">
        <v>0</v>
      </c>
      <c r="O410">
        <v>3</v>
      </c>
      <c r="P410">
        <v>3</v>
      </c>
    </row>
    <row r="411" spans="1:16" x14ac:dyDescent="0.3">
      <c r="A411">
        <v>410</v>
      </c>
      <c r="B411" s="4">
        <v>40562</v>
      </c>
      <c r="C411">
        <v>1</v>
      </c>
      <c r="D411">
        <v>0</v>
      </c>
      <c r="E411">
        <v>1</v>
      </c>
      <c r="F411">
        <v>1</v>
      </c>
      <c r="G411" t="b">
        <v>0</v>
      </c>
      <c r="H411">
        <v>3</v>
      </c>
      <c r="I411">
        <v>3</v>
      </c>
      <c r="J411">
        <v>0.22</v>
      </c>
      <c r="K411">
        <v>0.2273</v>
      </c>
      <c r="L411">
        <v>0.93</v>
      </c>
      <c r="M411">
        <v>0.1343</v>
      </c>
      <c r="N411">
        <v>1</v>
      </c>
      <c r="O411">
        <v>6</v>
      </c>
      <c r="P411">
        <v>7</v>
      </c>
    </row>
    <row r="412" spans="1:16" x14ac:dyDescent="0.3">
      <c r="A412">
        <v>411</v>
      </c>
      <c r="B412" s="4">
        <v>40562</v>
      </c>
      <c r="C412">
        <v>1</v>
      </c>
      <c r="D412">
        <v>0</v>
      </c>
      <c r="E412">
        <v>1</v>
      </c>
      <c r="F412">
        <v>2</v>
      </c>
      <c r="G412" t="b">
        <v>0</v>
      </c>
      <c r="H412">
        <v>3</v>
      </c>
      <c r="I412">
        <v>3</v>
      </c>
      <c r="J412">
        <v>0.22</v>
      </c>
      <c r="K412">
        <v>0.2273</v>
      </c>
      <c r="L412">
        <v>0.93</v>
      </c>
      <c r="M412">
        <v>0.1343</v>
      </c>
      <c r="N412">
        <v>0</v>
      </c>
      <c r="O412">
        <v>3</v>
      </c>
      <c r="P412">
        <v>3</v>
      </c>
    </row>
    <row r="413" spans="1:16" x14ac:dyDescent="0.3">
      <c r="A413">
        <v>412</v>
      </c>
      <c r="B413" s="4">
        <v>40562</v>
      </c>
      <c r="C413">
        <v>1</v>
      </c>
      <c r="D413">
        <v>0</v>
      </c>
      <c r="E413">
        <v>1</v>
      </c>
      <c r="F413">
        <v>4</v>
      </c>
      <c r="G413" t="b">
        <v>0</v>
      </c>
      <c r="H413">
        <v>3</v>
      </c>
      <c r="I413">
        <v>3</v>
      </c>
      <c r="J413">
        <v>0.22</v>
      </c>
      <c r="K413">
        <v>0.2273</v>
      </c>
      <c r="L413">
        <v>0.93</v>
      </c>
      <c r="M413">
        <v>0.1343</v>
      </c>
      <c r="N413">
        <v>1</v>
      </c>
      <c r="O413">
        <v>1</v>
      </c>
      <c r="P413">
        <v>2</v>
      </c>
    </row>
    <row r="414" spans="1:16" x14ac:dyDescent="0.3">
      <c r="A414">
        <v>413</v>
      </c>
      <c r="B414" s="4">
        <v>40562</v>
      </c>
      <c r="C414">
        <v>1</v>
      </c>
      <c r="D414">
        <v>0</v>
      </c>
      <c r="E414">
        <v>1</v>
      </c>
      <c r="F414">
        <v>5</v>
      </c>
      <c r="G414" t="b">
        <v>0</v>
      </c>
      <c r="H414">
        <v>3</v>
      </c>
      <c r="I414">
        <v>2</v>
      </c>
      <c r="J414">
        <v>0.22</v>
      </c>
      <c r="K414">
        <v>0.2576</v>
      </c>
      <c r="L414">
        <v>0.93</v>
      </c>
      <c r="M414">
        <v>8.9599999999999999E-2</v>
      </c>
      <c r="N414">
        <v>0</v>
      </c>
      <c r="O414">
        <v>7</v>
      </c>
      <c r="P414">
        <v>7</v>
      </c>
    </row>
    <row r="415" spans="1:16" x14ac:dyDescent="0.3">
      <c r="A415">
        <v>414</v>
      </c>
      <c r="B415" s="4">
        <v>40562</v>
      </c>
      <c r="C415">
        <v>1</v>
      </c>
      <c r="D415">
        <v>0</v>
      </c>
      <c r="E415">
        <v>1</v>
      </c>
      <c r="F415">
        <v>6</v>
      </c>
      <c r="G415" t="b">
        <v>0</v>
      </c>
      <c r="H415">
        <v>3</v>
      </c>
      <c r="I415">
        <v>2</v>
      </c>
      <c r="J415">
        <v>0.22</v>
      </c>
      <c r="K415">
        <v>0.2576</v>
      </c>
      <c r="L415">
        <v>0.93</v>
      </c>
      <c r="M415">
        <v>8.9599999999999999E-2</v>
      </c>
      <c r="N415">
        <v>0</v>
      </c>
      <c r="O415">
        <v>32</v>
      </c>
      <c r="P415">
        <v>32</v>
      </c>
    </row>
    <row r="416" spans="1:16" x14ac:dyDescent="0.3">
      <c r="A416">
        <v>415</v>
      </c>
      <c r="B416" s="4">
        <v>40562</v>
      </c>
      <c r="C416">
        <v>1</v>
      </c>
      <c r="D416">
        <v>0</v>
      </c>
      <c r="E416">
        <v>1</v>
      </c>
      <c r="F416">
        <v>7</v>
      </c>
      <c r="G416" t="b">
        <v>0</v>
      </c>
      <c r="H416">
        <v>3</v>
      </c>
      <c r="I416">
        <v>2</v>
      </c>
      <c r="J416">
        <v>0.24</v>
      </c>
      <c r="K416">
        <v>0.2576</v>
      </c>
      <c r="L416">
        <v>0.92</v>
      </c>
      <c r="M416">
        <v>0.1045</v>
      </c>
      <c r="N416">
        <v>1</v>
      </c>
      <c r="O416">
        <v>89</v>
      </c>
      <c r="P416">
        <v>90</v>
      </c>
    </row>
    <row r="417" spans="1:16" x14ac:dyDescent="0.3">
      <c r="A417">
        <v>416</v>
      </c>
      <c r="B417" s="4">
        <v>40562</v>
      </c>
      <c r="C417">
        <v>1</v>
      </c>
      <c r="D417">
        <v>0</v>
      </c>
      <c r="E417">
        <v>1</v>
      </c>
      <c r="F417">
        <v>8</v>
      </c>
      <c r="G417" t="b">
        <v>0</v>
      </c>
      <c r="H417">
        <v>3</v>
      </c>
      <c r="I417">
        <v>2</v>
      </c>
      <c r="J417">
        <v>0.24</v>
      </c>
      <c r="K417">
        <v>0.2576</v>
      </c>
      <c r="L417">
        <v>0.93</v>
      </c>
      <c r="M417">
        <v>0.1045</v>
      </c>
      <c r="N417">
        <v>1</v>
      </c>
      <c r="O417">
        <v>196</v>
      </c>
      <c r="P417">
        <v>197</v>
      </c>
    </row>
    <row r="418" spans="1:16" x14ac:dyDescent="0.3">
      <c r="A418">
        <v>417</v>
      </c>
      <c r="B418" s="4">
        <v>40562</v>
      </c>
      <c r="C418">
        <v>1</v>
      </c>
      <c r="D418">
        <v>0</v>
      </c>
      <c r="E418">
        <v>1</v>
      </c>
      <c r="F418">
        <v>9</v>
      </c>
      <c r="G418" t="b">
        <v>0</v>
      </c>
      <c r="H418">
        <v>3</v>
      </c>
      <c r="I418">
        <v>2</v>
      </c>
      <c r="J418">
        <v>0.24</v>
      </c>
      <c r="K418">
        <v>0.2576</v>
      </c>
      <c r="L418">
        <v>0.93</v>
      </c>
      <c r="M418">
        <v>0.1045</v>
      </c>
      <c r="N418">
        <v>2</v>
      </c>
      <c r="O418">
        <v>107</v>
      </c>
      <c r="P418">
        <v>109</v>
      </c>
    </row>
    <row r="419" spans="1:16" x14ac:dyDescent="0.3">
      <c r="A419">
        <v>418</v>
      </c>
      <c r="B419" s="4">
        <v>40562</v>
      </c>
      <c r="C419">
        <v>1</v>
      </c>
      <c r="D419">
        <v>0</v>
      </c>
      <c r="E419">
        <v>1</v>
      </c>
      <c r="F419">
        <v>10</v>
      </c>
      <c r="G419" t="b">
        <v>0</v>
      </c>
      <c r="H419">
        <v>3</v>
      </c>
      <c r="I419">
        <v>2</v>
      </c>
      <c r="J419">
        <v>0.26</v>
      </c>
      <c r="K419">
        <v>0.2727</v>
      </c>
      <c r="L419">
        <v>0.93</v>
      </c>
      <c r="M419">
        <v>0.1343</v>
      </c>
      <c r="N419">
        <v>1</v>
      </c>
      <c r="O419">
        <v>46</v>
      </c>
      <c r="P419">
        <v>47</v>
      </c>
    </row>
    <row r="420" spans="1:16" x14ac:dyDescent="0.3">
      <c r="A420">
        <v>419</v>
      </c>
      <c r="B420" s="4">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3">
      <c r="A421">
        <v>420</v>
      </c>
      <c r="B421" s="4">
        <v>40562</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3">
      <c r="A422">
        <v>421</v>
      </c>
      <c r="B422" s="4">
        <v>40562</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3">
      <c r="A423">
        <v>422</v>
      </c>
      <c r="B423" s="4">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3">
      <c r="A424">
        <v>423</v>
      </c>
      <c r="B424" s="4">
        <v>40562</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3">
      <c r="A425">
        <v>424</v>
      </c>
      <c r="B425" s="4">
        <v>40562</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3">
      <c r="A426">
        <v>425</v>
      </c>
      <c r="B426" s="4">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3">
      <c r="A427">
        <v>426</v>
      </c>
      <c r="B427" s="4">
        <v>40562</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3">
      <c r="A428">
        <v>427</v>
      </c>
      <c r="B428" s="4">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3">
      <c r="A429">
        <v>428</v>
      </c>
      <c r="B429" s="4">
        <v>40562</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3">
      <c r="A430">
        <v>429</v>
      </c>
      <c r="B430" s="4">
        <v>40562</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3">
      <c r="A431">
        <v>430</v>
      </c>
      <c r="B431" s="4">
        <v>40562</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3">
      <c r="A432">
        <v>431</v>
      </c>
      <c r="B432" s="4">
        <v>40562</v>
      </c>
      <c r="C432">
        <v>1</v>
      </c>
      <c r="D432">
        <v>0</v>
      </c>
      <c r="E432">
        <v>1</v>
      </c>
      <c r="F432">
        <v>23</v>
      </c>
      <c r="G432" t="b">
        <v>0</v>
      </c>
      <c r="H432">
        <v>3</v>
      </c>
      <c r="I432">
        <v>1</v>
      </c>
      <c r="J432">
        <v>0.3</v>
      </c>
      <c r="K432">
        <v>0.2727</v>
      </c>
      <c r="L432">
        <v>0.52</v>
      </c>
      <c r="M432">
        <v>0.4627</v>
      </c>
      <c r="N432">
        <v>1</v>
      </c>
      <c r="O432">
        <v>27</v>
      </c>
      <c r="P432">
        <v>28</v>
      </c>
    </row>
    <row r="433" spans="1:16" x14ac:dyDescent="0.3">
      <c r="A433">
        <v>432</v>
      </c>
      <c r="B433" s="4">
        <v>40563</v>
      </c>
      <c r="C433">
        <v>1</v>
      </c>
      <c r="D433">
        <v>0</v>
      </c>
      <c r="E433">
        <v>1</v>
      </c>
      <c r="F433">
        <v>0</v>
      </c>
      <c r="G433" t="b">
        <v>0</v>
      </c>
      <c r="H433">
        <v>4</v>
      </c>
      <c r="I433">
        <v>1</v>
      </c>
      <c r="J433">
        <v>0.26</v>
      </c>
      <c r="K433">
        <v>0.2273</v>
      </c>
      <c r="L433">
        <v>0.56000000000000005</v>
      </c>
      <c r="M433">
        <v>0.3881</v>
      </c>
      <c r="N433">
        <v>5</v>
      </c>
      <c r="O433">
        <v>8</v>
      </c>
      <c r="P433">
        <v>13</v>
      </c>
    </row>
    <row r="434" spans="1:16" x14ac:dyDescent="0.3">
      <c r="A434">
        <v>433</v>
      </c>
      <c r="B434" s="4">
        <v>40563</v>
      </c>
      <c r="C434">
        <v>1</v>
      </c>
      <c r="D434">
        <v>0</v>
      </c>
      <c r="E434">
        <v>1</v>
      </c>
      <c r="F434">
        <v>1</v>
      </c>
      <c r="G434" t="b">
        <v>0</v>
      </c>
      <c r="H434">
        <v>4</v>
      </c>
      <c r="I434">
        <v>1</v>
      </c>
      <c r="J434">
        <v>0.26</v>
      </c>
      <c r="K434">
        <v>0.2727</v>
      </c>
      <c r="L434">
        <v>0.56000000000000005</v>
      </c>
      <c r="M434">
        <v>0</v>
      </c>
      <c r="N434">
        <v>2</v>
      </c>
      <c r="O434">
        <v>3</v>
      </c>
      <c r="P434">
        <v>5</v>
      </c>
    </row>
    <row r="435" spans="1:16" x14ac:dyDescent="0.3">
      <c r="A435">
        <v>434</v>
      </c>
      <c r="B435" s="4">
        <v>40563</v>
      </c>
      <c r="C435">
        <v>1</v>
      </c>
      <c r="D435">
        <v>0</v>
      </c>
      <c r="E435">
        <v>1</v>
      </c>
      <c r="F435">
        <v>2</v>
      </c>
      <c r="G435" t="b">
        <v>0</v>
      </c>
      <c r="H435">
        <v>4</v>
      </c>
      <c r="I435">
        <v>1</v>
      </c>
      <c r="J435">
        <v>0.26</v>
      </c>
      <c r="K435">
        <v>0.2727</v>
      </c>
      <c r="L435">
        <v>0.56000000000000005</v>
      </c>
      <c r="M435">
        <v>0</v>
      </c>
      <c r="N435">
        <v>0</v>
      </c>
      <c r="O435">
        <v>2</v>
      </c>
      <c r="P435">
        <v>2</v>
      </c>
    </row>
    <row r="436" spans="1:16" x14ac:dyDescent="0.3">
      <c r="A436">
        <v>435</v>
      </c>
      <c r="B436" s="4">
        <v>40563</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3">
      <c r="A437">
        <v>436</v>
      </c>
      <c r="B437" s="4">
        <v>40563</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3">
      <c r="A438">
        <v>437</v>
      </c>
      <c r="B438" s="4">
        <v>40563</v>
      </c>
      <c r="C438">
        <v>1</v>
      </c>
      <c r="D438">
        <v>0</v>
      </c>
      <c r="E438">
        <v>1</v>
      </c>
      <c r="F438">
        <v>5</v>
      </c>
      <c r="G438" t="b">
        <v>0</v>
      </c>
      <c r="H438">
        <v>4</v>
      </c>
      <c r="I438">
        <v>1</v>
      </c>
      <c r="J438">
        <v>0.24</v>
      </c>
      <c r="K438">
        <v>0.2273</v>
      </c>
      <c r="L438">
        <v>0.6</v>
      </c>
      <c r="M438">
        <v>0.22389999999999999</v>
      </c>
      <c r="N438">
        <v>0</v>
      </c>
      <c r="O438">
        <v>6</v>
      </c>
      <c r="P438">
        <v>6</v>
      </c>
    </row>
    <row r="439" spans="1:16" x14ac:dyDescent="0.3">
      <c r="A439">
        <v>438</v>
      </c>
      <c r="B439" s="4">
        <v>40563</v>
      </c>
      <c r="C439">
        <v>1</v>
      </c>
      <c r="D439">
        <v>0</v>
      </c>
      <c r="E439">
        <v>1</v>
      </c>
      <c r="F439">
        <v>6</v>
      </c>
      <c r="G439" t="b">
        <v>0</v>
      </c>
      <c r="H439">
        <v>4</v>
      </c>
      <c r="I439">
        <v>1</v>
      </c>
      <c r="J439">
        <v>0.22</v>
      </c>
      <c r="K439">
        <v>0.21210000000000001</v>
      </c>
      <c r="L439">
        <v>0.6</v>
      </c>
      <c r="M439">
        <v>0.22389999999999999</v>
      </c>
      <c r="N439">
        <v>0</v>
      </c>
      <c r="O439">
        <v>35</v>
      </c>
      <c r="P439">
        <v>35</v>
      </c>
    </row>
    <row r="440" spans="1:16" x14ac:dyDescent="0.3">
      <c r="A440">
        <v>439</v>
      </c>
      <c r="B440" s="4">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3">
      <c r="A441">
        <v>440</v>
      </c>
      <c r="B441" s="4">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3">
      <c r="A442">
        <v>441</v>
      </c>
      <c r="B442" s="4">
        <v>40563</v>
      </c>
      <c r="C442">
        <v>1</v>
      </c>
      <c r="D442">
        <v>0</v>
      </c>
      <c r="E442">
        <v>1</v>
      </c>
      <c r="F442">
        <v>9</v>
      </c>
      <c r="G442" t="b">
        <v>0</v>
      </c>
      <c r="H442">
        <v>4</v>
      </c>
      <c r="I442">
        <v>2</v>
      </c>
      <c r="J442">
        <v>0.24</v>
      </c>
      <c r="K442">
        <v>0.2273</v>
      </c>
      <c r="L442">
        <v>0.52</v>
      </c>
      <c r="M442">
        <v>0.22389999999999999</v>
      </c>
      <c r="N442">
        <v>3</v>
      </c>
      <c r="O442">
        <v>140</v>
      </c>
      <c r="P442">
        <v>143</v>
      </c>
    </row>
    <row r="443" spans="1:16" x14ac:dyDescent="0.3">
      <c r="A443">
        <v>442</v>
      </c>
      <c r="B443" s="4">
        <v>40563</v>
      </c>
      <c r="C443">
        <v>1</v>
      </c>
      <c r="D443">
        <v>0</v>
      </c>
      <c r="E443">
        <v>1</v>
      </c>
      <c r="F443">
        <v>10</v>
      </c>
      <c r="G443" t="b">
        <v>0</v>
      </c>
      <c r="H443">
        <v>4</v>
      </c>
      <c r="I443">
        <v>1</v>
      </c>
      <c r="J443">
        <v>0.26</v>
      </c>
      <c r="K443">
        <v>0.2273</v>
      </c>
      <c r="L443">
        <v>0.48</v>
      </c>
      <c r="M443">
        <v>0.29849999999999999</v>
      </c>
      <c r="N443">
        <v>1</v>
      </c>
      <c r="O443">
        <v>56</v>
      </c>
      <c r="P443">
        <v>57</v>
      </c>
    </row>
    <row r="444" spans="1:16" x14ac:dyDescent="0.3">
      <c r="A444">
        <v>443</v>
      </c>
      <c r="B444" s="4">
        <v>40563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3">
      <c r="A445">
        <v>444</v>
      </c>
      <c r="B445" s="4">
        <v>40563</v>
      </c>
      <c r="C445">
        <v>1</v>
      </c>
      <c r="D445">
        <v>0</v>
      </c>
      <c r="E445">
        <v>1</v>
      </c>
      <c r="F445">
        <v>12</v>
      </c>
      <c r="G445" t="b">
        <v>0</v>
      </c>
      <c r="H445">
        <v>4</v>
      </c>
      <c r="I445">
        <v>2</v>
      </c>
      <c r="J445">
        <v>0.3</v>
      </c>
      <c r="K445">
        <v>0.33329999999999999</v>
      </c>
      <c r="L445">
        <v>0.42</v>
      </c>
      <c r="M445">
        <v>0</v>
      </c>
      <c r="N445">
        <v>7</v>
      </c>
      <c r="O445">
        <v>77</v>
      </c>
      <c r="P445">
        <v>84</v>
      </c>
    </row>
    <row r="446" spans="1:16" x14ac:dyDescent="0.3">
      <c r="A446">
        <v>445</v>
      </c>
      <c r="B446" s="4">
        <v>40563</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3">
      <c r="A447">
        <v>446</v>
      </c>
      <c r="B447" s="4">
        <v>40563</v>
      </c>
      <c r="C447">
        <v>1</v>
      </c>
      <c r="D447">
        <v>0</v>
      </c>
      <c r="E447">
        <v>1</v>
      </c>
      <c r="F447">
        <v>14</v>
      </c>
      <c r="G447" t="b">
        <v>0</v>
      </c>
      <c r="H447">
        <v>4</v>
      </c>
      <c r="I447">
        <v>2</v>
      </c>
      <c r="J447">
        <v>0.3</v>
      </c>
      <c r="K447">
        <v>0.30299999999999999</v>
      </c>
      <c r="L447">
        <v>0.45</v>
      </c>
      <c r="M447">
        <v>0.1343</v>
      </c>
      <c r="N447">
        <v>6</v>
      </c>
      <c r="O447">
        <v>75</v>
      </c>
      <c r="P447">
        <v>81</v>
      </c>
    </row>
    <row r="448" spans="1:16" x14ac:dyDescent="0.3">
      <c r="A448">
        <v>447</v>
      </c>
      <c r="B448" s="4">
        <v>40563</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3">
      <c r="A449">
        <v>448</v>
      </c>
      <c r="B449" s="4">
        <v>40563</v>
      </c>
      <c r="C449">
        <v>1</v>
      </c>
      <c r="D449">
        <v>0</v>
      </c>
      <c r="E449">
        <v>1</v>
      </c>
      <c r="F449">
        <v>16</v>
      </c>
      <c r="G449" t="b">
        <v>0</v>
      </c>
      <c r="H449">
        <v>4</v>
      </c>
      <c r="I449">
        <v>2</v>
      </c>
      <c r="J449">
        <v>0.3</v>
      </c>
      <c r="K449">
        <v>0.30299999999999999</v>
      </c>
      <c r="L449">
        <v>0.49</v>
      </c>
      <c r="M449">
        <v>0.1343</v>
      </c>
      <c r="N449">
        <v>8</v>
      </c>
      <c r="O449">
        <v>83</v>
      </c>
      <c r="P449">
        <v>91</v>
      </c>
    </row>
    <row r="450" spans="1:16" x14ac:dyDescent="0.3">
      <c r="A450">
        <v>449</v>
      </c>
      <c r="B450" s="4">
        <v>40563</v>
      </c>
      <c r="C450">
        <v>1</v>
      </c>
      <c r="D450">
        <v>0</v>
      </c>
      <c r="E450">
        <v>1</v>
      </c>
      <c r="F450">
        <v>17</v>
      </c>
      <c r="G450" t="b">
        <v>0</v>
      </c>
      <c r="H450">
        <v>4</v>
      </c>
      <c r="I450">
        <v>2</v>
      </c>
      <c r="J450">
        <v>0.3</v>
      </c>
      <c r="K450">
        <v>0.31819999999999998</v>
      </c>
      <c r="L450">
        <v>0.49</v>
      </c>
      <c r="M450">
        <v>0.1045</v>
      </c>
      <c r="N450">
        <v>8</v>
      </c>
      <c r="O450">
        <v>207</v>
      </c>
      <c r="P450">
        <v>215</v>
      </c>
    </row>
    <row r="451" spans="1:16" x14ac:dyDescent="0.3">
      <c r="A451">
        <v>450</v>
      </c>
      <c r="B451" s="4">
        <v>40563</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3">
      <c r="A452">
        <v>451</v>
      </c>
      <c r="B452" s="4">
        <v>40563</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3">
      <c r="A453">
        <v>452</v>
      </c>
      <c r="B453" s="4">
        <v>40563</v>
      </c>
      <c r="C453">
        <v>1</v>
      </c>
      <c r="D453">
        <v>0</v>
      </c>
      <c r="E453">
        <v>1</v>
      </c>
      <c r="F453">
        <v>20</v>
      </c>
      <c r="G453" t="b">
        <v>0</v>
      </c>
      <c r="H453">
        <v>4</v>
      </c>
      <c r="I453">
        <v>2</v>
      </c>
      <c r="J453">
        <v>0.26</v>
      </c>
      <c r="K453">
        <v>0.2424</v>
      </c>
      <c r="L453">
        <v>0.6</v>
      </c>
      <c r="M453">
        <v>0.28360000000000002</v>
      </c>
      <c r="N453">
        <v>2</v>
      </c>
      <c r="O453">
        <v>124</v>
      </c>
      <c r="P453">
        <v>126</v>
      </c>
    </row>
    <row r="454" spans="1:16" x14ac:dyDescent="0.3">
      <c r="A454">
        <v>453</v>
      </c>
      <c r="B454" s="4">
        <v>40563</v>
      </c>
      <c r="C454">
        <v>1</v>
      </c>
      <c r="D454">
        <v>0</v>
      </c>
      <c r="E454">
        <v>1</v>
      </c>
      <c r="F454">
        <v>21</v>
      </c>
      <c r="G454" t="b">
        <v>0</v>
      </c>
      <c r="H454">
        <v>4</v>
      </c>
      <c r="I454">
        <v>2</v>
      </c>
      <c r="J454">
        <v>0.24</v>
      </c>
      <c r="K454">
        <v>0.2273</v>
      </c>
      <c r="L454">
        <v>0.6</v>
      </c>
      <c r="M454">
        <v>0.25369999999999998</v>
      </c>
      <c r="N454">
        <v>3</v>
      </c>
      <c r="O454">
        <v>54</v>
      </c>
      <c r="P454">
        <v>57</v>
      </c>
    </row>
    <row r="455" spans="1:16" x14ac:dyDescent="0.3">
      <c r="A455">
        <v>454</v>
      </c>
      <c r="B455" s="4">
        <v>40563</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3">
      <c r="A456">
        <v>455</v>
      </c>
      <c r="B456" s="4">
        <v>40563</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3">
      <c r="A457">
        <v>456</v>
      </c>
      <c r="B457" s="4">
        <v>40564</v>
      </c>
      <c r="C457">
        <v>1</v>
      </c>
      <c r="D457">
        <v>0</v>
      </c>
      <c r="E457">
        <v>1</v>
      </c>
      <c r="F457">
        <v>0</v>
      </c>
      <c r="G457" t="b">
        <v>0</v>
      </c>
      <c r="H457">
        <v>5</v>
      </c>
      <c r="I457">
        <v>2</v>
      </c>
      <c r="J457">
        <v>0.24</v>
      </c>
      <c r="K457">
        <v>0.2273</v>
      </c>
      <c r="L457">
        <v>0.7</v>
      </c>
      <c r="M457">
        <v>0.25369999999999998</v>
      </c>
      <c r="N457">
        <v>1</v>
      </c>
      <c r="O457">
        <v>20</v>
      </c>
      <c r="P457">
        <v>21</v>
      </c>
    </row>
    <row r="458" spans="1:16" x14ac:dyDescent="0.3">
      <c r="A458">
        <v>457</v>
      </c>
      <c r="B458" s="4">
        <v>40564</v>
      </c>
      <c r="C458">
        <v>1</v>
      </c>
      <c r="D458">
        <v>0</v>
      </c>
      <c r="E458">
        <v>1</v>
      </c>
      <c r="F458">
        <v>1</v>
      </c>
      <c r="G458" t="b">
        <v>0</v>
      </c>
      <c r="H458">
        <v>5</v>
      </c>
      <c r="I458">
        <v>2</v>
      </c>
      <c r="J458">
        <v>0.24</v>
      </c>
      <c r="K458">
        <v>0.2273</v>
      </c>
      <c r="L458">
        <v>0.7</v>
      </c>
      <c r="M458">
        <v>0.25369999999999998</v>
      </c>
      <c r="N458">
        <v>0</v>
      </c>
      <c r="O458">
        <v>6</v>
      </c>
      <c r="P458">
        <v>6</v>
      </c>
    </row>
    <row r="459" spans="1:16" x14ac:dyDescent="0.3">
      <c r="A459">
        <v>458</v>
      </c>
      <c r="B459" s="4">
        <v>40564</v>
      </c>
      <c r="C459">
        <v>1</v>
      </c>
      <c r="D459">
        <v>0</v>
      </c>
      <c r="E459">
        <v>1</v>
      </c>
      <c r="F459">
        <v>2</v>
      </c>
      <c r="G459" t="b">
        <v>0</v>
      </c>
      <c r="H459">
        <v>5</v>
      </c>
      <c r="I459">
        <v>3</v>
      </c>
      <c r="J459">
        <v>0.24</v>
      </c>
      <c r="K459">
        <v>0.2424</v>
      </c>
      <c r="L459">
        <v>0.75</v>
      </c>
      <c r="M459">
        <v>0.16420000000000001</v>
      </c>
      <c r="N459">
        <v>0</v>
      </c>
      <c r="O459">
        <v>2</v>
      </c>
      <c r="P459">
        <v>2</v>
      </c>
    </row>
    <row r="460" spans="1:16" x14ac:dyDescent="0.3">
      <c r="A460">
        <v>459</v>
      </c>
      <c r="B460" s="4">
        <v>40564</v>
      </c>
      <c r="C460">
        <v>1</v>
      </c>
      <c r="D460">
        <v>0</v>
      </c>
      <c r="E460">
        <v>1</v>
      </c>
      <c r="F460">
        <v>3</v>
      </c>
      <c r="G460" t="b">
        <v>0</v>
      </c>
      <c r="H460">
        <v>5</v>
      </c>
      <c r="I460">
        <v>3</v>
      </c>
      <c r="J460">
        <v>0.22</v>
      </c>
      <c r="K460">
        <v>0.21210000000000001</v>
      </c>
      <c r="L460">
        <v>0.8</v>
      </c>
      <c r="M460">
        <v>0.29849999999999999</v>
      </c>
      <c r="N460">
        <v>0</v>
      </c>
      <c r="O460">
        <v>1</v>
      </c>
      <c r="P460">
        <v>1</v>
      </c>
    </row>
    <row r="461" spans="1:16" x14ac:dyDescent="0.3">
      <c r="A461">
        <v>460</v>
      </c>
      <c r="B461" s="4">
        <v>40564</v>
      </c>
      <c r="C461">
        <v>1</v>
      </c>
      <c r="D461">
        <v>0</v>
      </c>
      <c r="E461">
        <v>1</v>
      </c>
      <c r="F461">
        <v>4</v>
      </c>
      <c r="G461" t="b">
        <v>0</v>
      </c>
      <c r="H461">
        <v>5</v>
      </c>
      <c r="I461">
        <v>2</v>
      </c>
      <c r="J461">
        <v>0.22</v>
      </c>
      <c r="K461">
        <v>0.2576</v>
      </c>
      <c r="L461">
        <v>0.87</v>
      </c>
      <c r="M461">
        <v>8.9599999999999999E-2</v>
      </c>
      <c r="N461">
        <v>0</v>
      </c>
      <c r="O461">
        <v>1</v>
      </c>
      <c r="P461">
        <v>1</v>
      </c>
    </row>
    <row r="462" spans="1:16" x14ac:dyDescent="0.3">
      <c r="A462">
        <v>461</v>
      </c>
      <c r="B462" s="4">
        <v>40564</v>
      </c>
      <c r="C462">
        <v>1</v>
      </c>
      <c r="D462">
        <v>0</v>
      </c>
      <c r="E462">
        <v>1</v>
      </c>
      <c r="F462">
        <v>5</v>
      </c>
      <c r="G462" t="b">
        <v>0</v>
      </c>
      <c r="H462">
        <v>5</v>
      </c>
      <c r="I462">
        <v>1</v>
      </c>
      <c r="J462">
        <v>0.24</v>
      </c>
      <c r="K462">
        <v>0.19700000000000001</v>
      </c>
      <c r="L462">
        <v>0.6</v>
      </c>
      <c r="M462">
        <v>0.41789999999999999</v>
      </c>
      <c r="N462">
        <v>1</v>
      </c>
      <c r="O462">
        <v>4</v>
      </c>
      <c r="P462">
        <v>5</v>
      </c>
    </row>
    <row r="463" spans="1:16" x14ac:dyDescent="0.3">
      <c r="A463">
        <v>462</v>
      </c>
      <c r="B463" s="4">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3">
      <c r="A464">
        <v>463</v>
      </c>
      <c r="B464" s="4">
        <v>40564</v>
      </c>
      <c r="C464">
        <v>1</v>
      </c>
      <c r="D464">
        <v>0</v>
      </c>
      <c r="E464">
        <v>1</v>
      </c>
      <c r="F464">
        <v>7</v>
      </c>
      <c r="G464" t="b">
        <v>0</v>
      </c>
      <c r="H464">
        <v>5</v>
      </c>
      <c r="I464">
        <v>1</v>
      </c>
      <c r="J464">
        <v>0.2</v>
      </c>
      <c r="K464">
        <v>0.18179999999999999</v>
      </c>
      <c r="L464">
        <v>0.51</v>
      </c>
      <c r="M464">
        <v>0.28360000000000002</v>
      </c>
      <c r="N464">
        <v>2</v>
      </c>
      <c r="O464">
        <v>66</v>
      </c>
      <c r="P464">
        <v>68</v>
      </c>
    </row>
    <row r="465" spans="1:16" x14ac:dyDescent="0.3">
      <c r="A465">
        <v>464</v>
      </c>
      <c r="B465" s="4">
        <v>40564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3">
      <c r="A466">
        <v>465</v>
      </c>
      <c r="B466" s="4">
        <v>40564</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3">
      <c r="A467">
        <v>466</v>
      </c>
      <c r="B467" s="4">
        <v>40564</v>
      </c>
      <c r="C467">
        <v>1</v>
      </c>
      <c r="D467">
        <v>0</v>
      </c>
      <c r="E467">
        <v>1</v>
      </c>
      <c r="F467">
        <v>10</v>
      </c>
      <c r="G467" t="b">
        <v>0</v>
      </c>
      <c r="H467">
        <v>5</v>
      </c>
      <c r="I467">
        <v>1</v>
      </c>
      <c r="J467">
        <v>0.2</v>
      </c>
      <c r="K467">
        <v>0.16669999999999999</v>
      </c>
      <c r="L467">
        <v>0.47</v>
      </c>
      <c r="M467">
        <v>0.4627</v>
      </c>
      <c r="N467">
        <v>6</v>
      </c>
      <c r="O467">
        <v>57</v>
      </c>
      <c r="P467">
        <v>63</v>
      </c>
    </row>
    <row r="468" spans="1:16" x14ac:dyDescent="0.3">
      <c r="A468">
        <v>467</v>
      </c>
      <c r="B468" s="4">
        <v>40564</v>
      </c>
      <c r="C468">
        <v>1</v>
      </c>
      <c r="D468">
        <v>0</v>
      </c>
      <c r="E468">
        <v>1</v>
      </c>
      <c r="F468">
        <v>11</v>
      </c>
      <c r="G468" t="b">
        <v>0</v>
      </c>
      <c r="H468">
        <v>5</v>
      </c>
      <c r="I468">
        <v>1</v>
      </c>
      <c r="J468">
        <v>0.22</v>
      </c>
      <c r="K468">
        <v>0.18179999999999999</v>
      </c>
      <c r="L468">
        <v>0.41</v>
      </c>
      <c r="M468">
        <v>0.4627</v>
      </c>
      <c r="N468">
        <v>6</v>
      </c>
      <c r="O468">
        <v>53</v>
      </c>
      <c r="P468">
        <v>59</v>
      </c>
    </row>
    <row r="469" spans="1:16" x14ac:dyDescent="0.3">
      <c r="A469">
        <v>468</v>
      </c>
      <c r="B469" s="4">
        <v>40564</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3">
      <c r="A470">
        <v>469</v>
      </c>
      <c r="B470" s="4">
        <v>40564</v>
      </c>
      <c r="C470">
        <v>1</v>
      </c>
      <c r="D470">
        <v>0</v>
      </c>
      <c r="E470">
        <v>1</v>
      </c>
      <c r="F470">
        <v>13</v>
      </c>
      <c r="G470" t="b">
        <v>0</v>
      </c>
      <c r="H470">
        <v>5</v>
      </c>
      <c r="I470">
        <v>1</v>
      </c>
      <c r="J470">
        <v>0.2</v>
      </c>
      <c r="K470">
        <v>0.1515</v>
      </c>
      <c r="L470">
        <v>0.21</v>
      </c>
      <c r="M470">
        <v>0.58209999999999995</v>
      </c>
      <c r="N470">
        <v>8</v>
      </c>
      <c r="O470">
        <v>65</v>
      </c>
      <c r="P470">
        <v>73</v>
      </c>
    </row>
    <row r="471" spans="1:16" x14ac:dyDescent="0.3">
      <c r="A471">
        <v>470</v>
      </c>
      <c r="B471" s="4">
        <v>40564</v>
      </c>
      <c r="C471">
        <v>1</v>
      </c>
      <c r="D471">
        <v>0</v>
      </c>
      <c r="E471">
        <v>1</v>
      </c>
      <c r="F471">
        <v>14</v>
      </c>
      <c r="G471" t="b">
        <v>0</v>
      </c>
      <c r="H471">
        <v>5</v>
      </c>
      <c r="I471">
        <v>1</v>
      </c>
      <c r="J471">
        <v>0.2</v>
      </c>
      <c r="K471">
        <v>0.1515</v>
      </c>
      <c r="L471">
        <v>0.25</v>
      </c>
      <c r="M471">
        <v>0.52239999999999998</v>
      </c>
      <c r="N471">
        <v>6</v>
      </c>
      <c r="O471">
        <v>56</v>
      </c>
      <c r="P471">
        <v>62</v>
      </c>
    </row>
    <row r="472" spans="1:16" x14ac:dyDescent="0.3">
      <c r="A472">
        <v>471</v>
      </c>
      <c r="B472" s="4">
        <v>40564</v>
      </c>
      <c r="C472">
        <v>1</v>
      </c>
      <c r="D472">
        <v>0</v>
      </c>
      <c r="E472">
        <v>1</v>
      </c>
      <c r="F472">
        <v>15</v>
      </c>
      <c r="G472" t="b">
        <v>0</v>
      </c>
      <c r="H472">
        <v>5</v>
      </c>
      <c r="I472">
        <v>1</v>
      </c>
      <c r="J472">
        <v>0.16</v>
      </c>
      <c r="K472">
        <v>0.1212</v>
      </c>
      <c r="L472">
        <v>0.26</v>
      </c>
      <c r="M472">
        <v>0.44779999999999998</v>
      </c>
      <c r="N472">
        <v>4</v>
      </c>
      <c r="O472">
        <v>61</v>
      </c>
      <c r="P472">
        <v>65</v>
      </c>
    </row>
    <row r="473" spans="1:16" x14ac:dyDescent="0.3">
      <c r="A473">
        <v>472</v>
      </c>
      <c r="B473" s="4">
        <v>40564</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3">
      <c r="A474">
        <v>473</v>
      </c>
      <c r="B474" s="4">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3">
      <c r="A475">
        <v>474</v>
      </c>
      <c r="B475" s="4">
        <v>40564</v>
      </c>
      <c r="C475">
        <v>1</v>
      </c>
      <c r="D475">
        <v>0</v>
      </c>
      <c r="E475">
        <v>1</v>
      </c>
      <c r="F475">
        <v>18</v>
      </c>
      <c r="G475" t="b">
        <v>0</v>
      </c>
      <c r="H475">
        <v>5</v>
      </c>
      <c r="I475">
        <v>1</v>
      </c>
      <c r="J475">
        <v>0.12</v>
      </c>
      <c r="K475">
        <v>0.1212</v>
      </c>
      <c r="L475">
        <v>0.3</v>
      </c>
      <c r="M475">
        <v>0.25369999999999998</v>
      </c>
      <c r="N475">
        <v>1</v>
      </c>
      <c r="O475">
        <v>119</v>
      </c>
      <c r="P475">
        <v>120</v>
      </c>
    </row>
    <row r="476" spans="1:16" x14ac:dyDescent="0.3">
      <c r="A476">
        <v>475</v>
      </c>
      <c r="B476" s="4">
        <v>40564</v>
      </c>
      <c r="C476">
        <v>1</v>
      </c>
      <c r="D476">
        <v>0</v>
      </c>
      <c r="E476">
        <v>1</v>
      </c>
      <c r="F476">
        <v>19</v>
      </c>
      <c r="G476" t="b">
        <v>0</v>
      </c>
      <c r="H476">
        <v>5</v>
      </c>
      <c r="I476">
        <v>1</v>
      </c>
      <c r="J476">
        <v>0.12</v>
      </c>
      <c r="K476">
        <v>0.1061</v>
      </c>
      <c r="L476">
        <v>0.3</v>
      </c>
      <c r="M476">
        <v>0.32840000000000003</v>
      </c>
      <c r="N476">
        <v>3</v>
      </c>
      <c r="O476">
        <v>93</v>
      </c>
      <c r="P476">
        <v>96</v>
      </c>
    </row>
    <row r="477" spans="1:16" x14ac:dyDescent="0.3">
      <c r="A477">
        <v>476</v>
      </c>
      <c r="B477" s="4">
        <v>40564</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3">
      <c r="A478">
        <v>477</v>
      </c>
      <c r="B478" s="4">
        <v>40564</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3">
      <c r="A479">
        <v>478</v>
      </c>
      <c r="B479" s="4">
        <v>40564</v>
      </c>
      <c r="C479">
        <v>1</v>
      </c>
      <c r="D479">
        <v>0</v>
      </c>
      <c r="E479">
        <v>1</v>
      </c>
      <c r="F479">
        <v>22</v>
      </c>
      <c r="G479" t="b">
        <v>0</v>
      </c>
      <c r="H479">
        <v>5</v>
      </c>
      <c r="I479">
        <v>1</v>
      </c>
      <c r="J479">
        <v>0.06</v>
      </c>
      <c r="K479">
        <v>3.0300000000000001E-2</v>
      </c>
      <c r="L479">
        <v>0.41</v>
      </c>
      <c r="M479">
        <v>0.3881</v>
      </c>
      <c r="N479">
        <v>1</v>
      </c>
      <c r="O479">
        <v>33</v>
      </c>
      <c r="P479">
        <v>34</v>
      </c>
    </row>
    <row r="480" spans="1:16" x14ac:dyDescent="0.3">
      <c r="A480">
        <v>479</v>
      </c>
      <c r="B480" s="4">
        <v>40564</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3">
      <c r="A481">
        <v>480</v>
      </c>
      <c r="B481" s="4">
        <v>40565</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3">
      <c r="A482">
        <v>481</v>
      </c>
      <c r="B482" s="4">
        <v>40565</v>
      </c>
      <c r="C482">
        <v>1</v>
      </c>
      <c r="D482">
        <v>0</v>
      </c>
      <c r="E482">
        <v>1</v>
      </c>
      <c r="F482">
        <v>1</v>
      </c>
      <c r="G482" t="b">
        <v>0</v>
      </c>
      <c r="H482">
        <v>6</v>
      </c>
      <c r="I482">
        <v>2</v>
      </c>
      <c r="J482">
        <v>0.04</v>
      </c>
      <c r="K482">
        <v>0</v>
      </c>
      <c r="L482">
        <v>0.41</v>
      </c>
      <c r="M482">
        <v>0.3881</v>
      </c>
      <c r="N482">
        <v>3</v>
      </c>
      <c r="O482">
        <v>9</v>
      </c>
      <c r="P482">
        <v>12</v>
      </c>
    </row>
    <row r="483" spans="1:16" x14ac:dyDescent="0.3">
      <c r="A483">
        <v>482</v>
      </c>
      <c r="B483" s="4">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3">
      <c r="A484">
        <v>483</v>
      </c>
      <c r="B484" s="4">
        <v>40565</v>
      </c>
      <c r="C484">
        <v>1</v>
      </c>
      <c r="D484">
        <v>0</v>
      </c>
      <c r="E484">
        <v>1</v>
      </c>
      <c r="F484">
        <v>3</v>
      </c>
      <c r="G484" t="b">
        <v>0</v>
      </c>
      <c r="H484">
        <v>6</v>
      </c>
      <c r="I484">
        <v>2</v>
      </c>
      <c r="J484">
        <v>0.04</v>
      </c>
      <c r="K484">
        <v>3.0300000000000001E-2</v>
      </c>
      <c r="L484">
        <v>0.41</v>
      </c>
      <c r="M484">
        <v>0.28360000000000002</v>
      </c>
      <c r="N484">
        <v>1</v>
      </c>
      <c r="O484">
        <v>6</v>
      </c>
      <c r="P484">
        <v>7</v>
      </c>
    </row>
    <row r="485" spans="1:16" x14ac:dyDescent="0.3">
      <c r="A485">
        <v>484</v>
      </c>
      <c r="B485" s="4">
        <v>40565</v>
      </c>
      <c r="C485">
        <v>1</v>
      </c>
      <c r="D485">
        <v>0</v>
      </c>
      <c r="E485">
        <v>1</v>
      </c>
      <c r="F485">
        <v>4</v>
      </c>
      <c r="G485" t="b">
        <v>0</v>
      </c>
      <c r="H485">
        <v>6</v>
      </c>
      <c r="I485">
        <v>2</v>
      </c>
      <c r="J485">
        <v>0.02</v>
      </c>
      <c r="K485">
        <v>1.52E-2</v>
      </c>
      <c r="L485">
        <v>0.48</v>
      </c>
      <c r="M485">
        <v>0.29849999999999999</v>
      </c>
      <c r="N485">
        <v>0</v>
      </c>
      <c r="O485">
        <v>3</v>
      </c>
      <c r="P485">
        <v>3</v>
      </c>
    </row>
    <row r="486" spans="1:16" x14ac:dyDescent="0.3">
      <c r="A486">
        <v>485</v>
      </c>
      <c r="B486" s="4">
        <v>40565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3">
      <c r="A487">
        <v>486</v>
      </c>
      <c r="B487" s="4">
        <v>40565</v>
      </c>
      <c r="C487">
        <v>1</v>
      </c>
      <c r="D487">
        <v>0</v>
      </c>
      <c r="E487">
        <v>1</v>
      </c>
      <c r="F487">
        <v>7</v>
      </c>
      <c r="G487" t="b">
        <v>0</v>
      </c>
      <c r="H487">
        <v>6</v>
      </c>
      <c r="I487">
        <v>1</v>
      </c>
      <c r="J487">
        <v>0.02</v>
      </c>
      <c r="K487">
        <v>1.52E-2</v>
      </c>
      <c r="L487">
        <v>0.44</v>
      </c>
      <c r="M487">
        <v>0.28360000000000002</v>
      </c>
      <c r="N487">
        <v>0</v>
      </c>
      <c r="O487">
        <v>8</v>
      </c>
      <c r="P487">
        <v>8</v>
      </c>
    </row>
    <row r="488" spans="1:16" x14ac:dyDescent="0.3">
      <c r="A488">
        <v>487</v>
      </c>
      <c r="B488" s="4">
        <v>40565</v>
      </c>
      <c r="C488">
        <v>1</v>
      </c>
      <c r="D488">
        <v>0</v>
      </c>
      <c r="E488">
        <v>1</v>
      </c>
      <c r="F488">
        <v>8</v>
      </c>
      <c r="G488" t="b">
        <v>0</v>
      </c>
      <c r="H488">
        <v>6</v>
      </c>
      <c r="I488">
        <v>1</v>
      </c>
      <c r="J488">
        <v>0.02</v>
      </c>
      <c r="K488">
        <v>0</v>
      </c>
      <c r="L488">
        <v>0.44</v>
      </c>
      <c r="M488">
        <v>0.32840000000000003</v>
      </c>
      <c r="N488">
        <v>1</v>
      </c>
      <c r="O488">
        <v>26</v>
      </c>
      <c r="P488">
        <v>27</v>
      </c>
    </row>
    <row r="489" spans="1:16" x14ac:dyDescent="0.3">
      <c r="A489">
        <v>488</v>
      </c>
      <c r="B489" s="4">
        <v>40565</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3">
      <c r="A490">
        <v>489</v>
      </c>
      <c r="B490" s="4">
        <v>40565</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3">
      <c r="A491">
        <v>490</v>
      </c>
      <c r="B491" s="4">
        <v>40565</v>
      </c>
      <c r="C491">
        <v>1</v>
      </c>
      <c r="D491">
        <v>0</v>
      </c>
      <c r="E491">
        <v>1</v>
      </c>
      <c r="F491">
        <v>11</v>
      </c>
      <c r="G491" t="b">
        <v>0</v>
      </c>
      <c r="H491">
        <v>6</v>
      </c>
      <c r="I491">
        <v>2</v>
      </c>
      <c r="J491">
        <v>0.06</v>
      </c>
      <c r="K491">
        <v>7.5800000000000006E-2</v>
      </c>
      <c r="L491">
        <v>0.38</v>
      </c>
      <c r="M491">
        <v>0.1343</v>
      </c>
      <c r="N491">
        <v>4</v>
      </c>
      <c r="O491">
        <v>59</v>
      </c>
      <c r="P491">
        <v>63</v>
      </c>
    </row>
    <row r="492" spans="1:16" x14ac:dyDescent="0.3">
      <c r="A492">
        <v>491</v>
      </c>
      <c r="B492" s="4">
        <v>40565</v>
      </c>
      <c r="C492">
        <v>1</v>
      </c>
      <c r="D492">
        <v>0</v>
      </c>
      <c r="E492">
        <v>1</v>
      </c>
      <c r="F492">
        <v>12</v>
      </c>
      <c r="G492" t="b">
        <v>0</v>
      </c>
      <c r="H492">
        <v>6</v>
      </c>
      <c r="I492">
        <v>2</v>
      </c>
      <c r="J492">
        <v>0.06</v>
      </c>
      <c r="K492">
        <v>0.1061</v>
      </c>
      <c r="L492">
        <v>0.38</v>
      </c>
      <c r="M492">
        <v>0.1045</v>
      </c>
      <c r="N492">
        <v>10</v>
      </c>
      <c r="O492">
        <v>60</v>
      </c>
      <c r="P492">
        <v>70</v>
      </c>
    </row>
    <row r="493" spans="1:16" x14ac:dyDescent="0.3">
      <c r="A493">
        <v>492</v>
      </c>
      <c r="B493" s="4">
        <v>40565</v>
      </c>
      <c r="C493">
        <v>1</v>
      </c>
      <c r="D493">
        <v>0</v>
      </c>
      <c r="E493">
        <v>1</v>
      </c>
      <c r="F493">
        <v>13</v>
      </c>
      <c r="G493" t="b">
        <v>0</v>
      </c>
      <c r="H493">
        <v>6</v>
      </c>
      <c r="I493">
        <v>1</v>
      </c>
      <c r="J493">
        <v>0.08</v>
      </c>
      <c r="K493">
        <v>0.16669999999999999</v>
      </c>
      <c r="L493">
        <v>0.35</v>
      </c>
      <c r="M493">
        <v>0</v>
      </c>
      <c r="N493">
        <v>12</v>
      </c>
      <c r="O493">
        <v>72</v>
      </c>
      <c r="P493">
        <v>84</v>
      </c>
    </row>
    <row r="494" spans="1:16" x14ac:dyDescent="0.3">
      <c r="A494">
        <v>493</v>
      </c>
      <c r="B494" s="4">
        <v>40565</v>
      </c>
      <c r="C494">
        <v>1</v>
      </c>
      <c r="D494">
        <v>0</v>
      </c>
      <c r="E494">
        <v>1</v>
      </c>
      <c r="F494">
        <v>14</v>
      </c>
      <c r="G494" t="b">
        <v>0</v>
      </c>
      <c r="H494">
        <v>6</v>
      </c>
      <c r="I494">
        <v>1</v>
      </c>
      <c r="J494">
        <v>0.1</v>
      </c>
      <c r="K494">
        <v>0.13639999999999999</v>
      </c>
      <c r="L494">
        <v>0.33</v>
      </c>
      <c r="M494">
        <v>0.1045</v>
      </c>
      <c r="N494">
        <v>11</v>
      </c>
      <c r="O494">
        <v>64</v>
      </c>
      <c r="P494">
        <v>75</v>
      </c>
    </row>
    <row r="495" spans="1:16" x14ac:dyDescent="0.3">
      <c r="A495">
        <v>494</v>
      </c>
      <c r="B495" s="4">
        <v>40565</v>
      </c>
      <c r="C495">
        <v>1</v>
      </c>
      <c r="D495">
        <v>0</v>
      </c>
      <c r="E495">
        <v>1</v>
      </c>
      <c r="F495">
        <v>15</v>
      </c>
      <c r="G495" t="b">
        <v>0</v>
      </c>
      <c r="H495">
        <v>6</v>
      </c>
      <c r="I495">
        <v>1</v>
      </c>
      <c r="J495">
        <v>0.12</v>
      </c>
      <c r="K495">
        <v>0.1515</v>
      </c>
      <c r="L495">
        <v>0.28000000000000003</v>
      </c>
      <c r="M495">
        <v>0</v>
      </c>
      <c r="N495">
        <v>10</v>
      </c>
      <c r="O495">
        <v>93</v>
      </c>
      <c r="P495">
        <v>103</v>
      </c>
    </row>
    <row r="496" spans="1:16" x14ac:dyDescent="0.3">
      <c r="A496">
        <v>495</v>
      </c>
      <c r="B496" s="4">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3">
      <c r="A497">
        <v>496</v>
      </c>
      <c r="B497" s="4">
        <v>40565</v>
      </c>
      <c r="C497">
        <v>1</v>
      </c>
      <c r="D497">
        <v>0</v>
      </c>
      <c r="E497">
        <v>1</v>
      </c>
      <c r="F497">
        <v>17</v>
      </c>
      <c r="G497" t="b">
        <v>0</v>
      </c>
      <c r="H497">
        <v>6</v>
      </c>
      <c r="I497">
        <v>1</v>
      </c>
      <c r="J497">
        <v>0.12</v>
      </c>
      <c r="K497">
        <v>0.19700000000000001</v>
      </c>
      <c r="L497">
        <v>0.28000000000000003</v>
      </c>
      <c r="M497">
        <v>0</v>
      </c>
      <c r="N497">
        <v>8</v>
      </c>
      <c r="O497">
        <v>59</v>
      </c>
      <c r="P497">
        <v>67</v>
      </c>
    </row>
    <row r="498" spans="1:16" x14ac:dyDescent="0.3">
      <c r="A498">
        <v>497</v>
      </c>
      <c r="B498" s="4">
        <v>40565</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3">
      <c r="A499">
        <v>498</v>
      </c>
      <c r="B499" s="4">
        <v>40565</v>
      </c>
      <c r="C499">
        <v>1</v>
      </c>
      <c r="D499">
        <v>0</v>
      </c>
      <c r="E499">
        <v>1</v>
      </c>
      <c r="F499">
        <v>19</v>
      </c>
      <c r="G499" t="b">
        <v>0</v>
      </c>
      <c r="H499">
        <v>6</v>
      </c>
      <c r="I499">
        <v>1</v>
      </c>
      <c r="J499">
        <v>0.08</v>
      </c>
      <c r="K499">
        <v>0.1061</v>
      </c>
      <c r="L499">
        <v>0.35</v>
      </c>
      <c r="M499">
        <v>0.1343</v>
      </c>
      <c r="N499">
        <v>6</v>
      </c>
      <c r="O499">
        <v>53</v>
      </c>
      <c r="P499">
        <v>59</v>
      </c>
    </row>
    <row r="500" spans="1:16" x14ac:dyDescent="0.3">
      <c r="A500">
        <v>499</v>
      </c>
      <c r="B500" s="4">
        <v>40565</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3">
      <c r="A501">
        <v>500</v>
      </c>
      <c r="B501" s="4">
        <v>40565</v>
      </c>
      <c r="C501">
        <v>1</v>
      </c>
      <c r="D501">
        <v>0</v>
      </c>
      <c r="E501">
        <v>1</v>
      </c>
      <c r="F501">
        <v>21</v>
      </c>
      <c r="G501" t="b">
        <v>0</v>
      </c>
      <c r="H501">
        <v>6</v>
      </c>
      <c r="I501">
        <v>1</v>
      </c>
      <c r="J501">
        <v>0.06</v>
      </c>
      <c r="K501">
        <v>0.1061</v>
      </c>
      <c r="L501">
        <v>0.41</v>
      </c>
      <c r="M501">
        <v>8.9599999999999999E-2</v>
      </c>
      <c r="N501">
        <v>0</v>
      </c>
      <c r="O501">
        <v>39</v>
      </c>
      <c r="P501">
        <v>39</v>
      </c>
    </row>
    <row r="502" spans="1:16" x14ac:dyDescent="0.3">
      <c r="A502">
        <v>501</v>
      </c>
      <c r="B502" s="4">
        <v>40565</v>
      </c>
      <c r="C502">
        <v>1</v>
      </c>
      <c r="D502">
        <v>0</v>
      </c>
      <c r="E502">
        <v>1</v>
      </c>
      <c r="F502">
        <v>22</v>
      </c>
      <c r="G502" t="b">
        <v>0</v>
      </c>
      <c r="H502">
        <v>6</v>
      </c>
      <c r="I502">
        <v>1</v>
      </c>
      <c r="J502">
        <v>0.06</v>
      </c>
      <c r="K502">
        <v>0.1515</v>
      </c>
      <c r="L502">
        <v>0.49</v>
      </c>
      <c r="M502">
        <v>0</v>
      </c>
      <c r="N502">
        <v>7</v>
      </c>
      <c r="O502">
        <v>23</v>
      </c>
      <c r="P502">
        <v>30</v>
      </c>
    </row>
    <row r="503" spans="1:16" x14ac:dyDescent="0.3">
      <c r="A503">
        <v>502</v>
      </c>
      <c r="B503" s="4">
        <v>40565</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3">
      <c r="A504">
        <v>503</v>
      </c>
      <c r="B504" s="4">
        <v>40566</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3">
      <c r="A505">
        <v>504</v>
      </c>
      <c r="B505" s="4">
        <v>40566</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3">
      <c r="A506">
        <v>505</v>
      </c>
      <c r="B506" s="4">
        <v>40566</v>
      </c>
      <c r="C506">
        <v>1</v>
      </c>
      <c r="D506">
        <v>0</v>
      </c>
      <c r="E506">
        <v>1</v>
      </c>
      <c r="F506">
        <v>2</v>
      </c>
      <c r="G506" t="b">
        <v>0</v>
      </c>
      <c r="H506">
        <v>0</v>
      </c>
      <c r="I506">
        <v>1</v>
      </c>
      <c r="J506">
        <v>0.02</v>
      </c>
      <c r="K506">
        <v>6.0600000000000001E-2</v>
      </c>
      <c r="L506">
        <v>0.62</v>
      </c>
      <c r="M506">
        <v>0.1343</v>
      </c>
      <c r="N506">
        <v>3</v>
      </c>
      <c r="O506">
        <v>15</v>
      </c>
      <c r="P506">
        <v>18</v>
      </c>
    </row>
    <row r="507" spans="1:16" x14ac:dyDescent="0.3">
      <c r="A507">
        <v>506</v>
      </c>
      <c r="B507" s="4">
        <v>40566</v>
      </c>
      <c r="C507">
        <v>1</v>
      </c>
      <c r="D507">
        <v>0</v>
      </c>
      <c r="E507">
        <v>1</v>
      </c>
      <c r="F507">
        <v>3</v>
      </c>
      <c r="G507" t="b">
        <v>0</v>
      </c>
      <c r="H507">
        <v>0</v>
      </c>
      <c r="I507">
        <v>1</v>
      </c>
      <c r="J507">
        <v>0.02</v>
      </c>
      <c r="K507">
        <v>6.0600000000000001E-2</v>
      </c>
      <c r="L507">
        <v>0.62</v>
      </c>
      <c r="M507">
        <v>0.1343</v>
      </c>
      <c r="N507">
        <v>1</v>
      </c>
      <c r="O507">
        <v>4</v>
      </c>
      <c r="P507">
        <v>5</v>
      </c>
    </row>
    <row r="508" spans="1:16" x14ac:dyDescent="0.3">
      <c r="A508">
        <v>507</v>
      </c>
      <c r="B508" s="4">
        <v>40566</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3">
      <c r="A509">
        <v>508</v>
      </c>
      <c r="B509" s="4">
        <v>40566</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3">
      <c r="A510">
        <v>509</v>
      </c>
      <c r="B510" s="4">
        <v>40566</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3">
      <c r="A511">
        <v>510</v>
      </c>
      <c r="B511" s="4">
        <v>40566</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3">
      <c r="A512">
        <v>511</v>
      </c>
      <c r="B512" s="4">
        <v>40566</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3">
      <c r="A513">
        <v>512</v>
      </c>
      <c r="B513" s="4">
        <v>40566</v>
      </c>
      <c r="C513">
        <v>1</v>
      </c>
      <c r="D513">
        <v>0</v>
      </c>
      <c r="E513">
        <v>1</v>
      </c>
      <c r="F513">
        <v>10</v>
      </c>
      <c r="G513" t="b">
        <v>0</v>
      </c>
      <c r="H513">
        <v>0</v>
      </c>
      <c r="I513">
        <v>1</v>
      </c>
      <c r="J513">
        <v>0.14000000000000001</v>
      </c>
      <c r="K513">
        <v>0.1061</v>
      </c>
      <c r="L513">
        <v>0.46</v>
      </c>
      <c r="M513">
        <v>0.3881</v>
      </c>
      <c r="N513">
        <v>7</v>
      </c>
      <c r="O513">
        <v>51</v>
      </c>
      <c r="P513">
        <v>58</v>
      </c>
    </row>
    <row r="514" spans="1:16" x14ac:dyDescent="0.3">
      <c r="A514">
        <v>513</v>
      </c>
      <c r="B514" s="4">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3">
      <c r="A515">
        <v>514</v>
      </c>
      <c r="B515" s="4">
        <v>40566</v>
      </c>
      <c r="C515">
        <v>1</v>
      </c>
      <c r="D515">
        <v>0</v>
      </c>
      <c r="E515">
        <v>1</v>
      </c>
      <c r="F515">
        <v>12</v>
      </c>
      <c r="G515" t="b">
        <v>0</v>
      </c>
      <c r="H515">
        <v>0</v>
      </c>
      <c r="I515">
        <v>1</v>
      </c>
      <c r="J515">
        <v>0.16</v>
      </c>
      <c r="K515">
        <v>0.1212</v>
      </c>
      <c r="L515">
        <v>0.37</v>
      </c>
      <c r="M515">
        <v>0.4627</v>
      </c>
      <c r="N515">
        <v>24</v>
      </c>
      <c r="O515">
        <v>92</v>
      </c>
      <c r="P515">
        <v>116</v>
      </c>
    </row>
    <row r="516" spans="1:16" x14ac:dyDescent="0.3">
      <c r="A516">
        <v>515</v>
      </c>
      <c r="B516" s="4">
        <v>40566</v>
      </c>
      <c r="C516">
        <v>1</v>
      </c>
      <c r="D516">
        <v>0</v>
      </c>
      <c r="E516">
        <v>1</v>
      </c>
      <c r="F516">
        <v>13</v>
      </c>
      <c r="G516" t="b">
        <v>0</v>
      </c>
      <c r="H516">
        <v>0</v>
      </c>
      <c r="I516">
        <v>1</v>
      </c>
      <c r="J516">
        <v>0.14000000000000001</v>
      </c>
      <c r="K516">
        <v>0.1061</v>
      </c>
      <c r="L516">
        <v>0.33</v>
      </c>
      <c r="M516">
        <v>0.3881</v>
      </c>
      <c r="N516">
        <v>12</v>
      </c>
      <c r="O516">
        <v>75</v>
      </c>
      <c r="P516">
        <v>87</v>
      </c>
    </row>
    <row r="517" spans="1:16" x14ac:dyDescent="0.3">
      <c r="A517">
        <v>516</v>
      </c>
      <c r="B517" s="4">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3">
      <c r="A518">
        <v>517</v>
      </c>
      <c r="B518" s="4">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3">
      <c r="A519">
        <v>518</v>
      </c>
      <c r="B519" s="4">
        <v>40566</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3">
      <c r="A520">
        <v>519</v>
      </c>
      <c r="B520" s="4">
        <v>40566</v>
      </c>
      <c r="C520">
        <v>1</v>
      </c>
      <c r="D520">
        <v>0</v>
      </c>
      <c r="E520">
        <v>1</v>
      </c>
      <c r="F520">
        <v>17</v>
      </c>
      <c r="G520" t="b">
        <v>0</v>
      </c>
      <c r="H520">
        <v>0</v>
      </c>
      <c r="I520">
        <v>1</v>
      </c>
      <c r="J520">
        <v>0.14000000000000001</v>
      </c>
      <c r="K520">
        <v>0.1061</v>
      </c>
      <c r="L520">
        <v>0.26</v>
      </c>
      <c r="M520">
        <v>0.3881</v>
      </c>
      <c r="N520">
        <v>5</v>
      </c>
      <c r="O520">
        <v>50</v>
      </c>
      <c r="P520">
        <v>55</v>
      </c>
    </row>
    <row r="521" spans="1:16" x14ac:dyDescent="0.3">
      <c r="A521">
        <v>520</v>
      </c>
      <c r="B521" s="4">
        <v>40566</v>
      </c>
      <c r="C521">
        <v>1</v>
      </c>
      <c r="D521">
        <v>0</v>
      </c>
      <c r="E521">
        <v>1</v>
      </c>
      <c r="F521">
        <v>18</v>
      </c>
      <c r="G521" t="b">
        <v>0</v>
      </c>
      <c r="H521">
        <v>0</v>
      </c>
      <c r="I521">
        <v>1</v>
      </c>
      <c r="J521">
        <v>0.12</v>
      </c>
      <c r="K521">
        <v>0.1212</v>
      </c>
      <c r="L521">
        <v>0.3</v>
      </c>
      <c r="M521">
        <v>0.25369999999999998</v>
      </c>
      <c r="N521">
        <v>5</v>
      </c>
      <c r="O521">
        <v>44</v>
      </c>
      <c r="P521">
        <v>49</v>
      </c>
    </row>
    <row r="522" spans="1:16" x14ac:dyDescent="0.3">
      <c r="A522">
        <v>521</v>
      </c>
      <c r="B522" s="4">
        <v>40566</v>
      </c>
      <c r="C522">
        <v>1</v>
      </c>
      <c r="D522">
        <v>0</v>
      </c>
      <c r="E522">
        <v>1</v>
      </c>
      <c r="F522">
        <v>19</v>
      </c>
      <c r="G522" t="b">
        <v>0</v>
      </c>
      <c r="H522">
        <v>0</v>
      </c>
      <c r="I522">
        <v>1</v>
      </c>
      <c r="J522">
        <v>0.12</v>
      </c>
      <c r="K522">
        <v>0.1212</v>
      </c>
      <c r="L522">
        <v>0.3</v>
      </c>
      <c r="M522">
        <v>0.28360000000000002</v>
      </c>
      <c r="N522">
        <v>5</v>
      </c>
      <c r="O522">
        <v>45</v>
      </c>
      <c r="P522">
        <v>50</v>
      </c>
    </row>
    <row r="523" spans="1:16" x14ac:dyDescent="0.3">
      <c r="A523">
        <v>522</v>
      </c>
      <c r="B523" s="4">
        <v>40566</v>
      </c>
      <c r="C523">
        <v>1</v>
      </c>
      <c r="D523">
        <v>0</v>
      </c>
      <c r="E523">
        <v>1</v>
      </c>
      <c r="F523">
        <v>20</v>
      </c>
      <c r="G523" t="b">
        <v>0</v>
      </c>
      <c r="H523">
        <v>0</v>
      </c>
      <c r="I523">
        <v>1</v>
      </c>
      <c r="J523">
        <v>0.1</v>
      </c>
      <c r="K523">
        <v>0.1061</v>
      </c>
      <c r="L523">
        <v>0.36</v>
      </c>
      <c r="M523">
        <v>0.25369999999999998</v>
      </c>
      <c r="N523">
        <v>4</v>
      </c>
      <c r="O523">
        <v>31</v>
      </c>
      <c r="P523">
        <v>35</v>
      </c>
    </row>
    <row r="524" spans="1:16" x14ac:dyDescent="0.3">
      <c r="A524">
        <v>523</v>
      </c>
      <c r="B524" s="4">
        <v>40566</v>
      </c>
      <c r="C524">
        <v>1</v>
      </c>
      <c r="D524">
        <v>0</v>
      </c>
      <c r="E524">
        <v>1</v>
      </c>
      <c r="F524">
        <v>21</v>
      </c>
      <c r="G524" t="b">
        <v>0</v>
      </c>
      <c r="H524">
        <v>0</v>
      </c>
      <c r="I524">
        <v>1</v>
      </c>
      <c r="J524">
        <v>0.1</v>
      </c>
      <c r="K524">
        <v>0.1061</v>
      </c>
      <c r="L524">
        <v>0.36</v>
      </c>
      <c r="M524">
        <v>0.19400000000000001</v>
      </c>
      <c r="N524">
        <v>5</v>
      </c>
      <c r="O524">
        <v>20</v>
      </c>
      <c r="P524">
        <v>25</v>
      </c>
    </row>
    <row r="525" spans="1:16" x14ac:dyDescent="0.3">
      <c r="A525">
        <v>524</v>
      </c>
      <c r="B525" s="4">
        <v>40566</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3">
      <c r="A526">
        <v>525</v>
      </c>
      <c r="B526" s="4">
        <v>40566</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3">
      <c r="A527">
        <v>526</v>
      </c>
      <c r="B527" s="4">
        <v>40567</v>
      </c>
      <c r="C527">
        <v>1</v>
      </c>
      <c r="D527">
        <v>0</v>
      </c>
      <c r="E527">
        <v>1</v>
      </c>
      <c r="F527">
        <v>0</v>
      </c>
      <c r="G527" t="b">
        <v>0</v>
      </c>
      <c r="H527">
        <v>1</v>
      </c>
      <c r="I527">
        <v>1</v>
      </c>
      <c r="J527">
        <v>0.06</v>
      </c>
      <c r="K527">
        <v>6.0600000000000001E-2</v>
      </c>
      <c r="L527">
        <v>0.41</v>
      </c>
      <c r="M527">
        <v>0.19400000000000001</v>
      </c>
      <c r="N527">
        <v>0</v>
      </c>
      <c r="O527">
        <v>7</v>
      </c>
      <c r="P527">
        <v>7</v>
      </c>
    </row>
    <row r="528" spans="1:16" x14ac:dyDescent="0.3">
      <c r="A528">
        <v>527</v>
      </c>
      <c r="B528" s="4">
        <v>40567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3">
      <c r="A529">
        <v>528</v>
      </c>
      <c r="B529" s="4">
        <v>40567</v>
      </c>
      <c r="C529">
        <v>1</v>
      </c>
      <c r="D529">
        <v>0</v>
      </c>
      <c r="E529">
        <v>1</v>
      </c>
      <c r="F529">
        <v>3</v>
      </c>
      <c r="G529" t="b">
        <v>0</v>
      </c>
      <c r="H529">
        <v>1</v>
      </c>
      <c r="I529">
        <v>1</v>
      </c>
      <c r="J529">
        <v>0.04</v>
      </c>
      <c r="K529">
        <v>3.0300000000000001E-2</v>
      </c>
      <c r="L529">
        <v>0.45</v>
      </c>
      <c r="M529">
        <v>0.25369999999999998</v>
      </c>
      <c r="N529">
        <v>0</v>
      </c>
      <c r="O529">
        <v>1</v>
      </c>
      <c r="P529">
        <v>1</v>
      </c>
    </row>
    <row r="530" spans="1:16" x14ac:dyDescent="0.3">
      <c r="A530">
        <v>529</v>
      </c>
      <c r="B530" s="4">
        <v>40567</v>
      </c>
      <c r="C530">
        <v>1</v>
      </c>
      <c r="D530">
        <v>0</v>
      </c>
      <c r="E530">
        <v>1</v>
      </c>
      <c r="F530">
        <v>4</v>
      </c>
      <c r="G530" t="b">
        <v>0</v>
      </c>
      <c r="H530">
        <v>1</v>
      </c>
      <c r="I530">
        <v>1</v>
      </c>
      <c r="J530">
        <v>0.02</v>
      </c>
      <c r="K530">
        <v>6.0600000000000001E-2</v>
      </c>
      <c r="L530">
        <v>0.48</v>
      </c>
      <c r="M530">
        <v>0.1343</v>
      </c>
      <c r="N530">
        <v>0</v>
      </c>
      <c r="O530">
        <v>1</v>
      </c>
      <c r="P530">
        <v>1</v>
      </c>
    </row>
    <row r="531" spans="1:16" x14ac:dyDescent="0.3">
      <c r="A531">
        <v>530</v>
      </c>
      <c r="B531" s="4">
        <v>40567</v>
      </c>
      <c r="C531">
        <v>1</v>
      </c>
      <c r="D531">
        <v>0</v>
      </c>
      <c r="E531">
        <v>1</v>
      </c>
      <c r="F531">
        <v>5</v>
      </c>
      <c r="G531" t="b">
        <v>0</v>
      </c>
      <c r="H531">
        <v>1</v>
      </c>
      <c r="I531">
        <v>1</v>
      </c>
      <c r="J531">
        <v>0.02</v>
      </c>
      <c r="K531">
        <v>6.0600000000000001E-2</v>
      </c>
      <c r="L531">
        <v>0.48</v>
      </c>
      <c r="M531">
        <v>0.1343</v>
      </c>
      <c r="N531">
        <v>0</v>
      </c>
      <c r="O531">
        <v>5</v>
      </c>
      <c r="P531">
        <v>5</v>
      </c>
    </row>
    <row r="532" spans="1:16" x14ac:dyDescent="0.3">
      <c r="A532">
        <v>531</v>
      </c>
      <c r="B532" s="4">
        <v>40567</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3">
      <c r="A533">
        <v>532</v>
      </c>
      <c r="B533" s="4">
        <v>40567</v>
      </c>
      <c r="C533">
        <v>1</v>
      </c>
      <c r="D533">
        <v>0</v>
      </c>
      <c r="E533">
        <v>1</v>
      </c>
      <c r="F533">
        <v>7</v>
      </c>
      <c r="G533" t="b">
        <v>0</v>
      </c>
      <c r="H533">
        <v>1</v>
      </c>
      <c r="I533">
        <v>1</v>
      </c>
      <c r="J533">
        <v>0.02</v>
      </c>
      <c r="K533">
        <v>0.1212</v>
      </c>
      <c r="L533">
        <v>0.48</v>
      </c>
      <c r="M533">
        <v>0</v>
      </c>
      <c r="N533">
        <v>5</v>
      </c>
      <c r="O533">
        <v>79</v>
      </c>
      <c r="P533">
        <v>84</v>
      </c>
    </row>
    <row r="534" spans="1:16" x14ac:dyDescent="0.3">
      <c r="A534">
        <v>533</v>
      </c>
      <c r="B534" s="4">
        <v>40567</v>
      </c>
      <c r="C534">
        <v>1</v>
      </c>
      <c r="D534">
        <v>0</v>
      </c>
      <c r="E534">
        <v>1</v>
      </c>
      <c r="F534">
        <v>8</v>
      </c>
      <c r="G534" t="b">
        <v>0</v>
      </c>
      <c r="H534">
        <v>1</v>
      </c>
      <c r="I534">
        <v>1</v>
      </c>
      <c r="J534">
        <v>0.04</v>
      </c>
      <c r="K534">
        <v>0.13639999999999999</v>
      </c>
      <c r="L534">
        <v>0.49</v>
      </c>
      <c r="M534">
        <v>0</v>
      </c>
      <c r="N534">
        <v>6</v>
      </c>
      <c r="O534">
        <v>171</v>
      </c>
      <c r="P534">
        <v>177</v>
      </c>
    </row>
    <row r="535" spans="1:16" x14ac:dyDescent="0.3">
      <c r="A535">
        <v>534</v>
      </c>
      <c r="B535" s="4">
        <v>40567</v>
      </c>
      <c r="C535">
        <v>1</v>
      </c>
      <c r="D535">
        <v>0</v>
      </c>
      <c r="E535">
        <v>1</v>
      </c>
      <c r="F535">
        <v>9</v>
      </c>
      <c r="G535" t="b">
        <v>0</v>
      </c>
      <c r="H535">
        <v>1</v>
      </c>
      <c r="I535">
        <v>1</v>
      </c>
      <c r="J535">
        <v>0.06</v>
      </c>
      <c r="K535">
        <v>0.1515</v>
      </c>
      <c r="L535">
        <v>0.41</v>
      </c>
      <c r="M535">
        <v>0</v>
      </c>
      <c r="N535">
        <v>4</v>
      </c>
      <c r="O535">
        <v>98</v>
      </c>
      <c r="P535">
        <v>102</v>
      </c>
    </row>
    <row r="536" spans="1:16" x14ac:dyDescent="0.3">
      <c r="A536">
        <v>535</v>
      </c>
      <c r="B536" s="4">
        <v>40567</v>
      </c>
      <c r="C536">
        <v>1</v>
      </c>
      <c r="D536">
        <v>0</v>
      </c>
      <c r="E536">
        <v>1</v>
      </c>
      <c r="F536">
        <v>10</v>
      </c>
      <c r="G536" t="b">
        <v>0</v>
      </c>
      <c r="H536">
        <v>1</v>
      </c>
      <c r="I536">
        <v>1</v>
      </c>
      <c r="J536">
        <v>0.1</v>
      </c>
      <c r="K536">
        <v>0.13639999999999999</v>
      </c>
      <c r="L536">
        <v>0.42</v>
      </c>
      <c r="M536">
        <v>0</v>
      </c>
      <c r="N536">
        <v>6</v>
      </c>
      <c r="O536">
        <v>34</v>
      </c>
      <c r="P536">
        <v>40</v>
      </c>
    </row>
    <row r="537" spans="1:16" x14ac:dyDescent="0.3">
      <c r="A537">
        <v>536</v>
      </c>
      <c r="B537" s="4">
        <v>40567</v>
      </c>
      <c r="C537">
        <v>1</v>
      </c>
      <c r="D537">
        <v>0</v>
      </c>
      <c r="E537">
        <v>1</v>
      </c>
      <c r="F537">
        <v>11</v>
      </c>
      <c r="G537" t="b">
        <v>0</v>
      </c>
      <c r="H537">
        <v>1</v>
      </c>
      <c r="I537">
        <v>1</v>
      </c>
      <c r="J537">
        <v>0.1</v>
      </c>
      <c r="K537">
        <v>0.1212</v>
      </c>
      <c r="L537">
        <v>0.46</v>
      </c>
      <c r="M537">
        <v>0.1343</v>
      </c>
      <c r="N537">
        <v>3</v>
      </c>
      <c r="O537">
        <v>43</v>
      </c>
      <c r="P537">
        <v>46</v>
      </c>
    </row>
    <row r="538" spans="1:16" x14ac:dyDescent="0.3">
      <c r="A538">
        <v>537</v>
      </c>
      <c r="B538" s="4">
        <v>40567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3">
      <c r="A539">
        <v>538</v>
      </c>
      <c r="B539" s="4">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3">
      <c r="A540">
        <v>539</v>
      </c>
      <c r="B540" s="4">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3">
      <c r="A541">
        <v>540</v>
      </c>
      <c r="B541" s="4">
        <v>40567</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3">
      <c r="A542">
        <v>541</v>
      </c>
      <c r="B542" s="4">
        <v>40567</v>
      </c>
      <c r="C542">
        <v>1</v>
      </c>
      <c r="D542">
        <v>0</v>
      </c>
      <c r="E542">
        <v>1</v>
      </c>
      <c r="F542">
        <v>16</v>
      </c>
      <c r="G542" t="b">
        <v>0</v>
      </c>
      <c r="H542">
        <v>1</v>
      </c>
      <c r="I542">
        <v>1</v>
      </c>
      <c r="J542">
        <v>0.16</v>
      </c>
      <c r="K542">
        <v>0.1515</v>
      </c>
      <c r="L542">
        <v>0.47</v>
      </c>
      <c r="M542">
        <v>0.25369999999999998</v>
      </c>
      <c r="N542">
        <v>4</v>
      </c>
      <c r="O542">
        <v>66</v>
      </c>
      <c r="P542">
        <v>70</v>
      </c>
    </row>
    <row r="543" spans="1:16" x14ac:dyDescent="0.3">
      <c r="A543">
        <v>542</v>
      </c>
      <c r="B543" s="4">
        <v>40567</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3">
      <c r="A544">
        <v>543</v>
      </c>
      <c r="B544" s="4">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3">
      <c r="A545">
        <v>544</v>
      </c>
      <c r="B545" s="4">
        <v>40567</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3">
      <c r="A546">
        <v>545</v>
      </c>
      <c r="B546" s="4">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3">
      <c r="A547">
        <v>546</v>
      </c>
      <c r="B547" s="4">
        <v>40567</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3">
      <c r="A548">
        <v>547</v>
      </c>
      <c r="B548" s="4">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3">
      <c r="A549">
        <v>548</v>
      </c>
      <c r="B549" s="4">
        <v>40567</v>
      </c>
      <c r="C549">
        <v>1</v>
      </c>
      <c r="D549">
        <v>0</v>
      </c>
      <c r="E549">
        <v>1</v>
      </c>
      <c r="F549">
        <v>23</v>
      </c>
      <c r="G549" t="b">
        <v>0</v>
      </c>
      <c r="H549">
        <v>1</v>
      </c>
      <c r="I549">
        <v>2</v>
      </c>
      <c r="J549">
        <v>0.16</v>
      </c>
      <c r="K549">
        <v>0.1515</v>
      </c>
      <c r="L549">
        <v>0.64</v>
      </c>
      <c r="M549">
        <v>0.25369999999999998</v>
      </c>
      <c r="N549">
        <v>3</v>
      </c>
      <c r="O549">
        <v>21</v>
      </c>
      <c r="P549">
        <v>24</v>
      </c>
    </row>
    <row r="550" spans="1:16" x14ac:dyDescent="0.3">
      <c r="A550">
        <v>549</v>
      </c>
      <c r="B550" s="4">
        <v>40568</v>
      </c>
      <c r="C550">
        <v>1</v>
      </c>
      <c r="D550">
        <v>0</v>
      </c>
      <c r="E550">
        <v>1</v>
      </c>
      <c r="F550">
        <v>0</v>
      </c>
      <c r="G550" t="b">
        <v>0</v>
      </c>
      <c r="H550">
        <v>2</v>
      </c>
      <c r="I550">
        <v>2</v>
      </c>
      <c r="J550">
        <v>0.16</v>
      </c>
      <c r="K550">
        <v>0.13639999999999999</v>
      </c>
      <c r="L550">
        <v>0.69</v>
      </c>
      <c r="M550">
        <v>0.28360000000000002</v>
      </c>
      <c r="N550">
        <v>3</v>
      </c>
      <c r="O550">
        <v>6</v>
      </c>
      <c r="P550">
        <v>9</v>
      </c>
    </row>
    <row r="551" spans="1:16" x14ac:dyDescent="0.3">
      <c r="A551">
        <v>550</v>
      </c>
      <c r="B551" s="4">
        <v>40568</v>
      </c>
      <c r="C551">
        <v>1</v>
      </c>
      <c r="D551">
        <v>0</v>
      </c>
      <c r="E551">
        <v>1</v>
      </c>
      <c r="F551">
        <v>1</v>
      </c>
      <c r="G551" t="b">
        <v>0</v>
      </c>
      <c r="H551">
        <v>2</v>
      </c>
      <c r="I551">
        <v>2</v>
      </c>
      <c r="J551">
        <v>0.16</v>
      </c>
      <c r="K551">
        <v>0.16669999999999999</v>
      </c>
      <c r="L551">
        <v>0.69</v>
      </c>
      <c r="M551">
        <v>0.16420000000000001</v>
      </c>
      <c r="N551">
        <v>0</v>
      </c>
      <c r="O551">
        <v>5</v>
      </c>
      <c r="P551">
        <v>5</v>
      </c>
    </row>
    <row r="552" spans="1:16" x14ac:dyDescent="0.3">
      <c r="A552">
        <v>551</v>
      </c>
      <c r="B552" s="4">
        <v>40568</v>
      </c>
      <c r="C552">
        <v>1</v>
      </c>
      <c r="D552">
        <v>0</v>
      </c>
      <c r="E552">
        <v>1</v>
      </c>
      <c r="F552">
        <v>2</v>
      </c>
      <c r="G552" t="b">
        <v>0</v>
      </c>
      <c r="H552">
        <v>2</v>
      </c>
      <c r="I552">
        <v>1</v>
      </c>
      <c r="J552">
        <v>0.16</v>
      </c>
      <c r="K552">
        <v>0.1515</v>
      </c>
      <c r="L552">
        <v>0.69</v>
      </c>
      <c r="M552">
        <v>0.22389999999999999</v>
      </c>
      <c r="N552">
        <v>0</v>
      </c>
      <c r="O552">
        <v>2</v>
      </c>
      <c r="P552">
        <v>2</v>
      </c>
    </row>
    <row r="553" spans="1:16" x14ac:dyDescent="0.3">
      <c r="A553">
        <v>552</v>
      </c>
      <c r="B553" s="4">
        <v>40568</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3">
      <c r="A554">
        <v>553</v>
      </c>
      <c r="B554" s="4">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3">
      <c r="A555">
        <v>554</v>
      </c>
      <c r="B555" s="4">
        <v>40568</v>
      </c>
      <c r="C555">
        <v>1</v>
      </c>
      <c r="D555">
        <v>0</v>
      </c>
      <c r="E555">
        <v>1</v>
      </c>
      <c r="F555">
        <v>6</v>
      </c>
      <c r="G555" t="b">
        <v>0</v>
      </c>
      <c r="H555">
        <v>2</v>
      </c>
      <c r="I555">
        <v>1</v>
      </c>
      <c r="J555">
        <v>0.16</v>
      </c>
      <c r="K555">
        <v>0.18179999999999999</v>
      </c>
      <c r="L555">
        <v>0.74</v>
      </c>
      <c r="M555">
        <v>0.1045</v>
      </c>
      <c r="N555">
        <v>1</v>
      </c>
      <c r="O555">
        <v>35</v>
      </c>
      <c r="P555">
        <v>36</v>
      </c>
    </row>
    <row r="556" spans="1:16" x14ac:dyDescent="0.3">
      <c r="A556">
        <v>555</v>
      </c>
      <c r="B556" s="4">
        <v>40568</v>
      </c>
      <c r="C556">
        <v>1</v>
      </c>
      <c r="D556">
        <v>0</v>
      </c>
      <c r="E556">
        <v>1</v>
      </c>
      <c r="F556">
        <v>7</v>
      </c>
      <c r="G556" t="b">
        <v>0</v>
      </c>
      <c r="H556">
        <v>2</v>
      </c>
      <c r="I556">
        <v>1</v>
      </c>
      <c r="J556">
        <v>0.16</v>
      </c>
      <c r="K556">
        <v>0.1515</v>
      </c>
      <c r="L556">
        <v>0.74</v>
      </c>
      <c r="M556">
        <v>0.22389999999999999</v>
      </c>
      <c r="N556">
        <v>5</v>
      </c>
      <c r="O556">
        <v>103</v>
      </c>
      <c r="P556">
        <v>108</v>
      </c>
    </row>
    <row r="557" spans="1:16" x14ac:dyDescent="0.3">
      <c r="A557">
        <v>556</v>
      </c>
      <c r="B557" s="4">
        <v>40568</v>
      </c>
      <c r="C557">
        <v>1</v>
      </c>
      <c r="D557">
        <v>0</v>
      </c>
      <c r="E557">
        <v>1</v>
      </c>
      <c r="F557">
        <v>8</v>
      </c>
      <c r="G557" t="b">
        <v>0</v>
      </c>
      <c r="H557">
        <v>2</v>
      </c>
      <c r="I557">
        <v>2</v>
      </c>
      <c r="J557">
        <v>0.16</v>
      </c>
      <c r="K557">
        <v>0.18179999999999999</v>
      </c>
      <c r="L557">
        <v>0.74</v>
      </c>
      <c r="M557">
        <v>0.1343</v>
      </c>
      <c r="N557">
        <v>5</v>
      </c>
      <c r="O557">
        <v>233</v>
      </c>
      <c r="P557">
        <v>238</v>
      </c>
    </row>
    <row r="558" spans="1:16" x14ac:dyDescent="0.3">
      <c r="A558">
        <v>557</v>
      </c>
      <c r="B558" s="4">
        <v>40568</v>
      </c>
      <c r="C558">
        <v>1</v>
      </c>
      <c r="D558">
        <v>0</v>
      </c>
      <c r="E558">
        <v>1</v>
      </c>
      <c r="F558">
        <v>9</v>
      </c>
      <c r="G558" t="b">
        <v>0</v>
      </c>
      <c r="H558">
        <v>2</v>
      </c>
      <c r="I558">
        <v>2</v>
      </c>
      <c r="J558">
        <v>0.2</v>
      </c>
      <c r="K558">
        <v>0.2273</v>
      </c>
      <c r="L558">
        <v>0.64</v>
      </c>
      <c r="M558">
        <v>8.9599999999999999E-2</v>
      </c>
      <c r="N558">
        <v>10</v>
      </c>
      <c r="O558">
        <v>134</v>
      </c>
      <c r="P558">
        <v>144</v>
      </c>
    </row>
    <row r="559" spans="1:16" x14ac:dyDescent="0.3">
      <c r="A559">
        <v>558</v>
      </c>
      <c r="B559" s="4">
        <v>40568</v>
      </c>
      <c r="C559">
        <v>1</v>
      </c>
      <c r="D559">
        <v>0</v>
      </c>
      <c r="E559">
        <v>1</v>
      </c>
      <c r="F559">
        <v>10</v>
      </c>
      <c r="G559" t="b">
        <v>0</v>
      </c>
      <c r="H559">
        <v>2</v>
      </c>
      <c r="I559">
        <v>2</v>
      </c>
      <c r="J559">
        <v>0.22</v>
      </c>
      <c r="K559">
        <v>0.2424</v>
      </c>
      <c r="L559">
        <v>0.6</v>
      </c>
      <c r="M559">
        <v>0.1045</v>
      </c>
      <c r="N559">
        <v>6</v>
      </c>
      <c r="O559">
        <v>49</v>
      </c>
      <c r="P559">
        <v>55</v>
      </c>
    </row>
    <row r="560" spans="1:16" x14ac:dyDescent="0.3">
      <c r="A560">
        <v>559</v>
      </c>
      <c r="B560" s="4">
        <v>40568</v>
      </c>
      <c r="C560">
        <v>1</v>
      </c>
      <c r="D560">
        <v>0</v>
      </c>
      <c r="E560">
        <v>1</v>
      </c>
      <c r="F560">
        <v>11</v>
      </c>
      <c r="G560" t="b">
        <v>0</v>
      </c>
      <c r="H560">
        <v>2</v>
      </c>
      <c r="I560">
        <v>2</v>
      </c>
      <c r="J560">
        <v>0.24</v>
      </c>
      <c r="K560">
        <v>0.2424</v>
      </c>
      <c r="L560">
        <v>0.6</v>
      </c>
      <c r="M560">
        <v>0.1343</v>
      </c>
      <c r="N560">
        <v>6</v>
      </c>
      <c r="O560">
        <v>55</v>
      </c>
      <c r="P560">
        <v>61</v>
      </c>
    </row>
    <row r="561" spans="1:16" x14ac:dyDescent="0.3">
      <c r="A561">
        <v>560</v>
      </c>
      <c r="B561" s="4">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3">
      <c r="A562">
        <v>561</v>
      </c>
      <c r="B562" s="4">
        <v>40568</v>
      </c>
      <c r="C562">
        <v>1</v>
      </c>
      <c r="D562">
        <v>0</v>
      </c>
      <c r="E562">
        <v>1</v>
      </c>
      <c r="F562">
        <v>13</v>
      </c>
      <c r="G562" t="b">
        <v>0</v>
      </c>
      <c r="H562">
        <v>2</v>
      </c>
      <c r="I562">
        <v>2</v>
      </c>
      <c r="J562">
        <v>0.26</v>
      </c>
      <c r="K562">
        <v>0.2727</v>
      </c>
      <c r="L562">
        <v>0.56000000000000005</v>
      </c>
      <c r="M562">
        <v>0.1343</v>
      </c>
      <c r="N562">
        <v>21</v>
      </c>
      <c r="O562">
        <v>72</v>
      </c>
      <c r="P562">
        <v>93</v>
      </c>
    </row>
    <row r="563" spans="1:16" x14ac:dyDescent="0.3">
      <c r="A563">
        <v>562</v>
      </c>
      <c r="B563" s="4">
        <v>40568</v>
      </c>
      <c r="C563">
        <v>1</v>
      </c>
      <c r="D563">
        <v>0</v>
      </c>
      <c r="E563">
        <v>1</v>
      </c>
      <c r="F563">
        <v>14</v>
      </c>
      <c r="G563" t="b">
        <v>0</v>
      </c>
      <c r="H563">
        <v>2</v>
      </c>
      <c r="I563">
        <v>2</v>
      </c>
      <c r="J563">
        <v>0.3</v>
      </c>
      <c r="K563">
        <v>0.33329999999999999</v>
      </c>
      <c r="L563">
        <v>0.45</v>
      </c>
      <c r="M563">
        <v>0</v>
      </c>
      <c r="N563">
        <v>11</v>
      </c>
      <c r="O563">
        <v>57</v>
      </c>
      <c r="P563">
        <v>68</v>
      </c>
    </row>
    <row r="564" spans="1:16" x14ac:dyDescent="0.3">
      <c r="A564">
        <v>563</v>
      </c>
      <c r="B564" s="4">
        <v>40568</v>
      </c>
      <c r="C564">
        <v>1</v>
      </c>
      <c r="D564">
        <v>0</v>
      </c>
      <c r="E564">
        <v>1</v>
      </c>
      <c r="F564">
        <v>15</v>
      </c>
      <c r="G564" t="b">
        <v>0</v>
      </c>
      <c r="H564">
        <v>2</v>
      </c>
      <c r="I564">
        <v>2</v>
      </c>
      <c r="J564">
        <v>0.32</v>
      </c>
      <c r="K564">
        <v>0.34849999999999998</v>
      </c>
      <c r="L564">
        <v>0.42</v>
      </c>
      <c r="M564">
        <v>0</v>
      </c>
      <c r="N564">
        <v>21</v>
      </c>
      <c r="O564">
        <v>63</v>
      </c>
      <c r="P564">
        <v>84</v>
      </c>
    </row>
    <row r="565" spans="1:16" x14ac:dyDescent="0.3">
      <c r="A565">
        <v>564</v>
      </c>
      <c r="B565" s="4">
        <v>40568</v>
      </c>
      <c r="C565">
        <v>1</v>
      </c>
      <c r="D565">
        <v>0</v>
      </c>
      <c r="E565">
        <v>1</v>
      </c>
      <c r="F565">
        <v>16</v>
      </c>
      <c r="G565" t="b">
        <v>0</v>
      </c>
      <c r="H565">
        <v>2</v>
      </c>
      <c r="I565">
        <v>2</v>
      </c>
      <c r="J565">
        <v>0.32</v>
      </c>
      <c r="K565">
        <v>0.34849999999999998</v>
      </c>
      <c r="L565">
        <v>0.42</v>
      </c>
      <c r="M565">
        <v>0</v>
      </c>
      <c r="N565">
        <v>14</v>
      </c>
      <c r="O565">
        <v>102</v>
      </c>
      <c r="P565">
        <v>116</v>
      </c>
    </row>
    <row r="566" spans="1:16" x14ac:dyDescent="0.3">
      <c r="A566">
        <v>565</v>
      </c>
      <c r="B566" s="4">
        <v>40568</v>
      </c>
      <c r="C566">
        <v>1</v>
      </c>
      <c r="D566">
        <v>0</v>
      </c>
      <c r="E566">
        <v>1</v>
      </c>
      <c r="F566">
        <v>17</v>
      </c>
      <c r="G566" t="b">
        <v>0</v>
      </c>
      <c r="H566">
        <v>2</v>
      </c>
      <c r="I566">
        <v>1</v>
      </c>
      <c r="J566">
        <v>0.3</v>
      </c>
      <c r="K566">
        <v>0.33329999999999999</v>
      </c>
      <c r="L566">
        <v>0.45</v>
      </c>
      <c r="M566">
        <v>0</v>
      </c>
      <c r="N566">
        <v>14</v>
      </c>
      <c r="O566">
        <v>208</v>
      </c>
      <c r="P566">
        <v>222</v>
      </c>
    </row>
    <row r="567" spans="1:16" x14ac:dyDescent="0.3">
      <c r="A567">
        <v>566</v>
      </c>
      <c r="B567" s="4">
        <v>40568</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3">
      <c r="A568">
        <v>567</v>
      </c>
      <c r="B568" s="4">
        <v>40568</v>
      </c>
      <c r="C568">
        <v>1</v>
      </c>
      <c r="D568">
        <v>0</v>
      </c>
      <c r="E568">
        <v>1</v>
      </c>
      <c r="F568">
        <v>19</v>
      </c>
      <c r="G568" t="b">
        <v>0</v>
      </c>
      <c r="H568">
        <v>2</v>
      </c>
      <c r="I568">
        <v>2</v>
      </c>
      <c r="J568">
        <v>0.26</v>
      </c>
      <c r="K568">
        <v>0.2576</v>
      </c>
      <c r="L568">
        <v>0.65</v>
      </c>
      <c r="M568">
        <v>0.16420000000000001</v>
      </c>
      <c r="N568">
        <v>13</v>
      </c>
      <c r="O568">
        <v>133</v>
      </c>
      <c r="P568">
        <v>146</v>
      </c>
    </row>
    <row r="569" spans="1:16" x14ac:dyDescent="0.3">
      <c r="A569">
        <v>568</v>
      </c>
      <c r="B569" s="4">
        <v>40568</v>
      </c>
      <c r="C569">
        <v>1</v>
      </c>
      <c r="D569">
        <v>0</v>
      </c>
      <c r="E569">
        <v>1</v>
      </c>
      <c r="F569">
        <v>20</v>
      </c>
      <c r="G569" t="b">
        <v>0</v>
      </c>
      <c r="H569">
        <v>2</v>
      </c>
      <c r="I569">
        <v>1</v>
      </c>
      <c r="J569">
        <v>0.24</v>
      </c>
      <c r="K569">
        <v>0.2273</v>
      </c>
      <c r="L569">
        <v>0.65</v>
      </c>
      <c r="M569">
        <v>0.19400000000000001</v>
      </c>
      <c r="N569">
        <v>16</v>
      </c>
      <c r="O569">
        <v>103</v>
      </c>
      <c r="P569">
        <v>119</v>
      </c>
    </row>
    <row r="570" spans="1:16" x14ac:dyDescent="0.3">
      <c r="A570">
        <v>569</v>
      </c>
      <c r="B570" s="4">
        <v>40568</v>
      </c>
      <c r="C570">
        <v>1</v>
      </c>
      <c r="D570">
        <v>0</v>
      </c>
      <c r="E570">
        <v>1</v>
      </c>
      <c r="F570">
        <v>21</v>
      </c>
      <c r="G570" t="b">
        <v>0</v>
      </c>
      <c r="H570">
        <v>2</v>
      </c>
      <c r="I570">
        <v>1</v>
      </c>
      <c r="J570">
        <v>0.24</v>
      </c>
      <c r="K570">
        <v>0.2273</v>
      </c>
      <c r="L570">
        <v>0.65</v>
      </c>
      <c r="M570">
        <v>0.19400000000000001</v>
      </c>
      <c r="N570">
        <v>5</v>
      </c>
      <c r="O570">
        <v>40</v>
      </c>
      <c r="P570">
        <v>45</v>
      </c>
    </row>
    <row r="571" spans="1:16" x14ac:dyDescent="0.3">
      <c r="A571">
        <v>570</v>
      </c>
      <c r="B571" s="4">
        <v>40568</v>
      </c>
      <c r="C571">
        <v>1</v>
      </c>
      <c r="D571">
        <v>0</v>
      </c>
      <c r="E571">
        <v>1</v>
      </c>
      <c r="F571">
        <v>22</v>
      </c>
      <c r="G571" t="b">
        <v>0</v>
      </c>
      <c r="H571">
        <v>2</v>
      </c>
      <c r="I571">
        <v>1</v>
      </c>
      <c r="J571">
        <v>0.22</v>
      </c>
      <c r="K571">
        <v>0.2273</v>
      </c>
      <c r="L571">
        <v>0.64</v>
      </c>
      <c r="M571">
        <v>0.16420000000000001</v>
      </c>
      <c r="N571">
        <v>4</v>
      </c>
      <c r="O571">
        <v>49</v>
      </c>
      <c r="P571">
        <v>53</v>
      </c>
    </row>
    <row r="572" spans="1:16" x14ac:dyDescent="0.3">
      <c r="A572">
        <v>571</v>
      </c>
      <c r="B572" s="4">
        <v>40568</v>
      </c>
      <c r="C572">
        <v>1</v>
      </c>
      <c r="D572">
        <v>0</v>
      </c>
      <c r="E572">
        <v>1</v>
      </c>
      <c r="F572">
        <v>23</v>
      </c>
      <c r="G572" t="b">
        <v>0</v>
      </c>
      <c r="H572">
        <v>2</v>
      </c>
      <c r="I572">
        <v>2</v>
      </c>
      <c r="J572">
        <v>0.22</v>
      </c>
      <c r="K572">
        <v>0.2273</v>
      </c>
      <c r="L572">
        <v>0.64</v>
      </c>
      <c r="M572">
        <v>0.16420000000000001</v>
      </c>
      <c r="N572">
        <v>3</v>
      </c>
      <c r="O572">
        <v>37</v>
      </c>
      <c r="P572">
        <v>40</v>
      </c>
    </row>
    <row r="573" spans="1:16" x14ac:dyDescent="0.3">
      <c r="A573">
        <v>572</v>
      </c>
      <c r="B573" s="4">
        <v>40569</v>
      </c>
      <c r="C573">
        <v>1</v>
      </c>
      <c r="D573">
        <v>0</v>
      </c>
      <c r="E573">
        <v>1</v>
      </c>
      <c r="F573">
        <v>0</v>
      </c>
      <c r="G573" t="b">
        <v>0</v>
      </c>
      <c r="H573">
        <v>3</v>
      </c>
      <c r="I573">
        <v>2</v>
      </c>
      <c r="J573">
        <v>0.22</v>
      </c>
      <c r="K573">
        <v>0.2273</v>
      </c>
      <c r="L573">
        <v>0.69</v>
      </c>
      <c r="M573">
        <v>0.1343</v>
      </c>
      <c r="N573">
        <v>3</v>
      </c>
      <c r="O573">
        <v>14</v>
      </c>
      <c r="P573">
        <v>17</v>
      </c>
    </row>
    <row r="574" spans="1:16" x14ac:dyDescent="0.3">
      <c r="A574">
        <v>573</v>
      </c>
      <c r="B574" s="4">
        <v>40569</v>
      </c>
      <c r="C574">
        <v>1</v>
      </c>
      <c r="D574">
        <v>0</v>
      </c>
      <c r="E574">
        <v>1</v>
      </c>
      <c r="F574">
        <v>1</v>
      </c>
      <c r="G574" t="b">
        <v>0</v>
      </c>
      <c r="H574">
        <v>3</v>
      </c>
      <c r="I574">
        <v>2</v>
      </c>
      <c r="J574">
        <v>0.24</v>
      </c>
      <c r="K574">
        <v>0.2424</v>
      </c>
      <c r="L574">
        <v>0.65</v>
      </c>
      <c r="M574">
        <v>0.1343</v>
      </c>
      <c r="N574">
        <v>0</v>
      </c>
      <c r="O574">
        <v>5</v>
      </c>
      <c r="P574">
        <v>5</v>
      </c>
    </row>
    <row r="575" spans="1:16" x14ac:dyDescent="0.3">
      <c r="A575">
        <v>574</v>
      </c>
      <c r="B575" s="4">
        <v>40569</v>
      </c>
      <c r="C575">
        <v>1</v>
      </c>
      <c r="D575">
        <v>0</v>
      </c>
      <c r="E575">
        <v>1</v>
      </c>
      <c r="F575">
        <v>2</v>
      </c>
      <c r="G575" t="b">
        <v>0</v>
      </c>
      <c r="H575">
        <v>3</v>
      </c>
      <c r="I575">
        <v>3</v>
      </c>
      <c r="J575">
        <v>0.22</v>
      </c>
      <c r="K575">
        <v>0.2273</v>
      </c>
      <c r="L575">
        <v>0.69</v>
      </c>
      <c r="M575">
        <v>0.19400000000000001</v>
      </c>
      <c r="N575">
        <v>3</v>
      </c>
      <c r="O575">
        <v>7</v>
      </c>
      <c r="P575">
        <v>10</v>
      </c>
    </row>
    <row r="576" spans="1:16" x14ac:dyDescent="0.3">
      <c r="A576">
        <v>575</v>
      </c>
      <c r="B576" s="4">
        <v>40569</v>
      </c>
      <c r="C576">
        <v>1</v>
      </c>
      <c r="D576">
        <v>0</v>
      </c>
      <c r="E576">
        <v>1</v>
      </c>
      <c r="F576">
        <v>5</v>
      </c>
      <c r="G576" t="b">
        <v>0</v>
      </c>
      <c r="H576">
        <v>3</v>
      </c>
      <c r="I576">
        <v>3</v>
      </c>
      <c r="J576">
        <v>0.2</v>
      </c>
      <c r="K576">
        <v>0.18179999999999999</v>
      </c>
      <c r="L576">
        <v>0.86</v>
      </c>
      <c r="M576">
        <v>0.28360000000000002</v>
      </c>
      <c r="N576">
        <v>0</v>
      </c>
      <c r="O576">
        <v>1</v>
      </c>
      <c r="P576">
        <v>1</v>
      </c>
    </row>
    <row r="577" spans="1:16" x14ac:dyDescent="0.3">
      <c r="A577">
        <v>576</v>
      </c>
      <c r="B577" s="4">
        <v>40569</v>
      </c>
      <c r="C577">
        <v>1</v>
      </c>
      <c r="D577">
        <v>0</v>
      </c>
      <c r="E577">
        <v>1</v>
      </c>
      <c r="F577">
        <v>6</v>
      </c>
      <c r="G577" t="b">
        <v>0</v>
      </c>
      <c r="H577">
        <v>3</v>
      </c>
      <c r="I577">
        <v>3</v>
      </c>
      <c r="J577">
        <v>0.2</v>
      </c>
      <c r="K577">
        <v>0.18179999999999999</v>
      </c>
      <c r="L577">
        <v>0.86</v>
      </c>
      <c r="M577">
        <v>0.28360000000000002</v>
      </c>
      <c r="N577">
        <v>0</v>
      </c>
      <c r="O577">
        <v>8</v>
      </c>
      <c r="P577">
        <v>8</v>
      </c>
    </row>
    <row r="578" spans="1:16" x14ac:dyDescent="0.3">
      <c r="A578">
        <v>577</v>
      </c>
      <c r="B578" s="4">
        <v>40569</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3">
      <c r="A579">
        <v>578</v>
      </c>
      <c r="B579" s="4">
        <v>40569</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3">
      <c r="A580">
        <v>579</v>
      </c>
      <c r="B580" s="4">
        <v>40569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3">
      <c r="A581">
        <v>580</v>
      </c>
      <c r="B581" s="4">
        <v>40569</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3">
      <c r="A582">
        <v>581</v>
      </c>
      <c r="B582" s="4">
        <v>40569</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3">
      <c r="A583">
        <v>582</v>
      </c>
      <c r="B583" s="4">
        <v>40569</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3">
      <c r="A584">
        <v>583</v>
      </c>
      <c r="B584" s="4">
        <v>40569</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3">
      <c r="A585">
        <v>584</v>
      </c>
      <c r="B585" s="4">
        <v>40569</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3">
      <c r="A586">
        <v>585</v>
      </c>
      <c r="B586" s="4">
        <v>40569</v>
      </c>
      <c r="C586">
        <v>1</v>
      </c>
      <c r="D586">
        <v>0</v>
      </c>
      <c r="E586">
        <v>1</v>
      </c>
      <c r="F586">
        <v>15</v>
      </c>
      <c r="G586" t="b">
        <v>0</v>
      </c>
      <c r="H586">
        <v>3</v>
      </c>
      <c r="I586">
        <v>3</v>
      </c>
      <c r="J586">
        <v>0.22</v>
      </c>
      <c r="K586">
        <v>0.18179999999999999</v>
      </c>
      <c r="L586">
        <v>0.93</v>
      </c>
      <c r="M586">
        <v>0.4627</v>
      </c>
      <c r="N586">
        <v>1</v>
      </c>
      <c r="O586">
        <v>42</v>
      </c>
      <c r="P586">
        <v>43</v>
      </c>
    </row>
    <row r="587" spans="1:16" x14ac:dyDescent="0.3">
      <c r="A587">
        <v>586</v>
      </c>
      <c r="B587" s="4">
        <v>40569</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3">
      <c r="A588">
        <v>587</v>
      </c>
      <c r="B588" s="4">
        <v>40569</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3">
      <c r="A589">
        <v>588</v>
      </c>
      <c r="B589" s="4">
        <v>40570</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3">
      <c r="A590">
        <v>589</v>
      </c>
      <c r="B590" s="4">
        <v>40570</v>
      </c>
      <c r="C590">
        <v>1</v>
      </c>
      <c r="D590">
        <v>0</v>
      </c>
      <c r="E590">
        <v>1</v>
      </c>
      <c r="F590">
        <v>17</v>
      </c>
      <c r="G590" t="b">
        <v>0</v>
      </c>
      <c r="H590">
        <v>4</v>
      </c>
      <c r="I590">
        <v>1</v>
      </c>
      <c r="J590">
        <v>0.22</v>
      </c>
      <c r="K590">
        <v>0.2424</v>
      </c>
      <c r="L590">
        <v>0.55000000000000004</v>
      </c>
      <c r="M590">
        <v>0.1045</v>
      </c>
      <c r="N590">
        <v>2</v>
      </c>
      <c r="O590">
        <v>82</v>
      </c>
      <c r="P590">
        <v>84</v>
      </c>
    </row>
    <row r="591" spans="1:16" x14ac:dyDescent="0.3">
      <c r="A591">
        <v>590</v>
      </c>
      <c r="B591" s="4">
        <v>40570</v>
      </c>
      <c r="C591">
        <v>1</v>
      </c>
      <c r="D591">
        <v>0</v>
      </c>
      <c r="E591">
        <v>1</v>
      </c>
      <c r="F591">
        <v>18</v>
      </c>
      <c r="G591" t="b">
        <v>0</v>
      </c>
      <c r="H591">
        <v>4</v>
      </c>
      <c r="I591">
        <v>1</v>
      </c>
      <c r="J591">
        <v>0.2</v>
      </c>
      <c r="K591">
        <v>0.2273</v>
      </c>
      <c r="L591">
        <v>0.69</v>
      </c>
      <c r="M591">
        <v>8.9599999999999999E-2</v>
      </c>
      <c r="N591">
        <v>3</v>
      </c>
      <c r="O591">
        <v>101</v>
      </c>
      <c r="P591">
        <v>104</v>
      </c>
    </row>
    <row r="592" spans="1:16" x14ac:dyDescent="0.3">
      <c r="A592">
        <v>591</v>
      </c>
      <c r="B592" s="4">
        <v>40570</v>
      </c>
      <c r="C592">
        <v>1</v>
      </c>
      <c r="D592">
        <v>0</v>
      </c>
      <c r="E592">
        <v>1</v>
      </c>
      <c r="F592">
        <v>19</v>
      </c>
      <c r="G592" t="b">
        <v>0</v>
      </c>
      <c r="H592">
        <v>4</v>
      </c>
      <c r="I592">
        <v>1</v>
      </c>
      <c r="J592">
        <v>0.2</v>
      </c>
      <c r="K592">
        <v>0.2273</v>
      </c>
      <c r="L592">
        <v>0.69</v>
      </c>
      <c r="M592">
        <v>8.9599999999999999E-2</v>
      </c>
      <c r="N592">
        <v>3</v>
      </c>
      <c r="O592">
        <v>76</v>
      </c>
      <c r="P592">
        <v>79</v>
      </c>
    </row>
    <row r="593" spans="1:16" x14ac:dyDescent="0.3">
      <c r="A593">
        <v>592</v>
      </c>
      <c r="B593" s="4">
        <v>40570</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3">
      <c r="A594">
        <v>593</v>
      </c>
      <c r="B594" s="4">
        <v>40570</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3">
      <c r="A595">
        <v>594</v>
      </c>
      <c r="B595" s="4">
        <v>40570</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3">
      <c r="A596">
        <v>595</v>
      </c>
      <c r="B596" s="4">
        <v>40570</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3">
      <c r="A597">
        <v>596</v>
      </c>
      <c r="B597" s="4">
        <v>40571</v>
      </c>
      <c r="C597">
        <v>1</v>
      </c>
      <c r="D597">
        <v>0</v>
      </c>
      <c r="E597">
        <v>1</v>
      </c>
      <c r="F597">
        <v>0</v>
      </c>
      <c r="G597" t="b">
        <v>0</v>
      </c>
      <c r="H597">
        <v>5</v>
      </c>
      <c r="I597">
        <v>2</v>
      </c>
      <c r="J597">
        <v>0.2</v>
      </c>
      <c r="K597">
        <v>0.21210000000000001</v>
      </c>
      <c r="L597">
        <v>0.75</v>
      </c>
      <c r="M597">
        <v>0.1343</v>
      </c>
      <c r="N597">
        <v>0</v>
      </c>
      <c r="O597">
        <v>9</v>
      </c>
      <c r="P597">
        <v>9</v>
      </c>
    </row>
    <row r="598" spans="1:16" x14ac:dyDescent="0.3">
      <c r="A598">
        <v>597</v>
      </c>
      <c r="B598" s="4">
        <v>40571</v>
      </c>
      <c r="C598">
        <v>1</v>
      </c>
      <c r="D598">
        <v>0</v>
      </c>
      <c r="E598">
        <v>1</v>
      </c>
      <c r="F598">
        <v>1</v>
      </c>
      <c r="G598" t="b">
        <v>0</v>
      </c>
      <c r="H598">
        <v>5</v>
      </c>
      <c r="I598">
        <v>2</v>
      </c>
      <c r="J598">
        <v>0.2</v>
      </c>
      <c r="K598">
        <v>0.21210000000000001</v>
      </c>
      <c r="L598">
        <v>0.75</v>
      </c>
      <c r="M598">
        <v>0.1343</v>
      </c>
      <c r="N598">
        <v>1</v>
      </c>
      <c r="O598">
        <v>2</v>
      </c>
      <c r="P598">
        <v>3</v>
      </c>
    </row>
    <row r="599" spans="1:16" x14ac:dyDescent="0.3">
      <c r="A599">
        <v>598</v>
      </c>
      <c r="B599" s="4">
        <v>40571</v>
      </c>
      <c r="C599">
        <v>1</v>
      </c>
      <c r="D599">
        <v>0</v>
      </c>
      <c r="E599">
        <v>1</v>
      </c>
      <c r="F599">
        <v>2</v>
      </c>
      <c r="G599" t="b">
        <v>0</v>
      </c>
      <c r="H599">
        <v>5</v>
      </c>
      <c r="I599">
        <v>2</v>
      </c>
      <c r="J599">
        <v>0.2</v>
      </c>
      <c r="K599">
        <v>0.21210000000000001</v>
      </c>
      <c r="L599">
        <v>0.75</v>
      </c>
      <c r="M599">
        <v>0.16420000000000001</v>
      </c>
      <c r="N599">
        <v>0</v>
      </c>
      <c r="O599">
        <v>2</v>
      </c>
      <c r="P599">
        <v>2</v>
      </c>
    </row>
    <row r="600" spans="1:16" x14ac:dyDescent="0.3">
      <c r="A600">
        <v>599</v>
      </c>
      <c r="B600" s="4">
        <v>40571</v>
      </c>
      <c r="C600">
        <v>1</v>
      </c>
      <c r="D600">
        <v>0</v>
      </c>
      <c r="E600">
        <v>1</v>
      </c>
      <c r="F600">
        <v>3</v>
      </c>
      <c r="G600" t="b">
        <v>0</v>
      </c>
      <c r="H600">
        <v>5</v>
      </c>
      <c r="I600">
        <v>2</v>
      </c>
      <c r="J600">
        <v>0.2</v>
      </c>
      <c r="K600">
        <v>0.2273</v>
      </c>
      <c r="L600">
        <v>0.75</v>
      </c>
      <c r="M600">
        <v>0.1045</v>
      </c>
      <c r="N600">
        <v>1</v>
      </c>
      <c r="O600">
        <v>0</v>
      </c>
      <c r="P600">
        <v>1</v>
      </c>
    </row>
    <row r="601" spans="1:16" x14ac:dyDescent="0.3">
      <c r="A601">
        <v>600</v>
      </c>
      <c r="B601" s="4">
        <v>40571</v>
      </c>
      <c r="C601">
        <v>1</v>
      </c>
      <c r="D601">
        <v>0</v>
      </c>
      <c r="E601">
        <v>1</v>
      </c>
      <c r="F601">
        <v>5</v>
      </c>
      <c r="G601" t="b">
        <v>0</v>
      </c>
      <c r="H601">
        <v>5</v>
      </c>
      <c r="I601">
        <v>2</v>
      </c>
      <c r="J601">
        <v>0.18</v>
      </c>
      <c r="K601">
        <v>0.21210000000000001</v>
      </c>
      <c r="L601">
        <v>0.8</v>
      </c>
      <c r="M601">
        <v>0.1045</v>
      </c>
      <c r="N601">
        <v>0</v>
      </c>
      <c r="O601">
        <v>4</v>
      </c>
      <c r="P601">
        <v>4</v>
      </c>
    </row>
    <row r="602" spans="1:16" x14ac:dyDescent="0.3">
      <c r="A602">
        <v>601</v>
      </c>
      <c r="B602" s="4">
        <v>40571</v>
      </c>
      <c r="C602">
        <v>1</v>
      </c>
      <c r="D602">
        <v>0</v>
      </c>
      <c r="E602">
        <v>1</v>
      </c>
      <c r="F602">
        <v>6</v>
      </c>
      <c r="G602" t="b">
        <v>0</v>
      </c>
      <c r="H602">
        <v>5</v>
      </c>
      <c r="I602">
        <v>2</v>
      </c>
      <c r="J602">
        <v>0.18</v>
      </c>
      <c r="K602">
        <v>0.19700000000000001</v>
      </c>
      <c r="L602">
        <v>0.8</v>
      </c>
      <c r="M602">
        <v>0.1343</v>
      </c>
      <c r="N602">
        <v>0</v>
      </c>
      <c r="O602">
        <v>16</v>
      </c>
      <c r="P602">
        <v>16</v>
      </c>
    </row>
    <row r="603" spans="1:16" x14ac:dyDescent="0.3">
      <c r="A603">
        <v>602</v>
      </c>
      <c r="B603" s="4">
        <v>40571</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3">
      <c r="A604">
        <v>603</v>
      </c>
      <c r="B604" s="4">
        <v>40571</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3">
      <c r="A605">
        <v>604</v>
      </c>
      <c r="B605" s="4">
        <v>40571</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3">
      <c r="A606">
        <v>605</v>
      </c>
      <c r="B606" s="4">
        <v>40571</v>
      </c>
      <c r="C606">
        <v>1</v>
      </c>
      <c r="D606">
        <v>0</v>
      </c>
      <c r="E606">
        <v>1</v>
      </c>
      <c r="F606">
        <v>10</v>
      </c>
      <c r="G606" t="b">
        <v>0</v>
      </c>
      <c r="H606">
        <v>5</v>
      </c>
      <c r="I606">
        <v>3</v>
      </c>
      <c r="J606">
        <v>0.18</v>
      </c>
      <c r="K606">
        <v>0.21210000000000001</v>
      </c>
      <c r="L606">
        <v>0.86</v>
      </c>
      <c r="M606">
        <v>0.1045</v>
      </c>
      <c r="N606">
        <v>0</v>
      </c>
      <c r="O606">
        <v>49</v>
      </c>
      <c r="P606">
        <v>49</v>
      </c>
    </row>
    <row r="607" spans="1:16" x14ac:dyDescent="0.3">
      <c r="A607">
        <v>606</v>
      </c>
      <c r="B607" s="4">
        <v>40571</v>
      </c>
      <c r="C607">
        <v>1</v>
      </c>
      <c r="D607">
        <v>0</v>
      </c>
      <c r="E607">
        <v>1</v>
      </c>
      <c r="F607">
        <v>11</v>
      </c>
      <c r="G607" t="b">
        <v>0</v>
      </c>
      <c r="H607">
        <v>5</v>
      </c>
      <c r="I607">
        <v>3</v>
      </c>
      <c r="J607">
        <v>0.18</v>
      </c>
      <c r="K607">
        <v>0.21210000000000001</v>
      </c>
      <c r="L607">
        <v>0.93</v>
      </c>
      <c r="M607">
        <v>0.1045</v>
      </c>
      <c r="N607">
        <v>0</v>
      </c>
      <c r="O607">
        <v>30</v>
      </c>
      <c r="P607">
        <v>30</v>
      </c>
    </row>
    <row r="608" spans="1:16" x14ac:dyDescent="0.3">
      <c r="A608">
        <v>607</v>
      </c>
      <c r="B608" s="4">
        <v>40571</v>
      </c>
      <c r="C608">
        <v>1</v>
      </c>
      <c r="D608">
        <v>0</v>
      </c>
      <c r="E608">
        <v>1</v>
      </c>
      <c r="F608">
        <v>12</v>
      </c>
      <c r="G608" t="b">
        <v>0</v>
      </c>
      <c r="H608">
        <v>5</v>
      </c>
      <c r="I608">
        <v>3</v>
      </c>
      <c r="J608">
        <v>0.18</v>
      </c>
      <c r="K608">
        <v>0.21210000000000001</v>
      </c>
      <c r="L608">
        <v>0.93</v>
      </c>
      <c r="M608">
        <v>0.1045</v>
      </c>
      <c r="N608">
        <v>1</v>
      </c>
      <c r="O608">
        <v>28</v>
      </c>
      <c r="P608">
        <v>29</v>
      </c>
    </row>
    <row r="609" spans="1:16" x14ac:dyDescent="0.3">
      <c r="A609">
        <v>608</v>
      </c>
      <c r="B609" s="4">
        <v>40571</v>
      </c>
      <c r="C609">
        <v>1</v>
      </c>
      <c r="D609">
        <v>0</v>
      </c>
      <c r="E609">
        <v>1</v>
      </c>
      <c r="F609">
        <v>13</v>
      </c>
      <c r="G609" t="b">
        <v>0</v>
      </c>
      <c r="H609">
        <v>5</v>
      </c>
      <c r="I609">
        <v>3</v>
      </c>
      <c r="J609">
        <v>0.18</v>
      </c>
      <c r="K609">
        <v>0.21210000000000001</v>
      </c>
      <c r="L609">
        <v>0.93</v>
      </c>
      <c r="M609">
        <v>0.1045</v>
      </c>
      <c r="N609">
        <v>0</v>
      </c>
      <c r="O609">
        <v>31</v>
      </c>
      <c r="P609">
        <v>31</v>
      </c>
    </row>
    <row r="610" spans="1:16" x14ac:dyDescent="0.3">
      <c r="A610">
        <v>609</v>
      </c>
      <c r="B610" s="4">
        <v>40571</v>
      </c>
      <c r="C610">
        <v>1</v>
      </c>
      <c r="D610">
        <v>0</v>
      </c>
      <c r="E610">
        <v>1</v>
      </c>
      <c r="F610">
        <v>14</v>
      </c>
      <c r="G610" t="b">
        <v>0</v>
      </c>
      <c r="H610">
        <v>5</v>
      </c>
      <c r="I610">
        <v>3</v>
      </c>
      <c r="J610">
        <v>0.22</v>
      </c>
      <c r="K610">
        <v>0.2727</v>
      </c>
      <c r="L610">
        <v>0.8</v>
      </c>
      <c r="M610">
        <v>0</v>
      </c>
      <c r="N610">
        <v>2</v>
      </c>
      <c r="O610">
        <v>36</v>
      </c>
      <c r="P610">
        <v>38</v>
      </c>
    </row>
    <row r="611" spans="1:16" x14ac:dyDescent="0.3">
      <c r="A611">
        <v>610</v>
      </c>
      <c r="B611" s="4">
        <v>40571</v>
      </c>
      <c r="C611">
        <v>1</v>
      </c>
      <c r="D611">
        <v>0</v>
      </c>
      <c r="E611">
        <v>1</v>
      </c>
      <c r="F611">
        <v>15</v>
      </c>
      <c r="G611" t="b">
        <v>0</v>
      </c>
      <c r="H611">
        <v>5</v>
      </c>
      <c r="I611">
        <v>2</v>
      </c>
      <c r="J611">
        <v>0.2</v>
      </c>
      <c r="K611">
        <v>0.2576</v>
      </c>
      <c r="L611">
        <v>0.86</v>
      </c>
      <c r="M611">
        <v>0</v>
      </c>
      <c r="N611">
        <v>1</v>
      </c>
      <c r="O611">
        <v>40</v>
      </c>
      <c r="P611">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workbookViewId="0">
      <selection activeCell="I7" sqref="I7"/>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s>
  <sheetData>
    <row r="1" spans="1:16"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row>
    <row r="2" spans="1:16" x14ac:dyDescent="0.3">
      <c r="A2">
        <v>1</v>
      </c>
      <c r="B2" s="4">
        <v>40544</v>
      </c>
      <c r="C2">
        <v>1</v>
      </c>
      <c r="D2">
        <v>0</v>
      </c>
      <c r="E2">
        <v>1</v>
      </c>
      <c r="F2">
        <v>0</v>
      </c>
      <c r="G2" t="b">
        <v>0</v>
      </c>
      <c r="H2">
        <v>6</v>
      </c>
      <c r="I2">
        <v>1</v>
      </c>
      <c r="J2">
        <v>0.24</v>
      </c>
      <c r="K2">
        <v>0.28789999999999999</v>
      </c>
      <c r="L2">
        <v>0.81</v>
      </c>
      <c r="M2">
        <v>0</v>
      </c>
      <c r="N2">
        <v>3</v>
      </c>
      <c r="O2">
        <v>13</v>
      </c>
      <c r="P2">
        <v>16</v>
      </c>
    </row>
    <row r="3" spans="1:16" x14ac:dyDescent="0.3">
      <c r="A3">
        <v>2</v>
      </c>
      <c r="B3" s="4">
        <v>40544</v>
      </c>
      <c r="C3">
        <v>1</v>
      </c>
      <c r="D3">
        <v>0</v>
      </c>
      <c r="E3">
        <v>1</v>
      </c>
      <c r="F3">
        <v>1</v>
      </c>
      <c r="G3" t="b">
        <v>0</v>
      </c>
      <c r="H3">
        <v>6</v>
      </c>
      <c r="I3">
        <v>1</v>
      </c>
      <c r="J3">
        <v>0.22</v>
      </c>
      <c r="K3">
        <v>0.2727</v>
      </c>
      <c r="L3">
        <v>0.8</v>
      </c>
      <c r="M3">
        <v>0</v>
      </c>
      <c r="N3">
        <v>8</v>
      </c>
      <c r="O3">
        <v>32</v>
      </c>
      <c r="P3">
        <v>40</v>
      </c>
    </row>
    <row r="4" spans="1:16" x14ac:dyDescent="0.3">
      <c r="A4">
        <v>3</v>
      </c>
      <c r="B4" s="4">
        <v>40544</v>
      </c>
      <c r="C4">
        <v>1</v>
      </c>
      <c r="D4">
        <v>0</v>
      </c>
      <c r="E4">
        <v>1</v>
      </c>
      <c r="F4">
        <v>2</v>
      </c>
      <c r="G4" t="b">
        <v>0</v>
      </c>
      <c r="H4">
        <v>6</v>
      </c>
      <c r="I4">
        <v>1</v>
      </c>
      <c r="J4">
        <v>0.22</v>
      </c>
      <c r="K4">
        <v>0.2727</v>
      </c>
      <c r="L4">
        <v>0.8</v>
      </c>
      <c r="M4">
        <v>0</v>
      </c>
      <c r="N4">
        <v>5</v>
      </c>
      <c r="O4">
        <v>27</v>
      </c>
      <c r="P4">
        <v>32</v>
      </c>
    </row>
    <row r="5" spans="1:16" x14ac:dyDescent="0.3">
      <c r="A5">
        <v>4</v>
      </c>
      <c r="B5" s="4">
        <v>40544</v>
      </c>
      <c r="C5">
        <v>1</v>
      </c>
      <c r="D5">
        <v>0</v>
      </c>
      <c r="E5">
        <v>1</v>
      </c>
      <c r="F5">
        <v>3</v>
      </c>
      <c r="G5" t="b">
        <v>0</v>
      </c>
      <c r="H5">
        <v>6</v>
      </c>
      <c r="I5">
        <v>1</v>
      </c>
      <c r="J5">
        <v>0.24</v>
      </c>
      <c r="K5">
        <v>0.28789999999999999</v>
      </c>
      <c r="L5">
        <v>0.75</v>
      </c>
      <c r="M5">
        <v>0</v>
      </c>
      <c r="N5">
        <v>3</v>
      </c>
      <c r="O5">
        <v>10</v>
      </c>
      <c r="P5">
        <v>13</v>
      </c>
    </row>
    <row r="6" spans="1:16" x14ac:dyDescent="0.3">
      <c r="A6">
        <v>5</v>
      </c>
      <c r="B6" s="4">
        <v>40544</v>
      </c>
      <c r="C6">
        <v>1</v>
      </c>
      <c r="D6">
        <v>0</v>
      </c>
      <c r="E6">
        <v>1</v>
      </c>
      <c r="F6">
        <v>4</v>
      </c>
      <c r="G6" t="b">
        <v>0</v>
      </c>
      <c r="H6">
        <v>6</v>
      </c>
      <c r="I6">
        <v>1</v>
      </c>
      <c r="J6">
        <v>0.24</v>
      </c>
      <c r="K6">
        <v>0.28789999999999999</v>
      </c>
      <c r="L6">
        <v>0.75</v>
      </c>
      <c r="M6">
        <v>0</v>
      </c>
      <c r="N6">
        <v>0</v>
      </c>
      <c r="O6">
        <v>1</v>
      </c>
      <c r="P6">
        <v>1</v>
      </c>
    </row>
    <row r="7" spans="1:16" x14ac:dyDescent="0.3">
      <c r="A7">
        <v>6</v>
      </c>
      <c r="B7" s="4">
        <v>40544</v>
      </c>
      <c r="C7">
        <v>1</v>
      </c>
      <c r="D7">
        <v>0</v>
      </c>
      <c r="E7">
        <v>1</v>
      </c>
      <c r="F7">
        <v>5</v>
      </c>
      <c r="G7" t="b">
        <v>0</v>
      </c>
      <c r="H7">
        <v>6</v>
      </c>
      <c r="I7">
        <v>2</v>
      </c>
      <c r="J7">
        <v>0.24</v>
      </c>
      <c r="K7">
        <v>0.2576</v>
      </c>
      <c r="L7">
        <v>0.75</v>
      </c>
      <c r="M7">
        <v>8.9599999999999999E-2</v>
      </c>
      <c r="N7">
        <v>0</v>
      </c>
      <c r="O7">
        <v>1</v>
      </c>
      <c r="P7">
        <v>1</v>
      </c>
    </row>
    <row r="8" spans="1:16" x14ac:dyDescent="0.3">
      <c r="A8">
        <v>7</v>
      </c>
      <c r="B8" s="4">
        <v>40544</v>
      </c>
      <c r="C8">
        <v>1</v>
      </c>
      <c r="D8">
        <v>0</v>
      </c>
      <c r="E8">
        <v>1</v>
      </c>
      <c r="F8">
        <v>6</v>
      </c>
      <c r="G8" t="b">
        <v>0</v>
      </c>
      <c r="H8">
        <v>6</v>
      </c>
      <c r="I8">
        <v>1</v>
      </c>
      <c r="J8">
        <v>0.22</v>
      </c>
      <c r="K8">
        <v>0.2727</v>
      </c>
      <c r="L8">
        <v>0.8</v>
      </c>
      <c r="M8">
        <v>0</v>
      </c>
      <c r="N8">
        <v>2</v>
      </c>
      <c r="O8">
        <v>0</v>
      </c>
      <c r="P8">
        <v>2</v>
      </c>
    </row>
    <row r="9" spans="1:16" x14ac:dyDescent="0.3">
      <c r="A9">
        <v>8</v>
      </c>
      <c r="B9" s="4">
        <v>40544</v>
      </c>
      <c r="C9">
        <v>1</v>
      </c>
      <c r="D9">
        <v>0</v>
      </c>
      <c r="E9">
        <v>1</v>
      </c>
      <c r="F9">
        <v>7</v>
      </c>
      <c r="G9" t="b">
        <v>0</v>
      </c>
      <c r="H9">
        <v>6</v>
      </c>
      <c r="I9">
        <v>1</v>
      </c>
      <c r="J9">
        <v>0.2</v>
      </c>
      <c r="K9">
        <v>0.2576</v>
      </c>
      <c r="L9">
        <v>0.86</v>
      </c>
      <c r="M9">
        <v>0</v>
      </c>
      <c r="N9">
        <v>1</v>
      </c>
      <c r="O9">
        <v>2</v>
      </c>
      <c r="P9">
        <v>3</v>
      </c>
    </row>
    <row r="10" spans="1:16" x14ac:dyDescent="0.3">
      <c r="A10">
        <v>9</v>
      </c>
      <c r="B10" s="4">
        <v>40544</v>
      </c>
      <c r="C10">
        <v>1</v>
      </c>
      <c r="D10">
        <v>0</v>
      </c>
      <c r="E10">
        <v>1</v>
      </c>
      <c r="F10">
        <v>8</v>
      </c>
      <c r="G10" t="b">
        <v>0</v>
      </c>
      <c r="H10">
        <v>6</v>
      </c>
      <c r="I10">
        <v>1</v>
      </c>
      <c r="J10">
        <v>0.24</v>
      </c>
      <c r="K10">
        <v>0.19989999999999999</v>
      </c>
      <c r="L10">
        <v>0.75</v>
      </c>
      <c r="M10">
        <v>0</v>
      </c>
      <c r="N10">
        <v>1</v>
      </c>
      <c r="O10">
        <v>7</v>
      </c>
      <c r="P10">
        <v>8</v>
      </c>
    </row>
    <row r="11" spans="1:16" x14ac:dyDescent="0.3">
      <c r="A11">
        <v>10</v>
      </c>
      <c r="B11" s="4">
        <v>40544</v>
      </c>
      <c r="C11">
        <v>1</v>
      </c>
      <c r="D11">
        <v>0</v>
      </c>
      <c r="E11">
        <v>1</v>
      </c>
      <c r="F11">
        <v>9</v>
      </c>
      <c r="G11" t="b">
        <v>0</v>
      </c>
      <c r="H11">
        <v>6</v>
      </c>
      <c r="I11">
        <v>1</v>
      </c>
      <c r="J11">
        <v>0.32</v>
      </c>
      <c r="K11">
        <v>0.34849999999999998</v>
      </c>
      <c r="L11">
        <v>0.76</v>
      </c>
      <c r="M11">
        <v>0</v>
      </c>
      <c r="N11">
        <v>8</v>
      </c>
      <c r="O11">
        <v>6</v>
      </c>
      <c r="P11">
        <v>14</v>
      </c>
    </row>
    <row r="12" spans="1:16" x14ac:dyDescent="0.3">
      <c r="A12">
        <v>11</v>
      </c>
      <c r="B12" s="4">
        <v>40544</v>
      </c>
      <c r="C12">
        <v>1</v>
      </c>
      <c r="D12">
        <v>0</v>
      </c>
      <c r="E12">
        <v>1</v>
      </c>
      <c r="F12">
        <v>10</v>
      </c>
      <c r="G12" t="b">
        <v>0</v>
      </c>
      <c r="H12">
        <v>6</v>
      </c>
      <c r="I12">
        <v>1</v>
      </c>
      <c r="J12">
        <v>0.38</v>
      </c>
      <c r="K12">
        <v>0.39389999999999997</v>
      </c>
      <c r="L12">
        <v>0.76</v>
      </c>
      <c r="M12">
        <v>0.25369999999999998</v>
      </c>
      <c r="N12">
        <v>12</v>
      </c>
      <c r="O12">
        <v>24</v>
      </c>
      <c r="P12">
        <v>36</v>
      </c>
    </row>
    <row r="13" spans="1:16" x14ac:dyDescent="0.3">
      <c r="A13">
        <v>12</v>
      </c>
      <c r="B13" s="4">
        <v>40544</v>
      </c>
      <c r="C13">
        <v>1</v>
      </c>
      <c r="D13">
        <v>0</v>
      </c>
      <c r="E13">
        <v>1</v>
      </c>
      <c r="F13">
        <v>11</v>
      </c>
      <c r="G13" t="b">
        <v>0</v>
      </c>
      <c r="H13">
        <v>6</v>
      </c>
      <c r="I13">
        <v>1</v>
      </c>
      <c r="J13">
        <v>0.36</v>
      </c>
      <c r="K13">
        <v>0.33329999999999999</v>
      </c>
      <c r="L13">
        <v>0.81</v>
      </c>
      <c r="M13">
        <v>0.28360000000000002</v>
      </c>
      <c r="N13">
        <v>26</v>
      </c>
      <c r="O13">
        <v>30</v>
      </c>
      <c r="P13">
        <v>56</v>
      </c>
    </row>
    <row r="14" spans="1:16" x14ac:dyDescent="0.3">
      <c r="A14">
        <v>13</v>
      </c>
      <c r="B14" s="4">
        <v>40544</v>
      </c>
      <c r="C14">
        <v>1</v>
      </c>
      <c r="D14">
        <v>0</v>
      </c>
      <c r="E14">
        <v>1</v>
      </c>
      <c r="F14">
        <v>12</v>
      </c>
      <c r="G14" t="b">
        <v>0</v>
      </c>
      <c r="H14">
        <v>6</v>
      </c>
      <c r="I14">
        <v>1</v>
      </c>
      <c r="J14">
        <v>0.42</v>
      </c>
      <c r="K14">
        <v>0.42420000000000002</v>
      </c>
      <c r="L14">
        <v>0.77</v>
      </c>
      <c r="M14">
        <v>0.28360000000000002</v>
      </c>
      <c r="N14">
        <v>29</v>
      </c>
      <c r="O14">
        <v>55</v>
      </c>
      <c r="P14">
        <v>84</v>
      </c>
    </row>
    <row r="15" spans="1:16" x14ac:dyDescent="0.3">
      <c r="A15">
        <v>14</v>
      </c>
      <c r="B15" s="4">
        <v>40544</v>
      </c>
      <c r="C15">
        <v>1</v>
      </c>
      <c r="D15">
        <v>0</v>
      </c>
      <c r="E15">
        <v>1</v>
      </c>
      <c r="F15">
        <v>13</v>
      </c>
      <c r="G15" t="b">
        <v>0</v>
      </c>
      <c r="H15">
        <v>6</v>
      </c>
      <c r="I15">
        <v>2</v>
      </c>
      <c r="J15">
        <v>0.46</v>
      </c>
      <c r="K15">
        <v>0.45450000000000002</v>
      </c>
      <c r="L15">
        <v>0.72</v>
      </c>
      <c r="M15">
        <v>0.29849999999999999</v>
      </c>
      <c r="N15">
        <v>47</v>
      </c>
      <c r="O15">
        <v>47</v>
      </c>
      <c r="P15">
        <v>94</v>
      </c>
    </row>
    <row r="16" spans="1:16" x14ac:dyDescent="0.3">
      <c r="A16">
        <v>15</v>
      </c>
      <c r="B16" s="4">
        <v>40544</v>
      </c>
      <c r="C16">
        <v>1</v>
      </c>
      <c r="D16">
        <v>0</v>
      </c>
      <c r="E16">
        <v>1</v>
      </c>
      <c r="F16">
        <v>14</v>
      </c>
      <c r="G16" t="b">
        <v>0</v>
      </c>
      <c r="H16">
        <v>6</v>
      </c>
      <c r="I16">
        <v>2</v>
      </c>
      <c r="J16">
        <v>0.46</v>
      </c>
      <c r="K16">
        <v>0.45450000000000002</v>
      </c>
      <c r="L16">
        <v>0.72</v>
      </c>
      <c r="M16">
        <v>0.28360000000000002</v>
      </c>
      <c r="N16">
        <v>35</v>
      </c>
      <c r="O16">
        <v>71</v>
      </c>
      <c r="P16">
        <v>106</v>
      </c>
    </row>
    <row r="17" spans="1:16" x14ac:dyDescent="0.3">
      <c r="A17">
        <v>16</v>
      </c>
      <c r="B17" s="4">
        <v>40544</v>
      </c>
      <c r="C17">
        <v>1</v>
      </c>
      <c r="D17">
        <v>0</v>
      </c>
      <c r="E17">
        <v>1</v>
      </c>
      <c r="F17">
        <v>15</v>
      </c>
      <c r="G17" t="b">
        <v>0</v>
      </c>
      <c r="H17">
        <v>6</v>
      </c>
      <c r="I17">
        <v>2</v>
      </c>
      <c r="J17">
        <v>0.44</v>
      </c>
      <c r="K17">
        <v>0.43940000000000001</v>
      </c>
      <c r="L17">
        <v>0.77</v>
      </c>
      <c r="M17">
        <v>0.29849999999999999</v>
      </c>
      <c r="N17">
        <v>40</v>
      </c>
      <c r="O17">
        <v>70</v>
      </c>
      <c r="P17">
        <v>110</v>
      </c>
    </row>
    <row r="18" spans="1:16" x14ac:dyDescent="0.3">
      <c r="A18">
        <v>17</v>
      </c>
      <c r="B18" s="4">
        <v>40544</v>
      </c>
      <c r="C18">
        <v>1</v>
      </c>
      <c r="D18">
        <v>0</v>
      </c>
      <c r="E18">
        <v>1</v>
      </c>
      <c r="F18">
        <v>16</v>
      </c>
      <c r="G18" t="b">
        <v>0</v>
      </c>
      <c r="H18">
        <v>6</v>
      </c>
      <c r="I18">
        <v>2</v>
      </c>
      <c r="J18">
        <v>0.42</v>
      </c>
      <c r="K18">
        <v>0.42420000000000002</v>
      </c>
      <c r="L18">
        <v>0.82</v>
      </c>
      <c r="M18">
        <v>0.29849999999999999</v>
      </c>
      <c r="N18">
        <v>41</v>
      </c>
      <c r="O18">
        <v>52</v>
      </c>
      <c r="P18">
        <v>93</v>
      </c>
    </row>
    <row r="19" spans="1:16" x14ac:dyDescent="0.3">
      <c r="A19">
        <v>18</v>
      </c>
      <c r="B19" s="4">
        <v>40544</v>
      </c>
      <c r="C19">
        <v>1</v>
      </c>
      <c r="D19">
        <v>0</v>
      </c>
      <c r="E19">
        <v>1</v>
      </c>
      <c r="F19">
        <v>17</v>
      </c>
      <c r="G19" t="b">
        <v>0</v>
      </c>
      <c r="H19">
        <v>6</v>
      </c>
      <c r="I19">
        <v>2</v>
      </c>
      <c r="J19">
        <v>0.44</v>
      </c>
      <c r="K19">
        <v>0.19989999999999999</v>
      </c>
      <c r="L19">
        <v>0.82</v>
      </c>
      <c r="M19">
        <v>0.28360000000000002</v>
      </c>
      <c r="N19">
        <v>15</v>
      </c>
      <c r="O19">
        <v>52</v>
      </c>
      <c r="P19">
        <v>67</v>
      </c>
    </row>
    <row r="20" spans="1:16" x14ac:dyDescent="0.3">
      <c r="A20">
        <v>19</v>
      </c>
      <c r="B20" s="4">
        <v>40544</v>
      </c>
      <c r="C20">
        <v>1</v>
      </c>
      <c r="D20">
        <v>0</v>
      </c>
      <c r="E20">
        <v>1</v>
      </c>
      <c r="F20">
        <v>18</v>
      </c>
      <c r="G20" t="b">
        <v>0</v>
      </c>
      <c r="H20">
        <v>6</v>
      </c>
      <c r="I20">
        <v>3</v>
      </c>
      <c r="J20">
        <v>0.42</v>
      </c>
      <c r="K20">
        <v>0.42420000000000002</v>
      </c>
      <c r="L20">
        <v>0.88</v>
      </c>
      <c r="M20">
        <v>0.25369999999999998</v>
      </c>
      <c r="N20">
        <v>9</v>
      </c>
      <c r="O20">
        <v>26</v>
      </c>
      <c r="P20">
        <v>35</v>
      </c>
    </row>
    <row r="21" spans="1:16" x14ac:dyDescent="0.3">
      <c r="A21">
        <v>20</v>
      </c>
      <c r="B21" s="4">
        <v>40544</v>
      </c>
      <c r="C21">
        <v>1</v>
      </c>
      <c r="D21">
        <v>0</v>
      </c>
      <c r="E21">
        <v>1</v>
      </c>
      <c r="F21">
        <v>19</v>
      </c>
      <c r="G21" t="b">
        <v>0</v>
      </c>
      <c r="H21">
        <v>6</v>
      </c>
      <c r="I21">
        <v>3</v>
      </c>
      <c r="J21">
        <v>0.42</v>
      </c>
      <c r="K21">
        <v>0.42420000000000002</v>
      </c>
      <c r="L21">
        <v>0.88</v>
      </c>
      <c r="M21">
        <v>0.25369999999999998</v>
      </c>
      <c r="N21">
        <v>6</v>
      </c>
      <c r="O21">
        <v>31</v>
      </c>
      <c r="P21">
        <v>37</v>
      </c>
    </row>
    <row r="22" spans="1:16" x14ac:dyDescent="0.3">
      <c r="A22">
        <v>21</v>
      </c>
      <c r="B22" s="4">
        <v>40544</v>
      </c>
      <c r="C22">
        <v>1</v>
      </c>
      <c r="D22">
        <v>0</v>
      </c>
      <c r="E22">
        <v>1</v>
      </c>
      <c r="F22">
        <v>20</v>
      </c>
      <c r="G22" t="b">
        <v>0</v>
      </c>
      <c r="H22">
        <v>6</v>
      </c>
      <c r="I22">
        <v>2</v>
      </c>
      <c r="J22">
        <v>0.4</v>
      </c>
      <c r="K22">
        <v>0.40910000000000002</v>
      </c>
      <c r="L22">
        <v>0.87</v>
      </c>
      <c r="M22">
        <v>0.25369999999999998</v>
      </c>
      <c r="N22">
        <v>11</v>
      </c>
      <c r="O22">
        <v>25</v>
      </c>
      <c r="P22">
        <v>36</v>
      </c>
    </row>
    <row r="23" spans="1:16" x14ac:dyDescent="0.3">
      <c r="A23">
        <v>22</v>
      </c>
      <c r="B23" s="4">
        <v>40544</v>
      </c>
      <c r="C23">
        <v>1</v>
      </c>
      <c r="D23">
        <v>0</v>
      </c>
      <c r="E23">
        <v>1</v>
      </c>
      <c r="F23">
        <v>21</v>
      </c>
      <c r="G23" t="b">
        <v>0</v>
      </c>
      <c r="H23">
        <v>6</v>
      </c>
      <c r="I23">
        <v>2</v>
      </c>
      <c r="J23">
        <v>0.4</v>
      </c>
      <c r="K23">
        <v>0.40910000000000002</v>
      </c>
      <c r="L23">
        <v>0.87</v>
      </c>
      <c r="M23">
        <v>0.19400000000000001</v>
      </c>
      <c r="N23">
        <v>3</v>
      </c>
      <c r="O23">
        <v>31</v>
      </c>
      <c r="P23">
        <v>34</v>
      </c>
    </row>
    <row r="24" spans="1:16" x14ac:dyDescent="0.3">
      <c r="A24">
        <v>23</v>
      </c>
      <c r="B24" s="4">
        <v>40544</v>
      </c>
      <c r="C24">
        <v>1</v>
      </c>
      <c r="D24">
        <v>0</v>
      </c>
      <c r="E24">
        <v>1</v>
      </c>
      <c r="F24">
        <v>22</v>
      </c>
      <c r="G24" t="b">
        <v>0</v>
      </c>
      <c r="H24">
        <v>6</v>
      </c>
      <c r="I24">
        <v>2</v>
      </c>
      <c r="J24">
        <v>0.4</v>
      </c>
      <c r="K24">
        <v>0.40910000000000002</v>
      </c>
      <c r="L24">
        <v>0.94</v>
      </c>
      <c r="M24">
        <v>0.22389999999999999</v>
      </c>
      <c r="N24">
        <v>11</v>
      </c>
      <c r="O24">
        <v>17</v>
      </c>
      <c r="P24">
        <v>28</v>
      </c>
    </row>
    <row r="25" spans="1:16" x14ac:dyDescent="0.3">
      <c r="A25">
        <v>24</v>
      </c>
      <c r="B25" s="4">
        <v>40544</v>
      </c>
      <c r="C25">
        <v>1</v>
      </c>
      <c r="D25">
        <v>0</v>
      </c>
      <c r="E25">
        <v>1</v>
      </c>
      <c r="F25">
        <v>23</v>
      </c>
      <c r="G25" t="b">
        <v>0</v>
      </c>
      <c r="H25">
        <v>6</v>
      </c>
      <c r="I25">
        <v>2</v>
      </c>
      <c r="J25">
        <v>0.46</v>
      </c>
      <c r="K25">
        <v>0.19989999999999999</v>
      </c>
      <c r="L25">
        <v>0.88</v>
      </c>
      <c r="M25">
        <v>0.29849999999999999</v>
      </c>
      <c r="N25">
        <v>15</v>
      </c>
      <c r="O25">
        <v>24</v>
      </c>
      <c r="P25">
        <v>39</v>
      </c>
    </row>
    <row r="26" spans="1:16" x14ac:dyDescent="0.3">
      <c r="A26">
        <v>25</v>
      </c>
      <c r="B26" s="4">
        <v>40545</v>
      </c>
      <c r="C26">
        <v>1</v>
      </c>
      <c r="D26">
        <v>0</v>
      </c>
      <c r="E26">
        <v>1</v>
      </c>
      <c r="F26">
        <v>0</v>
      </c>
      <c r="G26" t="b">
        <v>0</v>
      </c>
      <c r="H26">
        <v>0</v>
      </c>
      <c r="I26">
        <v>2</v>
      </c>
      <c r="J26">
        <v>0.46</v>
      </c>
      <c r="K26">
        <v>0.45450000000000002</v>
      </c>
      <c r="L26">
        <v>0.88</v>
      </c>
      <c r="M26">
        <v>0.29849999999999999</v>
      </c>
      <c r="N26">
        <v>4</v>
      </c>
      <c r="O26">
        <v>13</v>
      </c>
      <c r="P26">
        <v>17</v>
      </c>
    </row>
    <row r="27" spans="1:16" x14ac:dyDescent="0.3">
      <c r="A27">
        <v>26</v>
      </c>
      <c r="B27" s="4">
        <v>40545</v>
      </c>
      <c r="C27">
        <v>1</v>
      </c>
      <c r="D27">
        <v>0</v>
      </c>
      <c r="E27">
        <v>1</v>
      </c>
      <c r="F27">
        <v>1</v>
      </c>
      <c r="G27" t="b">
        <v>0</v>
      </c>
      <c r="H27">
        <v>0</v>
      </c>
      <c r="I27">
        <v>2</v>
      </c>
      <c r="J27">
        <v>0.44</v>
      </c>
      <c r="K27">
        <v>0.43940000000000001</v>
      </c>
      <c r="L27">
        <v>0.94</v>
      </c>
      <c r="M27">
        <v>0.25369999999999998</v>
      </c>
      <c r="N27">
        <v>1</v>
      </c>
      <c r="O27">
        <v>16</v>
      </c>
      <c r="P27">
        <v>17</v>
      </c>
    </row>
    <row r="28" spans="1:16" x14ac:dyDescent="0.3">
      <c r="A28">
        <v>27</v>
      </c>
      <c r="B28" s="4">
        <v>40545</v>
      </c>
      <c r="C28">
        <v>1</v>
      </c>
      <c r="D28">
        <v>0</v>
      </c>
      <c r="E28">
        <v>1</v>
      </c>
      <c r="F28">
        <v>2</v>
      </c>
      <c r="G28" t="b">
        <v>0</v>
      </c>
      <c r="H28">
        <v>0</v>
      </c>
      <c r="I28">
        <v>2</v>
      </c>
      <c r="J28">
        <v>0.42</v>
      </c>
      <c r="K28">
        <v>0.42420000000000002</v>
      </c>
      <c r="L28">
        <v>1</v>
      </c>
      <c r="M28">
        <v>0.28360000000000002</v>
      </c>
      <c r="N28">
        <v>1</v>
      </c>
      <c r="O28">
        <v>8</v>
      </c>
      <c r="P28">
        <v>9</v>
      </c>
    </row>
    <row r="29" spans="1:16" x14ac:dyDescent="0.3">
      <c r="A29">
        <v>28</v>
      </c>
      <c r="B29" s="4">
        <v>40545</v>
      </c>
      <c r="C29">
        <v>1</v>
      </c>
      <c r="D29">
        <v>0</v>
      </c>
      <c r="E29">
        <v>1</v>
      </c>
      <c r="F29">
        <v>3</v>
      </c>
      <c r="G29" t="b">
        <v>0</v>
      </c>
      <c r="H29">
        <v>0</v>
      </c>
      <c r="I29">
        <v>2</v>
      </c>
      <c r="J29">
        <v>0.46</v>
      </c>
      <c r="K29">
        <v>0.45450000000000002</v>
      </c>
      <c r="L29">
        <v>0.94</v>
      </c>
      <c r="M29">
        <v>0.19400000000000001</v>
      </c>
      <c r="N29">
        <v>2</v>
      </c>
      <c r="O29">
        <v>4</v>
      </c>
      <c r="P29">
        <v>6</v>
      </c>
    </row>
    <row r="30" spans="1:16" x14ac:dyDescent="0.3">
      <c r="A30">
        <v>29</v>
      </c>
      <c r="B30" s="4">
        <v>40545</v>
      </c>
      <c r="C30">
        <v>1</v>
      </c>
      <c r="D30">
        <v>0</v>
      </c>
      <c r="E30">
        <v>1</v>
      </c>
      <c r="F30">
        <v>4</v>
      </c>
      <c r="G30" t="b">
        <v>0</v>
      </c>
      <c r="H30">
        <v>0</v>
      </c>
      <c r="I30">
        <v>2</v>
      </c>
      <c r="J30">
        <v>0.46</v>
      </c>
      <c r="K30">
        <v>0.19989999999999999</v>
      </c>
      <c r="L30">
        <v>0.94</v>
      </c>
      <c r="M30">
        <v>0.19400000000000001</v>
      </c>
      <c r="N30">
        <v>2</v>
      </c>
      <c r="O30">
        <v>1</v>
      </c>
      <c r="P30">
        <v>3</v>
      </c>
    </row>
    <row r="31" spans="1:16" x14ac:dyDescent="0.3">
      <c r="A31">
        <v>30</v>
      </c>
      <c r="B31" s="4">
        <v>40545</v>
      </c>
      <c r="C31">
        <v>1</v>
      </c>
      <c r="D31">
        <v>0</v>
      </c>
      <c r="E31">
        <v>1</v>
      </c>
      <c r="F31">
        <v>6</v>
      </c>
      <c r="G31" t="b">
        <v>0</v>
      </c>
      <c r="H31">
        <v>0</v>
      </c>
      <c r="I31">
        <v>3</v>
      </c>
      <c r="J31">
        <v>0.42</v>
      </c>
      <c r="K31">
        <v>0.42420000000000002</v>
      </c>
      <c r="L31">
        <v>0.77</v>
      </c>
      <c r="M31">
        <v>0.29849999999999999</v>
      </c>
      <c r="N31">
        <v>0</v>
      </c>
      <c r="O31">
        <v>2</v>
      </c>
      <c r="P31">
        <v>2</v>
      </c>
    </row>
    <row r="32" spans="1:16" x14ac:dyDescent="0.3">
      <c r="A32">
        <v>31</v>
      </c>
      <c r="B32" s="4">
        <v>40545</v>
      </c>
      <c r="C32">
        <v>1</v>
      </c>
      <c r="D32">
        <v>0</v>
      </c>
      <c r="E32">
        <v>1</v>
      </c>
      <c r="F32">
        <v>7</v>
      </c>
      <c r="G32" t="b">
        <v>0</v>
      </c>
      <c r="H32">
        <v>0</v>
      </c>
      <c r="I32">
        <v>2</v>
      </c>
      <c r="J32">
        <v>0.4</v>
      </c>
      <c r="K32">
        <v>0.40910000000000002</v>
      </c>
      <c r="L32">
        <v>0.76</v>
      </c>
      <c r="M32">
        <v>0.19400000000000001</v>
      </c>
      <c r="N32">
        <v>0</v>
      </c>
      <c r="O32">
        <v>1</v>
      </c>
      <c r="P32">
        <v>1</v>
      </c>
    </row>
    <row r="33" spans="1:16" x14ac:dyDescent="0.3">
      <c r="A33">
        <v>32</v>
      </c>
      <c r="B33" s="4">
        <v>40545</v>
      </c>
      <c r="C33">
        <v>1</v>
      </c>
      <c r="D33">
        <v>0</v>
      </c>
      <c r="E33">
        <v>1</v>
      </c>
      <c r="F33">
        <v>8</v>
      </c>
      <c r="G33" t="b">
        <v>0</v>
      </c>
      <c r="H33">
        <v>0</v>
      </c>
      <c r="I33">
        <v>3</v>
      </c>
      <c r="J33">
        <v>0.4</v>
      </c>
      <c r="K33">
        <v>0.40910000000000002</v>
      </c>
      <c r="L33">
        <v>0.71</v>
      </c>
      <c r="M33">
        <v>0.22389999999999999</v>
      </c>
      <c r="N33">
        <v>0</v>
      </c>
      <c r="O33">
        <v>8</v>
      </c>
      <c r="P33">
        <v>8</v>
      </c>
    </row>
    <row r="34" spans="1:16" x14ac:dyDescent="0.3">
      <c r="A34">
        <v>33</v>
      </c>
      <c r="B34" s="4">
        <v>40545</v>
      </c>
      <c r="C34">
        <v>1</v>
      </c>
      <c r="D34">
        <v>0</v>
      </c>
      <c r="E34">
        <v>1</v>
      </c>
      <c r="F34">
        <v>9</v>
      </c>
      <c r="G34" t="b">
        <v>0</v>
      </c>
      <c r="H34">
        <v>0</v>
      </c>
      <c r="I34">
        <v>2</v>
      </c>
      <c r="J34">
        <v>0.38</v>
      </c>
      <c r="K34">
        <v>0.19989999999999999</v>
      </c>
      <c r="L34">
        <v>0.76</v>
      </c>
      <c r="M34">
        <v>0.22389999999999999</v>
      </c>
      <c r="N34">
        <v>1</v>
      </c>
      <c r="O34">
        <v>19</v>
      </c>
      <c r="P34">
        <v>20</v>
      </c>
    </row>
    <row r="35" spans="1:16" x14ac:dyDescent="0.3">
      <c r="A35">
        <v>34</v>
      </c>
      <c r="B35" s="4">
        <v>40545</v>
      </c>
      <c r="C35">
        <v>1</v>
      </c>
      <c r="D35">
        <v>0</v>
      </c>
      <c r="E35">
        <v>1</v>
      </c>
      <c r="F35">
        <v>10</v>
      </c>
      <c r="G35" t="b">
        <v>0</v>
      </c>
      <c r="H35">
        <v>0</v>
      </c>
      <c r="I35">
        <v>2</v>
      </c>
      <c r="J35">
        <v>0.36</v>
      </c>
      <c r="K35">
        <v>0.34849999999999998</v>
      </c>
      <c r="L35">
        <v>0.81</v>
      </c>
      <c r="M35">
        <v>0.22389999999999999</v>
      </c>
      <c r="N35">
        <v>7</v>
      </c>
      <c r="O35">
        <v>46</v>
      </c>
      <c r="P35">
        <v>53</v>
      </c>
    </row>
    <row r="36" spans="1:16" x14ac:dyDescent="0.3">
      <c r="A36">
        <v>35</v>
      </c>
      <c r="B36" s="4">
        <v>40545</v>
      </c>
      <c r="C36">
        <v>1</v>
      </c>
      <c r="D36">
        <v>0</v>
      </c>
      <c r="E36">
        <v>1</v>
      </c>
      <c r="F36">
        <v>11</v>
      </c>
      <c r="G36" t="b">
        <v>0</v>
      </c>
      <c r="H36">
        <v>0</v>
      </c>
      <c r="I36">
        <v>2</v>
      </c>
      <c r="J36">
        <v>0.36</v>
      </c>
      <c r="K36">
        <v>0.33329999999999999</v>
      </c>
      <c r="L36">
        <v>0.71</v>
      </c>
      <c r="M36">
        <v>0.25369999999999998</v>
      </c>
      <c r="N36">
        <v>16</v>
      </c>
      <c r="O36">
        <v>54</v>
      </c>
      <c r="P36">
        <v>70</v>
      </c>
    </row>
    <row r="37" spans="1:16" x14ac:dyDescent="0.3">
      <c r="A37">
        <v>36</v>
      </c>
      <c r="B37" s="4">
        <v>40545</v>
      </c>
      <c r="C37">
        <v>1</v>
      </c>
      <c r="D37">
        <v>0</v>
      </c>
      <c r="E37">
        <v>1</v>
      </c>
      <c r="F37">
        <v>12</v>
      </c>
      <c r="G37" t="b">
        <v>0</v>
      </c>
      <c r="H37">
        <v>0</v>
      </c>
      <c r="I37">
        <v>2</v>
      </c>
      <c r="J37">
        <v>0.36</v>
      </c>
      <c r="K37">
        <v>0.33329999999999999</v>
      </c>
      <c r="L37">
        <v>0.66</v>
      </c>
      <c r="M37">
        <v>0.29849999999999999</v>
      </c>
      <c r="N37">
        <v>20</v>
      </c>
      <c r="O37">
        <v>73</v>
      </c>
      <c r="P37">
        <v>93</v>
      </c>
    </row>
    <row r="38" spans="1:16" x14ac:dyDescent="0.3">
      <c r="A38">
        <v>37</v>
      </c>
      <c r="B38" s="4">
        <v>40545</v>
      </c>
      <c r="C38">
        <v>1</v>
      </c>
      <c r="D38">
        <v>0</v>
      </c>
      <c r="E38">
        <v>1</v>
      </c>
      <c r="F38">
        <v>13</v>
      </c>
      <c r="G38" t="b">
        <v>0</v>
      </c>
      <c r="H38">
        <v>0</v>
      </c>
      <c r="I38">
        <v>2</v>
      </c>
      <c r="J38">
        <v>0.36</v>
      </c>
      <c r="K38">
        <v>0.34849999999999998</v>
      </c>
      <c r="L38">
        <v>0.66</v>
      </c>
      <c r="M38">
        <v>0.1343</v>
      </c>
      <c r="N38">
        <v>11</v>
      </c>
      <c r="O38">
        <v>64</v>
      </c>
      <c r="P38">
        <v>75</v>
      </c>
    </row>
    <row r="39" spans="1:16" x14ac:dyDescent="0.3">
      <c r="A39">
        <v>38</v>
      </c>
      <c r="B39" s="4">
        <v>40545</v>
      </c>
      <c r="C39">
        <v>1</v>
      </c>
      <c r="D39">
        <v>0</v>
      </c>
      <c r="E39">
        <v>1</v>
      </c>
      <c r="F39">
        <v>14</v>
      </c>
      <c r="G39" t="b">
        <v>0</v>
      </c>
      <c r="H39">
        <v>0</v>
      </c>
      <c r="I39">
        <v>3</v>
      </c>
      <c r="J39">
        <v>0.36</v>
      </c>
      <c r="K39">
        <v>0.19989999999999999</v>
      </c>
      <c r="L39">
        <v>0.76</v>
      </c>
      <c r="M39">
        <v>0.19400000000000001</v>
      </c>
      <c r="N39">
        <v>4</v>
      </c>
      <c r="O39">
        <v>55</v>
      </c>
      <c r="P39">
        <v>59</v>
      </c>
    </row>
    <row r="40" spans="1:16" x14ac:dyDescent="0.3">
      <c r="A40">
        <v>39</v>
      </c>
      <c r="B40" s="4">
        <v>40545</v>
      </c>
      <c r="C40">
        <v>1</v>
      </c>
      <c r="D40">
        <v>0</v>
      </c>
      <c r="E40">
        <v>1</v>
      </c>
      <c r="F40">
        <v>15</v>
      </c>
      <c r="G40" t="b">
        <v>0</v>
      </c>
      <c r="H40">
        <v>0</v>
      </c>
      <c r="I40">
        <v>3</v>
      </c>
      <c r="J40">
        <v>0.34</v>
      </c>
      <c r="K40">
        <v>0.33329999999999999</v>
      </c>
      <c r="L40">
        <v>0.81</v>
      </c>
      <c r="M40">
        <v>0.16420000000000001</v>
      </c>
      <c r="N40">
        <v>19</v>
      </c>
      <c r="O40">
        <v>55</v>
      </c>
      <c r="P40">
        <v>74</v>
      </c>
    </row>
    <row r="41" spans="1:16" x14ac:dyDescent="0.3">
      <c r="A41">
        <v>40</v>
      </c>
      <c r="B41" s="4">
        <v>40545</v>
      </c>
      <c r="C41">
        <v>1</v>
      </c>
      <c r="D41">
        <v>0</v>
      </c>
      <c r="E41">
        <v>1</v>
      </c>
      <c r="F41">
        <v>16</v>
      </c>
      <c r="G41" t="b">
        <v>0</v>
      </c>
      <c r="H41">
        <v>0</v>
      </c>
      <c r="I41">
        <v>3</v>
      </c>
      <c r="J41">
        <v>0.34</v>
      </c>
      <c r="K41">
        <v>0.33329999999999999</v>
      </c>
      <c r="L41">
        <v>0.71</v>
      </c>
      <c r="M41">
        <v>0.16420000000000001</v>
      </c>
      <c r="N41">
        <v>9</v>
      </c>
      <c r="O41">
        <v>67</v>
      </c>
      <c r="P41">
        <v>76</v>
      </c>
    </row>
    <row r="42" spans="1:16" x14ac:dyDescent="0.3">
      <c r="A42">
        <v>41</v>
      </c>
      <c r="B42" s="4">
        <v>40545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3">
      <c r="A43">
        <v>42</v>
      </c>
      <c r="B43" s="4">
        <v>40545</v>
      </c>
      <c r="C43">
        <v>1</v>
      </c>
      <c r="D43">
        <v>0</v>
      </c>
      <c r="E43">
        <v>1</v>
      </c>
      <c r="F43">
        <v>18</v>
      </c>
      <c r="G43" t="b">
        <v>0</v>
      </c>
      <c r="H43">
        <v>0</v>
      </c>
      <c r="I43">
        <v>2</v>
      </c>
      <c r="J43">
        <v>0.36</v>
      </c>
      <c r="K43">
        <v>0.33329999999999999</v>
      </c>
      <c r="L43">
        <v>0.46</v>
      </c>
      <c r="M43">
        <v>0.32840000000000003</v>
      </c>
      <c r="N43">
        <v>10</v>
      </c>
      <c r="O43">
        <v>43</v>
      </c>
      <c r="P43">
        <v>53</v>
      </c>
    </row>
    <row r="44" spans="1:16" x14ac:dyDescent="0.3">
      <c r="A44">
        <v>43</v>
      </c>
      <c r="B44" s="4">
        <v>40545</v>
      </c>
      <c r="C44">
        <v>1</v>
      </c>
      <c r="D44">
        <v>0</v>
      </c>
      <c r="E44">
        <v>1</v>
      </c>
      <c r="F44">
        <v>19</v>
      </c>
      <c r="G44" t="b">
        <v>0</v>
      </c>
      <c r="H44">
        <v>0</v>
      </c>
      <c r="I44">
        <v>1</v>
      </c>
      <c r="J44">
        <v>0.32</v>
      </c>
      <c r="K44">
        <v>0.28789999999999999</v>
      </c>
      <c r="L44">
        <v>0.42</v>
      </c>
      <c r="M44">
        <v>0.44779999999999998</v>
      </c>
      <c r="N44">
        <v>1</v>
      </c>
      <c r="O44">
        <v>29</v>
      </c>
      <c r="P44">
        <v>30</v>
      </c>
    </row>
    <row r="45" spans="1:16" x14ac:dyDescent="0.3">
      <c r="A45">
        <v>44</v>
      </c>
      <c r="B45" s="4">
        <v>40545</v>
      </c>
      <c r="C45">
        <v>1</v>
      </c>
      <c r="D45">
        <v>0</v>
      </c>
      <c r="E45">
        <v>1</v>
      </c>
      <c r="F45">
        <v>20</v>
      </c>
      <c r="G45" t="b">
        <v>0</v>
      </c>
      <c r="H45">
        <v>0</v>
      </c>
      <c r="I45">
        <v>1</v>
      </c>
      <c r="J45">
        <v>0.3</v>
      </c>
      <c r="K45">
        <v>0.19989999999999999</v>
      </c>
      <c r="L45">
        <v>0.39</v>
      </c>
      <c r="M45">
        <v>0.35820000000000002</v>
      </c>
      <c r="N45">
        <v>5</v>
      </c>
      <c r="O45">
        <v>17</v>
      </c>
      <c r="P45">
        <v>22</v>
      </c>
    </row>
    <row r="46" spans="1:16" x14ac:dyDescent="0.3">
      <c r="A46">
        <v>45</v>
      </c>
      <c r="B46" s="4">
        <v>40545</v>
      </c>
      <c r="C46">
        <v>1</v>
      </c>
      <c r="D46">
        <v>0</v>
      </c>
      <c r="E46">
        <v>1</v>
      </c>
      <c r="F46">
        <v>21</v>
      </c>
      <c r="G46" t="b">
        <v>0</v>
      </c>
      <c r="H46">
        <v>0</v>
      </c>
      <c r="I46">
        <v>1</v>
      </c>
      <c r="J46">
        <v>0.26</v>
      </c>
      <c r="K46">
        <v>0.2273</v>
      </c>
      <c r="L46">
        <v>0.44</v>
      </c>
      <c r="M46">
        <v>0.32840000000000003</v>
      </c>
      <c r="N46">
        <v>11</v>
      </c>
      <c r="O46">
        <v>20</v>
      </c>
      <c r="P46">
        <v>31</v>
      </c>
    </row>
    <row r="47" spans="1:16" x14ac:dyDescent="0.3">
      <c r="A47">
        <v>46</v>
      </c>
      <c r="B47" s="4">
        <v>40545</v>
      </c>
      <c r="C47">
        <v>1</v>
      </c>
      <c r="D47">
        <v>0</v>
      </c>
      <c r="E47">
        <v>1</v>
      </c>
      <c r="F47">
        <v>22</v>
      </c>
      <c r="G47" t="b">
        <v>0</v>
      </c>
      <c r="H47">
        <v>0</v>
      </c>
      <c r="I47">
        <v>1</v>
      </c>
      <c r="J47">
        <v>0.24</v>
      </c>
      <c r="K47">
        <v>0.21210000000000001</v>
      </c>
      <c r="L47">
        <v>0.44</v>
      </c>
      <c r="M47">
        <v>0.29849999999999999</v>
      </c>
      <c r="N47">
        <v>0</v>
      </c>
      <c r="O47">
        <v>9</v>
      </c>
      <c r="P47">
        <v>9</v>
      </c>
    </row>
    <row r="48" spans="1:16" x14ac:dyDescent="0.3">
      <c r="A48">
        <v>47</v>
      </c>
      <c r="B48" s="4">
        <v>40545</v>
      </c>
      <c r="C48">
        <v>1</v>
      </c>
      <c r="D48">
        <v>0</v>
      </c>
      <c r="E48">
        <v>1</v>
      </c>
      <c r="F48">
        <v>23</v>
      </c>
      <c r="G48" t="b">
        <v>0</v>
      </c>
      <c r="H48">
        <v>0</v>
      </c>
      <c r="I48">
        <v>1</v>
      </c>
      <c r="J48">
        <v>0.22</v>
      </c>
      <c r="K48">
        <v>0.2273</v>
      </c>
      <c r="L48">
        <v>0.47</v>
      </c>
      <c r="M48">
        <v>0.16420000000000001</v>
      </c>
      <c r="N48">
        <v>0</v>
      </c>
      <c r="O48">
        <v>8</v>
      </c>
      <c r="P48">
        <v>8</v>
      </c>
    </row>
    <row r="49" spans="1:16" x14ac:dyDescent="0.3">
      <c r="A49">
        <v>48</v>
      </c>
      <c r="B49" s="4">
        <v>40546</v>
      </c>
      <c r="C49">
        <v>1</v>
      </c>
      <c r="D49">
        <v>0</v>
      </c>
      <c r="E49">
        <v>1</v>
      </c>
      <c r="F49">
        <v>0</v>
      </c>
      <c r="G49" t="b">
        <v>0</v>
      </c>
      <c r="H49">
        <v>1</v>
      </c>
      <c r="I49">
        <v>1</v>
      </c>
      <c r="J49">
        <v>0.22</v>
      </c>
      <c r="K49">
        <v>0.19700000000000001</v>
      </c>
      <c r="L49">
        <v>0.44</v>
      </c>
      <c r="M49">
        <v>0.35820000000000002</v>
      </c>
      <c r="N49">
        <v>0</v>
      </c>
      <c r="O49">
        <v>5</v>
      </c>
      <c r="P49">
        <v>5</v>
      </c>
    </row>
    <row r="50" spans="1:16" x14ac:dyDescent="0.3">
      <c r="A50">
        <v>49</v>
      </c>
      <c r="B50" s="4">
        <v>40546</v>
      </c>
      <c r="C50">
        <v>1</v>
      </c>
      <c r="D50">
        <v>0</v>
      </c>
      <c r="E50">
        <v>1</v>
      </c>
      <c r="F50">
        <v>1</v>
      </c>
      <c r="G50" t="b">
        <v>0</v>
      </c>
      <c r="H50">
        <v>1</v>
      </c>
      <c r="I50">
        <v>1</v>
      </c>
      <c r="J50">
        <v>0.2</v>
      </c>
      <c r="K50">
        <v>0.19989999999999999</v>
      </c>
      <c r="L50">
        <v>0.44</v>
      </c>
      <c r="M50">
        <v>0.41789999999999999</v>
      </c>
      <c r="N50">
        <v>0</v>
      </c>
      <c r="O50">
        <v>2</v>
      </c>
      <c r="P50">
        <v>2</v>
      </c>
    </row>
    <row r="51" spans="1:16" x14ac:dyDescent="0.3">
      <c r="A51">
        <v>50</v>
      </c>
      <c r="B51" s="4">
        <v>40546</v>
      </c>
      <c r="C51">
        <v>1</v>
      </c>
      <c r="D51">
        <v>0</v>
      </c>
      <c r="E51">
        <v>1</v>
      </c>
      <c r="F51">
        <v>4</v>
      </c>
      <c r="G51" t="b">
        <v>0</v>
      </c>
      <c r="H51">
        <v>1</v>
      </c>
      <c r="I51">
        <v>1</v>
      </c>
      <c r="J51">
        <v>0.16</v>
      </c>
      <c r="K51">
        <v>0.13639999999999999</v>
      </c>
      <c r="L51">
        <v>0.47</v>
      </c>
      <c r="M51">
        <v>0.3881</v>
      </c>
      <c r="N51">
        <v>0</v>
      </c>
      <c r="O51">
        <v>1</v>
      </c>
      <c r="P51">
        <v>1</v>
      </c>
    </row>
    <row r="52" spans="1:16" x14ac:dyDescent="0.3">
      <c r="A52">
        <v>51</v>
      </c>
      <c r="B52" s="4">
        <v>40546</v>
      </c>
      <c r="C52">
        <v>1</v>
      </c>
      <c r="D52">
        <v>0</v>
      </c>
      <c r="E52">
        <v>1</v>
      </c>
      <c r="F52">
        <v>5</v>
      </c>
      <c r="G52" t="b">
        <v>0</v>
      </c>
      <c r="H52">
        <v>1</v>
      </c>
      <c r="I52">
        <v>1</v>
      </c>
      <c r="J52">
        <v>0.16</v>
      </c>
      <c r="K52">
        <v>0.13639999999999999</v>
      </c>
      <c r="L52">
        <v>0.47</v>
      </c>
      <c r="M52">
        <v>0.28360000000000002</v>
      </c>
      <c r="N52">
        <v>0</v>
      </c>
      <c r="O52">
        <v>3</v>
      </c>
      <c r="P52">
        <v>3</v>
      </c>
    </row>
    <row r="53" spans="1:16" x14ac:dyDescent="0.3">
      <c r="A53">
        <v>52</v>
      </c>
      <c r="B53" s="4">
        <v>40546</v>
      </c>
      <c r="C53">
        <v>1</v>
      </c>
      <c r="D53">
        <v>0</v>
      </c>
      <c r="E53">
        <v>1</v>
      </c>
      <c r="F53">
        <v>6</v>
      </c>
      <c r="G53" t="b">
        <v>0</v>
      </c>
      <c r="H53">
        <v>1</v>
      </c>
      <c r="I53">
        <v>1</v>
      </c>
      <c r="J53">
        <v>0.14000000000000001</v>
      </c>
      <c r="K53">
        <v>0.1061</v>
      </c>
      <c r="L53">
        <v>0.5</v>
      </c>
      <c r="M53">
        <v>0.3881</v>
      </c>
      <c r="N53">
        <v>0</v>
      </c>
      <c r="O53">
        <v>30</v>
      </c>
      <c r="P53">
        <v>30</v>
      </c>
    </row>
    <row r="54" spans="1:16" x14ac:dyDescent="0.3">
      <c r="A54">
        <v>53</v>
      </c>
      <c r="B54" s="4">
        <v>40546</v>
      </c>
      <c r="C54">
        <v>1</v>
      </c>
      <c r="D54">
        <v>0</v>
      </c>
      <c r="E54">
        <v>1</v>
      </c>
      <c r="F54">
        <v>7</v>
      </c>
      <c r="G54" t="b">
        <v>0</v>
      </c>
      <c r="H54">
        <v>1</v>
      </c>
      <c r="I54">
        <v>1</v>
      </c>
      <c r="J54">
        <v>0.14000000000000001</v>
      </c>
      <c r="K54">
        <v>0.13639999999999999</v>
      </c>
      <c r="L54">
        <v>0.5</v>
      </c>
      <c r="M54">
        <v>0.19400000000000001</v>
      </c>
      <c r="N54">
        <v>1</v>
      </c>
      <c r="O54">
        <v>63</v>
      </c>
      <c r="P54">
        <v>64</v>
      </c>
    </row>
    <row r="55" spans="1:16" x14ac:dyDescent="0.3">
      <c r="A55">
        <v>54</v>
      </c>
      <c r="B55" s="4">
        <v>40546</v>
      </c>
      <c r="C55">
        <v>1</v>
      </c>
      <c r="D55">
        <v>0</v>
      </c>
      <c r="E55">
        <v>1</v>
      </c>
      <c r="F55">
        <v>8</v>
      </c>
      <c r="G55" t="b">
        <v>0</v>
      </c>
      <c r="H55">
        <v>1</v>
      </c>
      <c r="I55">
        <v>1</v>
      </c>
      <c r="J55">
        <v>0.14000000000000001</v>
      </c>
      <c r="K55">
        <v>0.1212</v>
      </c>
      <c r="L55">
        <v>0.5</v>
      </c>
      <c r="M55">
        <v>0.28360000000000002</v>
      </c>
      <c r="N55">
        <v>1</v>
      </c>
      <c r="O55">
        <v>153</v>
      </c>
      <c r="P55">
        <v>154</v>
      </c>
    </row>
    <row r="56" spans="1:16" x14ac:dyDescent="0.3">
      <c r="A56">
        <v>55</v>
      </c>
      <c r="B56" s="4">
        <v>40546</v>
      </c>
      <c r="C56">
        <v>1</v>
      </c>
      <c r="D56">
        <v>0</v>
      </c>
      <c r="E56">
        <v>1</v>
      </c>
      <c r="F56">
        <v>9</v>
      </c>
      <c r="G56" t="b">
        <v>0</v>
      </c>
      <c r="H56">
        <v>1</v>
      </c>
      <c r="I56">
        <v>1</v>
      </c>
      <c r="J56">
        <v>0.16</v>
      </c>
      <c r="K56">
        <v>0.13639999999999999</v>
      </c>
      <c r="L56">
        <v>0.43</v>
      </c>
      <c r="M56">
        <v>0.3881</v>
      </c>
      <c r="N56">
        <v>7</v>
      </c>
      <c r="O56">
        <v>81</v>
      </c>
      <c r="P56">
        <v>88</v>
      </c>
    </row>
    <row r="57" spans="1:16" x14ac:dyDescent="0.3">
      <c r="A57">
        <v>56</v>
      </c>
      <c r="B57" s="4">
        <v>40546</v>
      </c>
      <c r="C57">
        <v>1</v>
      </c>
      <c r="D57">
        <v>0</v>
      </c>
      <c r="E57">
        <v>1</v>
      </c>
      <c r="F57">
        <v>10</v>
      </c>
      <c r="G57" t="b">
        <v>0</v>
      </c>
      <c r="H57">
        <v>1</v>
      </c>
      <c r="I57">
        <v>1</v>
      </c>
      <c r="J57">
        <v>0.18</v>
      </c>
      <c r="K57">
        <v>0.16669999999999999</v>
      </c>
      <c r="L57">
        <v>0.43</v>
      </c>
      <c r="M57">
        <v>0.25369999999999998</v>
      </c>
      <c r="N57">
        <v>11</v>
      </c>
      <c r="O57">
        <v>33</v>
      </c>
      <c r="P57">
        <v>44</v>
      </c>
    </row>
    <row r="58" spans="1:16" x14ac:dyDescent="0.3">
      <c r="A58">
        <v>57</v>
      </c>
      <c r="B58" s="4">
        <v>40546</v>
      </c>
      <c r="C58">
        <v>1</v>
      </c>
      <c r="D58">
        <v>0</v>
      </c>
      <c r="E58">
        <v>1</v>
      </c>
      <c r="F58">
        <v>11</v>
      </c>
      <c r="G58" t="b">
        <v>0</v>
      </c>
      <c r="H58">
        <v>1</v>
      </c>
      <c r="I58">
        <v>1</v>
      </c>
      <c r="J58">
        <v>0.2</v>
      </c>
      <c r="K58">
        <v>0.18179999999999999</v>
      </c>
      <c r="L58">
        <v>0.4</v>
      </c>
      <c r="M58">
        <v>0.32840000000000003</v>
      </c>
      <c r="N58">
        <v>10</v>
      </c>
      <c r="O58">
        <v>41</v>
      </c>
      <c r="P58">
        <v>51</v>
      </c>
    </row>
    <row r="59" spans="1:16" x14ac:dyDescent="0.3">
      <c r="A59">
        <v>58</v>
      </c>
      <c r="B59" s="4">
        <v>40546</v>
      </c>
      <c r="C59">
        <v>1</v>
      </c>
      <c r="D59">
        <v>0</v>
      </c>
      <c r="E59">
        <v>1</v>
      </c>
      <c r="F59">
        <v>12</v>
      </c>
      <c r="G59" t="b">
        <v>0</v>
      </c>
      <c r="H59">
        <v>1</v>
      </c>
      <c r="I59">
        <v>1</v>
      </c>
      <c r="J59">
        <v>0.22</v>
      </c>
      <c r="K59">
        <v>0.21210000000000001</v>
      </c>
      <c r="L59">
        <v>0.35</v>
      </c>
      <c r="M59">
        <v>0.29849999999999999</v>
      </c>
      <c r="N59">
        <v>13</v>
      </c>
      <c r="O59">
        <v>48</v>
      </c>
      <c r="P59">
        <v>61</v>
      </c>
    </row>
    <row r="60" spans="1:16" x14ac:dyDescent="0.3">
      <c r="A60">
        <v>59</v>
      </c>
      <c r="B60" s="4">
        <v>40546</v>
      </c>
      <c r="C60">
        <v>1</v>
      </c>
      <c r="D60">
        <v>0</v>
      </c>
      <c r="E60">
        <v>1</v>
      </c>
      <c r="F60">
        <v>13</v>
      </c>
      <c r="G60" t="b">
        <v>0</v>
      </c>
      <c r="H60">
        <v>1</v>
      </c>
      <c r="I60">
        <v>1</v>
      </c>
      <c r="J60">
        <v>0.24</v>
      </c>
      <c r="K60">
        <v>0.19989999999999999</v>
      </c>
      <c r="L60">
        <v>0.35</v>
      </c>
      <c r="M60">
        <v>0.28360000000000002</v>
      </c>
      <c r="N60">
        <v>8</v>
      </c>
      <c r="O60">
        <v>53</v>
      </c>
      <c r="P60">
        <v>61</v>
      </c>
    </row>
    <row r="61" spans="1:16" x14ac:dyDescent="0.3">
      <c r="A61">
        <v>60</v>
      </c>
      <c r="B61" s="4">
        <v>40546</v>
      </c>
      <c r="C61">
        <v>1</v>
      </c>
      <c r="D61">
        <v>0</v>
      </c>
      <c r="E61">
        <v>1</v>
      </c>
      <c r="F61">
        <v>14</v>
      </c>
      <c r="G61" t="b">
        <v>0</v>
      </c>
      <c r="H61">
        <v>1</v>
      </c>
      <c r="I61">
        <v>1</v>
      </c>
      <c r="J61">
        <v>0.26</v>
      </c>
      <c r="K61">
        <v>0.2424</v>
      </c>
      <c r="L61">
        <v>0.3</v>
      </c>
      <c r="M61">
        <v>0.28360000000000002</v>
      </c>
      <c r="N61">
        <v>11</v>
      </c>
      <c r="O61">
        <v>66</v>
      </c>
      <c r="P61">
        <v>77</v>
      </c>
    </row>
    <row r="62" spans="1:16" x14ac:dyDescent="0.3">
      <c r="A62">
        <v>61</v>
      </c>
      <c r="B62" s="4">
        <v>40546</v>
      </c>
      <c r="C62">
        <v>1</v>
      </c>
      <c r="D62">
        <v>0</v>
      </c>
      <c r="E62">
        <v>1</v>
      </c>
      <c r="F62">
        <v>15</v>
      </c>
      <c r="G62" t="b">
        <v>0</v>
      </c>
      <c r="H62">
        <v>1</v>
      </c>
      <c r="I62">
        <v>1</v>
      </c>
      <c r="J62">
        <v>0.26</v>
      </c>
      <c r="K62">
        <v>0.2424</v>
      </c>
      <c r="L62">
        <v>0.3</v>
      </c>
      <c r="M62">
        <v>0.25369999999999998</v>
      </c>
      <c r="N62">
        <v>14</v>
      </c>
      <c r="O62">
        <v>58</v>
      </c>
      <c r="P62">
        <v>72</v>
      </c>
    </row>
    <row r="63" spans="1:16" x14ac:dyDescent="0.3">
      <c r="A63">
        <v>62</v>
      </c>
      <c r="B63" s="4">
        <v>40546</v>
      </c>
      <c r="C63">
        <v>1</v>
      </c>
      <c r="D63">
        <v>0</v>
      </c>
      <c r="E63">
        <v>1</v>
      </c>
      <c r="F63">
        <v>16</v>
      </c>
      <c r="G63" t="b">
        <v>0</v>
      </c>
      <c r="H63">
        <v>1</v>
      </c>
      <c r="I63">
        <v>1</v>
      </c>
      <c r="J63">
        <v>0.26</v>
      </c>
      <c r="K63">
        <v>0.2424</v>
      </c>
      <c r="L63">
        <v>0.3</v>
      </c>
      <c r="M63">
        <v>0.25369999999999998</v>
      </c>
      <c r="N63">
        <v>9</v>
      </c>
      <c r="O63">
        <v>67</v>
      </c>
      <c r="P63">
        <v>76</v>
      </c>
    </row>
    <row r="64" spans="1:16" x14ac:dyDescent="0.3">
      <c r="A64">
        <v>63</v>
      </c>
      <c r="B64" s="4">
        <v>40546</v>
      </c>
      <c r="C64">
        <v>1</v>
      </c>
      <c r="D64">
        <v>0</v>
      </c>
      <c r="E64">
        <v>1</v>
      </c>
      <c r="F64">
        <v>17</v>
      </c>
      <c r="G64" t="b">
        <v>0</v>
      </c>
      <c r="H64">
        <v>1</v>
      </c>
      <c r="I64">
        <v>1</v>
      </c>
      <c r="J64">
        <v>0.24</v>
      </c>
      <c r="K64">
        <v>0.2273</v>
      </c>
      <c r="L64">
        <v>0.3</v>
      </c>
      <c r="M64">
        <v>0.22389999999999999</v>
      </c>
      <c r="N64">
        <v>11</v>
      </c>
      <c r="O64">
        <v>146</v>
      </c>
      <c r="P64">
        <v>157</v>
      </c>
    </row>
    <row r="65" spans="1:16" x14ac:dyDescent="0.3">
      <c r="A65">
        <v>64</v>
      </c>
      <c r="B65" s="4">
        <v>40546</v>
      </c>
      <c r="C65">
        <v>1</v>
      </c>
      <c r="D65">
        <v>0</v>
      </c>
      <c r="E65">
        <v>1</v>
      </c>
      <c r="F65">
        <v>18</v>
      </c>
      <c r="G65" t="b">
        <v>0</v>
      </c>
      <c r="H65">
        <v>1</v>
      </c>
      <c r="I65">
        <v>1</v>
      </c>
      <c r="J65">
        <v>0.24</v>
      </c>
      <c r="K65">
        <v>0.2576</v>
      </c>
      <c r="L65">
        <v>0.32</v>
      </c>
      <c r="M65">
        <v>0.1045</v>
      </c>
      <c r="N65">
        <v>9</v>
      </c>
      <c r="O65">
        <v>148</v>
      </c>
      <c r="P65">
        <v>157</v>
      </c>
    </row>
    <row r="66" spans="1:16" x14ac:dyDescent="0.3">
      <c r="A66">
        <v>65</v>
      </c>
      <c r="B66" s="4">
        <v>40546</v>
      </c>
      <c r="C66">
        <v>1</v>
      </c>
      <c r="D66">
        <v>0</v>
      </c>
      <c r="E66">
        <v>1</v>
      </c>
      <c r="F66">
        <v>19</v>
      </c>
      <c r="G66" t="b">
        <v>0</v>
      </c>
      <c r="H66">
        <v>1</v>
      </c>
      <c r="I66">
        <v>1</v>
      </c>
      <c r="J66">
        <v>0.2</v>
      </c>
      <c r="K66">
        <v>0.2576</v>
      </c>
      <c r="L66">
        <v>0.47</v>
      </c>
      <c r="M66">
        <v>0</v>
      </c>
      <c r="N66">
        <v>8</v>
      </c>
      <c r="O66">
        <v>102</v>
      </c>
      <c r="P66">
        <v>110</v>
      </c>
    </row>
    <row r="67" spans="1:16" x14ac:dyDescent="0.3">
      <c r="A67">
        <v>66</v>
      </c>
      <c r="B67" s="4">
        <v>40546</v>
      </c>
      <c r="C67">
        <v>1</v>
      </c>
      <c r="D67">
        <v>0</v>
      </c>
      <c r="E67">
        <v>1</v>
      </c>
      <c r="F67">
        <v>20</v>
      </c>
      <c r="G67" t="b">
        <v>0</v>
      </c>
      <c r="H67">
        <v>1</v>
      </c>
      <c r="I67">
        <v>1</v>
      </c>
      <c r="J67">
        <v>0.2</v>
      </c>
      <c r="K67">
        <v>0.19989999999999999</v>
      </c>
      <c r="L67">
        <v>0.47</v>
      </c>
      <c r="M67">
        <v>0.1045</v>
      </c>
      <c r="N67">
        <v>3</v>
      </c>
      <c r="O67">
        <v>49</v>
      </c>
      <c r="P67">
        <v>52</v>
      </c>
    </row>
    <row r="68" spans="1:16" x14ac:dyDescent="0.3">
      <c r="A68">
        <v>67</v>
      </c>
      <c r="B68" s="4">
        <v>40546</v>
      </c>
      <c r="C68">
        <v>1</v>
      </c>
      <c r="D68">
        <v>0</v>
      </c>
      <c r="E68">
        <v>1</v>
      </c>
      <c r="F68">
        <v>21</v>
      </c>
      <c r="G68" t="b">
        <v>0</v>
      </c>
      <c r="H68">
        <v>1</v>
      </c>
      <c r="I68">
        <v>1</v>
      </c>
      <c r="J68">
        <v>0.18</v>
      </c>
      <c r="K68">
        <v>0.19700000000000001</v>
      </c>
      <c r="L68">
        <v>0.64</v>
      </c>
      <c r="M68">
        <v>0.1343</v>
      </c>
      <c r="N68">
        <v>3</v>
      </c>
      <c r="O68">
        <v>49</v>
      </c>
      <c r="P68">
        <v>52</v>
      </c>
    </row>
    <row r="69" spans="1:16" x14ac:dyDescent="0.3">
      <c r="A69">
        <v>68</v>
      </c>
      <c r="B69" s="4">
        <v>40546</v>
      </c>
      <c r="C69">
        <v>1</v>
      </c>
      <c r="D69">
        <v>0</v>
      </c>
      <c r="E69">
        <v>1</v>
      </c>
      <c r="F69">
        <v>22</v>
      </c>
      <c r="G69" t="b">
        <v>0</v>
      </c>
      <c r="H69">
        <v>1</v>
      </c>
      <c r="I69">
        <v>1</v>
      </c>
      <c r="J69">
        <v>0.14000000000000001</v>
      </c>
      <c r="K69">
        <v>0.1515</v>
      </c>
      <c r="L69">
        <v>0.69</v>
      </c>
      <c r="M69">
        <v>0.1343</v>
      </c>
      <c r="N69">
        <v>0</v>
      </c>
      <c r="O69">
        <v>20</v>
      </c>
      <c r="P69">
        <v>20</v>
      </c>
    </row>
    <row r="70" spans="1:16" x14ac:dyDescent="0.3">
      <c r="A70">
        <v>69</v>
      </c>
      <c r="B70" s="4">
        <v>40546</v>
      </c>
      <c r="C70">
        <v>1</v>
      </c>
      <c r="D70">
        <v>0</v>
      </c>
      <c r="E70">
        <v>1</v>
      </c>
      <c r="F70">
        <v>23</v>
      </c>
      <c r="G70" t="b">
        <v>0</v>
      </c>
      <c r="H70">
        <v>1</v>
      </c>
      <c r="I70">
        <v>1</v>
      </c>
      <c r="J70">
        <v>0.18</v>
      </c>
      <c r="K70">
        <v>0.21210000000000001</v>
      </c>
      <c r="L70">
        <v>0.55000000000000004</v>
      </c>
      <c r="M70">
        <v>0.1045</v>
      </c>
      <c r="N70">
        <v>1</v>
      </c>
      <c r="O70">
        <v>11</v>
      </c>
      <c r="P70">
        <v>12</v>
      </c>
    </row>
    <row r="71" spans="1:16" x14ac:dyDescent="0.3">
      <c r="A71">
        <v>70</v>
      </c>
      <c r="B71" s="4">
        <v>40547</v>
      </c>
      <c r="C71">
        <v>1</v>
      </c>
      <c r="D71">
        <v>0</v>
      </c>
      <c r="E71">
        <v>1</v>
      </c>
      <c r="F71">
        <v>0</v>
      </c>
      <c r="G71" t="b">
        <v>0</v>
      </c>
      <c r="H71">
        <v>2</v>
      </c>
      <c r="I71">
        <v>1</v>
      </c>
      <c r="J71">
        <v>0.16</v>
      </c>
      <c r="K71">
        <v>0.19989999999999999</v>
      </c>
      <c r="L71">
        <v>0.55000000000000004</v>
      </c>
      <c r="M71">
        <v>0.1045</v>
      </c>
      <c r="N71">
        <v>0</v>
      </c>
      <c r="O71">
        <v>5</v>
      </c>
      <c r="P71">
        <v>5</v>
      </c>
    </row>
    <row r="72" spans="1:16" x14ac:dyDescent="0.3">
      <c r="A72">
        <v>71</v>
      </c>
      <c r="B72" s="4">
        <v>40547</v>
      </c>
      <c r="C72">
        <v>1</v>
      </c>
      <c r="D72">
        <v>0</v>
      </c>
      <c r="E72">
        <v>1</v>
      </c>
      <c r="F72">
        <v>1</v>
      </c>
      <c r="G72" t="b">
        <v>0</v>
      </c>
      <c r="H72">
        <v>2</v>
      </c>
      <c r="I72">
        <v>1</v>
      </c>
      <c r="J72">
        <v>0.16</v>
      </c>
      <c r="K72">
        <v>0.18179999999999999</v>
      </c>
      <c r="L72">
        <v>0.59</v>
      </c>
      <c r="M72">
        <v>0.1045</v>
      </c>
      <c r="N72">
        <v>0</v>
      </c>
      <c r="O72">
        <v>2</v>
      </c>
      <c r="P72">
        <v>2</v>
      </c>
    </row>
    <row r="73" spans="1:16" x14ac:dyDescent="0.3">
      <c r="A73">
        <v>72</v>
      </c>
      <c r="B73" s="4">
        <v>40547</v>
      </c>
      <c r="C73">
        <v>1</v>
      </c>
      <c r="D73">
        <v>0</v>
      </c>
      <c r="E73">
        <v>1</v>
      </c>
      <c r="F73">
        <v>2</v>
      </c>
      <c r="G73" t="b">
        <v>0</v>
      </c>
      <c r="H73">
        <v>2</v>
      </c>
      <c r="I73">
        <v>1</v>
      </c>
      <c r="J73">
        <v>0.14000000000000001</v>
      </c>
      <c r="K73">
        <v>0.1515</v>
      </c>
      <c r="L73">
        <v>0.63</v>
      </c>
      <c r="M73">
        <v>0.1343</v>
      </c>
      <c r="N73">
        <v>0</v>
      </c>
      <c r="O73">
        <v>1</v>
      </c>
      <c r="P73">
        <v>1</v>
      </c>
    </row>
    <row r="74" spans="1:16" x14ac:dyDescent="0.3">
      <c r="A74">
        <v>73</v>
      </c>
      <c r="B74" s="4">
        <v>40547</v>
      </c>
      <c r="C74">
        <v>1</v>
      </c>
      <c r="D74">
        <v>0</v>
      </c>
      <c r="E74">
        <v>1</v>
      </c>
      <c r="F74">
        <v>4</v>
      </c>
      <c r="G74" t="b">
        <v>0</v>
      </c>
      <c r="H74">
        <v>2</v>
      </c>
      <c r="I74">
        <v>1</v>
      </c>
      <c r="J74">
        <v>0.14000000000000001</v>
      </c>
      <c r="K74">
        <v>0.18179999999999999</v>
      </c>
      <c r="L74">
        <v>0.63</v>
      </c>
      <c r="M74">
        <v>8.9599999999999999E-2</v>
      </c>
      <c r="N74">
        <v>0</v>
      </c>
      <c r="O74">
        <v>2</v>
      </c>
      <c r="P74">
        <v>2</v>
      </c>
    </row>
    <row r="75" spans="1:16" x14ac:dyDescent="0.3">
      <c r="A75">
        <v>74</v>
      </c>
      <c r="B75" s="4">
        <v>40547</v>
      </c>
      <c r="C75">
        <v>1</v>
      </c>
      <c r="D75">
        <v>0</v>
      </c>
      <c r="E75">
        <v>1</v>
      </c>
      <c r="F75">
        <v>5</v>
      </c>
      <c r="G75" t="b">
        <v>0</v>
      </c>
      <c r="H75">
        <v>2</v>
      </c>
      <c r="I75">
        <v>1</v>
      </c>
      <c r="J75">
        <v>0.12</v>
      </c>
      <c r="K75">
        <v>0.1515</v>
      </c>
      <c r="L75">
        <v>0.68</v>
      </c>
      <c r="M75">
        <v>0.1045</v>
      </c>
      <c r="N75">
        <v>0</v>
      </c>
      <c r="O75">
        <v>4</v>
      </c>
      <c r="P75">
        <v>4</v>
      </c>
    </row>
    <row r="76" spans="1:16" x14ac:dyDescent="0.3">
      <c r="A76">
        <v>75</v>
      </c>
      <c r="B76" s="4">
        <v>40547</v>
      </c>
      <c r="C76">
        <v>1</v>
      </c>
      <c r="D76">
        <v>0</v>
      </c>
      <c r="E76">
        <v>1</v>
      </c>
      <c r="F76">
        <v>6</v>
      </c>
      <c r="G76" t="b">
        <v>0</v>
      </c>
      <c r="H76">
        <v>2</v>
      </c>
      <c r="I76">
        <v>1</v>
      </c>
      <c r="J76">
        <v>0.12</v>
      </c>
      <c r="K76">
        <v>0.1515</v>
      </c>
      <c r="L76">
        <v>0.74</v>
      </c>
      <c r="M76">
        <v>0.1045</v>
      </c>
      <c r="N76">
        <v>0</v>
      </c>
      <c r="O76">
        <v>36</v>
      </c>
      <c r="P76">
        <v>36</v>
      </c>
    </row>
    <row r="77" spans="1:16" x14ac:dyDescent="0.3">
      <c r="A77">
        <v>76</v>
      </c>
      <c r="B77" s="4">
        <v>40547</v>
      </c>
      <c r="C77">
        <v>1</v>
      </c>
      <c r="D77">
        <v>0</v>
      </c>
      <c r="E77">
        <v>1</v>
      </c>
      <c r="F77">
        <v>7</v>
      </c>
      <c r="G77" t="b">
        <v>0</v>
      </c>
      <c r="H77">
        <v>2</v>
      </c>
      <c r="I77">
        <v>1</v>
      </c>
      <c r="J77">
        <v>0.12</v>
      </c>
      <c r="K77">
        <v>0.1515</v>
      </c>
      <c r="L77">
        <v>0.74</v>
      </c>
      <c r="M77">
        <v>0.1343</v>
      </c>
      <c r="N77">
        <v>2</v>
      </c>
      <c r="O77">
        <v>92</v>
      </c>
      <c r="P77">
        <v>94</v>
      </c>
    </row>
    <row r="78" spans="1:16" x14ac:dyDescent="0.3">
      <c r="A78">
        <v>77</v>
      </c>
      <c r="B78" s="4">
        <v>40547</v>
      </c>
      <c r="C78">
        <v>1</v>
      </c>
      <c r="D78">
        <v>0</v>
      </c>
      <c r="E78">
        <v>1</v>
      </c>
      <c r="F78">
        <v>8</v>
      </c>
      <c r="G78" t="b">
        <v>0</v>
      </c>
      <c r="H78">
        <v>2</v>
      </c>
      <c r="I78">
        <v>1</v>
      </c>
      <c r="J78">
        <v>0.14000000000000001</v>
      </c>
      <c r="K78">
        <v>0.1515</v>
      </c>
      <c r="L78">
        <v>0.69</v>
      </c>
      <c r="M78">
        <v>0.16420000000000001</v>
      </c>
      <c r="N78">
        <v>2</v>
      </c>
      <c r="O78">
        <v>177</v>
      </c>
      <c r="P78">
        <v>179</v>
      </c>
    </row>
    <row r="79" spans="1:16" x14ac:dyDescent="0.3">
      <c r="A79">
        <v>78</v>
      </c>
      <c r="B79" s="4">
        <v>40547</v>
      </c>
      <c r="C79">
        <v>1</v>
      </c>
      <c r="D79">
        <v>0</v>
      </c>
      <c r="E79">
        <v>1</v>
      </c>
      <c r="F79">
        <v>9</v>
      </c>
      <c r="G79" t="b">
        <v>0</v>
      </c>
      <c r="H79">
        <v>2</v>
      </c>
      <c r="I79">
        <v>1</v>
      </c>
      <c r="J79">
        <v>0.16</v>
      </c>
      <c r="K79">
        <v>0.1515</v>
      </c>
      <c r="L79">
        <v>0.64</v>
      </c>
      <c r="M79">
        <v>0.22389999999999999</v>
      </c>
      <c r="N79">
        <v>2</v>
      </c>
      <c r="O79">
        <v>98</v>
      </c>
      <c r="P79">
        <v>100</v>
      </c>
    </row>
    <row r="80" spans="1:16" x14ac:dyDescent="0.3">
      <c r="A80">
        <v>79</v>
      </c>
      <c r="B80" s="4">
        <v>40547</v>
      </c>
      <c r="C80">
        <v>1</v>
      </c>
      <c r="D80">
        <v>0</v>
      </c>
      <c r="E80">
        <v>1</v>
      </c>
      <c r="F80">
        <v>10</v>
      </c>
      <c r="G80" t="b">
        <v>0</v>
      </c>
      <c r="H80">
        <v>2</v>
      </c>
      <c r="I80">
        <v>2</v>
      </c>
      <c r="J80">
        <v>0.16</v>
      </c>
      <c r="K80">
        <v>0.13639999999999999</v>
      </c>
      <c r="L80">
        <v>0.69</v>
      </c>
      <c r="M80">
        <v>0.32840000000000003</v>
      </c>
      <c r="N80">
        <v>5</v>
      </c>
      <c r="O80">
        <v>37</v>
      </c>
      <c r="P80">
        <v>42</v>
      </c>
    </row>
    <row r="81" spans="1:16" x14ac:dyDescent="0.3">
      <c r="A81">
        <v>80</v>
      </c>
      <c r="B81" s="4">
        <v>40547</v>
      </c>
      <c r="C81">
        <v>1</v>
      </c>
      <c r="D81">
        <v>0</v>
      </c>
      <c r="E81">
        <v>1</v>
      </c>
      <c r="F81">
        <v>11</v>
      </c>
      <c r="G81" t="b">
        <v>0</v>
      </c>
      <c r="H81">
        <v>2</v>
      </c>
      <c r="I81">
        <v>1</v>
      </c>
      <c r="J81">
        <v>0.22</v>
      </c>
      <c r="K81">
        <v>0.21210000000000001</v>
      </c>
      <c r="L81">
        <v>0.51</v>
      </c>
      <c r="M81">
        <v>0.29849999999999999</v>
      </c>
      <c r="N81">
        <v>7</v>
      </c>
      <c r="O81">
        <v>50</v>
      </c>
      <c r="P81">
        <v>57</v>
      </c>
    </row>
    <row r="82" spans="1:16" x14ac:dyDescent="0.3">
      <c r="A82">
        <v>81</v>
      </c>
      <c r="B82" s="4">
        <v>40547</v>
      </c>
      <c r="C82">
        <v>1</v>
      </c>
      <c r="D82">
        <v>0</v>
      </c>
      <c r="E82">
        <v>1</v>
      </c>
      <c r="F82">
        <v>12</v>
      </c>
      <c r="G82" t="b">
        <v>0</v>
      </c>
      <c r="H82">
        <v>2</v>
      </c>
      <c r="I82">
        <v>1</v>
      </c>
      <c r="J82">
        <v>0.22</v>
      </c>
      <c r="K82">
        <v>0.2273</v>
      </c>
      <c r="L82">
        <v>0.51</v>
      </c>
      <c r="M82">
        <v>0.16420000000000001</v>
      </c>
      <c r="N82">
        <v>12</v>
      </c>
      <c r="O82">
        <v>66</v>
      </c>
      <c r="P82">
        <v>78</v>
      </c>
    </row>
    <row r="83" spans="1:16" x14ac:dyDescent="0.3">
      <c r="A83">
        <v>82</v>
      </c>
      <c r="B83" s="4">
        <v>40547</v>
      </c>
      <c r="C83">
        <v>1</v>
      </c>
      <c r="D83">
        <v>0</v>
      </c>
      <c r="E83">
        <v>1</v>
      </c>
      <c r="F83">
        <v>13</v>
      </c>
      <c r="G83" t="b">
        <v>0</v>
      </c>
      <c r="H83">
        <v>2</v>
      </c>
      <c r="I83">
        <v>1</v>
      </c>
      <c r="J83">
        <v>0.24</v>
      </c>
      <c r="K83">
        <v>0.2273</v>
      </c>
      <c r="L83">
        <v>0.56000000000000005</v>
      </c>
      <c r="M83">
        <v>0.19400000000000001</v>
      </c>
      <c r="N83">
        <v>18</v>
      </c>
      <c r="O83">
        <v>79</v>
      </c>
      <c r="P83">
        <v>97</v>
      </c>
    </row>
    <row r="84" spans="1:16" x14ac:dyDescent="0.3">
      <c r="A84">
        <v>83</v>
      </c>
      <c r="B84" s="4">
        <v>40547</v>
      </c>
      <c r="C84">
        <v>1</v>
      </c>
      <c r="D84">
        <v>0</v>
      </c>
      <c r="E84">
        <v>1</v>
      </c>
      <c r="F84">
        <v>14</v>
      </c>
      <c r="G84" t="b">
        <v>0</v>
      </c>
      <c r="H84">
        <v>2</v>
      </c>
      <c r="I84">
        <v>1</v>
      </c>
      <c r="J84">
        <v>0.26</v>
      </c>
      <c r="K84">
        <v>0.2576</v>
      </c>
      <c r="L84">
        <v>0.52</v>
      </c>
      <c r="M84">
        <v>0.22389999999999999</v>
      </c>
      <c r="N84">
        <v>9</v>
      </c>
      <c r="O84">
        <v>54</v>
      </c>
      <c r="P84">
        <v>63</v>
      </c>
    </row>
    <row r="85" spans="1:16" x14ac:dyDescent="0.3">
      <c r="A85">
        <v>84</v>
      </c>
      <c r="B85" s="4">
        <v>40547</v>
      </c>
      <c r="C85">
        <v>1</v>
      </c>
      <c r="D85">
        <v>0</v>
      </c>
      <c r="E85">
        <v>1</v>
      </c>
      <c r="F85">
        <v>15</v>
      </c>
      <c r="G85" t="b">
        <v>0</v>
      </c>
      <c r="H85">
        <v>2</v>
      </c>
      <c r="I85">
        <v>1</v>
      </c>
      <c r="J85">
        <v>0.28000000000000003</v>
      </c>
      <c r="K85">
        <v>0.2727</v>
      </c>
      <c r="L85">
        <v>0.52</v>
      </c>
      <c r="M85">
        <v>0.25369999999999998</v>
      </c>
      <c r="N85">
        <v>17</v>
      </c>
      <c r="O85">
        <v>48</v>
      </c>
      <c r="P85">
        <v>65</v>
      </c>
    </row>
    <row r="86" spans="1:16" x14ac:dyDescent="0.3">
      <c r="A86">
        <v>85</v>
      </c>
      <c r="B86" s="4">
        <v>40547</v>
      </c>
      <c r="C86">
        <v>1</v>
      </c>
      <c r="D86">
        <v>0</v>
      </c>
      <c r="E86">
        <v>1</v>
      </c>
      <c r="F86">
        <v>16</v>
      </c>
      <c r="G86" t="b">
        <v>0</v>
      </c>
      <c r="H86">
        <v>2</v>
      </c>
      <c r="I86">
        <v>1</v>
      </c>
      <c r="J86">
        <v>0.3</v>
      </c>
      <c r="K86">
        <v>0.28789999999999999</v>
      </c>
      <c r="L86">
        <v>0.49</v>
      </c>
      <c r="M86">
        <v>0.25369999999999998</v>
      </c>
      <c r="N86">
        <v>15</v>
      </c>
      <c r="O86">
        <v>68</v>
      </c>
      <c r="P86">
        <v>83</v>
      </c>
    </row>
    <row r="87" spans="1:16" x14ac:dyDescent="0.3">
      <c r="A87">
        <v>86</v>
      </c>
      <c r="B87" s="4">
        <v>40547</v>
      </c>
      <c r="C87">
        <v>1</v>
      </c>
      <c r="D87">
        <v>0</v>
      </c>
      <c r="E87">
        <v>1</v>
      </c>
      <c r="F87">
        <v>17</v>
      </c>
      <c r="G87" t="b">
        <v>0</v>
      </c>
      <c r="H87">
        <v>2</v>
      </c>
      <c r="I87">
        <v>1</v>
      </c>
      <c r="J87">
        <v>0.28000000000000003</v>
      </c>
      <c r="K87">
        <v>0.2727</v>
      </c>
      <c r="L87">
        <v>0.48</v>
      </c>
      <c r="M87">
        <v>0.22389999999999999</v>
      </c>
      <c r="N87">
        <v>10</v>
      </c>
      <c r="O87">
        <v>202</v>
      </c>
      <c r="P87">
        <v>212</v>
      </c>
    </row>
    <row r="88" spans="1:16" x14ac:dyDescent="0.3">
      <c r="A88">
        <v>87</v>
      </c>
      <c r="B88" s="4">
        <v>40547</v>
      </c>
      <c r="C88">
        <v>1</v>
      </c>
      <c r="D88">
        <v>0</v>
      </c>
      <c r="E88">
        <v>1</v>
      </c>
      <c r="F88">
        <v>18</v>
      </c>
      <c r="G88" t="b">
        <v>0</v>
      </c>
      <c r="H88">
        <v>2</v>
      </c>
      <c r="I88">
        <v>1</v>
      </c>
      <c r="J88">
        <v>0.26</v>
      </c>
      <c r="K88">
        <v>0.2576</v>
      </c>
      <c r="L88">
        <v>0.48</v>
      </c>
      <c r="M88">
        <v>0.19400000000000001</v>
      </c>
      <c r="N88">
        <v>3</v>
      </c>
      <c r="O88">
        <v>179</v>
      </c>
      <c r="P88">
        <v>182</v>
      </c>
    </row>
    <row r="89" spans="1:16" x14ac:dyDescent="0.3">
      <c r="A89">
        <v>88</v>
      </c>
      <c r="B89" s="4">
        <v>40547</v>
      </c>
      <c r="C89">
        <v>1</v>
      </c>
      <c r="D89">
        <v>0</v>
      </c>
      <c r="E89">
        <v>1</v>
      </c>
      <c r="F89">
        <v>19</v>
      </c>
      <c r="G89" t="b">
        <v>0</v>
      </c>
      <c r="H89">
        <v>2</v>
      </c>
      <c r="I89">
        <v>1</v>
      </c>
      <c r="J89">
        <v>0.24</v>
      </c>
      <c r="K89">
        <v>0.2576</v>
      </c>
      <c r="L89">
        <v>0.48</v>
      </c>
      <c r="M89">
        <v>0.1045</v>
      </c>
      <c r="N89">
        <v>2</v>
      </c>
      <c r="O89">
        <v>110</v>
      </c>
      <c r="P89">
        <v>112</v>
      </c>
    </row>
    <row r="90" spans="1:16" x14ac:dyDescent="0.3">
      <c r="A90">
        <v>89</v>
      </c>
      <c r="B90" s="4">
        <v>40547</v>
      </c>
      <c r="C90">
        <v>1</v>
      </c>
      <c r="D90">
        <v>0</v>
      </c>
      <c r="E90">
        <v>1</v>
      </c>
      <c r="F90">
        <v>20</v>
      </c>
      <c r="G90" t="b">
        <v>0</v>
      </c>
      <c r="H90">
        <v>2</v>
      </c>
      <c r="I90">
        <v>1</v>
      </c>
      <c r="J90">
        <v>0.24</v>
      </c>
      <c r="K90">
        <v>0.2576</v>
      </c>
      <c r="L90">
        <v>0.48</v>
      </c>
      <c r="M90">
        <v>0.1045</v>
      </c>
      <c r="N90">
        <v>1</v>
      </c>
      <c r="O90">
        <v>53</v>
      </c>
      <c r="P90">
        <v>54</v>
      </c>
    </row>
    <row r="91" spans="1:16" x14ac:dyDescent="0.3">
      <c r="A91">
        <v>90</v>
      </c>
      <c r="B91" s="4">
        <v>40547</v>
      </c>
      <c r="C91">
        <v>1</v>
      </c>
      <c r="D91">
        <v>0</v>
      </c>
      <c r="E91">
        <v>1</v>
      </c>
      <c r="F91">
        <v>21</v>
      </c>
      <c r="G91" t="b">
        <v>0</v>
      </c>
      <c r="H91">
        <v>2</v>
      </c>
      <c r="I91">
        <v>1</v>
      </c>
      <c r="J91">
        <v>0.22</v>
      </c>
      <c r="K91">
        <v>0.2727</v>
      </c>
      <c r="L91">
        <v>0.64</v>
      </c>
      <c r="M91">
        <v>0</v>
      </c>
      <c r="N91">
        <v>0</v>
      </c>
      <c r="O91">
        <v>48</v>
      </c>
      <c r="P91">
        <v>48</v>
      </c>
    </row>
    <row r="92" spans="1:16" x14ac:dyDescent="0.3">
      <c r="A92">
        <v>91</v>
      </c>
      <c r="B92" s="4">
        <v>40547</v>
      </c>
      <c r="C92">
        <v>1</v>
      </c>
      <c r="D92">
        <v>0</v>
      </c>
      <c r="E92">
        <v>1</v>
      </c>
      <c r="F92">
        <v>22</v>
      </c>
      <c r="G92" t="b">
        <v>0</v>
      </c>
      <c r="H92">
        <v>2</v>
      </c>
      <c r="I92">
        <v>1</v>
      </c>
      <c r="J92">
        <v>0.22</v>
      </c>
      <c r="K92">
        <v>0.2576</v>
      </c>
      <c r="L92">
        <v>0.64</v>
      </c>
      <c r="M92">
        <v>8.9599999999999999E-2</v>
      </c>
      <c r="N92">
        <v>1</v>
      </c>
      <c r="O92">
        <v>34</v>
      </c>
      <c r="P92">
        <v>35</v>
      </c>
    </row>
    <row r="93" spans="1:16" x14ac:dyDescent="0.3">
      <c r="A93">
        <v>92</v>
      </c>
      <c r="B93" s="4">
        <v>40547</v>
      </c>
      <c r="C93">
        <v>1</v>
      </c>
      <c r="D93">
        <v>0</v>
      </c>
      <c r="E93">
        <v>1</v>
      </c>
      <c r="F93">
        <v>23</v>
      </c>
      <c r="G93" t="b">
        <v>0</v>
      </c>
      <c r="H93">
        <v>2</v>
      </c>
      <c r="I93">
        <v>1</v>
      </c>
      <c r="J93">
        <v>0.2</v>
      </c>
      <c r="K93">
        <v>0.2273</v>
      </c>
      <c r="L93">
        <v>0.69</v>
      </c>
      <c r="M93">
        <v>8.9599999999999999E-2</v>
      </c>
      <c r="N93">
        <v>2</v>
      </c>
      <c r="O93">
        <v>9</v>
      </c>
      <c r="P93">
        <v>11</v>
      </c>
    </row>
    <row r="94" spans="1:16" x14ac:dyDescent="0.3">
      <c r="A94">
        <v>93</v>
      </c>
      <c r="B94" s="4">
        <v>40548</v>
      </c>
      <c r="C94">
        <v>1</v>
      </c>
      <c r="D94">
        <v>0</v>
      </c>
      <c r="E94">
        <v>1</v>
      </c>
      <c r="F94">
        <v>0</v>
      </c>
      <c r="G94" t="b">
        <v>0</v>
      </c>
      <c r="H94">
        <v>3</v>
      </c>
      <c r="I94">
        <v>1</v>
      </c>
      <c r="J94">
        <v>0.2</v>
      </c>
      <c r="K94">
        <v>0.2576</v>
      </c>
      <c r="L94">
        <v>0.64</v>
      </c>
      <c r="M94">
        <v>0</v>
      </c>
      <c r="N94">
        <v>0</v>
      </c>
      <c r="O94">
        <v>6</v>
      </c>
      <c r="P94">
        <v>6</v>
      </c>
    </row>
    <row r="95" spans="1:16" x14ac:dyDescent="0.3">
      <c r="A95">
        <v>94</v>
      </c>
      <c r="B95" s="4">
        <v>40548</v>
      </c>
      <c r="C95">
        <v>1</v>
      </c>
      <c r="D95">
        <v>0</v>
      </c>
      <c r="E95">
        <v>1</v>
      </c>
      <c r="F95">
        <v>1</v>
      </c>
      <c r="G95" t="b">
        <v>0</v>
      </c>
      <c r="H95">
        <v>3</v>
      </c>
      <c r="I95">
        <v>1</v>
      </c>
      <c r="J95">
        <v>0.16</v>
      </c>
      <c r="K95">
        <v>0.19700000000000001</v>
      </c>
      <c r="L95">
        <v>0.74</v>
      </c>
      <c r="M95">
        <v>8.9599999999999999E-2</v>
      </c>
      <c r="N95">
        <v>0</v>
      </c>
      <c r="O95">
        <v>6</v>
      </c>
      <c r="P95">
        <v>6</v>
      </c>
    </row>
    <row r="96" spans="1:16" x14ac:dyDescent="0.3">
      <c r="A96">
        <v>95</v>
      </c>
      <c r="B96" s="4">
        <v>40548</v>
      </c>
      <c r="C96">
        <v>1</v>
      </c>
      <c r="D96">
        <v>0</v>
      </c>
      <c r="E96">
        <v>1</v>
      </c>
      <c r="F96">
        <v>2</v>
      </c>
      <c r="G96" t="b">
        <v>0</v>
      </c>
      <c r="H96">
        <v>3</v>
      </c>
      <c r="I96">
        <v>1</v>
      </c>
      <c r="J96">
        <v>0.16</v>
      </c>
      <c r="K96">
        <v>0.19700000000000001</v>
      </c>
      <c r="L96">
        <v>0.74</v>
      </c>
      <c r="M96">
        <v>8.9599999999999999E-2</v>
      </c>
      <c r="N96">
        <v>0</v>
      </c>
      <c r="O96">
        <v>2</v>
      </c>
      <c r="P96">
        <v>2</v>
      </c>
    </row>
    <row r="97" spans="1:16" x14ac:dyDescent="0.3">
      <c r="A97">
        <v>96</v>
      </c>
      <c r="B97" s="4">
        <v>40548</v>
      </c>
      <c r="C97">
        <v>1</v>
      </c>
      <c r="D97">
        <v>0</v>
      </c>
      <c r="E97">
        <v>1</v>
      </c>
      <c r="F97">
        <v>4</v>
      </c>
      <c r="G97" t="b">
        <v>0</v>
      </c>
      <c r="H97">
        <v>3</v>
      </c>
      <c r="I97">
        <v>1</v>
      </c>
      <c r="J97">
        <v>0.24</v>
      </c>
      <c r="K97">
        <v>0.2273</v>
      </c>
      <c r="L97">
        <v>0.48</v>
      </c>
      <c r="M97">
        <v>0.22389999999999999</v>
      </c>
      <c r="N97">
        <v>0</v>
      </c>
      <c r="O97">
        <v>2</v>
      </c>
      <c r="P97">
        <v>2</v>
      </c>
    </row>
    <row r="98" spans="1:16" x14ac:dyDescent="0.3">
      <c r="A98">
        <v>97</v>
      </c>
      <c r="B98" s="4">
        <v>40548</v>
      </c>
      <c r="C98">
        <v>1</v>
      </c>
      <c r="D98">
        <v>0</v>
      </c>
      <c r="E98">
        <v>1</v>
      </c>
      <c r="F98">
        <v>5</v>
      </c>
      <c r="G98" t="b">
        <v>0</v>
      </c>
      <c r="H98">
        <v>3</v>
      </c>
      <c r="I98">
        <v>1</v>
      </c>
      <c r="J98">
        <v>0.22</v>
      </c>
      <c r="K98">
        <v>0.2273</v>
      </c>
      <c r="L98">
        <v>0.47</v>
      </c>
      <c r="M98">
        <v>0.16420000000000001</v>
      </c>
      <c r="N98">
        <v>0</v>
      </c>
      <c r="O98">
        <v>3</v>
      </c>
      <c r="P98">
        <v>3</v>
      </c>
    </row>
    <row r="99" spans="1:16" x14ac:dyDescent="0.3">
      <c r="A99">
        <v>98</v>
      </c>
      <c r="B99" s="4">
        <v>40548</v>
      </c>
      <c r="C99">
        <v>1</v>
      </c>
      <c r="D99">
        <v>0</v>
      </c>
      <c r="E99">
        <v>1</v>
      </c>
      <c r="F99">
        <v>6</v>
      </c>
      <c r="G99" t="b">
        <v>0</v>
      </c>
      <c r="H99">
        <v>3</v>
      </c>
      <c r="I99">
        <v>1</v>
      </c>
      <c r="J99">
        <v>0.2</v>
      </c>
      <c r="K99">
        <v>0.19700000000000001</v>
      </c>
      <c r="L99">
        <v>0.47</v>
      </c>
      <c r="M99">
        <v>0.22389999999999999</v>
      </c>
      <c r="N99">
        <v>0</v>
      </c>
      <c r="O99">
        <v>33</v>
      </c>
      <c r="P99">
        <v>33</v>
      </c>
    </row>
    <row r="100" spans="1:16" x14ac:dyDescent="0.3">
      <c r="A100">
        <v>99</v>
      </c>
      <c r="B100" s="4">
        <v>40548</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3">
      <c r="A101">
        <v>100</v>
      </c>
      <c r="B101" s="4">
        <v>40548</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3">
      <c r="A102">
        <v>101</v>
      </c>
      <c r="B102" s="4">
        <v>40548</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3">
      <c r="A103">
        <v>102</v>
      </c>
      <c r="B103" s="4">
        <v>40548</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3">
      <c r="A104">
        <v>103</v>
      </c>
      <c r="B104" s="4">
        <v>40548</v>
      </c>
      <c r="C104">
        <v>1</v>
      </c>
      <c r="D104">
        <v>0</v>
      </c>
      <c r="E104">
        <v>1</v>
      </c>
      <c r="F104">
        <v>11</v>
      </c>
      <c r="G104" t="b">
        <v>0</v>
      </c>
      <c r="H104">
        <v>3</v>
      </c>
      <c r="I104">
        <v>1</v>
      </c>
      <c r="J104">
        <v>0.26</v>
      </c>
      <c r="K104">
        <v>0.2273</v>
      </c>
      <c r="L104">
        <v>0.33</v>
      </c>
      <c r="M104">
        <v>0.32840000000000003</v>
      </c>
      <c r="N104">
        <v>12</v>
      </c>
      <c r="O104">
        <v>34</v>
      </c>
      <c r="P104">
        <v>46</v>
      </c>
    </row>
    <row r="105" spans="1:16" x14ac:dyDescent="0.3">
      <c r="A105">
        <v>104</v>
      </c>
      <c r="B105" s="4">
        <v>40548</v>
      </c>
      <c r="C105">
        <v>1</v>
      </c>
      <c r="D105">
        <v>0</v>
      </c>
      <c r="E105">
        <v>1</v>
      </c>
      <c r="F105">
        <v>12</v>
      </c>
      <c r="G105" t="b">
        <v>0</v>
      </c>
      <c r="H105">
        <v>3</v>
      </c>
      <c r="I105">
        <v>1</v>
      </c>
      <c r="J105">
        <v>0.26</v>
      </c>
      <c r="K105">
        <v>0.2273</v>
      </c>
      <c r="L105">
        <v>0.33</v>
      </c>
      <c r="M105">
        <v>0.32840000000000003</v>
      </c>
      <c r="N105">
        <v>5</v>
      </c>
      <c r="O105">
        <v>74</v>
      </c>
      <c r="P105">
        <v>79</v>
      </c>
    </row>
    <row r="106" spans="1:16" x14ac:dyDescent="0.3">
      <c r="A106">
        <v>105</v>
      </c>
      <c r="B106" s="4">
        <v>40548</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3">
      <c r="A107">
        <v>106</v>
      </c>
      <c r="B107" s="4">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3">
      <c r="A108">
        <v>107</v>
      </c>
      <c r="B108" s="4">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3">
      <c r="A109">
        <v>108</v>
      </c>
      <c r="B109" s="4">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3">
      <c r="A110">
        <v>109</v>
      </c>
      <c r="B110" s="4">
        <v>40548</v>
      </c>
      <c r="C110">
        <v>1</v>
      </c>
      <c r="D110">
        <v>0</v>
      </c>
      <c r="E110">
        <v>1</v>
      </c>
      <c r="F110">
        <v>17</v>
      </c>
      <c r="G110" t="b">
        <v>0</v>
      </c>
      <c r="H110">
        <v>3</v>
      </c>
      <c r="I110">
        <v>1</v>
      </c>
      <c r="J110">
        <v>0.24</v>
      </c>
      <c r="K110">
        <v>0.2273</v>
      </c>
      <c r="L110">
        <v>0.38</v>
      </c>
      <c r="M110">
        <v>0.19400000000000001</v>
      </c>
      <c r="N110">
        <v>4</v>
      </c>
      <c r="O110">
        <v>186</v>
      </c>
      <c r="P110">
        <v>190</v>
      </c>
    </row>
    <row r="111" spans="1:16" x14ac:dyDescent="0.3">
      <c r="A111">
        <v>110</v>
      </c>
      <c r="B111" s="4">
        <v>40548</v>
      </c>
      <c r="C111">
        <v>1</v>
      </c>
      <c r="D111">
        <v>0</v>
      </c>
      <c r="E111">
        <v>1</v>
      </c>
      <c r="F111">
        <v>18</v>
      </c>
      <c r="G111" t="b">
        <v>0</v>
      </c>
      <c r="H111">
        <v>3</v>
      </c>
      <c r="I111">
        <v>1</v>
      </c>
      <c r="J111">
        <v>0.24</v>
      </c>
      <c r="K111">
        <v>0.2424</v>
      </c>
      <c r="L111">
        <v>0.38</v>
      </c>
      <c r="M111">
        <v>0.1343</v>
      </c>
      <c r="N111">
        <v>3</v>
      </c>
      <c r="O111">
        <v>166</v>
      </c>
      <c r="P111">
        <v>169</v>
      </c>
    </row>
    <row r="112" spans="1:16" x14ac:dyDescent="0.3">
      <c r="A112">
        <v>111</v>
      </c>
      <c r="B112" s="4">
        <v>40548</v>
      </c>
      <c r="C112">
        <v>1</v>
      </c>
      <c r="D112">
        <v>0</v>
      </c>
      <c r="E112">
        <v>1</v>
      </c>
      <c r="F112">
        <v>19</v>
      </c>
      <c r="G112" t="b">
        <v>0</v>
      </c>
      <c r="H112">
        <v>3</v>
      </c>
      <c r="I112">
        <v>1</v>
      </c>
      <c r="J112">
        <v>0.24</v>
      </c>
      <c r="K112">
        <v>0.2576</v>
      </c>
      <c r="L112">
        <v>0.38</v>
      </c>
      <c r="M112">
        <v>0.1045</v>
      </c>
      <c r="N112">
        <v>5</v>
      </c>
      <c r="O112">
        <v>127</v>
      </c>
      <c r="P112">
        <v>132</v>
      </c>
    </row>
    <row r="113" spans="1:16" x14ac:dyDescent="0.3">
      <c r="A113">
        <v>112</v>
      </c>
      <c r="B113" s="4">
        <v>40548</v>
      </c>
      <c r="C113">
        <v>1</v>
      </c>
      <c r="D113">
        <v>0</v>
      </c>
      <c r="E113">
        <v>1</v>
      </c>
      <c r="F113">
        <v>20</v>
      </c>
      <c r="G113" t="b">
        <v>0</v>
      </c>
      <c r="H113">
        <v>3</v>
      </c>
      <c r="I113">
        <v>1</v>
      </c>
      <c r="J113">
        <v>0.22</v>
      </c>
      <c r="K113">
        <v>0.2273</v>
      </c>
      <c r="L113">
        <v>0.47</v>
      </c>
      <c r="M113">
        <v>0.16420000000000001</v>
      </c>
      <c r="N113">
        <v>7</v>
      </c>
      <c r="O113">
        <v>82</v>
      </c>
      <c r="P113">
        <v>89</v>
      </c>
    </row>
    <row r="114" spans="1:16" x14ac:dyDescent="0.3">
      <c r="A114">
        <v>113</v>
      </c>
      <c r="B114" s="4">
        <v>40548</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3">
      <c r="A115">
        <v>114</v>
      </c>
      <c r="B115" s="4">
        <v>40548</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3">
      <c r="A116">
        <v>115</v>
      </c>
      <c r="B116" s="4">
        <v>40548</v>
      </c>
      <c r="C116">
        <v>1</v>
      </c>
      <c r="D116">
        <v>0</v>
      </c>
      <c r="E116">
        <v>1</v>
      </c>
      <c r="F116">
        <v>23</v>
      </c>
      <c r="G116" t="b">
        <v>0</v>
      </c>
      <c r="H116">
        <v>3</v>
      </c>
      <c r="I116">
        <v>1</v>
      </c>
      <c r="J116">
        <v>0.2</v>
      </c>
      <c r="K116">
        <v>0.2576</v>
      </c>
      <c r="L116">
        <v>0.47</v>
      </c>
      <c r="M116">
        <v>0</v>
      </c>
      <c r="N116">
        <v>1</v>
      </c>
      <c r="O116">
        <v>18</v>
      </c>
      <c r="P116">
        <v>19</v>
      </c>
    </row>
    <row r="117" spans="1:16" x14ac:dyDescent="0.3">
      <c r="A117">
        <v>116</v>
      </c>
      <c r="B117" s="4">
        <v>40549</v>
      </c>
      <c r="C117">
        <v>1</v>
      </c>
      <c r="D117">
        <v>0</v>
      </c>
      <c r="E117">
        <v>1</v>
      </c>
      <c r="F117">
        <v>0</v>
      </c>
      <c r="G117" t="b">
        <v>0</v>
      </c>
      <c r="H117">
        <v>4</v>
      </c>
      <c r="I117">
        <v>1</v>
      </c>
      <c r="J117">
        <v>0.18</v>
      </c>
      <c r="K117">
        <v>0.2424</v>
      </c>
      <c r="L117">
        <v>0.55000000000000004</v>
      </c>
      <c r="M117">
        <v>0</v>
      </c>
      <c r="N117">
        <v>0</v>
      </c>
      <c r="O117">
        <v>11</v>
      </c>
      <c r="P117">
        <v>11</v>
      </c>
    </row>
    <row r="118" spans="1:16" x14ac:dyDescent="0.3">
      <c r="A118">
        <v>117</v>
      </c>
      <c r="B118" s="4">
        <v>40549</v>
      </c>
      <c r="C118">
        <v>1</v>
      </c>
      <c r="D118">
        <v>0</v>
      </c>
      <c r="E118">
        <v>1</v>
      </c>
      <c r="F118">
        <v>1</v>
      </c>
      <c r="G118" t="b">
        <v>0</v>
      </c>
      <c r="H118">
        <v>4</v>
      </c>
      <c r="I118">
        <v>1</v>
      </c>
      <c r="J118">
        <v>0.16</v>
      </c>
      <c r="K118">
        <v>0.2273</v>
      </c>
      <c r="L118">
        <v>0.64</v>
      </c>
      <c r="M118">
        <v>0</v>
      </c>
      <c r="N118">
        <v>0</v>
      </c>
      <c r="O118">
        <v>4</v>
      </c>
      <c r="P118">
        <v>4</v>
      </c>
    </row>
    <row r="119" spans="1:16" x14ac:dyDescent="0.3">
      <c r="A119">
        <v>118</v>
      </c>
      <c r="B119" s="4">
        <v>40549</v>
      </c>
      <c r="C119">
        <v>1</v>
      </c>
      <c r="D119">
        <v>0</v>
      </c>
      <c r="E119">
        <v>1</v>
      </c>
      <c r="F119">
        <v>2</v>
      </c>
      <c r="G119" t="b">
        <v>0</v>
      </c>
      <c r="H119">
        <v>4</v>
      </c>
      <c r="I119">
        <v>1</v>
      </c>
      <c r="J119">
        <v>0.16</v>
      </c>
      <c r="K119">
        <v>0.2273</v>
      </c>
      <c r="L119">
        <v>0.64</v>
      </c>
      <c r="M119">
        <v>0</v>
      </c>
      <c r="N119">
        <v>0</v>
      </c>
      <c r="O119">
        <v>2</v>
      </c>
      <c r="P119">
        <v>2</v>
      </c>
    </row>
    <row r="120" spans="1:16" x14ac:dyDescent="0.3">
      <c r="A120">
        <v>119</v>
      </c>
      <c r="B120" s="4">
        <v>40549</v>
      </c>
      <c r="C120">
        <v>1</v>
      </c>
      <c r="D120">
        <v>0</v>
      </c>
      <c r="E120">
        <v>1</v>
      </c>
      <c r="F120">
        <v>4</v>
      </c>
      <c r="G120" t="b">
        <v>0</v>
      </c>
      <c r="H120">
        <v>4</v>
      </c>
      <c r="I120">
        <v>2</v>
      </c>
      <c r="J120">
        <v>0.16</v>
      </c>
      <c r="K120">
        <v>0.19700000000000001</v>
      </c>
      <c r="L120">
        <v>0.64</v>
      </c>
      <c r="M120">
        <v>8.9599999999999999E-2</v>
      </c>
      <c r="N120">
        <v>0</v>
      </c>
      <c r="O120">
        <v>1</v>
      </c>
      <c r="P120">
        <v>1</v>
      </c>
    </row>
    <row r="121" spans="1:16" x14ac:dyDescent="0.3">
      <c r="A121">
        <v>120</v>
      </c>
      <c r="B121" s="4">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3">
      <c r="A122">
        <v>121</v>
      </c>
      <c r="B122" s="4">
        <v>40549</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3">
      <c r="A123">
        <v>122</v>
      </c>
      <c r="B123" s="4">
        <v>40549</v>
      </c>
      <c r="C123">
        <v>1</v>
      </c>
      <c r="D123">
        <v>0</v>
      </c>
      <c r="E123">
        <v>1</v>
      </c>
      <c r="F123">
        <v>7</v>
      </c>
      <c r="G123" t="b">
        <v>0</v>
      </c>
      <c r="H123">
        <v>4</v>
      </c>
      <c r="I123">
        <v>2</v>
      </c>
      <c r="J123">
        <v>0.16</v>
      </c>
      <c r="K123">
        <v>0.2273</v>
      </c>
      <c r="L123">
        <v>0.59</v>
      </c>
      <c r="M123">
        <v>0</v>
      </c>
      <c r="N123">
        <v>0</v>
      </c>
      <c r="O123">
        <v>95</v>
      </c>
      <c r="P123">
        <v>95</v>
      </c>
    </row>
    <row r="124" spans="1:16" x14ac:dyDescent="0.3">
      <c r="A124">
        <v>123</v>
      </c>
      <c r="B124" s="4">
        <v>40549</v>
      </c>
      <c r="C124">
        <v>1</v>
      </c>
      <c r="D124">
        <v>0</v>
      </c>
      <c r="E124">
        <v>1</v>
      </c>
      <c r="F124">
        <v>8</v>
      </c>
      <c r="G124" t="b">
        <v>0</v>
      </c>
      <c r="H124">
        <v>4</v>
      </c>
      <c r="I124">
        <v>1</v>
      </c>
      <c r="J124">
        <v>0.16</v>
      </c>
      <c r="K124">
        <v>0.2273</v>
      </c>
      <c r="L124">
        <v>0.59</v>
      </c>
      <c r="M124">
        <v>0</v>
      </c>
      <c r="N124">
        <v>3</v>
      </c>
      <c r="O124">
        <v>216</v>
      </c>
      <c r="P124">
        <v>219</v>
      </c>
    </row>
    <row r="125" spans="1:16" x14ac:dyDescent="0.3">
      <c r="A125">
        <v>124</v>
      </c>
      <c r="B125" s="4">
        <v>40549</v>
      </c>
      <c r="C125">
        <v>1</v>
      </c>
      <c r="D125">
        <v>0</v>
      </c>
      <c r="E125">
        <v>1</v>
      </c>
      <c r="F125">
        <v>9</v>
      </c>
      <c r="G125" t="b">
        <v>0</v>
      </c>
      <c r="H125">
        <v>4</v>
      </c>
      <c r="I125">
        <v>2</v>
      </c>
      <c r="J125">
        <v>0.18</v>
      </c>
      <c r="K125">
        <v>0.2424</v>
      </c>
      <c r="L125">
        <v>0.51</v>
      </c>
      <c r="M125">
        <v>0</v>
      </c>
      <c r="N125">
        <v>6</v>
      </c>
      <c r="O125">
        <v>116</v>
      </c>
      <c r="P125">
        <v>122</v>
      </c>
    </row>
    <row r="126" spans="1:16" x14ac:dyDescent="0.3">
      <c r="A126">
        <v>125</v>
      </c>
      <c r="B126" s="4">
        <v>40549</v>
      </c>
      <c r="C126">
        <v>1</v>
      </c>
      <c r="D126">
        <v>0</v>
      </c>
      <c r="E126">
        <v>1</v>
      </c>
      <c r="F126">
        <v>10</v>
      </c>
      <c r="G126" t="b">
        <v>0</v>
      </c>
      <c r="H126">
        <v>4</v>
      </c>
      <c r="I126">
        <v>1</v>
      </c>
      <c r="J126">
        <v>0.2</v>
      </c>
      <c r="K126">
        <v>0.2576</v>
      </c>
      <c r="L126">
        <v>0.47</v>
      </c>
      <c r="M126">
        <v>0</v>
      </c>
      <c r="N126">
        <v>3</v>
      </c>
      <c r="O126">
        <v>42</v>
      </c>
      <c r="P126">
        <v>45</v>
      </c>
    </row>
    <row r="127" spans="1:16" x14ac:dyDescent="0.3">
      <c r="A127">
        <v>126</v>
      </c>
      <c r="B127" s="4">
        <v>40549</v>
      </c>
      <c r="C127">
        <v>1</v>
      </c>
      <c r="D127">
        <v>0</v>
      </c>
      <c r="E127">
        <v>1</v>
      </c>
      <c r="F127">
        <v>11</v>
      </c>
      <c r="G127" t="b">
        <v>0</v>
      </c>
      <c r="H127">
        <v>4</v>
      </c>
      <c r="I127">
        <v>1</v>
      </c>
      <c r="J127">
        <v>0.22</v>
      </c>
      <c r="K127">
        <v>0.2576</v>
      </c>
      <c r="L127">
        <v>0.44</v>
      </c>
      <c r="M127">
        <v>8.9599999999999999E-2</v>
      </c>
      <c r="N127">
        <v>2</v>
      </c>
      <c r="O127">
        <v>57</v>
      </c>
      <c r="P127">
        <v>59</v>
      </c>
    </row>
    <row r="128" spans="1:16" x14ac:dyDescent="0.3">
      <c r="A128">
        <v>127</v>
      </c>
      <c r="B128" s="4">
        <v>40549</v>
      </c>
      <c r="C128">
        <v>1</v>
      </c>
      <c r="D128">
        <v>0</v>
      </c>
      <c r="E128">
        <v>1</v>
      </c>
      <c r="F128">
        <v>12</v>
      </c>
      <c r="G128" t="b">
        <v>0</v>
      </c>
      <c r="H128">
        <v>4</v>
      </c>
      <c r="I128">
        <v>1</v>
      </c>
      <c r="J128">
        <v>0.26</v>
      </c>
      <c r="K128">
        <v>0.28789999999999999</v>
      </c>
      <c r="L128">
        <v>0.35</v>
      </c>
      <c r="M128">
        <v>0</v>
      </c>
      <c r="N128">
        <v>6</v>
      </c>
      <c r="O128">
        <v>78</v>
      </c>
      <c r="P128">
        <v>84</v>
      </c>
    </row>
    <row r="129" spans="1:16" x14ac:dyDescent="0.3">
      <c r="A129">
        <v>128</v>
      </c>
      <c r="B129" s="4">
        <v>40549</v>
      </c>
      <c r="C129">
        <v>1</v>
      </c>
      <c r="D129">
        <v>0</v>
      </c>
      <c r="E129">
        <v>1</v>
      </c>
      <c r="F129">
        <v>13</v>
      </c>
      <c r="G129" t="b">
        <v>0</v>
      </c>
      <c r="H129">
        <v>4</v>
      </c>
      <c r="I129">
        <v>1</v>
      </c>
      <c r="J129">
        <v>0.26</v>
      </c>
      <c r="K129">
        <v>0.2727</v>
      </c>
      <c r="L129">
        <v>0.35</v>
      </c>
      <c r="M129">
        <v>0.1045</v>
      </c>
      <c r="N129">
        <v>12</v>
      </c>
      <c r="O129">
        <v>55</v>
      </c>
      <c r="P129">
        <v>67</v>
      </c>
    </row>
    <row r="130" spans="1:16" x14ac:dyDescent="0.3">
      <c r="A130">
        <v>129</v>
      </c>
      <c r="B130" s="4">
        <v>40549</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3">
      <c r="A131">
        <v>130</v>
      </c>
      <c r="B131" s="4">
        <v>40549</v>
      </c>
      <c r="C131">
        <v>1</v>
      </c>
      <c r="D131">
        <v>0</v>
      </c>
      <c r="E131">
        <v>1</v>
      </c>
      <c r="F131">
        <v>15</v>
      </c>
      <c r="G131" t="b">
        <v>0</v>
      </c>
      <c r="H131">
        <v>4</v>
      </c>
      <c r="I131">
        <v>1</v>
      </c>
      <c r="J131">
        <v>0.28000000000000003</v>
      </c>
      <c r="K131">
        <v>0.2727</v>
      </c>
      <c r="L131">
        <v>0.36</v>
      </c>
      <c r="M131">
        <v>0</v>
      </c>
      <c r="N131">
        <v>8</v>
      </c>
      <c r="O131">
        <v>54</v>
      </c>
      <c r="P131">
        <v>62</v>
      </c>
    </row>
    <row r="132" spans="1:16" x14ac:dyDescent="0.3">
      <c r="A132">
        <v>131</v>
      </c>
      <c r="B132" s="4">
        <v>40549</v>
      </c>
      <c r="C132">
        <v>1</v>
      </c>
      <c r="D132">
        <v>0</v>
      </c>
      <c r="E132">
        <v>1</v>
      </c>
      <c r="F132">
        <v>16</v>
      </c>
      <c r="G132" t="b">
        <v>0</v>
      </c>
      <c r="H132">
        <v>4</v>
      </c>
      <c r="I132">
        <v>1</v>
      </c>
      <c r="J132">
        <v>0.26</v>
      </c>
      <c r="K132">
        <v>0.2576</v>
      </c>
      <c r="L132">
        <v>0.38</v>
      </c>
      <c r="M132">
        <v>0.16420000000000001</v>
      </c>
      <c r="N132">
        <v>12</v>
      </c>
      <c r="O132">
        <v>74</v>
      </c>
      <c r="P132">
        <v>86</v>
      </c>
    </row>
    <row r="133" spans="1:16" x14ac:dyDescent="0.3">
      <c r="A133">
        <v>132</v>
      </c>
      <c r="B133" s="4">
        <v>40549</v>
      </c>
      <c r="C133">
        <v>1</v>
      </c>
      <c r="D133">
        <v>0</v>
      </c>
      <c r="E133">
        <v>1</v>
      </c>
      <c r="F133">
        <v>17</v>
      </c>
      <c r="G133" t="b">
        <v>0</v>
      </c>
      <c r="H133">
        <v>4</v>
      </c>
      <c r="I133">
        <v>1</v>
      </c>
      <c r="J133">
        <v>0.22</v>
      </c>
      <c r="K133">
        <v>0.2273</v>
      </c>
      <c r="L133">
        <v>0.51</v>
      </c>
      <c r="M133">
        <v>0.16420000000000001</v>
      </c>
      <c r="N133">
        <v>9</v>
      </c>
      <c r="O133">
        <v>163</v>
      </c>
      <c r="P133">
        <v>172</v>
      </c>
    </row>
    <row r="134" spans="1:16" x14ac:dyDescent="0.3">
      <c r="A134">
        <v>133</v>
      </c>
      <c r="B134" s="4">
        <v>40549</v>
      </c>
      <c r="C134">
        <v>1</v>
      </c>
      <c r="D134">
        <v>0</v>
      </c>
      <c r="E134">
        <v>1</v>
      </c>
      <c r="F134">
        <v>18</v>
      </c>
      <c r="G134" t="b">
        <v>0</v>
      </c>
      <c r="H134">
        <v>4</v>
      </c>
      <c r="I134">
        <v>1</v>
      </c>
      <c r="J134">
        <v>0.22</v>
      </c>
      <c r="K134">
        <v>0.2273</v>
      </c>
      <c r="L134">
        <v>0.51</v>
      </c>
      <c r="M134">
        <v>0.1343</v>
      </c>
      <c r="N134">
        <v>5</v>
      </c>
      <c r="O134">
        <v>158</v>
      </c>
      <c r="P134">
        <v>163</v>
      </c>
    </row>
    <row r="135" spans="1:16" x14ac:dyDescent="0.3">
      <c r="A135">
        <v>134</v>
      </c>
      <c r="B135" s="4">
        <v>40549</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3">
      <c r="A136">
        <v>135</v>
      </c>
      <c r="B136" s="4">
        <v>40549</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3">
      <c r="A137">
        <v>136</v>
      </c>
      <c r="B137" s="4">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3">
      <c r="A138">
        <v>137</v>
      </c>
      <c r="B138" s="4">
        <v>40549</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3">
      <c r="A139">
        <v>138</v>
      </c>
      <c r="B139" s="4">
        <v>40549</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3">
      <c r="A140">
        <v>139</v>
      </c>
      <c r="B140" s="4">
        <v>40550</v>
      </c>
      <c r="C140">
        <v>1</v>
      </c>
      <c r="D140">
        <v>0</v>
      </c>
      <c r="E140">
        <v>1</v>
      </c>
      <c r="F140">
        <v>0</v>
      </c>
      <c r="G140" t="b">
        <v>0</v>
      </c>
      <c r="H140">
        <v>5</v>
      </c>
      <c r="I140">
        <v>2</v>
      </c>
      <c r="J140">
        <v>0.2</v>
      </c>
      <c r="K140">
        <v>0.19700000000000001</v>
      </c>
      <c r="L140">
        <v>0.64</v>
      </c>
      <c r="M140">
        <v>0.19400000000000001</v>
      </c>
      <c r="N140">
        <v>4</v>
      </c>
      <c r="O140">
        <v>13</v>
      </c>
      <c r="P140">
        <v>17</v>
      </c>
    </row>
    <row r="141" spans="1:16" x14ac:dyDescent="0.3">
      <c r="A141">
        <v>140</v>
      </c>
      <c r="B141" s="4">
        <v>40550</v>
      </c>
      <c r="C141">
        <v>1</v>
      </c>
      <c r="D141">
        <v>0</v>
      </c>
      <c r="E141">
        <v>1</v>
      </c>
      <c r="F141">
        <v>1</v>
      </c>
      <c r="G141" t="b">
        <v>0</v>
      </c>
      <c r="H141">
        <v>5</v>
      </c>
      <c r="I141">
        <v>2</v>
      </c>
      <c r="J141">
        <v>0.2</v>
      </c>
      <c r="K141">
        <v>0.19700000000000001</v>
      </c>
      <c r="L141">
        <v>0.69</v>
      </c>
      <c r="M141">
        <v>0.22389999999999999</v>
      </c>
      <c r="N141">
        <v>2</v>
      </c>
      <c r="O141">
        <v>5</v>
      </c>
      <c r="P141">
        <v>7</v>
      </c>
    </row>
    <row r="142" spans="1:16" x14ac:dyDescent="0.3">
      <c r="A142">
        <v>141</v>
      </c>
      <c r="B142" s="4">
        <v>40550</v>
      </c>
      <c r="C142">
        <v>1</v>
      </c>
      <c r="D142">
        <v>0</v>
      </c>
      <c r="E142">
        <v>1</v>
      </c>
      <c r="F142">
        <v>2</v>
      </c>
      <c r="G142" t="b">
        <v>0</v>
      </c>
      <c r="H142">
        <v>5</v>
      </c>
      <c r="I142">
        <v>2</v>
      </c>
      <c r="J142">
        <v>0.2</v>
      </c>
      <c r="K142">
        <v>0.19700000000000001</v>
      </c>
      <c r="L142">
        <v>0.69</v>
      </c>
      <c r="M142">
        <v>0.22389999999999999</v>
      </c>
      <c r="N142">
        <v>0</v>
      </c>
      <c r="O142">
        <v>1</v>
      </c>
      <c r="P142">
        <v>1</v>
      </c>
    </row>
    <row r="143" spans="1:16" x14ac:dyDescent="0.3">
      <c r="A143">
        <v>142</v>
      </c>
      <c r="B143" s="4">
        <v>40550</v>
      </c>
      <c r="C143">
        <v>1</v>
      </c>
      <c r="D143">
        <v>0</v>
      </c>
      <c r="E143">
        <v>1</v>
      </c>
      <c r="F143">
        <v>4</v>
      </c>
      <c r="G143" t="b">
        <v>0</v>
      </c>
      <c r="H143">
        <v>5</v>
      </c>
      <c r="I143">
        <v>2</v>
      </c>
      <c r="J143">
        <v>0.2</v>
      </c>
      <c r="K143">
        <v>0.21210000000000001</v>
      </c>
      <c r="L143">
        <v>0.69</v>
      </c>
      <c r="M143">
        <v>0.1343</v>
      </c>
      <c r="N143">
        <v>0</v>
      </c>
      <c r="O143">
        <v>1</v>
      </c>
      <c r="P143">
        <v>1</v>
      </c>
    </row>
    <row r="144" spans="1:16" x14ac:dyDescent="0.3">
      <c r="A144">
        <v>143</v>
      </c>
      <c r="B144" s="4">
        <v>40550</v>
      </c>
      <c r="C144">
        <v>1</v>
      </c>
      <c r="D144">
        <v>0</v>
      </c>
      <c r="E144">
        <v>1</v>
      </c>
      <c r="F144">
        <v>5</v>
      </c>
      <c r="G144" t="b">
        <v>0</v>
      </c>
      <c r="H144">
        <v>5</v>
      </c>
      <c r="I144">
        <v>3</v>
      </c>
      <c r="J144">
        <v>0.22</v>
      </c>
      <c r="K144">
        <v>0.2727</v>
      </c>
      <c r="L144">
        <v>0.55000000000000004</v>
      </c>
      <c r="M144">
        <v>0</v>
      </c>
      <c r="N144">
        <v>0</v>
      </c>
      <c r="O144">
        <v>5</v>
      </c>
      <c r="P144">
        <v>5</v>
      </c>
    </row>
    <row r="145" spans="1:16" x14ac:dyDescent="0.3">
      <c r="A145">
        <v>144</v>
      </c>
      <c r="B145" s="4">
        <v>40550</v>
      </c>
      <c r="C145">
        <v>1</v>
      </c>
      <c r="D145">
        <v>0</v>
      </c>
      <c r="E145">
        <v>1</v>
      </c>
      <c r="F145">
        <v>6</v>
      </c>
      <c r="G145" t="b">
        <v>0</v>
      </c>
      <c r="H145">
        <v>5</v>
      </c>
      <c r="I145">
        <v>2</v>
      </c>
      <c r="J145">
        <v>0.2</v>
      </c>
      <c r="K145">
        <v>0.2576</v>
      </c>
      <c r="L145">
        <v>0.69</v>
      </c>
      <c r="M145">
        <v>0</v>
      </c>
      <c r="N145">
        <v>8</v>
      </c>
      <c r="O145">
        <v>26</v>
      </c>
      <c r="P145">
        <v>34</v>
      </c>
    </row>
    <row r="146" spans="1:16" x14ac:dyDescent="0.3">
      <c r="A146">
        <v>145</v>
      </c>
      <c r="B146" s="4">
        <v>40550</v>
      </c>
      <c r="C146">
        <v>1</v>
      </c>
      <c r="D146">
        <v>0</v>
      </c>
      <c r="E146">
        <v>1</v>
      </c>
      <c r="F146">
        <v>7</v>
      </c>
      <c r="G146" t="b">
        <v>0</v>
      </c>
      <c r="H146">
        <v>5</v>
      </c>
      <c r="I146">
        <v>1</v>
      </c>
      <c r="J146">
        <v>0.2</v>
      </c>
      <c r="K146">
        <v>0.21210000000000001</v>
      </c>
      <c r="L146">
        <v>0.69</v>
      </c>
      <c r="M146">
        <v>0.1343</v>
      </c>
      <c r="N146">
        <v>8</v>
      </c>
      <c r="O146">
        <v>76</v>
      </c>
      <c r="P146">
        <v>84</v>
      </c>
    </row>
    <row r="147" spans="1:16" x14ac:dyDescent="0.3">
      <c r="A147">
        <v>146</v>
      </c>
      <c r="B147" s="4">
        <v>40550</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3">
      <c r="A148">
        <v>147</v>
      </c>
      <c r="B148" s="4">
        <v>40550</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3">
      <c r="A149">
        <v>148</v>
      </c>
      <c r="B149" s="4">
        <v>40550</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3">
      <c r="A150">
        <v>149</v>
      </c>
      <c r="B150" s="4">
        <v>40550</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3">
      <c r="A151">
        <v>150</v>
      </c>
      <c r="B151" s="4">
        <v>40550</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3">
      <c r="A152">
        <v>151</v>
      </c>
      <c r="B152" s="4">
        <v>40550</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3">
      <c r="A153">
        <v>152</v>
      </c>
      <c r="B153" s="4">
        <v>40550</v>
      </c>
      <c r="C153">
        <v>1</v>
      </c>
      <c r="D153">
        <v>0</v>
      </c>
      <c r="E153">
        <v>1</v>
      </c>
      <c r="F153">
        <v>14</v>
      </c>
      <c r="G153" t="b">
        <v>0</v>
      </c>
      <c r="H153">
        <v>5</v>
      </c>
      <c r="I153">
        <v>2</v>
      </c>
      <c r="J153">
        <v>0.2</v>
      </c>
      <c r="K153">
        <v>0.19700000000000001</v>
      </c>
      <c r="L153">
        <v>0.4</v>
      </c>
      <c r="M153">
        <v>0.25369999999999998</v>
      </c>
      <c r="N153">
        <v>7</v>
      </c>
      <c r="O153">
        <v>43</v>
      </c>
      <c r="P153">
        <v>50</v>
      </c>
    </row>
    <row r="154" spans="1:16" x14ac:dyDescent="0.3">
      <c r="A154">
        <v>153</v>
      </c>
      <c r="B154" s="4">
        <v>40550</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3">
      <c r="A155">
        <v>154</v>
      </c>
      <c r="B155" s="4">
        <v>40550</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3">
      <c r="A156">
        <v>155</v>
      </c>
      <c r="B156" s="4">
        <v>40550</v>
      </c>
      <c r="C156">
        <v>1</v>
      </c>
      <c r="D156">
        <v>0</v>
      </c>
      <c r="E156">
        <v>1</v>
      </c>
      <c r="F156">
        <v>17</v>
      </c>
      <c r="G156" t="b">
        <v>0</v>
      </c>
      <c r="H156">
        <v>5</v>
      </c>
      <c r="I156">
        <v>2</v>
      </c>
      <c r="J156">
        <v>0.2</v>
      </c>
      <c r="K156">
        <v>0.2576</v>
      </c>
      <c r="L156">
        <v>0.37</v>
      </c>
      <c r="M156">
        <v>0</v>
      </c>
      <c r="N156">
        <v>9</v>
      </c>
      <c r="O156">
        <v>178</v>
      </c>
      <c r="P156">
        <v>187</v>
      </c>
    </row>
    <row r="157" spans="1:16" x14ac:dyDescent="0.3">
      <c r="A157">
        <v>156</v>
      </c>
      <c r="B157" s="4">
        <v>40550</v>
      </c>
      <c r="C157">
        <v>1</v>
      </c>
      <c r="D157">
        <v>0</v>
      </c>
      <c r="E157">
        <v>1</v>
      </c>
      <c r="F157">
        <v>18</v>
      </c>
      <c r="G157" t="b">
        <v>0</v>
      </c>
      <c r="H157">
        <v>5</v>
      </c>
      <c r="I157">
        <v>1</v>
      </c>
      <c r="J157">
        <v>0.2</v>
      </c>
      <c r="K157">
        <v>0.2273</v>
      </c>
      <c r="L157">
        <v>0.4</v>
      </c>
      <c r="M157">
        <v>8.9599999999999999E-2</v>
      </c>
      <c r="N157">
        <v>7</v>
      </c>
      <c r="O157">
        <v>116</v>
      </c>
      <c r="P157">
        <v>123</v>
      </c>
    </row>
    <row r="158" spans="1:16" x14ac:dyDescent="0.3">
      <c r="A158">
        <v>157</v>
      </c>
      <c r="B158" s="4">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3">
      <c r="A159">
        <v>158</v>
      </c>
      <c r="B159" s="4">
        <v>40550</v>
      </c>
      <c r="C159">
        <v>1</v>
      </c>
      <c r="D159">
        <v>0</v>
      </c>
      <c r="E159">
        <v>1</v>
      </c>
      <c r="F159">
        <v>20</v>
      </c>
      <c r="G159" t="b">
        <v>0</v>
      </c>
      <c r="H159">
        <v>5</v>
      </c>
      <c r="I159">
        <v>1</v>
      </c>
      <c r="J159">
        <v>0.18</v>
      </c>
      <c r="K159">
        <v>0.21210000000000001</v>
      </c>
      <c r="L159">
        <v>0.47</v>
      </c>
      <c r="M159">
        <v>0.1045</v>
      </c>
      <c r="N159">
        <v>1</v>
      </c>
      <c r="O159">
        <v>50</v>
      </c>
      <c r="P159">
        <v>51</v>
      </c>
    </row>
    <row r="160" spans="1:16" x14ac:dyDescent="0.3">
      <c r="A160">
        <v>159</v>
      </c>
      <c r="B160" s="4">
        <v>40550</v>
      </c>
      <c r="C160">
        <v>1</v>
      </c>
      <c r="D160">
        <v>0</v>
      </c>
      <c r="E160">
        <v>1</v>
      </c>
      <c r="F160">
        <v>21</v>
      </c>
      <c r="G160" t="b">
        <v>0</v>
      </c>
      <c r="H160">
        <v>5</v>
      </c>
      <c r="I160">
        <v>1</v>
      </c>
      <c r="J160">
        <v>0.18</v>
      </c>
      <c r="K160">
        <v>0.19700000000000001</v>
      </c>
      <c r="L160">
        <v>0.47</v>
      </c>
      <c r="M160">
        <v>0.1343</v>
      </c>
      <c r="N160">
        <v>0</v>
      </c>
      <c r="O160">
        <v>39</v>
      </c>
      <c r="P160">
        <v>39</v>
      </c>
    </row>
    <row r="161" spans="1:16" x14ac:dyDescent="0.3">
      <c r="A161">
        <v>160</v>
      </c>
      <c r="B161" s="4">
        <v>40550</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3">
      <c r="A162">
        <v>161</v>
      </c>
      <c r="B162" s="4">
        <v>40550</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3">
      <c r="A163">
        <v>162</v>
      </c>
      <c r="B163" s="4">
        <v>40551</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3">
      <c r="A164">
        <v>163</v>
      </c>
      <c r="B164" s="4">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3">
      <c r="A165">
        <v>164</v>
      </c>
      <c r="B165" s="4">
        <v>40551</v>
      </c>
      <c r="C165">
        <v>1</v>
      </c>
      <c r="D165">
        <v>0</v>
      </c>
      <c r="E165">
        <v>1</v>
      </c>
      <c r="F165">
        <v>2</v>
      </c>
      <c r="G165" t="b">
        <v>0</v>
      </c>
      <c r="H165">
        <v>6</v>
      </c>
      <c r="I165">
        <v>2</v>
      </c>
      <c r="J165">
        <v>0.18</v>
      </c>
      <c r="K165">
        <v>0.2424</v>
      </c>
      <c r="L165">
        <v>0.55000000000000004</v>
      </c>
      <c r="M165">
        <v>0</v>
      </c>
      <c r="N165">
        <v>3</v>
      </c>
      <c r="O165">
        <v>13</v>
      </c>
      <c r="P165">
        <v>16</v>
      </c>
    </row>
    <row r="166" spans="1:16" x14ac:dyDescent="0.3">
      <c r="A166">
        <v>165</v>
      </c>
      <c r="B166" s="4">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3">
      <c r="A167">
        <v>166</v>
      </c>
      <c r="B167" s="4">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3">
      <c r="A168">
        <v>167</v>
      </c>
      <c r="B168" s="4">
        <v>40551</v>
      </c>
      <c r="C168">
        <v>1</v>
      </c>
      <c r="D168">
        <v>0</v>
      </c>
      <c r="E168">
        <v>1</v>
      </c>
      <c r="F168">
        <v>5</v>
      </c>
      <c r="G168" t="b">
        <v>0</v>
      </c>
      <c r="H168">
        <v>6</v>
      </c>
      <c r="I168">
        <v>2</v>
      </c>
      <c r="J168">
        <v>0.16</v>
      </c>
      <c r="K168">
        <v>0.16669999999999999</v>
      </c>
      <c r="L168">
        <v>0.74</v>
      </c>
      <c r="M168">
        <v>0.16420000000000001</v>
      </c>
      <c r="N168">
        <v>0</v>
      </c>
      <c r="O168">
        <v>5</v>
      </c>
      <c r="P168">
        <v>5</v>
      </c>
    </row>
    <row r="169" spans="1:16" x14ac:dyDescent="0.3">
      <c r="A169">
        <v>168</v>
      </c>
      <c r="B169" s="4">
        <v>40551</v>
      </c>
      <c r="C169">
        <v>1</v>
      </c>
      <c r="D169">
        <v>0</v>
      </c>
      <c r="E169">
        <v>1</v>
      </c>
      <c r="F169">
        <v>6</v>
      </c>
      <c r="G169" t="b">
        <v>0</v>
      </c>
      <c r="H169">
        <v>6</v>
      </c>
      <c r="I169">
        <v>2</v>
      </c>
      <c r="J169">
        <v>0.16</v>
      </c>
      <c r="K169">
        <v>0.16669999999999999</v>
      </c>
      <c r="L169">
        <v>0.74</v>
      </c>
      <c r="M169">
        <v>0.16420000000000001</v>
      </c>
      <c r="N169">
        <v>0</v>
      </c>
      <c r="O169">
        <v>2</v>
      </c>
      <c r="P169">
        <v>2</v>
      </c>
    </row>
    <row r="170" spans="1:16" x14ac:dyDescent="0.3">
      <c r="A170">
        <v>169</v>
      </c>
      <c r="B170" s="4">
        <v>40551</v>
      </c>
      <c r="C170">
        <v>1</v>
      </c>
      <c r="D170">
        <v>0</v>
      </c>
      <c r="E170">
        <v>1</v>
      </c>
      <c r="F170">
        <v>7</v>
      </c>
      <c r="G170" t="b">
        <v>0</v>
      </c>
      <c r="H170">
        <v>6</v>
      </c>
      <c r="I170">
        <v>2</v>
      </c>
      <c r="J170">
        <v>0.16</v>
      </c>
      <c r="K170">
        <v>0.18179999999999999</v>
      </c>
      <c r="L170">
        <v>0.74</v>
      </c>
      <c r="M170">
        <v>0.1045</v>
      </c>
      <c r="N170">
        <v>1</v>
      </c>
      <c r="O170">
        <v>8</v>
      </c>
      <c r="P170">
        <v>9</v>
      </c>
    </row>
    <row r="171" spans="1:16" x14ac:dyDescent="0.3">
      <c r="A171">
        <v>170</v>
      </c>
      <c r="B171" s="4">
        <v>40551</v>
      </c>
      <c r="C171">
        <v>1</v>
      </c>
      <c r="D171">
        <v>0</v>
      </c>
      <c r="E171">
        <v>1</v>
      </c>
      <c r="F171">
        <v>8</v>
      </c>
      <c r="G171" t="b">
        <v>0</v>
      </c>
      <c r="H171">
        <v>6</v>
      </c>
      <c r="I171">
        <v>3</v>
      </c>
      <c r="J171">
        <v>0.16</v>
      </c>
      <c r="K171">
        <v>0.18179999999999999</v>
      </c>
      <c r="L171">
        <v>0.93</v>
      </c>
      <c r="M171">
        <v>0.1045</v>
      </c>
      <c r="N171">
        <v>0</v>
      </c>
      <c r="O171">
        <v>15</v>
      </c>
      <c r="P171">
        <v>15</v>
      </c>
    </row>
    <row r="172" spans="1:16" x14ac:dyDescent="0.3">
      <c r="A172">
        <v>171</v>
      </c>
      <c r="B172" s="4">
        <v>40551</v>
      </c>
      <c r="C172">
        <v>1</v>
      </c>
      <c r="D172">
        <v>0</v>
      </c>
      <c r="E172">
        <v>1</v>
      </c>
      <c r="F172">
        <v>9</v>
      </c>
      <c r="G172" t="b">
        <v>0</v>
      </c>
      <c r="H172">
        <v>6</v>
      </c>
      <c r="I172">
        <v>3</v>
      </c>
      <c r="J172">
        <v>0.16</v>
      </c>
      <c r="K172">
        <v>0.18179999999999999</v>
      </c>
      <c r="L172">
        <v>0.93</v>
      </c>
      <c r="M172">
        <v>0.1045</v>
      </c>
      <c r="N172">
        <v>0</v>
      </c>
      <c r="O172">
        <v>20</v>
      </c>
      <c r="P172">
        <v>20</v>
      </c>
    </row>
    <row r="173" spans="1:16" x14ac:dyDescent="0.3">
      <c r="A173">
        <v>172</v>
      </c>
      <c r="B173" s="4">
        <v>40551</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3">
      <c r="A174">
        <v>173</v>
      </c>
      <c r="B174" s="4">
        <v>40551</v>
      </c>
      <c r="C174">
        <v>1</v>
      </c>
      <c r="D174">
        <v>0</v>
      </c>
      <c r="E174">
        <v>1</v>
      </c>
      <c r="F174">
        <v>11</v>
      </c>
      <c r="G174" t="b">
        <v>0</v>
      </c>
      <c r="H174">
        <v>6</v>
      </c>
      <c r="I174">
        <v>2</v>
      </c>
      <c r="J174">
        <v>0.2</v>
      </c>
      <c r="K174">
        <v>0.18179999999999999</v>
      </c>
      <c r="L174">
        <v>0.69</v>
      </c>
      <c r="M174">
        <v>0.3881</v>
      </c>
      <c r="N174">
        <v>2</v>
      </c>
      <c r="O174">
        <v>60</v>
      </c>
      <c r="P174">
        <v>62</v>
      </c>
    </row>
    <row r="175" spans="1:16" x14ac:dyDescent="0.3">
      <c r="A175">
        <v>174</v>
      </c>
      <c r="B175" s="4">
        <v>40551</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3">
      <c r="A176">
        <v>175</v>
      </c>
      <c r="B176" s="4">
        <v>40551</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3">
      <c r="A177">
        <v>176</v>
      </c>
      <c r="B177" s="4">
        <v>40551</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3">
      <c r="A178">
        <v>177</v>
      </c>
      <c r="B178" s="4">
        <v>40551</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3">
      <c r="A179">
        <v>178</v>
      </c>
      <c r="B179" s="4">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3">
      <c r="A180">
        <v>179</v>
      </c>
      <c r="B180" s="4">
        <v>40551</v>
      </c>
      <c r="C180">
        <v>1</v>
      </c>
      <c r="D180">
        <v>0</v>
      </c>
      <c r="E180">
        <v>1</v>
      </c>
      <c r="F180">
        <v>17</v>
      </c>
      <c r="G180" t="b">
        <v>0</v>
      </c>
      <c r="H180">
        <v>6</v>
      </c>
      <c r="I180">
        <v>1</v>
      </c>
      <c r="J180">
        <v>0.16</v>
      </c>
      <c r="K180">
        <v>0.1212</v>
      </c>
      <c r="L180">
        <v>0.37</v>
      </c>
      <c r="M180">
        <v>0.55220000000000002</v>
      </c>
      <c r="N180">
        <v>5</v>
      </c>
      <c r="O180">
        <v>64</v>
      </c>
      <c r="P180">
        <v>69</v>
      </c>
    </row>
    <row r="181" spans="1:16" x14ac:dyDescent="0.3">
      <c r="A181">
        <v>180</v>
      </c>
      <c r="B181" s="4">
        <v>40551</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3">
      <c r="A182">
        <v>181</v>
      </c>
      <c r="B182" s="4">
        <v>40551</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3">
      <c r="A183">
        <v>182</v>
      </c>
      <c r="B183" s="4">
        <v>40551</v>
      </c>
      <c r="C183">
        <v>1</v>
      </c>
      <c r="D183">
        <v>0</v>
      </c>
      <c r="E183">
        <v>1</v>
      </c>
      <c r="F183">
        <v>20</v>
      </c>
      <c r="G183" t="b">
        <v>0</v>
      </c>
      <c r="H183">
        <v>6</v>
      </c>
      <c r="I183">
        <v>1</v>
      </c>
      <c r="J183">
        <v>0.12</v>
      </c>
      <c r="K183">
        <v>0.1212</v>
      </c>
      <c r="L183">
        <v>0.36</v>
      </c>
      <c r="M183">
        <v>0.25369999999999998</v>
      </c>
      <c r="N183">
        <v>0</v>
      </c>
      <c r="O183">
        <v>28</v>
      </c>
      <c r="P183">
        <v>28</v>
      </c>
    </row>
    <row r="184" spans="1:16" x14ac:dyDescent="0.3">
      <c r="A184">
        <v>183</v>
      </c>
      <c r="B184" s="4">
        <v>40551</v>
      </c>
      <c r="C184">
        <v>1</v>
      </c>
      <c r="D184">
        <v>0</v>
      </c>
      <c r="E184">
        <v>1</v>
      </c>
      <c r="F184">
        <v>21</v>
      </c>
      <c r="G184" t="b">
        <v>0</v>
      </c>
      <c r="H184">
        <v>6</v>
      </c>
      <c r="I184">
        <v>1</v>
      </c>
      <c r="J184">
        <v>0.12</v>
      </c>
      <c r="K184">
        <v>0.1061</v>
      </c>
      <c r="L184">
        <v>0.39</v>
      </c>
      <c r="M184">
        <v>0.35820000000000002</v>
      </c>
      <c r="N184">
        <v>2</v>
      </c>
      <c r="O184">
        <v>35</v>
      </c>
      <c r="P184">
        <v>37</v>
      </c>
    </row>
    <row r="185" spans="1:16" x14ac:dyDescent="0.3">
      <c r="A185">
        <v>184</v>
      </c>
      <c r="B185" s="4">
        <v>40551</v>
      </c>
      <c r="C185">
        <v>1</v>
      </c>
      <c r="D185">
        <v>0</v>
      </c>
      <c r="E185">
        <v>1</v>
      </c>
      <c r="F185">
        <v>22</v>
      </c>
      <c r="G185" t="b">
        <v>0</v>
      </c>
      <c r="H185">
        <v>6</v>
      </c>
      <c r="I185">
        <v>1</v>
      </c>
      <c r="J185">
        <v>0.12</v>
      </c>
      <c r="K185">
        <v>0.1061</v>
      </c>
      <c r="L185">
        <v>0.36</v>
      </c>
      <c r="M185">
        <v>0.3881</v>
      </c>
      <c r="N185">
        <v>1</v>
      </c>
      <c r="O185">
        <v>33</v>
      </c>
      <c r="P185">
        <v>34</v>
      </c>
    </row>
    <row r="186" spans="1:16" x14ac:dyDescent="0.3">
      <c r="A186">
        <v>185</v>
      </c>
      <c r="B186" s="4">
        <v>40551</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3">
      <c r="A187">
        <v>186</v>
      </c>
      <c r="B187" s="4">
        <v>40552</v>
      </c>
      <c r="C187">
        <v>1</v>
      </c>
      <c r="D187">
        <v>0</v>
      </c>
      <c r="E187">
        <v>1</v>
      </c>
      <c r="F187">
        <v>0</v>
      </c>
      <c r="G187" t="b">
        <v>0</v>
      </c>
      <c r="H187">
        <v>0</v>
      </c>
      <c r="I187">
        <v>1</v>
      </c>
      <c r="J187">
        <v>0.1</v>
      </c>
      <c r="K187">
        <v>7.5800000000000006E-2</v>
      </c>
      <c r="L187">
        <v>0.42</v>
      </c>
      <c r="M187">
        <v>0.3881</v>
      </c>
      <c r="N187">
        <v>1</v>
      </c>
      <c r="O187">
        <v>24</v>
      </c>
      <c r="P187">
        <v>25</v>
      </c>
    </row>
    <row r="188" spans="1:16" x14ac:dyDescent="0.3">
      <c r="A188">
        <v>187</v>
      </c>
      <c r="B188" s="4">
        <v>40552</v>
      </c>
      <c r="C188">
        <v>1</v>
      </c>
      <c r="D188">
        <v>0</v>
      </c>
      <c r="E188">
        <v>1</v>
      </c>
      <c r="F188">
        <v>1</v>
      </c>
      <c r="G188" t="b">
        <v>0</v>
      </c>
      <c r="H188">
        <v>0</v>
      </c>
      <c r="I188">
        <v>1</v>
      </c>
      <c r="J188">
        <v>0.1</v>
      </c>
      <c r="K188">
        <v>6.0600000000000001E-2</v>
      </c>
      <c r="L188">
        <v>0.42</v>
      </c>
      <c r="M188">
        <v>0.4627</v>
      </c>
      <c r="N188">
        <v>0</v>
      </c>
      <c r="O188">
        <v>12</v>
      </c>
      <c r="P188">
        <v>12</v>
      </c>
    </row>
    <row r="189" spans="1:16" x14ac:dyDescent="0.3">
      <c r="A189">
        <v>188</v>
      </c>
      <c r="B189" s="4">
        <v>40552</v>
      </c>
      <c r="C189">
        <v>1</v>
      </c>
      <c r="D189">
        <v>0</v>
      </c>
      <c r="E189">
        <v>1</v>
      </c>
      <c r="F189">
        <v>2</v>
      </c>
      <c r="G189" t="b">
        <v>0</v>
      </c>
      <c r="H189">
        <v>0</v>
      </c>
      <c r="I189">
        <v>1</v>
      </c>
      <c r="J189">
        <v>0.1</v>
      </c>
      <c r="K189">
        <v>6.0600000000000001E-2</v>
      </c>
      <c r="L189">
        <v>0.46</v>
      </c>
      <c r="M189">
        <v>0.4627</v>
      </c>
      <c r="N189">
        <v>0</v>
      </c>
      <c r="O189">
        <v>11</v>
      </c>
      <c r="P189">
        <v>11</v>
      </c>
    </row>
    <row r="190" spans="1:16" x14ac:dyDescent="0.3">
      <c r="A190">
        <v>189</v>
      </c>
      <c r="B190" s="4">
        <v>40552</v>
      </c>
      <c r="C190">
        <v>1</v>
      </c>
      <c r="D190">
        <v>0</v>
      </c>
      <c r="E190">
        <v>1</v>
      </c>
      <c r="F190">
        <v>3</v>
      </c>
      <c r="G190" t="b">
        <v>0</v>
      </c>
      <c r="H190">
        <v>0</v>
      </c>
      <c r="I190">
        <v>1</v>
      </c>
      <c r="J190">
        <v>0.1</v>
      </c>
      <c r="K190">
        <v>7.5800000000000006E-2</v>
      </c>
      <c r="L190">
        <v>0.46</v>
      </c>
      <c r="M190">
        <v>0.41789999999999999</v>
      </c>
      <c r="N190">
        <v>0</v>
      </c>
      <c r="O190">
        <v>4</v>
      </c>
      <c r="P190">
        <v>4</v>
      </c>
    </row>
    <row r="191" spans="1:16" x14ac:dyDescent="0.3">
      <c r="A191">
        <v>190</v>
      </c>
      <c r="B191" s="4">
        <v>40552</v>
      </c>
      <c r="C191">
        <v>1</v>
      </c>
      <c r="D191">
        <v>0</v>
      </c>
      <c r="E191">
        <v>1</v>
      </c>
      <c r="F191">
        <v>4</v>
      </c>
      <c r="G191" t="b">
        <v>0</v>
      </c>
      <c r="H191">
        <v>0</v>
      </c>
      <c r="I191">
        <v>1</v>
      </c>
      <c r="J191">
        <v>0.08</v>
      </c>
      <c r="K191">
        <v>9.0899999999999995E-2</v>
      </c>
      <c r="L191">
        <v>0.53</v>
      </c>
      <c r="M191">
        <v>0.19400000000000001</v>
      </c>
      <c r="N191">
        <v>0</v>
      </c>
      <c r="O191">
        <v>1</v>
      </c>
      <c r="P191">
        <v>1</v>
      </c>
    </row>
    <row r="192" spans="1:16" x14ac:dyDescent="0.3">
      <c r="A192">
        <v>191</v>
      </c>
      <c r="B192" s="4">
        <v>40552</v>
      </c>
      <c r="C192">
        <v>1</v>
      </c>
      <c r="D192">
        <v>0</v>
      </c>
      <c r="E192">
        <v>1</v>
      </c>
      <c r="F192">
        <v>5</v>
      </c>
      <c r="G192" t="b">
        <v>0</v>
      </c>
      <c r="H192">
        <v>0</v>
      </c>
      <c r="I192">
        <v>1</v>
      </c>
      <c r="J192">
        <v>0.08</v>
      </c>
      <c r="K192">
        <v>9.0899999999999995E-2</v>
      </c>
      <c r="L192">
        <v>0.53</v>
      </c>
      <c r="M192">
        <v>0.19400000000000001</v>
      </c>
      <c r="N192">
        <v>0</v>
      </c>
      <c r="O192">
        <v>1</v>
      </c>
      <c r="P192">
        <v>1</v>
      </c>
    </row>
    <row r="193" spans="1:16" x14ac:dyDescent="0.3">
      <c r="A193">
        <v>192</v>
      </c>
      <c r="B193" s="4">
        <v>40552</v>
      </c>
      <c r="C193">
        <v>1</v>
      </c>
      <c r="D193">
        <v>0</v>
      </c>
      <c r="E193">
        <v>1</v>
      </c>
      <c r="F193">
        <v>6</v>
      </c>
      <c r="G193" t="b">
        <v>0</v>
      </c>
      <c r="H193">
        <v>0</v>
      </c>
      <c r="I193">
        <v>1</v>
      </c>
      <c r="J193">
        <v>0.1</v>
      </c>
      <c r="K193">
        <v>9.0899999999999995E-2</v>
      </c>
      <c r="L193">
        <v>0.49</v>
      </c>
      <c r="M193">
        <v>0.28360000000000002</v>
      </c>
      <c r="N193">
        <v>0</v>
      </c>
      <c r="O193">
        <v>1</v>
      </c>
      <c r="P193">
        <v>1</v>
      </c>
    </row>
    <row r="194" spans="1:16" x14ac:dyDescent="0.3">
      <c r="A194">
        <v>193</v>
      </c>
      <c r="B194" s="4">
        <v>40552</v>
      </c>
      <c r="C194">
        <v>1</v>
      </c>
      <c r="D194">
        <v>0</v>
      </c>
      <c r="E194">
        <v>1</v>
      </c>
      <c r="F194">
        <v>7</v>
      </c>
      <c r="G194" t="b">
        <v>0</v>
      </c>
      <c r="H194">
        <v>0</v>
      </c>
      <c r="I194">
        <v>1</v>
      </c>
      <c r="J194">
        <v>0.08</v>
      </c>
      <c r="K194">
        <v>9.0899999999999995E-2</v>
      </c>
      <c r="L194">
        <v>0.53</v>
      </c>
      <c r="M194">
        <v>0.19400000000000001</v>
      </c>
      <c r="N194">
        <v>1</v>
      </c>
      <c r="O194">
        <v>5</v>
      </c>
      <c r="P194">
        <v>6</v>
      </c>
    </row>
    <row r="195" spans="1:16" x14ac:dyDescent="0.3">
      <c r="A195">
        <v>194</v>
      </c>
      <c r="B195" s="4">
        <v>40552</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3">
      <c r="A196">
        <v>195</v>
      </c>
      <c r="B196" s="4">
        <v>40552</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3">
      <c r="A197">
        <v>196</v>
      </c>
      <c r="B197" s="4">
        <v>40552</v>
      </c>
      <c r="C197">
        <v>1</v>
      </c>
      <c r="D197">
        <v>0</v>
      </c>
      <c r="E197">
        <v>1</v>
      </c>
      <c r="F197">
        <v>10</v>
      </c>
      <c r="G197" t="b">
        <v>0</v>
      </c>
      <c r="H197">
        <v>0</v>
      </c>
      <c r="I197">
        <v>1</v>
      </c>
      <c r="J197">
        <v>0.14000000000000001</v>
      </c>
      <c r="K197">
        <v>0.1061</v>
      </c>
      <c r="L197">
        <v>0.43</v>
      </c>
      <c r="M197">
        <v>0.3881</v>
      </c>
      <c r="N197">
        <v>0</v>
      </c>
      <c r="O197">
        <v>49</v>
      </c>
      <c r="P197">
        <v>49</v>
      </c>
    </row>
    <row r="198" spans="1:16" x14ac:dyDescent="0.3">
      <c r="A198">
        <v>197</v>
      </c>
      <c r="B198" s="4">
        <v>40552</v>
      </c>
      <c r="C198">
        <v>1</v>
      </c>
      <c r="D198">
        <v>0</v>
      </c>
      <c r="E198">
        <v>1</v>
      </c>
      <c r="F198">
        <v>11</v>
      </c>
      <c r="G198" t="b">
        <v>0</v>
      </c>
      <c r="H198">
        <v>0</v>
      </c>
      <c r="I198">
        <v>1</v>
      </c>
      <c r="J198">
        <v>0.16</v>
      </c>
      <c r="K198">
        <v>0.1212</v>
      </c>
      <c r="L198">
        <v>0.4</v>
      </c>
      <c r="M198">
        <v>0.52239999999999998</v>
      </c>
      <c r="N198">
        <v>2</v>
      </c>
      <c r="O198">
        <v>47</v>
      </c>
      <c r="P198">
        <v>49</v>
      </c>
    </row>
    <row r="199" spans="1:16" x14ac:dyDescent="0.3">
      <c r="A199">
        <v>198</v>
      </c>
      <c r="B199" s="4">
        <v>40552</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3">
      <c r="A200">
        <v>199</v>
      </c>
      <c r="B200" s="4">
        <v>40552</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3">
      <c r="A201">
        <v>200</v>
      </c>
      <c r="B201" s="4">
        <v>40552</v>
      </c>
      <c r="C201">
        <v>1</v>
      </c>
      <c r="D201">
        <v>0</v>
      </c>
      <c r="E201">
        <v>1</v>
      </c>
      <c r="F201">
        <v>14</v>
      </c>
      <c r="G201" t="b">
        <v>0</v>
      </c>
      <c r="H201">
        <v>0</v>
      </c>
      <c r="I201">
        <v>1</v>
      </c>
      <c r="J201">
        <v>0.22</v>
      </c>
      <c r="K201">
        <v>0.18179999999999999</v>
      </c>
      <c r="L201">
        <v>0.32</v>
      </c>
      <c r="M201">
        <v>0.4627</v>
      </c>
      <c r="N201">
        <v>8</v>
      </c>
      <c r="O201">
        <v>64</v>
      </c>
      <c r="P201">
        <v>72</v>
      </c>
    </row>
    <row r="202" spans="1:16" x14ac:dyDescent="0.3">
      <c r="A202">
        <v>201</v>
      </c>
      <c r="B202" s="4">
        <v>40552</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3">
      <c r="A203">
        <v>202</v>
      </c>
      <c r="B203" s="4">
        <v>40552</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3">
      <c r="A204">
        <v>203</v>
      </c>
      <c r="B204" s="4">
        <v>40552</v>
      </c>
      <c r="C204">
        <v>1</v>
      </c>
      <c r="D204">
        <v>0</v>
      </c>
      <c r="E204">
        <v>1</v>
      </c>
      <c r="F204">
        <v>17</v>
      </c>
      <c r="G204" t="b">
        <v>0</v>
      </c>
      <c r="H204">
        <v>0</v>
      </c>
      <c r="I204">
        <v>1</v>
      </c>
      <c r="J204">
        <v>0.18</v>
      </c>
      <c r="K204">
        <v>0.1515</v>
      </c>
      <c r="L204">
        <v>0.37</v>
      </c>
      <c r="M204">
        <v>0.3881</v>
      </c>
      <c r="N204">
        <v>3</v>
      </c>
      <c r="O204">
        <v>59</v>
      </c>
      <c r="P204">
        <v>62</v>
      </c>
    </row>
    <row r="205" spans="1:16" x14ac:dyDescent="0.3">
      <c r="A205">
        <v>204</v>
      </c>
      <c r="B205" s="4">
        <v>40552</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3">
      <c r="A206">
        <v>205</v>
      </c>
      <c r="B206" s="4">
        <v>40552</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3">
      <c r="A207">
        <v>206</v>
      </c>
      <c r="B207" s="4">
        <v>40552</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3">
      <c r="A208">
        <v>207</v>
      </c>
      <c r="B208" s="4">
        <v>40552</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3">
      <c r="A209">
        <v>208</v>
      </c>
      <c r="B209" s="4">
        <v>40552</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3">
      <c r="A210">
        <v>209</v>
      </c>
      <c r="B210" s="4">
        <v>40552</v>
      </c>
      <c r="C210">
        <v>1</v>
      </c>
      <c r="D210">
        <v>0</v>
      </c>
      <c r="E210">
        <v>1</v>
      </c>
      <c r="F210">
        <v>23</v>
      </c>
      <c r="G210" t="b">
        <v>0</v>
      </c>
      <c r="H210">
        <v>0</v>
      </c>
      <c r="I210">
        <v>1</v>
      </c>
      <c r="J210">
        <v>0.12</v>
      </c>
      <c r="K210">
        <v>0.13639999999999999</v>
      </c>
      <c r="L210">
        <v>0.5</v>
      </c>
      <c r="M210">
        <v>0.19400000000000001</v>
      </c>
      <c r="N210">
        <v>0</v>
      </c>
      <c r="O210">
        <v>6</v>
      </c>
      <c r="P210">
        <v>6</v>
      </c>
    </row>
    <row r="211" spans="1:16" x14ac:dyDescent="0.3">
      <c r="A211">
        <v>210</v>
      </c>
      <c r="B211" s="4">
        <v>40553</v>
      </c>
      <c r="C211">
        <v>1</v>
      </c>
      <c r="D211">
        <v>0</v>
      </c>
      <c r="E211">
        <v>1</v>
      </c>
      <c r="F211">
        <v>0</v>
      </c>
      <c r="G211" t="b">
        <v>0</v>
      </c>
      <c r="H211">
        <v>1</v>
      </c>
      <c r="I211">
        <v>1</v>
      </c>
      <c r="J211">
        <v>0.12</v>
      </c>
      <c r="K211">
        <v>0.1212</v>
      </c>
      <c r="L211">
        <v>0.5</v>
      </c>
      <c r="M211">
        <v>0.28360000000000002</v>
      </c>
      <c r="N211">
        <v>2</v>
      </c>
      <c r="O211">
        <v>3</v>
      </c>
      <c r="P211">
        <v>5</v>
      </c>
    </row>
    <row r="212" spans="1:16" x14ac:dyDescent="0.3">
      <c r="A212">
        <v>211</v>
      </c>
      <c r="B212" s="4">
        <v>40553</v>
      </c>
      <c r="C212">
        <v>1</v>
      </c>
      <c r="D212">
        <v>0</v>
      </c>
      <c r="E212">
        <v>1</v>
      </c>
      <c r="F212">
        <v>1</v>
      </c>
      <c r="G212" t="b">
        <v>0</v>
      </c>
      <c r="H212">
        <v>1</v>
      </c>
      <c r="I212">
        <v>1</v>
      </c>
      <c r="J212">
        <v>0.12</v>
      </c>
      <c r="K212">
        <v>0.1212</v>
      </c>
      <c r="L212">
        <v>0.5</v>
      </c>
      <c r="M212">
        <v>0.28360000000000002</v>
      </c>
      <c r="N212">
        <v>1</v>
      </c>
      <c r="O212">
        <v>0</v>
      </c>
      <c r="P212">
        <v>1</v>
      </c>
    </row>
    <row r="213" spans="1:16" x14ac:dyDescent="0.3">
      <c r="A213">
        <v>212</v>
      </c>
      <c r="B213" s="4">
        <v>40553</v>
      </c>
      <c r="C213">
        <v>1</v>
      </c>
      <c r="D213">
        <v>0</v>
      </c>
      <c r="E213">
        <v>1</v>
      </c>
      <c r="F213">
        <v>2</v>
      </c>
      <c r="G213" t="b">
        <v>0</v>
      </c>
      <c r="H213">
        <v>1</v>
      </c>
      <c r="I213">
        <v>1</v>
      </c>
      <c r="J213">
        <v>0.12</v>
      </c>
      <c r="K213">
        <v>0.1212</v>
      </c>
      <c r="L213">
        <v>0.5</v>
      </c>
      <c r="M213">
        <v>0.22389999999999999</v>
      </c>
      <c r="N213">
        <v>0</v>
      </c>
      <c r="O213">
        <v>3</v>
      </c>
      <c r="P213">
        <v>3</v>
      </c>
    </row>
    <row r="214" spans="1:16" x14ac:dyDescent="0.3">
      <c r="A214">
        <v>213</v>
      </c>
      <c r="B214" s="4">
        <v>40553</v>
      </c>
      <c r="C214">
        <v>1</v>
      </c>
      <c r="D214">
        <v>0</v>
      </c>
      <c r="E214">
        <v>1</v>
      </c>
      <c r="F214">
        <v>3</v>
      </c>
      <c r="G214" t="b">
        <v>0</v>
      </c>
      <c r="H214">
        <v>1</v>
      </c>
      <c r="I214">
        <v>1</v>
      </c>
      <c r="J214">
        <v>0.12</v>
      </c>
      <c r="K214">
        <v>0.1212</v>
      </c>
      <c r="L214">
        <v>0.5</v>
      </c>
      <c r="M214">
        <v>0.22389999999999999</v>
      </c>
      <c r="N214">
        <v>0</v>
      </c>
      <c r="O214">
        <v>1</v>
      </c>
      <c r="P214">
        <v>1</v>
      </c>
    </row>
    <row r="215" spans="1:16" x14ac:dyDescent="0.3">
      <c r="A215">
        <v>214</v>
      </c>
      <c r="B215" s="4">
        <v>40553</v>
      </c>
      <c r="C215">
        <v>1</v>
      </c>
      <c r="D215">
        <v>0</v>
      </c>
      <c r="E215">
        <v>1</v>
      </c>
      <c r="F215">
        <v>4</v>
      </c>
      <c r="G215" t="b">
        <v>0</v>
      </c>
      <c r="H215">
        <v>1</v>
      </c>
      <c r="I215">
        <v>1</v>
      </c>
      <c r="J215">
        <v>0.1</v>
      </c>
      <c r="K215">
        <v>0.1212</v>
      </c>
      <c r="L215">
        <v>0.54</v>
      </c>
      <c r="M215">
        <v>0.1343</v>
      </c>
      <c r="N215">
        <v>1</v>
      </c>
      <c r="O215">
        <v>2</v>
      </c>
      <c r="P215">
        <v>3</v>
      </c>
    </row>
    <row r="216" spans="1:16" x14ac:dyDescent="0.3">
      <c r="A216">
        <v>215</v>
      </c>
      <c r="B216" s="4">
        <v>40553</v>
      </c>
      <c r="C216">
        <v>1</v>
      </c>
      <c r="D216">
        <v>0</v>
      </c>
      <c r="E216">
        <v>1</v>
      </c>
      <c r="F216">
        <v>5</v>
      </c>
      <c r="G216" t="b">
        <v>0</v>
      </c>
      <c r="H216">
        <v>1</v>
      </c>
      <c r="I216">
        <v>1</v>
      </c>
      <c r="J216">
        <v>0.1</v>
      </c>
      <c r="K216">
        <v>0.1061</v>
      </c>
      <c r="L216">
        <v>0.54</v>
      </c>
      <c r="M216">
        <v>0.25369999999999998</v>
      </c>
      <c r="N216">
        <v>0</v>
      </c>
      <c r="O216">
        <v>3</v>
      </c>
      <c r="P216">
        <v>3</v>
      </c>
    </row>
    <row r="217" spans="1:16" x14ac:dyDescent="0.3">
      <c r="A217">
        <v>216</v>
      </c>
      <c r="B217" s="4">
        <v>40553</v>
      </c>
      <c r="C217">
        <v>1</v>
      </c>
      <c r="D217">
        <v>0</v>
      </c>
      <c r="E217">
        <v>1</v>
      </c>
      <c r="F217">
        <v>6</v>
      </c>
      <c r="G217" t="b">
        <v>0</v>
      </c>
      <c r="H217">
        <v>1</v>
      </c>
      <c r="I217">
        <v>1</v>
      </c>
      <c r="J217">
        <v>0.12</v>
      </c>
      <c r="K217">
        <v>0.1212</v>
      </c>
      <c r="L217">
        <v>0.5</v>
      </c>
      <c r="M217">
        <v>0.28360000000000002</v>
      </c>
      <c r="N217">
        <v>0</v>
      </c>
      <c r="O217">
        <v>31</v>
      </c>
      <c r="P217">
        <v>31</v>
      </c>
    </row>
    <row r="218" spans="1:16" x14ac:dyDescent="0.3">
      <c r="A218">
        <v>217</v>
      </c>
      <c r="B218" s="4">
        <v>40553</v>
      </c>
      <c r="C218">
        <v>1</v>
      </c>
      <c r="D218">
        <v>0</v>
      </c>
      <c r="E218">
        <v>1</v>
      </c>
      <c r="F218">
        <v>7</v>
      </c>
      <c r="G218" t="b">
        <v>0</v>
      </c>
      <c r="H218">
        <v>1</v>
      </c>
      <c r="I218">
        <v>1</v>
      </c>
      <c r="J218">
        <v>0.12</v>
      </c>
      <c r="K218">
        <v>0.1212</v>
      </c>
      <c r="L218">
        <v>0.5</v>
      </c>
      <c r="M218">
        <v>0.22389999999999999</v>
      </c>
      <c r="N218">
        <v>2</v>
      </c>
      <c r="O218">
        <v>75</v>
      </c>
      <c r="P218">
        <v>77</v>
      </c>
    </row>
    <row r="219" spans="1:16" x14ac:dyDescent="0.3">
      <c r="A219">
        <v>218</v>
      </c>
      <c r="B219" s="4">
        <v>40553</v>
      </c>
      <c r="C219">
        <v>1</v>
      </c>
      <c r="D219">
        <v>0</v>
      </c>
      <c r="E219">
        <v>1</v>
      </c>
      <c r="F219">
        <v>8</v>
      </c>
      <c r="G219" t="b">
        <v>0</v>
      </c>
      <c r="H219">
        <v>1</v>
      </c>
      <c r="I219">
        <v>2</v>
      </c>
      <c r="J219">
        <v>0.12</v>
      </c>
      <c r="K219">
        <v>0.1212</v>
      </c>
      <c r="L219">
        <v>0.5</v>
      </c>
      <c r="M219">
        <v>0.28360000000000002</v>
      </c>
      <c r="N219">
        <v>4</v>
      </c>
      <c r="O219">
        <v>184</v>
      </c>
      <c r="P219">
        <v>188</v>
      </c>
    </row>
    <row r="220" spans="1:16" x14ac:dyDescent="0.3">
      <c r="A220">
        <v>219</v>
      </c>
      <c r="B220" s="4">
        <v>40553</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3">
      <c r="A221">
        <v>220</v>
      </c>
      <c r="B221" s="4">
        <v>40553</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3">
      <c r="A222">
        <v>221</v>
      </c>
      <c r="B222" s="4">
        <v>40553</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3">
      <c r="A223">
        <v>222</v>
      </c>
      <c r="B223" s="4">
        <v>40553</v>
      </c>
      <c r="C223">
        <v>1</v>
      </c>
      <c r="D223">
        <v>0</v>
      </c>
      <c r="E223">
        <v>1</v>
      </c>
      <c r="F223">
        <v>12</v>
      </c>
      <c r="G223" t="b">
        <v>0</v>
      </c>
      <c r="H223">
        <v>1</v>
      </c>
      <c r="I223">
        <v>2</v>
      </c>
      <c r="J223">
        <v>0.2</v>
      </c>
      <c r="K223">
        <v>0.18179999999999999</v>
      </c>
      <c r="L223">
        <v>0.4</v>
      </c>
      <c r="M223">
        <v>0.28360000000000002</v>
      </c>
      <c r="N223">
        <v>5</v>
      </c>
      <c r="O223">
        <v>47</v>
      </c>
      <c r="P223">
        <v>52</v>
      </c>
    </row>
    <row r="224" spans="1:16" x14ac:dyDescent="0.3">
      <c r="A224">
        <v>223</v>
      </c>
      <c r="B224" s="4">
        <v>40553</v>
      </c>
      <c r="C224">
        <v>1</v>
      </c>
      <c r="D224">
        <v>0</v>
      </c>
      <c r="E224">
        <v>1</v>
      </c>
      <c r="F224">
        <v>13</v>
      </c>
      <c r="G224" t="b">
        <v>0</v>
      </c>
      <c r="H224">
        <v>1</v>
      </c>
      <c r="I224">
        <v>2</v>
      </c>
      <c r="J224">
        <v>0.2</v>
      </c>
      <c r="K224">
        <v>0.18179999999999999</v>
      </c>
      <c r="L224">
        <v>0.4</v>
      </c>
      <c r="M224">
        <v>0.28360000000000002</v>
      </c>
      <c r="N224">
        <v>4</v>
      </c>
      <c r="O224">
        <v>50</v>
      </c>
      <c r="P224">
        <v>54</v>
      </c>
    </row>
    <row r="225" spans="1:16" x14ac:dyDescent="0.3">
      <c r="A225">
        <v>224</v>
      </c>
      <c r="B225" s="4">
        <v>40553</v>
      </c>
      <c r="C225">
        <v>1</v>
      </c>
      <c r="D225">
        <v>0</v>
      </c>
      <c r="E225">
        <v>1</v>
      </c>
      <c r="F225">
        <v>14</v>
      </c>
      <c r="G225" t="b">
        <v>0</v>
      </c>
      <c r="H225">
        <v>1</v>
      </c>
      <c r="I225">
        <v>2</v>
      </c>
      <c r="J225">
        <v>0.2</v>
      </c>
      <c r="K225">
        <v>0.19700000000000001</v>
      </c>
      <c r="L225">
        <v>0.4</v>
      </c>
      <c r="M225">
        <v>0.22389999999999999</v>
      </c>
      <c r="N225">
        <v>0</v>
      </c>
      <c r="O225">
        <v>47</v>
      </c>
      <c r="P225">
        <v>47</v>
      </c>
    </row>
    <row r="226" spans="1:16" x14ac:dyDescent="0.3">
      <c r="A226">
        <v>225</v>
      </c>
      <c r="B226" s="4">
        <v>40553</v>
      </c>
      <c r="C226">
        <v>1</v>
      </c>
      <c r="D226">
        <v>0</v>
      </c>
      <c r="E226">
        <v>1</v>
      </c>
      <c r="F226">
        <v>15</v>
      </c>
      <c r="G226" t="b">
        <v>0</v>
      </c>
      <c r="H226">
        <v>1</v>
      </c>
      <c r="I226">
        <v>2</v>
      </c>
      <c r="J226">
        <v>0.2</v>
      </c>
      <c r="K226">
        <v>0.19700000000000001</v>
      </c>
      <c r="L226">
        <v>0.4</v>
      </c>
      <c r="M226">
        <v>0.22389999999999999</v>
      </c>
      <c r="N226">
        <v>2</v>
      </c>
      <c r="O226">
        <v>43</v>
      </c>
      <c r="P226">
        <v>45</v>
      </c>
    </row>
    <row r="227" spans="1:16" x14ac:dyDescent="0.3">
      <c r="A227">
        <v>226</v>
      </c>
      <c r="B227" s="4">
        <v>40553</v>
      </c>
      <c r="C227">
        <v>1</v>
      </c>
      <c r="D227">
        <v>0</v>
      </c>
      <c r="E227">
        <v>1</v>
      </c>
      <c r="F227">
        <v>16</v>
      </c>
      <c r="G227" t="b">
        <v>0</v>
      </c>
      <c r="H227">
        <v>1</v>
      </c>
      <c r="I227">
        <v>1</v>
      </c>
      <c r="J227">
        <v>0.2</v>
      </c>
      <c r="K227">
        <v>0.21210000000000001</v>
      </c>
      <c r="L227">
        <v>0.4</v>
      </c>
      <c r="M227">
        <v>0.1343</v>
      </c>
      <c r="N227">
        <v>4</v>
      </c>
      <c r="O227">
        <v>70</v>
      </c>
      <c r="P227">
        <v>74</v>
      </c>
    </row>
    <row r="228" spans="1:16" x14ac:dyDescent="0.3">
      <c r="A228">
        <v>227</v>
      </c>
      <c r="B228" s="4">
        <v>40553</v>
      </c>
      <c r="C228">
        <v>1</v>
      </c>
      <c r="D228">
        <v>0</v>
      </c>
      <c r="E228">
        <v>1</v>
      </c>
      <c r="F228">
        <v>17</v>
      </c>
      <c r="G228" t="b">
        <v>0</v>
      </c>
      <c r="H228">
        <v>1</v>
      </c>
      <c r="I228">
        <v>1</v>
      </c>
      <c r="J228">
        <v>0.2</v>
      </c>
      <c r="K228">
        <v>0.2273</v>
      </c>
      <c r="L228">
        <v>0.4</v>
      </c>
      <c r="M228">
        <v>0.1045</v>
      </c>
      <c r="N228">
        <v>4</v>
      </c>
      <c r="O228">
        <v>174</v>
      </c>
      <c r="P228">
        <v>178</v>
      </c>
    </row>
    <row r="229" spans="1:16" x14ac:dyDescent="0.3">
      <c r="A229">
        <v>228</v>
      </c>
      <c r="B229" s="4">
        <v>40553</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3">
      <c r="A230">
        <v>229</v>
      </c>
      <c r="B230" s="4">
        <v>40553</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3">
      <c r="A231">
        <v>230</v>
      </c>
      <c r="B231" s="4">
        <v>40553</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3">
      <c r="A232">
        <v>231</v>
      </c>
      <c r="B232" s="4">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3">
      <c r="A233">
        <v>232</v>
      </c>
      <c r="B233" s="4">
        <v>40553</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3">
      <c r="A234">
        <v>233</v>
      </c>
      <c r="B234" s="4">
        <v>40553</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3">
      <c r="A235">
        <v>234</v>
      </c>
      <c r="B235" s="4">
        <v>40554</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3">
      <c r="A236">
        <v>235</v>
      </c>
      <c r="B236" s="4">
        <v>40554</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3">
      <c r="A237">
        <v>236</v>
      </c>
      <c r="B237" s="4">
        <v>40554</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3">
      <c r="A238">
        <v>237</v>
      </c>
      <c r="B238" s="4">
        <v>40554</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3">
      <c r="A239">
        <v>238</v>
      </c>
      <c r="B239" s="4">
        <v>40554</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3">
      <c r="A240">
        <v>239</v>
      </c>
      <c r="B240" s="4">
        <v>40554</v>
      </c>
      <c r="C240">
        <v>1</v>
      </c>
      <c r="D240">
        <v>0</v>
      </c>
      <c r="E240">
        <v>1</v>
      </c>
      <c r="F240">
        <v>7</v>
      </c>
      <c r="G240" t="b">
        <v>0</v>
      </c>
      <c r="H240">
        <v>2</v>
      </c>
      <c r="I240">
        <v>2</v>
      </c>
      <c r="J240">
        <v>0.16</v>
      </c>
      <c r="K240">
        <v>0.2273</v>
      </c>
      <c r="L240">
        <v>0.55000000000000004</v>
      </c>
      <c r="M240">
        <v>0</v>
      </c>
      <c r="N240">
        <v>2</v>
      </c>
      <c r="O240">
        <v>97</v>
      </c>
      <c r="P240">
        <v>99</v>
      </c>
    </row>
    <row r="241" spans="1:16" x14ac:dyDescent="0.3">
      <c r="A241">
        <v>240</v>
      </c>
      <c r="B241" s="4">
        <v>40554</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3">
      <c r="A242">
        <v>241</v>
      </c>
      <c r="B242" s="4">
        <v>40554</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3">
      <c r="A243">
        <v>242</v>
      </c>
      <c r="B243" s="4">
        <v>40554</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3">
      <c r="A244">
        <v>243</v>
      </c>
      <c r="B244" s="4">
        <v>40554</v>
      </c>
      <c r="C244">
        <v>1</v>
      </c>
      <c r="D244">
        <v>0</v>
      </c>
      <c r="E244">
        <v>1</v>
      </c>
      <c r="F244">
        <v>11</v>
      </c>
      <c r="G244" t="b">
        <v>0</v>
      </c>
      <c r="H244">
        <v>2</v>
      </c>
      <c r="I244">
        <v>2</v>
      </c>
      <c r="J244">
        <v>0.2</v>
      </c>
      <c r="K244">
        <v>0.21210000000000001</v>
      </c>
      <c r="L244">
        <v>0.47</v>
      </c>
      <c r="M244">
        <v>0.1343</v>
      </c>
      <c r="N244">
        <v>4</v>
      </c>
      <c r="O244">
        <v>31</v>
      </c>
      <c r="P244">
        <v>35</v>
      </c>
    </row>
    <row r="245" spans="1:16" x14ac:dyDescent="0.3">
      <c r="A245">
        <v>244</v>
      </c>
      <c r="B245" s="4">
        <v>40554</v>
      </c>
      <c r="C245">
        <v>1</v>
      </c>
      <c r="D245">
        <v>0</v>
      </c>
      <c r="E245">
        <v>1</v>
      </c>
      <c r="F245">
        <v>12</v>
      </c>
      <c r="G245" t="b">
        <v>0</v>
      </c>
      <c r="H245">
        <v>2</v>
      </c>
      <c r="I245">
        <v>2</v>
      </c>
      <c r="J245">
        <v>0.2</v>
      </c>
      <c r="K245">
        <v>0.2273</v>
      </c>
      <c r="L245">
        <v>0.51</v>
      </c>
      <c r="M245">
        <v>0.1045</v>
      </c>
      <c r="N245">
        <v>2</v>
      </c>
      <c r="O245">
        <v>55</v>
      </c>
      <c r="P245">
        <v>57</v>
      </c>
    </row>
    <row r="246" spans="1:16" x14ac:dyDescent="0.3">
      <c r="A246">
        <v>245</v>
      </c>
      <c r="B246" s="4">
        <v>40554</v>
      </c>
      <c r="C246">
        <v>1</v>
      </c>
      <c r="D246">
        <v>0</v>
      </c>
      <c r="E246">
        <v>1</v>
      </c>
      <c r="F246">
        <v>13</v>
      </c>
      <c r="G246" t="b">
        <v>0</v>
      </c>
      <c r="H246">
        <v>2</v>
      </c>
      <c r="I246">
        <v>2</v>
      </c>
      <c r="J246">
        <v>0.2</v>
      </c>
      <c r="K246">
        <v>0.2273</v>
      </c>
      <c r="L246">
        <v>0.59</v>
      </c>
      <c r="M246">
        <v>8.9599999999999999E-2</v>
      </c>
      <c r="N246">
        <v>6</v>
      </c>
      <c r="O246">
        <v>46</v>
      </c>
      <c r="P246">
        <v>52</v>
      </c>
    </row>
    <row r="247" spans="1:16" x14ac:dyDescent="0.3">
      <c r="A247">
        <v>246</v>
      </c>
      <c r="B247" s="4">
        <v>40554</v>
      </c>
      <c r="C247">
        <v>1</v>
      </c>
      <c r="D247">
        <v>0</v>
      </c>
      <c r="E247">
        <v>1</v>
      </c>
      <c r="F247">
        <v>14</v>
      </c>
      <c r="G247" t="b">
        <v>0</v>
      </c>
      <c r="H247">
        <v>2</v>
      </c>
      <c r="I247">
        <v>2</v>
      </c>
      <c r="J247">
        <v>0.2</v>
      </c>
      <c r="K247">
        <v>0.2273</v>
      </c>
      <c r="L247">
        <v>0.59</v>
      </c>
      <c r="M247">
        <v>8.9599999999999999E-2</v>
      </c>
      <c r="N247">
        <v>3</v>
      </c>
      <c r="O247">
        <v>60</v>
      </c>
      <c r="P247">
        <v>63</v>
      </c>
    </row>
    <row r="248" spans="1:16" x14ac:dyDescent="0.3">
      <c r="A248">
        <v>247</v>
      </c>
      <c r="B248" s="4">
        <v>40554</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3">
      <c r="A249">
        <v>248</v>
      </c>
      <c r="B249" s="4">
        <v>40554</v>
      </c>
      <c r="C249">
        <v>1</v>
      </c>
      <c r="D249">
        <v>0</v>
      </c>
      <c r="E249">
        <v>1</v>
      </c>
      <c r="F249">
        <v>16</v>
      </c>
      <c r="G249" t="b">
        <v>0</v>
      </c>
      <c r="H249">
        <v>2</v>
      </c>
      <c r="I249">
        <v>2</v>
      </c>
      <c r="J249">
        <v>0.16</v>
      </c>
      <c r="K249">
        <v>0.1515</v>
      </c>
      <c r="L249">
        <v>0.86</v>
      </c>
      <c r="M249">
        <v>0.22389999999999999</v>
      </c>
      <c r="N249">
        <v>4</v>
      </c>
      <c r="O249">
        <v>72</v>
      </c>
      <c r="P249">
        <v>76</v>
      </c>
    </row>
    <row r="250" spans="1:16" x14ac:dyDescent="0.3">
      <c r="A250">
        <v>249</v>
      </c>
      <c r="B250" s="4">
        <v>40554</v>
      </c>
      <c r="C250">
        <v>1</v>
      </c>
      <c r="D250">
        <v>0</v>
      </c>
      <c r="E250">
        <v>1</v>
      </c>
      <c r="F250">
        <v>17</v>
      </c>
      <c r="G250" t="b">
        <v>0</v>
      </c>
      <c r="H250">
        <v>2</v>
      </c>
      <c r="I250">
        <v>2</v>
      </c>
      <c r="J250">
        <v>0.16</v>
      </c>
      <c r="K250">
        <v>0.1515</v>
      </c>
      <c r="L250">
        <v>0.86</v>
      </c>
      <c r="M250">
        <v>0.22389999999999999</v>
      </c>
      <c r="N250">
        <v>6</v>
      </c>
      <c r="O250">
        <v>130</v>
      </c>
      <c r="P250">
        <v>136</v>
      </c>
    </row>
    <row r="251" spans="1:16" x14ac:dyDescent="0.3">
      <c r="A251">
        <v>250</v>
      </c>
      <c r="B251" s="4">
        <v>40554</v>
      </c>
      <c r="C251">
        <v>1</v>
      </c>
      <c r="D251">
        <v>0</v>
      </c>
      <c r="E251">
        <v>1</v>
      </c>
      <c r="F251">
        <v>18</v>
      </c>
      <c r="G251" t="b">
        <v>0</v>
      </c>
      <c r="H251">
        <v>2</v>
      </c>
      <c r="I251">
        <v>3</v>
      </c>
      <c r="J251">
        <v>0.16</v>
      </c>
      <c r="K251">
        <v>0.18179999999999999</v>
      </c>
      <c r="L251">
        <v>0.93</v>
      </c>
      <c r="M251">
        <v>0.1045</v>
      </c>
      <c r="N251">
        <v>1</v>
      </c>
      <c r="O251">
        <v>94</v>
      </c>
      <c r="P251">
        <v>95</v>
      </c>
    </row>
    <row r="252" spans="1:16" x14ac:dyDescent="0.3">
      <c r="A252">
        <v>251</v>
      </c>
      <c r="B252" s="4">
        <v>40554</v>
      </c>
      <c r="C252">
        <v>1</v>
      </c>
      <c r="D252">
        <v>0</v>
      </c>
      <c r="E252">
        <v>1</v>
      </c>
      <c r="F252">
        <v>19</v>
      </c>
      <c r="G252" t="b">
        <v>0</v>
      </c>
      <c r="H252">
        <v>2</v>
      </c>
      <c r="I252">
        <v>3</v>
      </c>
      <c r="J252">
        <v>0.16</v>
      </c>
      <c r="K252">
        <v>0.2273</v>
      </c>
      <c r="L252">
        <v>0.93</v>
      </c>
      <c r="M252">
        <v>0</v>
      </c>
      <c r="N252">
        <v>0</v>
      </c>
      <c r="O252">
        <v>51</v>
      </c>
      <c r="P252">
        <v>51</v>
      </c>
    </row>
    <row r="253" spans="1:16" x14ac:dyDescent="0.3">
      <c r="A253">
        <v>252</v>
      </c>
      <c r="B253" s="4">
        <v>40554</v>
      </c>
      <c r="C253">
        <v>1</v>
      </c>
      <c r="D253">
        <v>0</v>
      </c>
      <c r="E253">
        <v>1</v>
      </c>
      <c r="F253">
        <v>20</v>
      </c>
      <c r="G253" t="b">
        <v>0</v>
      </c>
      <c r="H253">
        <v>2</v>
      </c>
      <c r="I253">
        <v>3</v>
      </c>
      <c r="J253">
        <v>0.16</v>
      </c>
      <c r="K253">
        <v>0.1515</v>
      </c>
      <c r="L253">
        <v>0.93</v>
      </c>
      <c r="M253">
        <v>0.19400000000000001</v>
      </c>
      <c r="N253">
        <v>0</v>
      </c>
      <c r="O253">
        <v>32</v>
      </c>
      <c r="P253">
        <v>32</v>
      </c>
    </row>
    <row r="254" spans="1:16" x14ac:dyDescent="0.3">
      <c r="A254">
        <v>253</v>
      </c>
      <c r="B254" s="4">
        <v>40554</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3">
      <c r="A255">
        <v>254</v>
      </c>
      <c r="B255" s="4">
        <v>40554</v>
      </c>
      <c r="C255">
        <v>1</v>
      </c>
      <c r="D255">
        <v>0</v>
      </c>
      <c r="E255">
        <v>1</v>
      </c>
      <c r="F255">
        <v>22</v>
      </c>
      <c r="G255" t="b">
        <v>0</v>
      </c>
      <c r="H255">
        <v>2</v>
      </c>
      <c r="I255">
        <v>3</v>
      </c>
      <c r="J255">
        <v>0.16</v>
      </c>
      <c r="K255">
        <v>0.18179999999999999</v>
      </c>
      <c r="L255">
        <v>0.93</v>
      </c>
      <c r="M255">
        <v>0.1045</v>
      </c>
      <c r="N255">
        <v>1</v>
      </c>
      <c r="O255">
        <v>28</v>
      </c>
      <c r="P255">
        <v>29</v>
      </c>
    </row>
    <row r="256" spans="1:16" x14ac:dyDescent="0.3">
      <c r="A256">
        <v>255</v>
      </c>
      <c r="B256" s="4">
        <v>40554</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3">
      <c r="A257">
        <v>256</v>
      </c>
      <c r="B257" s="4">
        <v>40555</v>
      </c>
      <c r="C257">
        <v>1</v>
      </c>
      <c r="D257">
        <v>0</v>
      </c>
      <c r="E257">
        <v>1</v>
      </c>
      <c r="F257">
        <v>0</v>
      </c>
      <c r="G257" t="b">
        <v>0</v>
      </c>
      <c r="H257">
        <v>3</v>
      </c>
      <c r="I257">
        <v>2</v>
      </c>
      <c r="J257">
        <v>0.16</v>
      </c>
      <c r="K257">
        <v>0.19700000000000001</v>
      </c>
      <c r="L257">
        <v>0.86</v>
      </c>
      <c r="M257">
        <v>8.9599999999999999E-2</v>
      </c>
      <c r="N257">
        <v>0</v>
      </c>
      <c r="O257">
        <v>7</v>
      </c>
      <c r="P257">
        <v>7</v>
      </c>
    </row>
    <row r="258" spans="1:16" x14ac:dyDescent="0.3">
      <c r="A258">
        <v>257</v>
      </c>
      <c r="B258" s="4">
        <v>40555</v>
      </c>
      <c r="C258">
        <v>1</v>
      </c>
      <c r="D258">
        <v>0</v>
      </c>
      <c r="E258">
        <v>1</v>
      </c>
      <c r="F258">
        <v>1</v>
      </c>
      <c r="G258" t="b">
        <v>0</v>
      </c>
      <c r="H258">
        <v>3</v>
      </c>
      <c r="I258">
        <v>2</v>
      </c>
      <c r="J258">
        <v>0.16</v>
      </c>
      <c r="K258">
        <v>0.18179999999999999</v>
      </c>
      <c r="L258">
        <v>0.86</v>
      </c>
      <c r="M258">
        <v>0.1045</v>
      </c>
      <c r="N258">
        <v>0</v>
      </c>
      <c r="O258">
        <v>6</v>
      </c>
      <c r="P258">
        <v>6</v>
      </c>
    </row>
    <row r="259" spans="1:16" x14ac:dyDescent="0.3">
      <c r="A259">
        <v>258</v>
      </c>
      <c r="B259" s="4">
        <v>40555</v>
      </c>
      <c r="C259">
        <v>1</v>
      </c>
      <c r="D259">
        <v>0</v>
      </c>
      <c r="E259">
        <v>1</v>
      </c>
      <c r="F259">
        <v>2</v>
      </c>
      <c r="G259" t="b">
        <v>0</v>
      </c>
      <c r="H259">
        <v>3</v>
      </c>
      <c r="I259">
        <v>1</v>
      </c>
      <c r="J259">
        <v>0.14000000000000001</v>
      </c>
      <c r="K259">
        <v>0.1515</v>
      </c>
      <c r="L259">
        <v>0.86</v>
      </c>
      <c r="M259">
        <v>0.1343</v>
      </c>
      <c r="N259">
        <v>0</v>
      </c>
      <c r="O259">
        <v>1</v>
      </c>
      <c r="P259">
        <v>1</v>
      </c>
    </row>
    <row r="260" spans="1:16" x14ac:dyDescent="0.3">
      <c r="A260">
        <v>259</v>
      </c>
      <c r="B260" s="4">
        <v>40555</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3">
      <c r="A261">
        <v>260</v>
      </c>
      <c r="B261" s="4">
        <v>40555</v>
      </c>
      <c r="C261">
        <v>1</v>
      </c>
      <c r="D261">
        <v>0</v>
      </c>
      <c r="E261">
        <v>1</v>
      </c>
      <c r="F261">
        <v>6</v>
      </c>
      <c r="G261" t="b">
        <v>0</v>
      </c>
      <c r="H261">
        <v>3</v>
      </c>
      <c r="I261">
        <v>1</v>
      </c>
      <c r="J261">
        <v>0.12</v>
      </c>
      <c r="K261">
        <v>0.1515</v>
      </c>
      <c r="L261">
        <v>0.93</v>
      </c>
      <c r="M261">
        <v>0.1343</v>
      </c>
      <c r="N261">
        <v>0</v>
      </c>
      <c r="O261">
        <v>16</v>
      </c>
      <c r="P261">
        <v>16</v>
      </c>
    </row>
    <row r="262" spans="1:16" x14ac:dyDescent="0.3">
      <c r="A262">
        <v>261</v>
      </c>
      <c r="B262" s="4">
        <v>40555</v>
      </c>
      <c r="C262">
        <v>1</v>
      </c>
      <c r="D262">
        <v>0</v>
      </c>
      <c r="E262">
        <v>1</v>
      </c>
      <c r="F262">
        <v>7</v>
      </c>
      <c r="G262" t="b">
        <v>0</v>
      </c>
      <c r="H262">
        <v>3</v>
      </c>
      <c r="I262">
        <v>1</v>
      </c>
      <c r="J262">
        <v>0.14000000000000001</v>
      </c>
      <c r="K262">
        <v>0.1515</v>
      </c>
      <c r="L262">
        <v>0.69</v>
      </c>
      <c r="M262">
        <v>0.1343</v>
      </c>
      <c r="N262">
        <v>0</v>
      </c>
      <c r="O262">
        <v>54</v>
      </c>
      <c r="P262">
        <v>54</v>
      </c>
    </row>
    <row r="263" spans="1:16" x14ac:dyDescent="0.3">
      <c r="A263">
        <v>262</v>
      </c>
      <c r="B263" s="4">
        <v>40555</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3">
      <c r="A264">
        <v>263</v>
      </c>
      <c r="B264" s="4">
        <v>40555</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3">
      <c r="A265">
        <v>264</v>
      </c>
      <c r="B265" s="4">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3">
      <c r="A266">
        <v>265</v>
      </c>
      <c r="B266" s="4">
        <v>40555</v>
      </c>
      <c r="C266">
        <v>1</v>
      </c>
      <c r="D266">
        <v>0</v>
      </c>
      <c r="E266">
        <v>1</v>
      </c>
      <c r="F266">
        <v>11</v>
      </c>
      <c r="G266" t="b">
        <v>0</v>
      </c>
      <c r="H266">
        <v>3</v>
      </c>
      <c r="I266">
        <v>1</v>
      </c>
      <c r="J266">
        <v>0.2</v>
      </c>
      <c r="K266">
        <v>0.18179999999999999</v>
      </c>
      <c r="L266">
        <v>0.51</v>
      </c>
      <c r="M266">
        <v>0.3881</v>
      </c>
      <c r="N266">
        <v>3</v>
      </c>
      <c r="O266">
        <v>32</v>
      </c>
      <c r="P266">
        <v>35</v>
      </c>
    </row>
    <row r="267" spans="1:16" x14ac:dyDescent="0.3">
      <c r="A267">
        <v>266</v>
      </c>
      <c r="B267" s="4">
        <v>40555</v>
      </c>
      <c r="C267">
        <v>1</v>
      </c>
      <c r="D267">
        <v>0</v>
      </c>
      <c r="E267">
        <v>1</v>
      </c>
      <c r="F267">
        <v>12</v>
      </c>
      <c r="G267" t="b">
        <v>0</v>
      </c>
      <c r="H267">
        <v>3</v>
      </c>
      <c r="I267">
        <v>1</v>
      </c>
      <c r="J267">
        <v>0.2</v>
      </c>
      <c r="K267">
        <v>0.1515</v>
      </c>
      <c r="L267">
        <v>0.47</v>
      </c>
      <c r="M267">
        <v>0.58209999999999995</v>
      </c>
      <c r="N267">
        <v>3</v>
      </c>
      <c r="O267">
        <v>52</v>
      </c>
      <c r="P267">
        <v>55</v>
      </c>
    </row>
    <row r="268" spans="1:16" x14ac:dyDescent="0.3">
      <c r="A268">
        <v>267</v>
      </c>
      <c r="B268" s="4">
        <v>40555</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3">
      <c r="A269">
        <v>268</v>
      </c>
      <c r="B269" s="4">
        <v>40555</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3">
      <c r="A270">
        <v>269</v>
      </c>
      <c r="B270" s="4">
        <v>40555</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3">
      <c r="A271">
        <v>270</v>
      </c>
      <c r="B271" s="4">
        <v>40555</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3">
      <c r="A272">
        <v>271</v>
      </c>
      <c r="B272" s="4">
        <v>40555</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3">
      <c r="A273">
        <v>272</v>
      </c>
      <c r="B273" s="4">
        <v>40555</v>
      </c>
      <c r="C273">
        <v>1</v>
      </c>
      <c r="D273">
        <v>0</v>
      </c>
      <c r="E273">
        <v>1</v>
      </c>
      <c r="F273">
        <v>18</v>
      </c>
      <c r="G273" t="b">
        <v>0</v>
      </c>
      <c r="H273">
        <v>3</v>
      </c>
      <c r="I273">
        <v>1</v>
      </c>
      <c r="J273">
        <v>0.2</v>
      </c>
      <c r="K273">
        <v>0.1515</v>
      </c>
      <c r="L273">
        <v>0.47</v>
      </c>
      <c r="M273">
        <v>0.52239999999999998</v>
      </c>
      <c r="N273">
        <v>2</v>
      </c>
      <c r="O273">
        <v>135</v>
      </c>
      <c r="P273">
        <v>137</v>
      </c>
    </row>
    <row r="274" spans="1:16" x14ac:dyDescent="0.3">
      <c r="A274">
        <v>273</v>
      </c>
      <c r="B274" s="4">
        <v>40555</v>
      </c>
      <c r="C274">
        <v>1</v>
      </c>
      <c r="D274">
        <v>0</v>
      </c>
      <c r="E274">
        <v>1</v>
      </c>
      <c r="F274">
        <v>19</v>
      </c>
      <c r="G274" t="b">
        <v>0</v>
      </c>
      <c r="H274">
        <v>3</v>
      </c>
      <c r="I274">
        <v>1</v>
      </c>
      <c r="J274">
        <v>0.18</v>
      </c>
      <c r="K274">
        <v>0.1515</v>
      </c>
      <c r="L274">
        <v>0.47</v>
      </c>
      <c r="M274">
        <v>0.41789999999999999</v>
      </c>
      <c r="N274">
        <v>1</v>
      </c>
      <c r="O274">
        <v>82</v>
      </c>
      <c r="P274">
        <v>83</v>
      </c>
    </row>
    <row r="275" spans="1:16" x14ac:dyDescent="0.3">
      <c r="A275">
        <v>274</v>
      </c>
      <c r="B275" s="4">
        <v>40555</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3">
      <c r="A276">
        <v>275</v>
      </c>
      <c r="B276" s="4">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3">
      <c r="A277">
        <v>276</v>
      </c>
      <c r="B277" s="4">
        <v>40555</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3">
      <c r="A278">
        <v>277</v>
      </c>
      <c r="B278" s="4">
        <v>40555</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3">
      <c r="A279">
        <v>278</v>
      </c>
      <c r="B279" s="4">
        <v>40556</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3">
      <c r="A280">
        <v>279</v>
      </c>
      <c r="B280" s="4">
        <v>40556</v>
      </c>
      <c r="C280">
        <v>1</v>
      </c>
      <c r="D280">
        <v>0</v>
      </c>
      <c r="E280">
        <v>1</v>
      </c>
      <c r="F280">
        <v>1</v>
      </c>
      <c r="G280" t="b">
        <v>0</v>
      </c>
      <c r="H280">
        <v>4</v>
      </c>
      <c r="I280">
        <v>1</v>
      </c>
      <c r="J280">
        <v>0.14000000000000001</v>
      </c>
      <c r="K280">
        <v>0.1212</v>
      </c>
      <c r="L280">
        <v>0.5</v>
      </c>
      <c r="M280">
        <v>0.28360000000000002</v>
      </c>
      <c r="N280">
        <v>0</v>
      </c>
      <c r="O280">
        <v>2</v>
      </c>
      <c r="P280">
        <v>2</v>
      </c>
    </row>
    <row r="281" spans="1:16" x14ac:dyDescent="0.3">
      <c r="A281">
        <v>280</v>
      </c>
      <c r="B281" s="4">
        <v>40556</v>
      </c>
      <c r="C281">
        <v>1</v>
      </c>
      <c r="D281">
        <v>0</v>
      </c>
      <c r="E281">
        <v>1</v>
      </c>
      <c r="F281">
        <v>2</v>
      </c>
      <c r="G281" t="b">
        <v>0</v>
      </c>
      <c r="H281">
        <v>4</v>
      </c>
      <c r="I281">
        <v>1</v>
      </c>
      <c r="J281">
        <v>0.14000000000000001</v>
      </c>
      <c r="K281">
        <v>0.1212</v>
      </c>
      <c r="L281">
        <v>0.5</v>
      </c>
      <c r="M281">
        <v>0.35820000000000002</v>
      </c>
      <c r="N281">
        <v>0</v>
      </c>
      <c r="O281">
        <v>2</v>
      </c>
      <c r="P281">
        <v>2</v>
      </c>
    </row>
    <row r="282" spans="1:16" x14ac:dyDescent="0.3">
      <c r="A282">
        <v>281</v>
      </c>
      <c r="B282" s="4">
        <v>40556</v>
      </c>
      <c r="C282">
        <v>1</v>
      </c>
      <c r="D282">
        <v>0</v>
      </c>
      <c r="E282">
        <v>1</v>
      </c>
      <c r="F282">
        <v>3</v>
      </c>
      <c r="G282" t="b">
        <v>0</v>
      </c>
      <c r="H282">
        <v>4</v>
      </c>
      <c r="I282">
        <v>1</v>
      </c>
      <c r="J282">
        <v>0.14000000000000001</v>
      </c>
      <c r="K282">
        <v>0.1212</v>
      </c>
      <c r="L282">
        <v>0.5</v>
      </c>
      <c r="M282">
        <v>0.32840000000000003</v>
      </c>
      <c r="N282">
        <v>0</v>
      </c>
      <c r="O282">
        <v>3</v>
      </c>
      <c r="P282">
        <v>3</v>
      </c>
    </row>
    <row r="283" spans="1:16" x14ac:dyDescent="0.3">
      <c r="A283">
        <v>282</v>
      </c>
      <c r="B283" s="4">
        <v>40556</v>
      </c>
      <c r="C283">
        <v>1</v>
      </c>
      <c r="D283">
        <v>0</v>
      </c>
      <c r="E283">
        <v>1</v>
      </c>
      <c r="F283">
        <v>4</v>
      </c>
      <c r="G283" t="b">
        <v>0</v>
      </c>
      <c r="H283">
        <v>4</v>
      </c>
      <c r="I283">
        <v>1</v>
      </c>
      <c r="J283">
        <v>0.14000000000000001</v>
      </c>
      <c r="K283">
        <v>0.1212</v>
      </c>
      <c r="L283">
        <v>0.5</v>
      </c>
      <c r="M283">
        <v>0.25369999999999998</v>
      </c>
      <c r="N283">
        <v>0</v>
      </c>
      <c r="O283">
        <v>4</v>
      </c>
      <c r="P283">
        <v>4</v>
      </c>
    </row>
    <row r="284" spans="1:16" x14ac:dyDescent="0.3">
      <c r="A284">
        <v>283</v>
      </c>
      <c r="B284" s="4">
        <v>40556</v>
      </c>
      <c r="C284">
        <v>1</v>
      </c>
      <c r="D284">
        <v>0</v>
      </c>
      <c r="E284">
        <v>1</v>
      </c>
      <c r="F284">
        <v>5</v>
      </c>
      <c r="G284" t="b">
        <v>0</v>
      </c>
      <c r="H284">
        <v>4</v>
      </c>
      <c r="I284">
        <v>1</v>
      </c>
      <c r="J284">
        <v>0.14000000000000001</v>
      </c>
      <c r="K284">
        <v>0.1212</v>
      </c>
      <c r="L284">
        <v>0.5</v>
      </c>
      <c r="M284">
        <v>0.29849999999999999</v>
      </c>
      <c r="N284">
        <v>0</v>
      </c>
      <c r="O284">
        <v>3</v>
      </c>
      <c r="P284">
        <v>3</v>
      </c>
    </row>
    <row r="285" spans="1:16" x14ac:dyDescent="0.3">
      <c r="A285">
        <v>284</v>
      </c>
      <c r="B285" s="4">
        <v>40556</v>
      </c>
      <c r="C285">
        <v>1</v>
      </c>
      <c r="D285">
        <v>0</v>
      </c>
      <c r="E285">
        <v>1</v>
      </c>
      <c r="F285">
        <v>6</v>
      </c>
      <c r="G285" t="b">
        <v>0</v>
      </c>
      <c r="H285">
        <v>4</v>
      </c>
      <c r="I285">
        <v>1</v>
      </c>
      <c r="J285">
        <v>0.12</v>
      </c>
      <c r="K285">
        <v>0.1515</v>
      </c>
      <c r="L285">
        <v>0.54</v>
      </c>
      <c r="M285">
        <v>0.1343</v>
      </c>
      <c r="N285">
        <v>0</v>
      </c>
      <c r="O285">
        <v>28</v>
      </c>
      <c r="P285">
        <v>28</v>
      </c>
    </row>
    <row r="286" spans="1:16" x14ac:dyDescent="0.3">
      <c r="A286">
        <v>285</v>
      </c>
      <c r="B286" s="4">
        <v>40556</v>
      </c>
      <c r="C286">
        <v>1</v>
      </c>
      <c r="D286">
        <v>0</v>
      </c>
      <c r="E286">
        <v>1</v>
      </c>
      <c r="F286">
        <v>7</v>
      </c>
      <c r="G286" t="b">
        <v>0</v>
      </c>
      <c r="H286">
        <v>4</v>
      </c>
      <c r="I286">
        <v>1</v>
      </c>
      <c r="J286">
        <v>0.12</v>
      </c>
      <c r="K286">
        <v>0.1515</v>
      </c>
      <c r="L286">
        <v>0.54</v>
      </c>
      <c r="M286">
        <v>0.1343</v>
      </c>
      <c r="N286">
        <v>0</v>
      </c>
      <c r="O286">
        <v>72</v>
      </c>
      <c r="P286">
        <v>72</v>
      </c>
    </row>
    <row r="287" spans="1:16" x14ac:dyDescent="0.3">
      <c r="A287">
        <v>286</v>
      </c>
      <c r="B287" s="4">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3">
      <c r="A288">
        <v>287</v>
      </c>
      <c r="B288" s="4">
        <v>40556</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3">
      <c r="A289">
        <v>288</v>
      </c>
      <c r="B289" s="4">
        <v>40556</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3">
      <c r="A290">
        <v>289</v>
      </c>
      <c r="B290" s="4">
        <v>40556</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3">
      <c r="A291">
        <v>290</v>
      </c>
      <c r="B291" s="4">
        <v>40556</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3">
      <c r="A292">
        <v>291</v>
      </c>
      <c r="B292" s="4">
        <v>40556</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3">
      <c r="A293">
        <v>292</v>
      </c>
      <c r="B293" s="4">
        <v>40556</v>
      </c>
      <c r="C293">
        <v>1</v>
      </c>
      <c r="D293">
        <v>0</v>
      </c>
      <c r="E293">
        <v>1</v>
      </c>
      <c r="F293">
        <v>14</v>
      </c>
      <c r="G293" t="b">
        <v>0</v>
      </c>
      <c r="H293">
        <v>4</v>
      </c>
      <c r="I293">
        <v>1</v>
      </c>
      <c r="J293">
        <v>0.22</v>
      </c>
      <c r="K293">
        <v>0.19700000000000001</v>
      </c>
      <c r="L293">
        <v>0.41</v>
      </c>
      <c r="M293">
        <v>0.3881</v>
      </c>
      <c r="N293">
        <v>3</v>
      </c>
      <c r="O293">
        <v>39</v>
      </c>
      <c r="P293">
        <v>42</v>
      </c>
    </row>
    <row r="294" spans="1:16" x14ac:dyDescent="0.3">
      <c r="A294">
        <v>293</v>
      </c>
      <c r="B294" s="4">
        <v>40556</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3">
      <c r="A295">
        <v>294</v>
      </c>
      <c r="B295" s="4">
        <v>40556</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3">
      <c r="A296">
        <v>295</v>
      </c>
      <c r="B296" s="4">
        <v>40556</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3">
      <c r="A297">
        <v>296</v>
      </c>
      <c r="B297" s="4">
        <v>40556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3">
      <c r="A298">
        <v>297</v>
      </c>
      <c r="B298" s="4">
        <v>40556</v>
      </c>
      <c r="C298">
        <v>1</v>
      </c>
      <c r="D298">
        <v>0</v>
      </c>
      <c r="E298">
        <v>1</v>
      </c>
      <c r="F298">
        <v>19</v>
      </c>
      <c r="G298" t="b">
        <v>0</v>
      </c>
      <c r="H298">
        <v>4</v>
      </c>
      <c r="I298">
        <v>1</v>
      </c>
      <c r="J298">
        <v>0.16</v>
      </c>
      <c r="K298">
        <v>0.1515</v>
      </c>
      <c r="L298">
        <v>0.47</v>
      </c>
      <c r="M298">
        <v>0.25369999999999998</v>
      </c>
      <c r="N298">
        <v>1</v>
      </c>
      <c r="O298">
        <v>98</v>
      </c>
      <c r="P298">
        <v>99</v>
      </c>
    </row>
    <row r="299" spans="1:16" x14ac:dyDescent="0.3">
      <c r="A299">
        <v>298</v>
      </c>
      <c r="B299" s="4">
        <v>40556</v>
      </c>
      <c r="C299">
        <v>1</v>
      </c>
      <c r="D299">
        <v>0</v>
      </c>
      <c r="E299">
        <v>1</v>
      </c>
      <c r="F299">
        <v>20</v>
      </c>
      <c r="G299" t="b">
        <v>0</v>
      </c>
      <c r="H299">
        <v>4</v>
      </c>
      <c r="I299">
        <v>1</v>
      </c>
      <c r="J299">
        <v>0.16</v>
      </c>
      <c r="K299">
        <v>0.1515</v>
      </c>
      <c r="L299">
        <v>0.47</v>
      </c>
      <c r="M299">
        <v>0.22389999999999999</v>
      </c>
      <c r="N299">
        <v>0</v>
      </c>
      <c r="O299">
        <v>64</v>
      </c>
      <c r="P299">
        <v>64</v>
      </c>
    </row>
    <row r="300" spans="1:16" x14ac:dyDescent="0.3">
      <c r="A300">
        <v>299</v>
      </c>
      <c r="B300" s="4">
        <v>40556</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3">
      <c r="A301">
        <v>300</v>
      </c>
      <c r="B301" s="4">
        <v>40556</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3">
      <c r="A302">
        <v>301</v>
      </c>
      <c r="B302" s="4">
        <v>40556</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3">
      <c r="A303">
        <v>302</v>
      </c>
      <c r="B303" s="4">
        <v>40557</v>
      </c>
      <c r="C303">
        <v>1</v>
      </c>
      <c r="D303">
        <v>0</v>
      </c>
      <c r="E303">
        <v>1</v>
      </c>
      <c r="F303">
        <v>0</v>
      </c>
      <c r="G303" t="b">
        <v>0</v>
      </c>
      <c r="H303">
        <v>5</v>
      </c>
      <c r="I303">
        <v>1</v>
      </c>
      <c r="J303">
        <v>0.12</v>
      </c>
      <c r="K303">
        <v>0.13639999999999999</v>
      </c>
      <c r="L303">
        <v>0.5</v>
      </c>
      <c r="M303">
        <v>0.19400000000000001</v>
      </c>
      <c r="N303">
        <v>0</v>
      </c>
      <c r="O303">
        <v>14</v>
      </c>
      <c r="P303">
        <v>14</v>
      </c>
    </row>
    <row r="304" spans="1:16" x14ac:dyDescent="0.3">
      <c r="A304">
        <v>303</v>
      </c>
      <c r="B304" s="4">
        <v>40557</v>
      </c>
      <c r="C304">
        <v>1</v>
      </c>
      <c r="D304">
        <v>0</v>
      </c>
      <c r="E304">
        <v>1</v>
      </c>
      <c r="F304">
        <v>1</v>
      </c>
      <c r="G304" t="b">
        <v>0</v>
      </c>
      <c r="H304">
        <v>5</v>
      </c>
      <c r="I304">
        <v>1</v>
      </c>
      <c r="J304">
        <v>0.1</v>
      </c>
      <c r="K304">
        <v>0.1212</v>
      </c>
      <c r="L304">
        <v>0.54</v>
      </c>
      <c r="M304">
        <v>0.16420000000000001</v>
      </c>
      <c r="N304">
        <v>0</v>
      </c>
      <c r="O304">
        <v>5</v>
      </c>
      <c r="P304">
        <v>5</v>
      </c>
    </row>
    <row r="305" spans="1:16" x14ac:dyDescent="0.3">
      <c r="A305">
        <v>304</v>
      </c>
      <c r="B305" s="4">
        <v>40557</v>
      </c>
      <c r="C305">
        <v>1</v>
      </c>
      <c r="D305">
        <v>0</v>
      </c>
      <c r="E305">
        <v>1</v>
      </c>
      <c r="F305">
        <v>2</v>
      </c>
      <c r="G305" t="b">
        <v>0</v>
      </c>
      <c r="H305">
        <v>5</v>
      </c>
      <c r="I305">
        <v>1</v>
      </c>
      <c r="J305">
        <v>0.1</v>
      </c>
      <c r="K305">
        <v>0.1212</v>
      </c>
      <c r="L305">
        <v>0.54</v>
      </c>
      <c r="M305">
        <v>0.1343</v>
      </c>
      <c r="N305">
        <v>0</v>
      </c>
      <c r="O305">
        <v>1</v>
      </c>
      <c r="P305">
        <v>1</v>
      </c>
    </row>
    <row r="306" spans="1:16" x14ac:dyDescent="0.3">
      <c r="A306">
        <v>305</v>
      </c>
      <c r="B306" s="4">
        <v>40557</v>
      </c>
      <c r="C306">
        <v>1</v>
      </c>
      <c r="D306">
        <v>0</v>
      </c>
      <c r="E306">
        <v>1</v>
      </c>
      <c r="F306">
        <v>3</v>
      </c>
      <c r="G306" t="b">
        <v>0</v>
      </c>
      <c r="H306">
        <v>5</v>
      </c>
      <c r="I306">
        <v>1</v>
      </c>
      <c r="J306">
        <v>0.1</v>
      </c>
      <c r="K306">
        <v>0.13639999999999999</v>
      </c>
      <c r="L306">
        <v>0.54</v>
      </c>
      <c r="M306">
        <v>0.1045</v>
      </c>
      <c r="N306">
        <v>0</v>
      </c>
      <c r="O306">
        <v>1</v>
      </c>
      <c r="P306">
        <v>1</v>
      </c>
    </row>
    <row r="307" spans="1:16" x14ac:dyDescent="0.3">
      <c r="A307">
        <v>306</v>
      </c>
      <c r="B307" s="4">
        <v>40557</v>
      </c>
      <c r="C307">
        <v>1</v>
      </c>
      <c r="D307">
        <v>0</v>
      </c>
      <c r="E307">
        <v>1</v>
      </c>
      <c r="F307">
        <v>5</v>
      </c>
      <c r="G307" t="b">
        <v>0</v>
      </c>
      <c r="H307">
        <v>5</v>
      </c>
      <c r="I307">
        <v>1</v>
      </c>
      <c r="J307">
        <v>0.1</v>
      </c>
      <c r="K307">
        <v>0.13639999999999999</v>
      </c>
      <c r="L307">
        <v>0.54</v>
      </c>
      <c r="M307">
        <v>8.9599999999999999E-2</v>
      </c>
      <c r="N307">
        <v>0</v>
      </c>
      <c r="O307">
        <v>8</v>
      </c>
      <c r="P307">
        <v>8</v>
      </c>
    </row>
    <row r="308" spans="1:16" x14ac:dyDescent="0.3">
      <c r="A308">
        <v>307</v>
      </c>
      <c r="B308" s="4">
        <v>40557</v>
      </c>
      <c r="C308">
        <v>1</v>
      </c>
      <c r="D308">
        <v>0</v>
      </c>
      <c r="E308">
        <v>1</v>
      </c>
      <c r="F308">
        <v>6</v>
      </c>
      <c r="G308" t="b">
        <v>0</v>
      </c>
      <c r="H308">
        <v>5</v>
      </c>
      <c r="I308">
        <v>1</v>
      </c>
      <c r="J308">
        <v>0.1</v>
      </c>
      <c r="K308">
        <v>0.18179999999999999</v>
      </c>
      <c r="L308">
        <v>0.54</v>
      </c>
      <c r="M308">
        <v>0</v>
      </c>
      <c r="N308">
        <v>0</v>
      </c>
      <c r="O308">
        <v>17</v>
      </c>
      <c r="P308">
        <v>17</v>
      </c>
    </row>
    <row r="309" spans="1:16" x14ac:dyDescent="0.3">
      <c r="A309">
        <v>308</v>
      </c>
      <c r="B309" s="4">
        <v>40557</v>
      </c>
      <c r="C309">
        <v>1</v>
      </c>
      <c r="D309">
        <v>0</v>
      </c>
      <c r="E309">
        <v>1</v>
      </c>
      <c r="F309">
        <v>7</v>
      </c>
      <c r="G309" t="b">
        <v>0</v>
      </c>
      <c r="H309">
        <v>5</v>
      </c>
      <c r="I309">
        <v>1</v>
      </c>
      <c r="J309">
        <v>0.1</v>
      </c>
      <c r="K309">
        <v>0.1212</v>
      </c>
      <c r="L309">
        <v>0.74</v>
      </c>
      <c r="M309">
        <v>0.16420000000000001</v>
      </c>
      <c r="N309">
        <v>0</v>
      </c>
      <c r="O309">
        <v>70</v>
      </c>
      <c r="P309">
        <v>70</v>
      </c>
    </row>
    <row r="310" spans="1:16" x14ac:dyDescent="0.3">
      <c r="A310">
        <v>309</v>
      </c>
      <c r="B310" s="4">
        <v>40557</v>
      </c>
      <c r="C310">
        <v>1</v>
      </c>
      <c r="D310">
        <v>0</v>
      </c>
      <c r="E310">
        <v>1</v>
      </c>
      <c r="F310">
        <v>8</v>
      </c>
      <c r="G310" t="b">
        <v>0</v>
      </c>
      <c r="H310">
        <v>5</v>
      </c>
      <c r="I310">
        <v>1</v>
      </c>
      <c r="J310">
        <v>0.12</v>
      </c>
      <c r="K310">
        <v>0.16669999999999999</v>
      </c>
      <c r="L310">
        <v>0.68</v>
      </c>
      <c r="M310">
        <v>0</v>
      </c>
      <c r="N310">
        <v>2</v>
      </c>
      <c r="O310">
        <v>156</v>
      </c>
      <c r="P310">
        <v>158</v>
      </c>
    </row>
    <row r="311" spans="1:16" x14ac:dyDescent="0.3">
      <c r="A311">
        <v>310</v>
      </c>
      <c r="B311" s="4">
        <v>40557</v>
      </c>
      <c r="C311">
        <v>1</v>
      </c>
      <c r="D311">
        <v>0</v>
      </c>
      <c r="E311">
        <v>1</v>
      </c>
      <c r="F311">
        <v>9</v>
      </c>
      <c r="G311" t="b">
        <v>0</v>
      </c>
      <c r="H311">
        <v>5</v>
      </c>
      <c r="I311">
        <v>1</v>
      </c>
      <c r="J311">
        <v>0.14000000000000001</v>
      </c>
      <c r="K311">
        <v>0.1515</v>
      </c>
      <c r="L311">
        <v>0.69</v>
      </c>
      <c r="M311">
        <v>0.1343</v>
      </c>
      <c r="N311">
        <v>0</v>
      </c>
      <c r="O311">
        <v>117</v>
      </c>
      <c r="P311">
        <v>117</v>
      </c>
    </row>
    <row r="312" spans="1:16" x14ac:dyDescent="0.3">
      <c r="A312">
        <v>311</v>
      </c>
      <c r="B312" s="4">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3">
      <c r="A313">
        <v>312</v>
      </c>
      <c r="B313" s="4">
        <v>40557</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3">
      <c r="A314">
        <v>313</v>
      </c>
      <c r="B314" s="4">
        <v>40557</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3">
      <c r="A315">
        <v>314</v>
      </c>
      <c r="B315" s="4">
        <v>40557</v>
      </c>
      <c r="C315">
        <v>1</v>
      </c>
      <c r="D315">
        <v>0</v>
      </c>
      <c r="E315">
        <v>1</v>
      </c>
      <c r="F315">
        <v>13</v>
      </c>
      <c r="G315" t="b">
        <v>0</v>
      </c>
      <c r="H315">
        <v>5</v>
      </c>
      <c r="I315">
        <v>1</v>
      </c>
      <c r="J315">
        <v>0.22</v>
      </c>
      <c r="K315">
        <v>0.19700000000000001</v>
      </c>
      <c r="L315">
        <v>0.37</v>
      </c>
      <c r="M315">
        <v>0.3881</v>
      </c>
      <c r="N315">
        <v>4</v>
      </c>
      <c r="O315">
        <v>73</v>
      </c>
      <c r="P315">
        <v>77</v>
      </c>
    </row>
    <row r="316" spans="1:16" x14ac:dyDescent="0.3">
      <c r="A316">
        <v>315</v>
      </c>
      <c r="B316" s="4">
        <v>40557</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3">
      <c r="A317">
        <v>316</v>
      </c>
      <c r="B317" s="4">
        <v>40557</v>
      </c>
      <c r="C317">
        <v>1</v>
      </c>
      <c r="D317">
        <v>0</v>
      </c>
      <c r="E317">
        <v>1</v>
      </c>
      <c r="F317">
        <v>15</v>
      </c>
      <c r="G317" t="b">
        <v>0</v>
      </c>
      <c r="H317">
        <v>5</v>
      </c>
      <c r="I317">
        <v>1</v>
      </c>
      <c r="J317">
        <v>0.24</v>
      </c>
      <c r="K317">
        <v>0.2424</v>
      </c>
      <c r="L317">
        <v>0.38</v>
      </c>
      <c r="M317">
        <v>0.16420000000000001</v>
      </c>
      <c r="N317">
        <v>9</v>
      </c>
      <c r="O317">
        <v>59</v>
      </c>
      <c r="P317">
        <v>68</v>
      </c>
    </row>
    <row r="318" spans="1:16" x14ac:dyDescent="0.3">
      <c r="A318">
        <v>317</v>
      </c>
      <c r="B318" s="4">
        <v>40557</v>
      </c>
      <c r="C318">
        <v>1</v>
      </c>
      <c r="D318">
        <v>0</v>
      </c>
      <c r="E318">
        <v>1</v>
      </c>
      <c r="F318">
        <v>16</v>
      </c>
      <c r="G318" t="b">
        <v>0</v>
      </c>
      <c r="H318">
        <v>5</v>
      </c>
      <c r="I318">
        <v>1</v>
      </c>
      <c r="J318">
        <v>0.22</v>
      </c>
      <c r="K318">
        <v>0.2424</v>
      </c>
      <c r="L318">
        <v>0.41</v>
      </c>
      <c r="M318">
        <v>0.1045</v>
      </c>
      <c r="N318">
        <v>3</v>
      </c>
      <c r="O318">
        <v>87</v>
      </c>
      <c r="P318">
        <v>90</v>
      </c>
    </row>
    <row r="319" spans="1:16" x14ac:dyDescent="0.3">
      <c r="A319">
        <v>318</v>
      </c>
      <c r="B319" s="4">
        <v>40557</v>
      </c>
      <c r="C319">
        <v>1</v>
      </c>
      <c r="D319">
        <v>0</v>
      </c>
      <c r="E319">
        <v>1</v>
      </c>
      <c r="F319">
        <v>17</v>
      </c>
      <c r="G319" t="b">
        <v>0</v>
      </c>
      <c r="H319">
        <v>5</v>
      </c>
      <c r="I319">
        <v>1</v>
      </c>
      <c r="J319">
        <v>0.22</v>
      </c>
      <c r="K319">
        <v>0.2273</v>
      </c>
      <c r="L319">
        <v>0.41</v>
      </c>
      <c r="M319">
        <v>0.16420000000000001</v>
      </c>
      <c r="N319">
        <v>4</v>
      </c>
      <c r="O319">
        <v>155</v>
      </c>
      <c r="P319">
        <v>159</v>
      </c>
    </row>
    <row r="320" spans="1:16" x14ac:dyDescent="0.3">
      <c r="A320">
        <v>319</v>
      </c>
      <c r="B320" s="4">
        <v>40557</v>
      </c>
      <c r="C320">
        <v>1</v>
      </c>
      <c r="D320">
        <v>0</v>
      </c>
      <c r="E320">
        <v>1</v>
      </c>
      <c r="F320">
        <v>18</v>
      </c>
      <c r="G320" t="b">
        <v>0</v>
      </c>
      <c r="H320">
        <v>5</v>
      </c>
      <c r="I320">
        <v>1</v>
      </c>
      <c r="J320">
        <v>0.2</v>
      </c>
      <c r="K320">
        <v>0.2576</v>
      </c>
      <c r="L320">
        <v>0.47</v>
      </c>
      <c r="M320">
        <v>0</v>
      </c>
      <c r="N320">
        <v>5</v>
      </c>
      <c r="O320">
        <v>134</v>
      </c>
      <c r="P320">
        <v>139</v>
      </c>
    </row>
    <row r="321" spans="1:16" x14ac:dyDescent="0.3">
      <c r="A321">
        <v>320</v>
      </c>
      <c r="B321" s="4">
        <v>40557</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3">
      <c r="A322">
        <v>321</v>
      </c>
      <c r="B322" s="4">
        <v>40557</v>
      </c>
      <c r="C322">
        <v>1</v>
      </c>
      <c r="D322">
        <v>0</v>
      </c>
      <c r="E322">
        <v>1</v>
      </c>
      <c r="F322">
        <v>20</v>
      </c>
      <c r="G322" t="b">
        <v>0</v>
      </c>
      <c r="H322">
        <v>5</v>
      </c>
      <c r="I322">
        <v>1</v>
      </c>
      <c r="J322">
        <v>0.18</v>
      </c>
      <c r="K322">
        <v>0.2424</v>
      </c>
      <c r="L322">
        <v>0.59</v>
      </c>
      <c r="M322">
        <v>0</v>
      </c>
      <c r="N322">
        <v>0</v>
      </c>
      <c r="O322">
        <v>68</v>
      </c>
      <c r="P322">
        <v>68</v>
      </c>
    </row>
    <row r="323" spans="1:16" x14ac:dyDescent="0.3">
      <c r="A323">
        <v>322</v>
      </c>
      <c r="B323" s="4">
        <v>40557</v>
      </c>
      <c r="C323">
        <v>1</v>
      </c>
      <c r="D323">
        <v>0</v>
      </c>
      <c r="E323">
        <v>1</v>
      </c>
      <c r="F323">
        <v>21</v>
      </c>
      <c r="G323" t="b">
        <v>0</v>
      </c>
      <c r="H323">
        <v>5</v>
      </c>
      <c r="I323">
        <v>1</v>
      </c>
      <c r="J323">
        <v>0.16</v>
      </c>
      <c r="K323">
        <v>0.2273</v>
      </c>
      <c r="L323">
        <v>0.69</v>
      </c>
      <c r="M323">
        <v>0</v>
      </c>
      <c r="N323">
        <v>4</v>
      </c>
      <c r="O323">
        <v>48</v>
      </c>
      <c r="P323">
        <v>52</v>
      </c>
    </row>
    <row r="324" spans="1:16" x14ac:dyDescent="0.3">
      <c r="A324">
        <v>323</v>
      </c>
      <c r="B324" s="4">
        <v>40557</v>
      </c>
      <c r="C324">
        <v>1</v>
      </c>
      <c r="D324">
        <v>0</v>
      </c>
      <c r="E324">
        <v>1</v>
      </c>
      <c r="F324">
        <v>22</v>
      </c>
      <c r="G324" t="b">
        <v>0</v>
      </c>
      <c r="H324">
        <v>5</v>
      </c>
      <c r="I324">
        <v>2</v>
      </c>
      <c r="J324">
        <v>0.16</v>
      </c>
      <c r="K324">
        <v>0.2273</v>
      </c>
      <c r="L324">
        <v>0.69</v>
      </c>
      <c r="M324">
        <v>0</v>
      </c>
      <c r="N324">
        <v>2</v>
      </c>
      <c r="O324">
        <v>34</v>
      </c>
      <c r="P324">
        <v>36</v>
      </c>
    </row>
    <row r="325" spans="1:16" x14ac:dyDescent="0.3">
      <c r="A325">
        <v>324</v>
      </c>
      <c r="B325" s="4">
        <v>40557</v>
      </c>
      <c r="C325">
        <v>1</v>
      </c>
      <c r="D325">
        <v>0</v>
      </c>
      <c r="E325">
        <v>1</v>
      </c>
      <c r="F325">
        <v>23</v>
      </c>
      <c r="G325" t="b">
        <v>0</v>
      </c>
      <c r="H325">
        <v>5</v>
      </c>
      <c r="I325">
        <v>2</v>
      </c>
      <c r="J325">
        <v>0.18</v>
      </c>
      <c r="K325">
        <v>0.2424</v>
      </c>
      <c r="L325">
        <v>0.55000000000000004</v>
      </c>
      <c r="M325">
        <v>0</v>
      </c>
      <c r="N325">
        <v>1</v>
      </c>
      <c r="O325">
        <v>26</v>
      </c>
      <c r="P325">
        <v>27</v>
      </c>
    </row>
    <row r="326" spans="1:16" x14ac:dyDescent="0.3">
      <c r="A326">
        <v>325</v>
      </c>
      <c r="B326" s="4">
        <v>40558</v>
      </c>
      <c r="C326">
        <v>1</v>
      </c>
      <c r="D326">
        <v>0</v>
      </c>
      <c r="E326">
        <v>1</v>
      </c>
      <c r="F326">
        <v>0</v>
      </c>
      <c r="G326" t="b">
        <v>0</v>
      </c>
      <c r="H326">
        <v>6</v>
      </c>
      <c r="I326">
        <v>1</v>
      </c>
      <c r="J326">
        <v>0.18</v>
      </c>
      <c r="K326">
        <v>0.2424</v>
      </c>
      <c r="L326">
        <v>0.55000000000000004</v>
      </c>
      <c r="M326">
        <v>0</v>
      </c>
      <c r="N326">
        <v>3</v>
      </c>
      <c r="O326">
        <v>25</v>
      </c>
      <c r="P326">
        <v>28</v>
      </c>
    </row>
    <row r="327" spans="1:16" x14ac:dyDescent="0.3">
      <c r="A327">
        <v>326</v>
      </c>
      <c r="B327" s="4">
        <v>40558</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3">
      <c r="A328">
        <v>327</v>
      </c>
      <c r="B328" s="4">
        <v>40558</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3">
      <c r="A329">
        <v>328</v>
      </c>
      <c r="B329" s="4">
        <v>40558</v>
      </c>
      <c r="C329">
        <v>1</v>
      </c>
      <c r="D329">
        <v>0</v>
      </c>
      <c r="E329">
        <v>1</v>
      </c>
      <c r="F329">
        <v>3</v>
      </c>
      <c r="G329" t="b">
        <v>0</v>
      </c>
      <c r="H329">
        <v>6</v>
      </c>
      <c r="I329">
        <v>2</v>
      </c>
      <c r="J329">
        <v>0.16</v>
      </c>
      <c r="K329">
        <v>0.2273</v>
      </c>
      <c r="L329">
        <v>0.59</v>
      </c>
      <c r="M329">
        <v>0</v>
      </c>
      <c r="N329">
        <v>1</v>
      </c>
      <c r="O329">
        <v>7</v>
      </c>
      <c r="P329">
        <v>8</v>
      </c>
    </row>
    <row r="330" spans="1:16" x14ac:dyDescent="0.3">
      <c r="A330">
        <v>329</v>
      </c>
      <c r="B330" s="4">
        <v>40558</v>
      </c>
      <c r="C330">
        <v>1</v>
      </c>
      <c r="D330">
        <v>0</v>
      </c>
      <c r="E330">
        <v>1</v>
      </c>
      <c r="F330">
        <v>4</v>
      </c>
      <c r="G330" t="b">
        <v>0</v>
      </c>
      <c r="H330">
        <v>6</v>
      </c>
      <c r="I330">
        <v>2</v>
      </c>
      <c r="J330">
        <v>0.16</v>
      </c>
      <c r="K330">
        <v>0.2273</v>
      </c>
      <c r="L330">
        <v>0.59</v>
      </c>
      <c r="M330">
        <v>0</v>
      </c>
      <c r="N330">
        <v>0</v>
      </c>
      <c r="O330">
        <v>5</v>
      </c>
      <c r="P330">
        <v>5</v>
      </c>
    </row>
    <row r="331" spans="1:16" x14ac:dyDescent="0.3">
      <c r="A331">
        <v>330</v>
      </c>
      <c r="B331" s="4">
        <v>40558</v>
      </c>
      <c r="C331">
        <v>1</v>
      </c>
      <c r="D331">
        <v>0</v>
      </c>
      <c r="E331">
        <v>1</v>
      </c>
      <c r="F331">
        <v>5</v>
      </c>
      <c r="G331" t="b">
        <v>0</v>
      </c>
      <c r="H331">
        <v>6</v>
      </c>
      <c r="I331">
        <v>1</v>
      </c>
      <c r="J331">
        <v>0.16</v>
      </c>
      <c r="K331">
        <v>0.2273</v>
      </c>
      <c r="L331">
        <v>0.59</v>
      </c>
      <c r="M331">
        <v>0</v>
      </c>
      <c r="N331">
        <v>0</v>
      </c>
      <c r="O331">
        <v>1</v>
      </c>
      <c r="P331">
        <v>1</v>
      </c>
    </row>
    <row r="332" spans="1:16" x14ac:dyDescent="0.3">
      <c r="A332">
        <v>331</v>
      </c>
      <c r="B332" s="4">
        <v>40558</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3">
      <c r="A333">
        <v>332</v>
      </c>
      <c r="B333" s="4">
        <v>40558</v>
      </c>
      <c r="C333">
        <v>1</v>
      </c>
      <c r="D333">
        <v>0</v>
      </c>
      <c r="E333">
        <v>1</v>
      </c>
      <c r="F333">
        <v>7</v>
      </c>
      <c r="G333" t="b">
        <v>0</v>
      </c>
      <c r="H333">
        <v>6</v>
      </c>
      <c r="I333">
        <v>1</v>
      </c>
      <c r="J333">
        <v>0.14000000000000001</v>
      </c>
      <c r="K333">
        <v>0.21210000000000001</v>
      </c>
      <c r="L333">
        <v>0.63</v>
      </c>
      <c r="M333">
        <v>0</v>
      </c>
      <c r="N333">
        <v>1</v>
      </c>
      <c r="O333">
        <v>9</v>
      </c>
      <c r="P333">
        <v>10</v>
      </c>
    </row>
    <row r="334" spans="1:16" x14ac:dyDescent="0.3">
      <c r="A334">
        <v>333</v>
      </c>
      <c r="B334" s="4">
        <v>40558</v>
      </c>
      <c r="C334">
        <v>1</v>
      </c>
      <c r="D334">
        <v>0</v>
      </c>
      <c r="E334">
        <v>1</v>
      </c>
      <c r="F334">
        <v>8</v>
      </c>
      <c r="G334" t="b">
        <v>0</v>
      </c>
      <c r="H334">
        <v>6</v>
      </c>
      <c r="I334">
        <v>1</v>
      </c>
      <c r="J334">
        <v>0.14000000000000001</v>
      </c>
      <c r="K334">
        <v>0.1515</v>
      </c>
      <c r="L334">
        <v>0.63</v>
      </c>
      <c r="M334">
        <v>0.1343</v>
      </c>
      <c r="N334">
        <v>1</v>
      </c>
      <c r="O334">
        <v>22</v>
      </c>
      <c r="P334">
        <v>23</v>
      </c>
    </row>
    <row r="335" spans="1:16" x14ac:dyDescent="0.3">
      <c r="A335">
        <v>334</v>
      </c>
      <c r="B335" s="4">
        <v>40558</v>
      </c>
      <c r="C335">
        <v>1</v>
      </c>
      <c r="D335">
        <v>0</v>
      </c>
      <c r="E335">
        <v>1</v>
      </c>
      <c r="F335">
        <v>9</v>
      </c>
      <c r="G335" t="b">
        <v>0</v>
      </c>
      <c r="H335">
        <v>6</v>
      </c>
      <c r="I335">
        <v>1</v>
      </c>
      <c r="J335">
        <v>0.16</v>
      </c>
      <c r="K335">
        <v>0.18179999999999999</v>
      </c>
      <c r="L335">
        <v>0.64</v>
      </c>
      <c r="M335">
        <v>0.1343</v>
      </c>
      <c r="N335">
        <v>2</v>
      </c>
      <c r="O335">
        <v>31</v>
      </c>
      <c r="P335">
        <v>33</v>
      </c>
    </row>
    <row r="336" spans="1:16" x14ac:dyDescent="0.3">
      <c r="A336">
        <v>335</v>
      </c>
      <c r="B336" s="4">
        <v>40558</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3">
      <c r="A337">
        <v>336</v>
      </c>
      <c r="B337" s="4">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3">
      <c r="A338">
        <v>337</v>
      </c>
      <c r="B338" s="4">
        <v>40558</v>
      </c>
      <c r="C338">
        <v>1</v>
      </c>
      <c r="D338">
        <v>0</v>
      </c>
      <c r="E338">
        <v>1</v>
      </c>
      <c r="F338">
        <v>12</v>
      </c>
      <c r="G338" t="b">
        <v>0</v>
      </c>
      <c r="H338">
        <v>6</v>
      </c>
      <c r="I338">
        <v>1</v>
      </c>
      <c r="J338">
        <v>0.24</v>
      </c>
      <c r="K338">
        <v>0.2273</v>
      </c>
      <c r="L338">
        <v>0.48</v>
      </c>
      <c r="M338">
        <v>0.22389999999999999</v>
      </c>
      <c r="N338">
        <v>15</v>
      </c>
      <c r="O338">
        <v>74</v>
      </c>
      <c r="P338">
        <v>89</v>
      </c>
    </row>
    <row r="339" spans="1:16" x14ac:dyDescent="0.3">
      <c r="A339">
        <v>338</v>
      </c>
      <c r="B339" s="4">
        <v>40558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3">
      <c r="A340">
        <v>339</v>
      </c>
      <c r="B340" s="4">
        <v>40558</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3">
      <c r="A341">
        <v>340</v>
      </c>
      <c r="B341" s="4">
        <v>40558</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3">
      <c r="A342">
        <v>341</v>
      </c>
      <c r="B342" s="4">
        <v>40558</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3">
      <c r="A343">
        <v>342</v>
      </c>
      <c r="B343" s="4">
        <v>40558</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3">
      <c r="A344">
        <v>343</v>
      </c>
      <c r="B344" s="4">
        <v>40558</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3">
      <c r="A345">
        <v>344</v>
      </c>
      <c r="B345" s="4">
        <v>40558</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3">
      <c r="A346">
        <v>345</v>
      </c>
      <c r="B346" s="4">
        <v>40558</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3">
      <c r="A347">
        <v>346</v>
      </c>
      <c r="B347" s="4">
        <v>40558</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3">
      <c r="A348">
        <v>347</v>
      </c>
      <c r="B348" s="4">
        <v>40558</v>
      </c>
      <c r="C348">
        <v>1</v>
      </c>
      <c r="D348">
        <v>0</v>
      </c>
      <c r="E348">
        <v>1</v>
      </c>
      <c r="F348">
        <v>22</v>
      </c>
      <c r="G348" t="b">
        <v>0</v>
      </c>
      <c r="H348">
        <v>6</v>
      </c>
      <c r="I348">
        <v>2</v>
      </c>
      <c r="J348">
        <v>0.3</v>
      </c>
      <c r="K348">
        <v>0.31819999999999998</v>
      </c>
      <c r="L348">
        <v>0.42</v>
      </c>
      <c r="M348">
        <v>0.1045</v>
      </c>
      <c r="N348">
        <v>0</v>
      </c>
      <c r="O348">
        <v>26</v>
      </c>
      <c r="P348">
        <v>26</v>
      </c>
    </row>
    <row r="349" spans="1:16" x14ac:dyDescent="0.3">
      <c r="A349">
        <v>348</v>
      </c>
      <c r="B349" s="4">
        <v>40558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3">
      <c r="A350">
        <v>349</v>
      </c>
      <c r="B350" s="4">
        <v>40559</v>
      </c>
      <c r="C350">
        <v>1</v>
      </c>
      <c r="D350">
        <v>0</v>
      </c>
      <c r="E350">
        <v>1</v>
      </c>
      <c r="F350">
        <v>0</v>
      </c>
      <c r="G350" t="b">
        <v>0</v>
      </c>
      <c r="H350">
        <v>0</v>
      </c>
      <c r="I350">
        <v>1</v>
      </c>
      <c r="J350">
        <v>0.26</v>
      </c>
      <c r="K350">
        <v>0.30299999999999999</v>
      </c>
      <c r="L350">
        <v>0.56000000000000005</v>
      </c>
      <c r="M350">
        <v>0</v>
      </c>
      <c r="N350">
        <v>6</v>
      </c>
      <c r="O350">
        <v>33</v>
      </c>
      <c r="P350">
        <v>39</v>
      </c>
    </row>
    <row r="351" spans="1:16" x14ac:dyDescent="0.3">
      <c r="A351">
        <v>350</v>
      </c>
      <c r="B351" s="4">
        <v>40559</v>
      </c>
      <c r="C351">
        <v>1</v>
      </c>
      <c r="D351">
        <v>0</v>
      </c>
      <c r="E351">
        <v>1</v>
      </c>
      <c r="F351">
        <v>1</v>
      </c>
      <c r="G351" t="b">
        <v>0</v>
      </c>
      <c r="H351">
        <v>0</v>
      </c>
      <c r="I351">
        <v>1</v>
      </c>
      <c r="J351">
        <v>0.26</v>
      </c>
      <c r="K351">
        <v>0.2727</v>
      </c>
      <c r="L351">
        <v>0.56000000000000005</v>
      </c>
      <c r="M351">
        <v>0.1343</v>
      </c>
      <c r="N351">
        <v>4</v>
      </c>
      <c r="O351">
        <v>19</v>
      </c>
      <c r="P351">
        <v>23</v>
      </c>
    </row>
    <row r="352" spans="1:16" x14ac:dyDescent="0.3">
      <c r="A352">
        <v>351</v>
      </c>
      <c r="B352" s="4">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3">
      <c r="A353">
        <v>352</v>
      </c>
      <c r="B353" s="4">
        <v>40559</v>
      </c>
      <c r="C353">
        <v>1</v>
      </c>
      <c r="D353">
        <v>0</v>
      </c>
      <c r="E353">
        <v>1</v>
      </c>
      <c r="F353">
        <v>3</v>
      </c>
      <c r="G353" t="b">
        <v>0</v>
      </c>
      <c r="H353">
        <v>0</v>
      </c>
      <c r="I353">
        <v>1</v>
      </c>
      <c r="J353">
        <v>0.22</v>
      </c>
      <c r="K353">
        <v>0.2727</v>
      </c>
      <c r="L353">
        <v>0.69</v>
      </c>
      <c r="M353">
        <v>0</v>
      </c>
      <c r="N353">
        <v>9</v>
      </c>
      <c r="O353">
        <v>6</v>
      </c>
      <c r="P353">
        <v>15</v>
      </c>
    </row>
    <row r="354" spans="1:16" x14ac:dyDescent="0.3">
      <c r="A354">
        <v>353</v>
      </c>
      <c r="B354" s="4">
        <v>40559</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3">
      <c r="A355">
        <v>354</v>
      </c>
      <c r="B355" s="4">
        <v>40559</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3">
      <c r="A356">
        <v>355</v>
      </c>
      <c r="B356" s="4">
        <v>40559</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3">
      <c r="A357">
        <v>356</v>
      </c>
      <c r="B357" s="4">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3">
      <c r="A358">
        <v>357</v>
      </c>
      <c r="B358" s="4">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3">
      <c r="A359">
        <v>358</v>
      </c>
      <c r="B359" s="4">
        <v>40559</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3">
      <c r="A360">
        <v>359</v>
      </c>
      <c r="B360" s="4">
        <v>40559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3">
      <c r="A361">
        <v>360</v>
      </c>
      <c r="B361" s="4">
        <v>40559</v>
      </c>
      <c r="C361">
        <v>1</v>
      </c>
      <c r="D361">
        <v>0</v>
      </c>
      <c r="E361">
        <v>1</v>
      </c>
      <c r="F361">
        <v>11</v>
      </c>
      <c r="G361" t="b">
        <v>0</v>
      </c>
      <c r="H361">
        <v>0</v>
      </c>
      <c r="I361">
        <v>1</v>
      </c>
      <c r="J361">
        <v>0.24</v>
      </c>
      <c r="K361">
        <v>0.2273</v>
      </c>
      <c r="L361">
        <v>0.44</v>
      </c>
      <c r="M361">
        <v>0.25369999999999998</v>
      </c>
      <c r="N361">
        <v>23</v>
      </c>
      <c r="O361">
        <v>70</v>
      </c>
      <c r="P361">
        <v>93</v>
      </c>
    </row>
    <row r="362" spans="1:16" x14ac:dyDescent="0.3">
      <c r="A362">
        <v>361</v>
      </c>
      <c r="B362" s="4">
        <v>40559</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3">
      <c r="A363">
        <v>362</v>
      </c>
      <c r="B363" s="4">
        <v>40559</v>
      </c>
      <c r="C363">
        <v>1</v>
      </c>
      <c r="D363">
        <v>0</v>
      </c>
      <c r="E363">
        <v>1</v>
      </c>
      <c r="F363">
        <v>13</v>
      </c>
      <c r="G363" t="b">
        <v>0</v>
      </c>
      <c r="H363">
        <v>0</v>
      </c>
      <c r="I363">
        <v>1</v>
      </c>
      <c r="J363">
        <v>0.26</v>
      </c>
      <c r="K363">
        <v>0.2273</v>
      </c>
      <c r="L363">
        <v>0.35</v>
      </c>
      <c r="M363">
        <v>0.29849999999999999</v>
      </c>
      <c r="N363">
        <v>23</v>
      </c>
      <c r="O363">
        <v>95</v>
      </c>
      <c r="P363">
        <v>118</v>
      </c>
    </row>
    <row r="364" spans="1:16" x14ac:dyDescent="0.3">
      <c r="A364">
        <v>363</v>
      </c>
      <c r="B364" s="4">
        <v>40559</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3">
      <c r="A365">
        <v>364</v>
      </c>
      <c r="B365" s="4">
        <v>40559</v>
      </c>
      <c r="C365">
        <v>1</v>
      </c>
      <c r="D365">
        <v>0</v>
      </c>
      <c r="E365">
        <v>1</v>
      </c>
      <c r="F365">
        <v>15</v>
      </c>
      <c r="G365" t="b">
        <v>0</v>
      </c>
      <c r="H365">
        <v>0</v>
      </c>
      <c r="I365">
        <v>1</v>
      </c>
      <c r="J365">
        <v>0.26</v>
      </c>
      <c r="K365">
        <v>0.2424</v>
      </c>
      <c r="L365">
        <v>0.38</v>
      </c>
      <c r="M365">
        <v>0.25369999999999998</v>
      </c>
      <c r="N365">
        <v>35</v>
      </c>
      <c r="O365">
        <v>78</v>
      </c>
      <c r="P365">
        <v>113</v>
      </c>
    </row>
    <row r="366" spans="1:16" x14ac:dyDescent="0.3">
      <c r="A366">
        <v>365</v>
      </c>
      <c r="B366" s="4">
        <v>40559</v>
      </c>
      <c r="C366">
        <v>1</v>
      </c>
      <c r="D366">
        <v>0</v>
      </c>
      <c r="E366">
        <v>1</v>
      </c>
      <c r="F366">
        <v>16</v>
      </c>
      <c r="G366" t="b">
        <v>0</v>
      </c>
      <c r="H366">
        <v>0</v>
      </c>
      <c r="I366">
        <v>1</v>
      </c>
      <c r="J366">
        <v>0.24</v>
      </c>
      <c r="K366">
        <v>0.2273</v>
      </c>
      <c r="L366">
        <v>0.38</v>
      </c>
      <c r="M366">
        <v>0.22389999999999999</v>
      </c>
      <c r="N366">
        <v>22</v>
      </c>
      <c r="O366">
        <v>77</v>
      </c>
      <c r="P366">
        <v>99</v>
      </c>
    </row>
    <row r="367" spans="1:16" x14ac:dyDescent="0.3">
      <c r="A367">
        <v>366</v>
      </c>
      <c r="B367" s="4">
        <v>40559</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3">
      <c r="A368">
        <v>367</v>
      </c>
      <c r="B368" s="4">
        <v>40559</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3">
      <c r="A369">
        <v>368</v>
      </c>
      <c r="B369" s="4">
        <v>40559</v>
      </c>
      <c r="C369">
        <v>1</v>
      </c>
      <c r="D369">
        <v>0</v>
      </c>
      <c r="E369">
        <v>1</v>
      </c>
      <c r="F369">
        <v>19</v>
      </c>
      <c r="G369" t="b">
        <v>0</v>
      </c>
      <c r="H369">
        <v>0</v>
      </c>
      <c r="I369">
        <v>1</v>
      </c>
      <c r="J369">
        <v>0.18</v>
      </c>
      <c r="K369">
        <v>0.19700000000000001</v>
      </c>
      <c r="L369">
        <v>0.47</v>
      </c>
      <c r="M369">
        <v>0.1343</v>
      </c>
      <c r="N369">
        <v>14</v>
      </c>
      <c r="O369">
        <v>47</v>
      </c>
      <c r="P369">
        <v>61</v>
      </c>
    </row>
    <row r="370" spans="1:16" x14ac:dyDescent="0.3">
      <c r="A370">
        <v>369</v>
      </c>
      <c r="B370" s="4">
        <v>40559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3">
      <c r="A371">
        <v>370</v>
      </c>
      <c r="B371" s="4">
        <v>40559</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3">
      <c r="A372">
        <v>371</v>
      </c>
      <c r="B372" s="4">
        <v>40559</v>
      </c>
      <c r="C372">
        <v>1</v>
      </c>
      <c r="D372">
        <v>0</v>
      </c>
      <c r="E372">
        <v>1</v>
      </c>
      <c r="F372">
        <v>22</v>
      </c>
      <c r="G372" t="b">
        <v>0</v>
      </c>
      <c r="H372">
        <v>0</v>
      </c>
      <c r="I372">
        <v>2</v>
      </c>
      <c r="J372">
        <v>0.2</v>
      </c>
      <c r="K372">
        <v>0.21210000000000001</v>
      </c>
      <c r="L372">
        <v>0.49</v>
      </c>
      <c r="M372">
        <v>0.1343</v>
      </c>
      <c r="N372">
        <v>2</v>
      </c>
      <c r="O372">
        <v>19</v>
      </c>
      <c r="P372">
        <v>21</v>
      </c>
    </row>
    <row r="373" spans="1:16" x14ac:dyDescent="0.3">
      <c r="A373">
        <v>372</v>
      </c>
      <c r="B373" s="4">
        <v>40559</v>
      </c>
      <c r="C373">
        <v>1</v>
      </c>
      <c r="D373">
        <v>0</v>
      </c>
      <c r="E373">
        <v>1</v>
      </c>
      <c r="F373">
        <v>23</v>
      </c>
      <c r="G373" t="b">
        <v>0</v>
      </c>
      <c r="H373">
        <v>0</v>
      </c>
      <c r="I373">
        <v>2</v>
      </c>
      <c r="J373">
        <v>0.2</v>
      </c>
      <c r="K373">
        <v>0.2273</v>
      </c>
      <c r="L373">
        <v>0.4</v>
      </c>
      <c r="M373">
        <v>0.1045</v>
      </c>
      <c r="N373">
        <v>0</v>
      </c>
      <c r="O373">
        <v>18</v>
      </c>
      <c r="P373">
        <v>18</v>
      </c>
    </row>
    <row r="374" spans="1:16" x14ac:dyDescent="0.3">
      <c r="A374">
        <v>373</v>
      </c>
      <c r="B374" s="4">
        <v>40560</v>
      </c>
      <c r="C374">
        <v>1</v>
      </c>
      <c r="D374">
        <v>0</v>
      </c>
      <c r="E374">
        <v>1</v>
      </c>
      <c r="F374">
        <v>0</v>
      </c>
      <c r="G374" t="b">
        <v>1</v>
      </c>
      <c r="H374">
        <v>1</v>
      </c>
      <c r="I374">
        <v>2</v>
      </c>
      <c r="J374">
        <v>0.2</v>
      </c>
      <c r="K374">
        <v>0.19700000000000001</v>
      </c>
      <c r="L374">
        <v>0.47</v>
      </c>
      <c r="M374">
        <v>0.22389999999999999</v>
      </c>
      <c r="N374">
        <v>1</v>
      </c>
      <c r="O374">
        <v>16</v>
      </c>
      <c r="P374">
        <v>17</v>
      </c>
    </row>
    <row r="375" spans="1:16" x14ac:dyDescent="0.3">
      <c r="A375">
        <v>374</v>
      </c>
      <c r="B375" s="4">
        <v>40560</v>
      </c>
      <c r="C375">
        <v>1</v>
      </c>
      <c r="D375">
        <v>0</v>
      </c>
      <c r="E375">
        <v>1</v>
      </c>
      <c r="F375">
        <v>1</v>
      </c>
      <c r="G375" t="b">
        <v>1</v>
      </c>
      <c r="H375">
        <v>1</v>
      </c>
      <c r="I375">
        <v>2</v>
      </c>
      <c r="J375">
        <v>0.2</v>
      </c>
      <c r="K375">
        <v>0.19700000000000001</v>
      </c>
      <c r="L375">
        <v>0.44</v>
      </c>
      <c r="M375">
        <v>0.19400000000000001</v>
      </c>
      <c r="N375">
        <v>1</v>
      </c>
      <c r="O375">
        <v>15</v>
      </c>
      <c r="P375">
        <v>16</v>
      </c>
    </row>
    <row r="376" spans="1:16" x14ac:dyDescent="0.3">
      <c r="A376">
        <v>375</v>
      </c>
      <c r="B376" s="4">
        <v>40560</v>
      </c>
      <c r="C376">
        <v>1</v>
      </c>
      <c r="D376">
        <v>0</v>
      </c>
      <c r="E376">
        <v>1</v>
      </c>
      <c r="F376">
        <v>2</v>
      </c>
      <c r="G376" t="b">
        <v>1</v>
      </c>
      <c r="H376">
        <v>1</v>
      </c>
      <c r="I376">
        <v>2</v>
      </c>
      <c r="J376">
        <v>0.18</v>
      </c>
      <c r="K376">
        <v>0.16669999999999999</v>
      </c>
      <c r="L376">
        <v>0.43</v>
      </c>
      <c r="M376">
        <v>0.25369999999999998</v>
      </c>
      <c r="N376">
        <v>0</v>
      </c>
      <c r="O376">
        <v>8</v>
      </c>
      <c r="P376">
        <v>8</v>
      </c>
    </row>
    <row r="377" spans="1:16" x14ac:dyDescent="0.3">
      <c r="A377">
        <v>376</v>
      </c>
      <c r="B377" s="4">
        <v>40560</v>
      </c>
      <c r="C377">
        <v>1</v>
      </c>
      <c r="D377">
        <v>0</v>
      </c>
      <c r="E377">
        <v>1</v>
      </c>
      <c r="F377">
        <v>3</v>
      </c>
      <c r="G377" t="b">
        <v>1</v>
      </c>
      <c r="H377">
        <v>1</v>
      </c>
      <c r="I377">
        <v>2</v>
      </c>
      <c r="J377">
        <v>0.18</v>
      </c>
      <c r="K377">
        <v>0.18179999999999999</v>
      </c>
      <c r="L377">
        <v>0.43</v>
      </c>
      <c r="M377">
        <v>0.19400000000000001</v>
      </c>
      <c r="N377">
        <v>0</v>
      </c>
      <c r="O377">
        <v>2</v>
      </c>
      <c r="P377">
        <v>2</v>
      </c>
    </row>
    <row r="378" spans="1:16" x14ac:dyDescent="0.3">
      <c r="A378">
        <v>377</v>
      </c>
      <c r="B378" s="4">
        <v>40560</v>
      </c>
      <c r="C378">
        <v>1</v>
      </c>
      <c r="D378">
        <v>0</v>
      </c>
      <c r="E378">
        <v>1</v>
      </c>
      <c r="F378">
        <v>4</v>
      </c>
      <c r="G378" t="b">
        <v>1</v>
      </c>
      <c r="H378">
        <v>1</v>
      </c>
      <c r="I378">
        <v>2</v>
      </c>
      <c r="J378">
        <v>0.18</v>
      </c>
      <c r="K378">
        <v>0.19700000000000001</v>
      </c>
      <c r="L378">
        <v>0.43</v>
      </c>
      <c r="M378">
        <v>0.1343</v>
      </c>
      <c r="N378">
        <v>1</v>
      </c>
      <c r="O378">
        <v>2</v>
      </c>
      <c r="P378">
        <v>3</v>
      </c>
    </row>
    <row r="379" spans="1:16" x14ac:dyDescent="0.3">
      <c r="A379">
        <v>378</v>
      </c>
      <c r="B379" s="4">
        <v>40560</v>
      </c>
      <c r="C379">
        <v>1</v>
      </c>
      <c r="D379">
        <v>0</v>
      </c>
      <c r="E379">
        <v>1</v>
      </c>
      <c r="F379">
        <v>5</v>
      </c>
      <c r="G379" t="b">
        <v>1</v>
      </c>
      <c r="H379">
        <v>1</v>
      </c>
      <c r="I379">
        <v>2</v>
      </c>
      <c r="J379">
        <v>0.18</v>
      </c>
      <c r="K379">
        <v>0.19700000000000001</v>
      </c>
      <c r="L379">
        <v>0.43</v>
      </c>
      <c r="M379">
        <v>0.16420000000000001</v>
      </c>
      <c r="N379">
        <v>0</v>
      </c>
      <c r="O379">
        <v>1</v>
      </c>
      <c r="P379">
        <v>1</v>
      </c>
    </row>
    <row r="380" spans="1:16" x14ac:dyDescent="0.3">
      <c r="A380">
        <v>379</v>
      </c>
      <c r="B380" s="4">
        <v>40560</v>
      </c>
      <c r="C380">
        <v>1</v>
      </c>
      <c r="D380">
        <v>0</v>
      </c>
      <c r="E380">
        <v>1</v>
      </c>
      <c r="F380">
        <v>6</v>
      </c>
      <c r="G380" t="b">
        <v>1</v>
      </c>
      <c r="H380">
        <v>1</v>
      </c>
      <c r="I380">
        <v>2</v>
      </c>
      <c r="J380">
        <v>0.18</v>
      </c>
      <c r="K380">
        <v>0.18179999999999999</v>
      </c>
      <c r="L380">
        <v>0.43</v>
      </c>
      <c r="M380">
        <v>0.19400000000000001</v>
      </c>
      <c r="N380">
        <v>0</v>
      </c>
      <c r="O380">
        <v>5</v>
      </c>
      <c r="P380">
        <v>5</v>
      </c>
    </row>
    <row r="381" spans="1:16" x14ac:dyDescent="0.3">
      <c r="A381">
        <v>380</v>
      </c>
      <c r="B381" s="4">
        <v>40560</v>
      </c>
      <c r="C381">
        <v>1</v>
      </c>
      <c r="D381">
        <v>0</v>
      </c>
      <c r="E381">
        <v>1</v>
      </c>
      <c r="F381">
        <v>7</v>
      </c>
      <c r="G381" t="b">
        <v>1</v>
      </c>
      <c r="H381">
        <v>1</v>
      </c>
      <c r="I381">
        <v>2</v>
      </c>
      <c r="J381">
        <v>0.16</v>
      </c>
      <c r="K381">
        <v>0.18179999999999999</v>
      </c>
      <c r="L381">
        <v>0.5</v>
      </c>
      <c r="M381">
        <v>0.1343</v>
      </c>
      <c r="N381">
        <v>4</v>
      </c>
      <c r="O381">
        <v>9</v>
      </c>
      <c r="P381">
        <v>13</v>
      </c>
    </row>
    <row r="382" spans="1:16" x14ac:dyDescent="0.3">
      <c r="A382">
        <v>381</v>
      </c>
      <c r="B382" s="4">
        <v>40560</v>
      </c>
      <c r="C382">
        <v>1</v>
      </c>
      <c r="D382">
        <v>0</v>
      </c>
      <c r="E382">
        <v>1</v>
      </c>
      <c r="F382">
        <v>8</v>
      </c>
      <c r="G382" t="b">
        <v>1</v>
      </c>
      <c r="H382">
        <v>1</v>
      </c>
      <c r="I382">
        <v>2</v>
      </c>
      <c r="J382">
        <v>0.16</v>
      </c>
      <c r="K382">
        <v>0.1515</v>
      </c>
      <c r="L382">
        <v>0.47</v>
      </c>
      <c r="M382">
        <v>0.22389999999999999</v>
      </c>
      <c r="N382">
        <v>3</v>
      </c>
      <c r="O382">
        <v>30</v>
      </c>
      <c r="P382">
        <v>33</v>
      </c>
    </row>
    <row r="383" spans="1:16" x14ac:dyDescent="0.3">
      <c r="A383">
        <v>382</v>
      </c>
      <c r="B383" s="4">
        <v>40560</v>
      </c>
      <c r="C383">
        <v>1</v>
      </c>
      <c r="D383">
        <v>0</v>
      </c>
      <c r="E383">
        <v>1</v>
      </c>
      <c r="F383">
        <v>9</v>
      </c>
      <c r="G383" t="b">
        <v>1</v>
      </c>
      <c r="H383">
        <v>1</v>
      </c>
      <c r="I383">
        <v>2</v>
      </c>
      <c r="J383">
        <v>0.16</v>
      </c>
      <c r="K383">
        <v>0.1515</v>
      </c>
      <c r="L383">
        <v>0.47</v>
      </c>
      <c r="M383">
        <v>0.22389999999999999</v>
      </c>
      <c r="N383">
        <v>8</v>
      </c>
      <c r="O383">
        <v>39</v>
      </c>
      <c r="P383">
        <v>47</v>
      </c>
    </row>
    <row r="384" spans="1:16" x14ac:dyDescent="0.3">
      <c r="A384">
        <v>383</v>
      </c>
      <c r="B384" s="4">
        <v>40560</v>
      </c>
      <c r="C384">
        <v>1</v>
      </c>
      <c r="D384">
        <v>0</v>
      </c>
      <c r="E384">
        <v>1</v>
      </c>
      <c r="F384">
        <v>10</v>
      </c>
      <c r="G384" t="b">
        <v>1</v>
      </c>
      <c r="H384">
        <v>1</v>
      </c>
      <c r="I384">
        <v>2</v>
      </c>
      <c r="J384">
        <v>0.16</v>
      </c>
      <c r="K384">
        <v>0.1515</v>
      </c>
      <c r="L384">
        <v>0.5</v>
      </c>
      <c r="M384">
        <v>0.25369999999999998</v>
      </c>
      <c r="N384">
        <v>7</v>
      </c>
      <c r="O384">
        <v>50</v>
      </c>
      <c r="P384">
        <v>57</v>
      </c>
    </row>
    <row r="385" spans="1:16" x14ac:dyDescent="0.3">
      <c r="A385">
        <v>384</v>
      </c>
      <c r="B385" s="4">
        <v>40560</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3">
      <c r="A386">
        <v>385</v>
      </c>
      <c r="B386" s="4">
        <v>40560</v>
      </c>
      <c r="C386">
        <v>1</v>
      </c>
      <c r="D386">
        <v>0</v>
      </c>
      <c r="E386">
        <v>1</v>
      </c>
      <c r="F386">
        <v>12</v>
      </c>
      <c r="G386" t="b">
        <v>1</v>
      </c>
      <c r="H386">
        <v>1</v>
      </c>
      <c r="I386">
        <v>2</v>
      </c>
      <c r="J386">
        <v>0.18</v>
      </c>
      <c r="K386">
        <v>0.19700000000000001</v>
      </c>
      <c r="L386">
        <v>0.47</v>
      </c>
      <c r="M386">
        <v>0.1343</v>
      </c>
      <c r="N386">
        <v>10</v>
      </c>
      <c r="O386">
        <v>70</v>
      </c>
      <c r="P386">
        <v>80</v>
      </c>
    </row>
    <row r="387" spans="1:16" x14ac:dyDescent="0.3">
      <c r="A387">
        <v>386</v>
      </c>
      <c r="B387" s="4">
        <v>40560</v>
      </c>
      <c r="C387">
        <v>1</v>
      </c>
      <c r="D387">
        <v>0</v>
      </c>
      <c r="E387">
        <v>1</v>
      </c>
      <c r="F387">
        <v>13</v>
      </c>
      <c r="G387" t="b">
        <v>1</v>
      </c>
      <c r="H387">
        <v>1</v>
      </c>
      <c r="I387">
        <v>2</v>
      </c>
      <c r="J387">
        <v>0.18</v>
      </c>
      <c r="K387">
        <v>0.19700000000000001</v>
      </c>
      <c r="L387">
        <v>0.47</v>
      </c>
      <c r="M387">
        <v>0.1343</v>
      </c>
      <c r="N387">
        <v>13</v>
      </c>
      <c r="O387">
        <v>80</v>
      </c>
      <c r="P387">
        <v>93</v>
      </c>
    </row>
    <row r="388" spans="1:16" x14ac:dyDescent="0.3">
      <c r="A388">
        <v>387</v>
      </c>
      <c r="B388" s="4">
        <v>40560</v>
      </c>
      <c r="C388">
        <v>1</v>
      </c>
      <c r="D388">
        <v>0</v>
      </c>
      <c r="E388">
        <v>1</v>
      </c>
      <c r="F388">
        <v>14</v>
      </c>
      <c r="G388" t="b">
        <v>1</v>
      </c>
      <c r="H388">
        <v>1</v>
      </c>
      <c r="I388">
        <v>2</v>
      </c>
      <c r="J388">
        <v>0.18</v>
      </c>
      <c r="K388">
        <v>0.21210000000000001</v>
      </c>
      <c r="L388">
        <v>0.43</v>
      </c>
      <c r="M388">
        <v>0.1045</v>
      </c>
      <c r="N388">
        <v>12</v>
      </c>
      <c r="O388">
        <v>74</v>
      </c>
      <c r="P388">
        <v>86</v>
      </c>
    </row>
    <row r="389" spans="1:16" x14ac:dyDescent="0.3">
      <c r="A389">
        <v>388</v>
      </c>
      <c r="B389" s="4">
        <v>40560</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3">
      <c r="A390">
        <v>389</v>
      </c>
      <c r="B390" s="4">
        <v>40560</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3">
      <c r="A391">
        <v>390</v>
      </c>
      <c r="B391" s="4">
        <v>40560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3">
      <c r="A392">
        <v>391</v>
      </c>
      <c r="B392" s="4">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3">
      <c r="A393">
        <v>392</v>
      </c>
      <c r="B393" s="4">
        <v>40560</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3">
      <c r="A394">
        <v>393</v>
      </c>
      <c r="B394" s="4">
        <v>40560</v>
      </c>
      <c r="C394">
        <v>1</v>
      </c>
      <c r="D394">
        <v>0</v>
      </c>
      <c r="E394">
        <v>1</v>
      </c>
      <c r="F394">
        <v>20</v>
      </c>
      <c r="G394" t="b">
        <v>1</v>
      </c>
      <c r="H394">
        <v>1</v>
      </c>
      <c r="I394">
        <v>3</v>
      </c>
      <c r="J394">
        <v>0.16</v>
      </c>
      <c r="K394">
        <v>0.1515</v>
      </c>
      <c r="L394">
        <v>0.8</v>
      </c>
      <c r="M394">
        <v>0.19400000000000001</v>
      </c>
      <c r="N394">
        <v>4</v>
      </c>
      <c r="O394">
        <v>29</v>
      </c>
      <c r="P394">
        <v>33</v>
      </c>
    </row>
    <row r="395" spans="1:16" x14ac:dyDescent="0.3">
      <c r="A395">
        <v>394</v>
      </c>
      <c r="B395" s="4">
        <v>40560</v>
      </c>
      <c r="C395">
        <v>1</v>
      </c>
      <c r="D395">
        <v>0</v>
      </c>
      <c r="E395">
        <v>1</v>
      </c>
      <c r="F395">
        <v>21</v>
      </c>
      <c r="G395" t="b">
        <v>1</v>
      </c>
      <c r="H395">
        <v>1</v>
      </c>
      <c r="I395">
        <v>3</v>
      </c>
      <c r="J395">
        <v>0.16</v>
      </c>
      <c r="K395">
        <v>0.1515</v>
      </c>
      <c r="L395">
        <v>0.8</v>
      </c>
      <c r="M395">
        <v>0.19400000000000001</v>
      </c>
      <c r="N395">
        <v>3</v>
      </c>
      <c r="O395">
        <v>24</v>
      </c>
      <c r="P395">
        <v>27</v>
      </c>
    </row>
    <row r="396" spans="1:16" x14ac:dyDescent="0.3">
      <c r="A396">
        <v>395</v>
      </c>
      <c r="B396" s="4">
        <v>40560</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3">
      <c r="A397">
        <v>396</v>
      </c>
      <c r="B397" s="4">
        <v>40560</v>
      </c>
      <c r="C397">
        <v>1</v>
      </c>
      <c r="D397">
        <v>0</v>
      </c>
      <c r="E397">
        <v>1</v>
      </c>
      <c r="F397">
        <v>23</v>
      </c>
      <c r="G397" t="b">
        <v>1</v>
      </c>
      <c r="H397">
        <v>1</v>
      </c>
      <c r="I397">
        <v>3</v>
      </c>
      <c r="J397">
        <v>0.16</v>
      </c>
      <c r="K397">
        <v>0.13639999999999999</v>
      </c>
      <c r="L397">
        <v>0.86</v>
      </c>
      <c r="M397">
        <v>0.28360000000000002</v>
      </c>
      <c r="N397">
        <v>1</v>
      </c>
      <c r="O397">
        <v>3</v>
      </c>
      <c r="P397">
        <v>4</v>
      </c>
    </row>
    <row r="398" spans="1:16" x14ac:dyDescent="0.3">
      <c r="A398">
        <v>397</v>
      </c>
      <c r="B398" s="4">
        <v>40561</v>
      </c>
      <c r="C398">
        <v>1</v>
      </c>
      <c r="D398">
        <v>0</v>
      </c>
      <c r="E398">
        <v>1</v>
      </c>
      <c r="F398">
        <v>12</v>
      </c>
      <c r="G398" t="b">
        <v>0</v>
      </c>
      <c r="H398">
        <v>2</v>
      </c>
      <c r="I398">
        <v>2</v>
      </c>
      <c r="J398">
        <v>0.2</v>
      </c>
      <c r="K398">
        <v>0.18179999999999999</v>
      </c>
      <c r="L398">
        <v>0.86</v>
      </c>
      <c r="M398">
        <v>0.32840000000000003</v>
      </c>
      <c r="N398">
        <v>0</v>
      </c>
      <c r="O398">
        <v>3</v>
      </c>
      <c r="P398">
        <v>3</v>
      </c>
    </row>
    <row r="399" spans="1:16" x14ac:dyDescent="0.3">
      <c r="A399">
        <v>398</v>
      </c>
      <c r="B399" s="4">
        <v>40561</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3">
      <c r="A400">
        <v>399</v>
      </c>
      <c r="B400" s="4">
        <v>40561</v>
      </c>
      <c r="C400">
        <v>1</v>
      </c>
      <c r="D400">
        <v>0</v>
      </c>
      <c r="E400">
        <v>1</v>
      </c>
      <c r="F400">
        <v>14</v>
      </c>
      <c r="G400" t="b">
        <v>0</v>
      </c>
      <c r="H400">
        <v>2</v>
      </c>
      <c r="I400">
        <v>2</v>
      </c>
      <c r="J400">
        <v>0.22</v>
      </c>
      <c r="K400">
        <v>0.2273</v>
      </c>
      <c r="L400">
        <v>0.8</v>
      </c>
      <c r="M400">
        <v>0.16420000000000001</v>
      </c>
      <c r="N400">
        <v>2</v>
      </c>
      <c r="O400">
        <v>26</v>
      </c>
      <c r="P400">
        <v>28</v>
      </c>
    </row>
    <row r="401" spans="1:16" x14ac:dyDescent="0.3">
      <c r="A401">
        <v>400</v>
      </c>
      <c r="B401" s="4">
        <v>40561</v>
      </c>
      <c r="C401">
        <v>1</v>
      </c>
      <c r="D401">
        <v>0</v>
      </c>
      <c r="E401">
        <v>1</v>
      </c>
      <c r="F401">
        <v>15</v>
      </c>
      <c r="G401" t="b">
        <v>0</v>
      </c>
      <c r="H401">
        <v>2</v>
      </c>
      <c r="I401">
        <v>2</v>
      </c>
      <c r="J401">
        <v>0.22</v>
      </c>
      <c r="K401">
        <v>0.2273</v>
      </c>
      <c r="L401">
        <v>0.87</v>
      </c>
      <c r="M401">
        <v>0.16420000000000001</v>
      </c>
      <c r="N401">
        <v>3</v>
      </c>
      <c r="O401">
        <v>32</v>
      </c>
      <c r="P401">
        <v>35</v>
      </c>
    </row>
    <row r="402" spans="1:16" x14ac:dyDescent="0.3">
      <c r="A402">
        <v>401</v>
      </c>
      <c r="B402" s="4">
        <v>40561</v>
      </c>
      <c r="C402">
        <v>1</v>
      </c>
      <c r="D402">
        <v>0</v>
      </c>
      <c r="E402">
        <v>1</v>
      </c>
      <c r="F402">
        <v>16</v>
      </c>
      <c r="G402" t="b">
        <v>0</v>
      </c>
      <c r="H402">
        <v>2</v>
      </c>
      <c r="I402">
        <v>2</v>
      </c>
      <c r="J402">
        <v>0.22</v>
      </c>
      <c r="K402">
        <v>0.2273</v>
      </c>
      <c r="L402">
        <v>0.87</v>
      </c>
      <c r="M402">
        <v>0.19400000000000001</v>
      </c>
      <c r="N402">
        <v>0</v>
      </c>
      <c r="O402">
        <v>61</v>
      </c>
      <c r="P402">
        <v>61</v>
      </c>
    </row>
    <row r="403" spans="1:16" x14ac:dyDescent="0.3">
      <c r="A403">
        <v>402</v>
      </c>
      <c r="B403" s="4">
        <v>40561</v>
      </c>
      <c r="C403">
        <v>1</v>
      </c>
      <c r="D403">
        <v>0</v>
      </c>
      <c r="E403">
        <v>1</v>
      </c>
      <c r="F403">
        <v>17</v>
      </c>
      <c r="G403" t="b">
        <v>0</v>
      </c>
      <c r="H403">
        <v>2</v>
      </c>
      <c r="I403">
        <v>2</v>
      </c>
      <c r="J403">
        <v>0.22</v>
      </c>
      <c r="K403">
        <v>0.2273</v>
      </c>
      <c r="L403">
        <v>0.82</v>
      </c>
      <c r="M403">
        <v>0.19400000000000001</v>
      </c>
      <c r="N403">
        <v>1</v>
      </c>
      <c r="O403">
        <v>124</v>
      </c>
      <c r="P403">
        <v>125</v>
      </c>
    </row>
    <row r="404" spans="1:16" x14ac:dyDescent="0.3">
      <c r="A404">
        <v>403</v>
      </c>
      <c r="B404" s="4">
        <v>40561</v>
      </c>
      <c r="C404">
        <v>1</v>
      </c>
      <c r="D404">
        <v>0</v>
      </c>
      <c r="E404">
        <v>1</v>
      </c>
      <c r="F404">
        <v>18</v>
      </c>
      <c r="G404" t="b">
        <v>0</v>
      </c>
      <c r="H404">
        <v>2</v>
      </c>
      <c r="I404">
        <v>2</v>
      </c>
      <c r="J404">
        <v>0.22</v>
      </c>
      <c r="K404">
        <v>0.2273</v>
      </c>
      <c r="L404">
        <v>0.8</v>
      </c>
      <c r="M404">
        <v>0.16420000000000001</v>
      </c>
      <c r="N404">
        <v>1</v>
      </c>
      <c r="O404">
        <v>132</v>
      </c>
      <c r="P404">
        <v>133</v>
      </c>
    </row>
    <row r="405" spans="1:16" x14ac:dyDescent="0.3">
      <c r="A405">
        <v>404</v>
      </c>
      <c r="B405" s="4">
        <v>40561</v>
      </c>
      <c r="C405">
        <v>1</v>
      </c>
      <c r="D405">
        <v>0</v>
      </c>
      <c r="E405">
        <v>1</v>
      </c>
      <c r="F405">
        <v>19</v>
      </c>
      <c r="G405" t="b">
        <v>0</v>
      </c>
      <c r="H405">
        <v>2</v>
      </c>
      <c r="I405">
        <v>2</v>
      </c>
      <c r="J405">
        <v>0.22</v>
      </c>
      <c r="K405">
        <v>0.2273</v>
      </c>
      <c r="L405">
        <v>0.8</v>
      </c>
      <c r="M405">
        <v>0.1343</v>
      </c>
      <c r="N405">
        <v>1</v>
      </c>
      <c r="O405">
        <v>98</v>
      </c>
      <c r="P405">
        <v>99</v>
      </c>
    </row>
    <row r="406" spans="1:16" x14ac:dyDescent="0.3">
      <c r="A406">
        <v>405</v>
      </c>
      <c r="B406" s="4">
        <v>40561</v>
      </c>
      <c r="C406">
        <v>1</v>
      </c>
      <c r="D406">
        <v>0</v>
      </c>
      <c r="E406">
        <v>1</v>
      </c>
      <c r="F406">
        <v>20</v>
      </c>
      <c r="G406" t="b">
        <v>0</v>
      </c>
      <c r="H406">
        <v>2</v>
      </c>
      <c r="I406">
        <v>2</v>
      </c>
      <c r="J406">
        <v>0.22</v>
      </c>
      <c r="K406">
        <v>0.2727</v>
      </c>
      <c r="L406">
        <v>0.87</v>
      </c>
      <c r="M406">
        <v>0</v>
      </c>
      <c r="N406">
        <v>0</v>
      </c>
      <c r="O406">
        <v>83</v>
      </c>
      <c r="P406">
        <v>83</v>
      </c>
    </row>
    <row r="407" spans="1:16" x14ac:dyDescent="0.3">
      <c r="A407">
        <v>406</v>
      </c>
      <c r="B407" s="4">
        <v>40561</v>
      </c>
      <c r="C407">
        <v>1</v>
      </c>
      <c r="D407">
        <v>0</v>
      </c>
      <c r="E407">
        <v>1</v>
      </c>
      <c r="F407">
        <v>21</v>
      </c>
      <c r="G407" t="b">
        <v>0</v>
      </c>
      <c r="H407">
        <v>2</v>
      </c>
      <c r="I407">
        <v>2</v>
      </c>
      <c r="J407">
        <v>0.22</v>
      </c>
      <c r="K407">
        <v>0.2424</v>
      </c>
      <c r="L407">
        <v>0.93</v>
      </c>
      <c r="M407">
        <v>0.1045</v>
      </c>
      <c r="N407">
        <v>0</v>
      </c>
      <c r="O407">
        <v>41</v>
      </c>
      <c r="P407">
        <v>41</v>
      </c>
    </row>
    <row r="408" spans="1:16" x14ac:dyDescent="0.3">
      <c r="A408">
        <v>407</v>
      </c>
      <c r="B408" s="4">
        <v>40561</v>
      </c>
      <c r="C408">
        <v>1</v>
      </c>
      <c r="D408">
        <v>0</v>
      </c>
      <c r="E408">
        <v>1</v>
      </c>
      <c r="F408">
        <v>22</v>
      </c>
      <c r="G408" t="b">
        <v>0</v>
      </c>
      <c r="H408">
        <v>2</v>
      </c>
      <c r="I408">
        <v>2</v>
      </c>
      <c r="J408">
        <v>0.22</v>
      </c>
      <c r="K408">
        <v>0.2576</v>
      </c>
      <c r="L408">
        <v>0.93</v>
      </c>
      <c r="M408">
        <v>8.9599999999999999E-2</v>
      </c>
      <c r="N408">
        <v>0</v>
      </c>
      <c r="O408">
        <v>33</v>
      </c>
      <c r="P408">
        <v>33</v>
      </c>
    </row>
    <row r="409" spans="1:16" x14ac:dyDescent="0.3">
      <c r="A409">
        <v>408</v>
      </c>
      <c r="B409" s="4">
        <v>40561</v>
      </c>
      <c r="C409">
        <v>1</v>
      </c>
      <c r="D409">
        <v>0</v>
      </c>
      <c r="E409">
        <v>1</v>
      </c>
      <c r="F409">
        <v>23</v>
      </c>
      <c r="G409" t="b">
        <v>0</v>
      </c>
      <c r="H409">
        <v>2</v>
      </c>
      <c r="I409">
        <v>2</v>
      </c>
      <c r="J409">
        <v>0.22</v>
      </c>
      <c r="K409">
        <v>0.2727</v>
      </c>
      <c r="L409">
        <v>0.93</v>
      </c>
      <c r="M409">
        <v>0</v>
      </c>
      <c r="N409">
        <v>1</v>
      </c>
      <c r="O409">
        <v>19</v>
      </c>
      <c r="P409">
        <v>20</v>
      </c>
    </row>
    <row r="410" spans="1:16" x14ac:dyDescent="0.3">
      <c r="A410">
        <v>409</v>
      </c>
      <c r="B410" s="4">
        <v>40562</v>
      </c>
      <c r="C410">
        <v>1</v>
      </c>
      <c r="D410">
        <v>0</v>
      </c>
      <c r="E410">
        <v>1</v>
      </c>
      <c r="F410">
        <v>0</v>
      </c>
      <c r="G410" t="b">
        <v>0</v>
      </c>
      <c r="H410">
        <v>3</v>
      </c>
      <c r="I410">
        <v>2</v>
      </c>
      <c r="J410">
        <v>0.22</v>
      </c>
      <c r="K410">
        <v>0.2727</v>
      </c>
      <c r="L410">
        <v>0.93</v>
      </c>
      <c r="M410">
        <v>0</v>
      </c>
      <c r="N410">
        <v>0</v>
      </c>
      <c r="O410">
        <v>3</v>
      </c>
      <c r="P410">
        <v>3</v>
      </c>
    </row>
    <row r="411" spans="1:16" x14ac:dyDescent="0.3">
      <c r="A411">
        <v>410</v>
      </c>
      <c r="B411" s="4">
        <v>40562</v>
      </c>
      <c r="C411">
        <v>1</v>
      </c>
      <c r="D411">
        <v>0</v>
      </c>
      <c r="E411">
        <v>1</v>
      </c>
      <c r="F411">
        <v>1</v>
      </c>
      <c r="G411" t="b">
        <v>0</v>
      </c>
      <c r="H411">
        <v>3</v>
      </c>
      <c r="I411">
        <v>3</v>
      </c>
      <c r="J411">
        <v>0.22</v>
      </c>
      <c r="K411">
        <v>0.2273</v>
      </c>
      <c r="L411">
        <v>0.93</v>
      </c>
      <c r="M411">
        <v>0.1343</v>
      </c>
      <c r="N411">
        <v>1</v>
      </c>
      <c r="O411">
        <v>6</v>
      </c>
      <c r="P411">
        <v>7</v>
      </c>
    </row>
    <row r="412" spans="1:16" x14ac:dyDescent="0.3">
      <c r="A412">
        <v>411</v>
      </c>
      <c r="B412" s="4">
        <v>40562</v>
      </c>
      <c r="C412">
        <v>1</v>
      </c>
      <c r="D412">
        <v>0</v>
      </c>
      <c r="E412">
        <v>1</v>
      </c>
      <c r="F412">
        <v>2</v>
      </c>
      <c r="G412" t="b">
        <v>0</v>
      </c>
      <c r="H412">
        <v>3</v>
      </c>
      <c r="I412">
        <v>3</v>
      </c>
      <c r="J412">
        <v>0.22</v>
      </c>
      <c r="K412">
        <v>0.2273</v>
      </c>
      <c r="L412">
        <v>0.93</v>
      </c>
      <c r="M412">
        <v>0.1343</v>
      </c>
      <c r="N412">
        <v>0</v>
      </c>
      <c r="O412">
        <v>3</v>
      </c>
      <c r="P412">
        <v>3</v>
      </c>
    </row>
    <row r="413" spans="1:16" x14ac:dyDescent="0.3">
      <c r="A413">
        <v>412</v>
      </c>
      <c r="B413" s="4">
        <v>40562</v>
      </c>
      <c r="C413">
        <v>1</v>
      </c>
      <c r="D413">
        <v>0</v>
      </c>
      <c r="E413">
        <v>1</v>
      </c>
      <c r="F413">
        <v>4</v>
      </c>
      <c r="G413" t="b">
        <v>0</v>
      </c>
      <c r="H413">
        <v>3</v>
      </c>
      <c r="I413">
        <v>3</v>
      </c>
      <c r="J413">
        <v>0.22</v>
      </c>
      <c r="K413">
        <v>0.2273</v>
      </c>
      <c r="L413">
        <v>0.93</v>
      </c>
      <c r="M413">
        <v>0.1343</v>
      </c>
      <c r="N413">
        <v>1</v>
      </c>
      <c r="O413">
        <v>1</v>
      </c>
      <c r="P413">
        <v>2</v>
      </c>
    </row>
    <row r="414" spans="1:16" x14ac:dyDescent="0.3">
      <c r="A414">
        <v>413</v>
      </c>
      <c r="B414" s="4">
        <v>40562</v>
      </c>
      <c r="C414">
        <v>1</v>
      </c>
      <c r="D414">
        <v>0</v>
      </c>
      <c r="E414">
        <v>1</v>
      </c>
      <c r="F414">
        <v>5</v>
      </c>
      <c r="G414" t="b">
        <v>0</v>
      </c>
      <c r="H414">
        <v>3</v>
      </c>
      <c r="I414">
        <v>2</v>
      </c>
      <c r="J414">
        <v>0.22</v>
      </c>
      <c r="K414">
        <v>0.2576</v>
      </c>
      <c r="L414">
        <v>0.93</v>
      </c>
      <c r="M414">
        <v>8.9599999999999999E-2</v>
      </c>
      <c r="N414">
        <v>0</v>
      </c>
      <c r="O414">
        <v>7</v>
      </c>
      <c r="P414">
        <v>7</v>
      </c>
    </row>
    <row r="415" spans="1:16" x14ac:dyDescent="0.3">
      <c r="A415">
        <v>414</v>
      </c>
      <c r="B415" s="4">
        <v>40562</v>
      </c>
      <c r="C415">
        <v>1</v>
      </c>
      <c r="D415">
        <v>0</v>
      </c>
      <c r="E415">
        <v>1</v>
      </c>
      <c r="F415">
        <v>6</v>
      </c>
      <c r="G415" t="b">
        <v>0</v>
      </c>
      <c r="H415">
        <v>3</v>
      </c>
      <c r="I415">
        <v>2</v>
      </c>
      <c r="J415">
        <v>0.22</v>
      </c>
      <c r="K415">
        <v>0.2576</v>
      </c>
      <c r="L415">
        <v>0.93</v>
      </c>
      <c r="M415">
        <v>8.9599999999999999E-2</v>
      </c>
      <c r="N415">
        <v>0</v>
      </c>
      <c r="O415">
        <v>32</v>
      </c>
      <c r="P415">
        <v>32</v>
      </c>
    </row>
    <row r="416" spans="1:16" x14ac:dyDescent="0.3">
      <c r="A416">
        <v>415</v>
      </c>
      <c r="B416" s="4">
        <v>40562</v>
      </c>
      <c r="C416">
        <v>1</v>
      </c>
      <c r="D416">
        <v>0</v>
      </c>
      <c r="E416">
        <v>1</v>
      </c>
      <c r="F416">
        <v>7</v>
      </c>
      <c r="G416" t="b">
        <v>0</v>
      </c>
      <c r="H416">
        <v>3</v>
      </c>
      <c r="I416">
        <v>2</v>
      </c>
      <c r="J416">
        <v>0.24</v>
      </c>
      <c r="K416">
        <v>0.2576</v>
      </c>
      <c r="L416">
        <v>0.92</v>
      </c>
      <c r="M416">
        <v>0.1045</v>
      </c>
      <c r="N416">
        <v>1</v>
      </c>
      <c r="O416">
        <v>89</v>
      </c>
      <c r="P416">
        <v>90</v>
      </c>
    </row>
    <row r="417" spans="1:16" x14ac:dyDescent="0.3">
      <c r="A417">
        <v>416</v>
      </c>
      <c r="B417" s="4">
        <v>40562</v>
      </c>
      <c r="C417">
        <v>1</v>
      </c>
      <c r="D417">
        <v>0</v>
      </c>
      <c r="E417">
        <v>1</v>
      </c>
      <c r="F417">
        <v>8</v>
      </c>
      <c r="G417" t="b">
        <v>0</v>
      </c>
      <c r="H417">
        <v>3</v>
      </c>
      <c r="I417">
        <v>2</v>
      </c>
      <c r="J417">
        <v>0.24</v>
      </c>
      <c r="K417">
        <v>0.2576</v>
      </c>
      <c r="L417">
        <v>0.93</v>
      </c>
      <c r="M417">
        <v>0.1045</v>
      </c>
      <c r="N417">
        <v>1</v>
      </c>
      <c r="O417">
        <v>196</v>
      </c>
      <c r="P417">
        <v>197</v>
      </c>
    </row>
    <row r="418" spans="1:16" x14ac:dyDescent="0.3">
      <c r="A418">
        <v>417</v>
      </c>
      <c r="B418" s="4">
        <v>40562</v>
      </c>
      <c r="C418">
        <v>1</v>
      </c>
      <c r="D418">
        <v>0</v>
      </c>
      <c r="E418">
        <v>1</v>
      </c>
      <c r="F418">
        <v>9</v>
      </c>
      <c r="G418" t="b">
        <v>0</v>
      </c>
      <c r="H418">
        <v>3</v>
      </c>
      <c r="I418">
        <v>2</v>
      </c>
      <c r="J418">
        <v>0.24</v>
      </c>
      <c r="K418">
        <v>0.2576</v>
      </c>
      <c r="L418">
        <v>0.93</v>
      </c>
      <c r="M418">
        <v>0.1045</v>
      </c>
      <c r="N418">
        <v>2</v>
      </c>
      <c r="O418">
        <v>107</v>
      </c>
      <c r="P418">
        <v>109</v>
      </c>
    </row>
    <row r="419" spans="1:16" x14ac:dyDescent="0.3">
      <c r="A419">
        <v>418</v>
      </c>
      <c r="B419" s="4">
        <v>40562</v>
      </c>
      <c r="C419">
        <v>1</v>
      </c>
      <c r="D419">
        <v>0</v>
      </c>
      <c r="E419">
        <v>1</v>
      </c>
      <c r="F419">
        <v>10</v>
      </c>
      <c r="G419" t="b">
        <v>0</v>
      </c>
      <c r="H419">
        <v>3</v>
      </c>
      <c r="I419">
        <v>2</v>
      </c>
      <c r="J419">
        <v>0.26</v>
      </c>
      <c r="K419">
        <v>0.2727</v>
      </c>
      <c r="L419">
        <v>0.93</v>
      </c>
      <c r="M419">
        <v>0.1343</v>
      </c>
      <c r="N419">
        <v>1</v>
      </c>
      <c r="O419">
        <v>46</v>
      </c>
      <c r="P419">
        <v>47</v>
      </c>
    </row>
    <row r="420" spans="1:16" x14ac:dyDescent="0.3">
      <c r="A420">
        <v>419</v>
      </c>
      <c r="B420" s="4">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3">
      <c r="A421">
        <v>420</v>
      </c>
      <c r="B421" s="4">
        <v>40562</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3">
      <c r="A422">
        <v>421</v>
      </c>
      <c r="B422" s="4">
        <v>40562</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3">
      <c r="A423">
        <v>422</v>
      </c>
      <c r="B423" s="4">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3">
      <c r="A424">
        <v>423</v>
      </c>
      <c r="B424" s="4">
        <v>40562</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3">
      <c r="A425">
        <v>424</v>
      </c>
      <c r="B425" s="4">
        <v>40562</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3">
      <c r="A426">
        <v>425</v>
      </c>
      <c r="B426" s="4">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3">
      <c r="A427">
        <v>426</v>
      </c>
      <c r="B427" s="4">
        <v>40562</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3">
      <c r="A428">
        <v>427</v>
      </c>
      <c r="B428" s="4">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3">
      <c r="A429">
        <v>428</v>
      </c>
      <c r="B429" s="4">
        <v>40562</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3">
      <c r="A430">
        <v>429</v>
      </c>
      <c r="B430" s="4">
        <v>40562</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3">
      <c r="A431">
        <v>430</v>
      </c>
      <c r="B431" s="4">
        <v>40562</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3">
      <c r="A432">
        <v>431</v>
      </c>
      <c r="B432" s="4">
        <v>40562</v>
      </c>
      <c r="C432">
        <v>1</v>
      </c>
      <c r="D432">
        <v>0</v>
      </c>
      <c r="E432">
        <v>1</v>
      </c>
      <c r="F432">
        <v>23</v>
      </c>
      <c r="G432" t="b">
        <v>0</v>
      </c>
      <c r="H432">
        <v>3</v>
      </c>
      <c r="I432">
        <v>1</v>
      </c>
      <c r="J432">
        <v>0.3</v>
      </c>
      <c r="K432">
        <v>0.2727</v>
      </c>
      <c r="L432">
        <v>0.52</v>
      </c>
      <c r="M432">
        <v>0.4627</v>
      </c>
      <c r="N432">
        <v>1</v>
      </c>
      <c r="O432">
        <v>27</v>
      </c>
      <c r="P432">
        <v>28</v>
      </c>
    </row>
    <row r="433" spans="1:16" x14ac:dyDescent="0.3">
      <c r="A433">
        <v>432</v>
      </c>
      <c r="B433" s="4">
        <v>40563</v>
      </c>
      <c r="C433">
        <v>1</v>
      </c>
      <c r="D433">
        <v>0</v>
      </c>
      <c r="E433">
        <v>1</v>
      </c>
      <c r="F433">
        <v>0</v>
      </c>
      <c r="G433" t="b">
        <v>0</v>
      </c>
      <c r="H433">
        <v>4</v>
      </c>
      <c r="I433">
        <v>1</v>
      </c>
      <c r="J433">
        <v>0.26</v>
      </c>
      <c r="K433">
        <v>0.2273</v>
      </c>
      <c r="L433">
        <v>0.56000000000000005</v>
      </c>
      <c r="M433">
        <v>0.3881</v>
      </c>
      <c r="N433">
        <v>5</v>
      </c>
      <c r="O433">
        <v>8</v>
      </c>
      <c r="P433">
        <v>13</v>
      </c>
    </row>
    <row r="434" spans="1:16" x14ac:dyDescent="0.3">
      <c r="A434">
        <v>433</v>
      </c>
      <c r="B434" s="4">
        <v>40563</v>
      </c>
      <c r="C434">
        <v>1</v>
      </c>
      <c r="D434">
        <v>0</v>
      </c>
      <c r="E434">
        <v>1</v>
      </c>
      <c r="F434">
        <v>1</v>
      </c>
      <c r="G434" t="b">
        <v>0</v>
      </c>
      <c r="H434">
        <v>4</v>
      </c>
      <c r="I434">
        <v>1</v>
      </c>
      <c r="J434">
        <v>0.26</v>
      </c>
      <c r="K434">
        <v>0.2727</v>
      </c>
      <c r="L434">
        <v>0.56000000000000005</v>
      </c>
      <c r="M434">
        <v>0</v>
      </c>
      <c r="N434">
        <v>2</v>
      </c>
      <c r="O434">
        <v>3</v>
      </c>
      <c r="P434">
        <v>5</v>
      </c>
    </row>
    <row r="435" spans="1:16" x14ac:dyDescent="0.3">
      <c r="A435">
        <v>434</v>
      </c>
      <c r="B435" s="4">
        <v>40563</v>
      </c>
      <c r="C435">
        <v>1</v>
      </c>
      <c r="D435">
        <v>0</v>
      </c>
      <c r="E435">
        <v>1</v>
      </c>
      <c r="F435">
        <v>2</v>
      </c>
      <c r="G435" t="b">
        <v>0</v>
      </c>
      <c r="H435">
        <v>4</v>
      </c>
      <c r="I435">
        <v>1</v>
      </c>
      <c r="J435">
        <v>0.26</v>
      </c>
      <c r="K435">
        <v>0.2727</v>
      </c>
      <c r="L435">
        <v>0.56000000000000005</v>
      </c>
      <c r="M435">
        <v>0</v>
      </c>
      <c r="N435">
        <v>0</v>
      </c>
      <c r="O435">
        <v>2</v>
      </c>
      <c r="P435">
        <v>2</v>
      </c>
    </row>
    <row r="436" spans="1:16" x14ac:dyDescent="0.3">
      <c r="A436">
        <v>435</v>
      </c>
      <c r="B436" s="4">
        <v>40563</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3">
      <c r="A437">
        <v>436</v>
      </c>
      <c r="B437" s="4">
        <v>40563</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3">
      <c r="A438">
        <v>437</v>
      </c>
      <c r="B438" s="4">
        <v>40563</v>
      </c>
      <c r="C438">
        <v>1</v>
      </c>
      <c r="D438">
        <v>0</v>
      </c>
      <c r="E438">
        <v>1</v>
      </c>
      <c r="F438">
        <v>5</v>
      </c>
      <c r="G438" t="b">
        <v>0</v>
      </c>
      <c r="H438">
        <v>4</v>
      </c>
      <c r="I438">
        <v>1</v>
      </c>
      <c r="J438">
        <v>0.24</v>
      </c>
      <c r="K438">
        <v>0.2273</v>
      </c>
      <c r="L438">
        <v>0.6</v>
      </c>
      <c r="M438">
        <v>0.22389999999999999</v>
      </c>
      <c r="N438">
        <v>0</v>
      </c>
      <c r="O438">
        <v>6</v>
      </c>
      <c r="P438">
        <v>6</v>
      </c>
    </row>
    <row r="439" spans="1:16" x14ac:dyDescent="0.3">
      <c r="A439">
        <v>438</v>
      </c>
      <c r="B439" s="4">
        <v>40563</v>
      </c>
      <c r="C439">
        <v>1</v>
      </c>
      <c r="D439">
        <v>0</v>
      </c>
      <c r="E439">
        <v>1</v>
      </c>
      <c r="F439">
        <v>6</v>
      </c>
      <c r="G439" t="b">
        <v>0</v>
      </c>
      <c r="H439">
        <v>4</v>
      </c>
      <c r="I439">
        <v>1</v>
      </c>
      <c r="J439">
        <v>0.22</v>
      </c>
      <c r="K439">
        <v>0.21210000000000001</v>
      </c>
      <c r="L439">
        <v>0.6</v>
      </c>
      <c r="M439">
        <v>0.22389999999999999</v>
      </c>
      <c r="N439">
        <v>0</v>
      </c>
      <c r="O439">
        <v>35</v>
      </c>
      <c r="P439">
        <v>35</v>
      </c>
    </row>
    <row r="440" spans="1:16" x14ac:dyDescent="0.3">
      <c r="A440">
        <v>439</v>
      </c>
      <c r="B440" s="4">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3">
      <c r="A441">
        <v>440</v>
      </c>
      <c r="B441" s="4">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3">
      <c r="A442">
        <v>441</v>
      </c>
      <c r="B442" s="4">
        <v>40563</v>
      </c>
      <c r="C442">
        <v>1</v>
      </c>
      <c r="D442">
        <v>0</v>
      </c>
      <c r="E442">
        <v>1</v>
      </c>
      <c r="F442">
        <v>9</v>
      </c>
      <c r="G442" t="b">
        <v>0</v>
      </c>
      <c r="H442">
        <v>4</v>
      </c>
      <c r="I442">
        <v>2</v>
      </c>
      <c r="J442">
        <v>0.24</v>
      </c>
      <c r="K442">
        <v>0.2273</v>
      </c>
      <c r="L442">
        <v>0.52</v>
      </c>
      <c r="M442">
        <v>0.22389999999999999</v>
      </c>
      <c r="N442">
        <v>3</v>
      </c>
      <c r="O442">
        <v>140</v>
      </c>
      <c r="P442">
        <v>143</v>
      </c>
    </row>
    <row r="443" spans="1:16" x14ac:dyDescent="0.3">
      <c r="A443">
        <v>442</v>
      </c>
      <c r="B443" s="4">
        <v>40563</v>
      </c>
      <c r="C443">
        <v>1</v>
      </c>
      <c r="D443">
        <v>0</v>
      </c>
      <c r="E443">
        <v>1</v>
      </c>
      <c r="F443">
        <v>10</v>
      </c>
      <c r="G443" t="b">
        <v>0</v>
      </c>
      <c r="H443">
        <v>4</v>
      </c>
      <c r="I443">
        <v>1</v>
      </c>
      <c r="J443">
        <v>0.26</v>
      </c>
      <c r="K443">
        <v>0.2273</v>
      </c>
      <c r="L443">
        <v>0.48</v>
      </c>
      <c r="M443">
        <v>0.29849999999999999</v>
      </c>
      <c r="N443">
        <v>1</v>
      </c>
      <c r="O443">
        <v>56</v>
      </c>
      <c r="P443">
        <v>57</v>
      </c>
    </row>
    <row r="444" spans="1:16" x14ac:dyDescent="0.3">
      <c r="A444">
        <v>443</v>
      </c>
      <c r="B444" s="4">
        <v>40563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3">
      <c r="A445">
        <v>444</v>
      </c>
      <c r="B445" s="4">
        <v>40563</v>
      </c>
      <c r="C445">
        <v>1</v>
      </c>
      <c r="D445">
        <v>0</v>
      </c>
      <c r="E445">
        <v>1</v>
      </c>
      <c r="F445">
        <v>12</v>
      </c>
      <c r="G445" t="b">
        <v>0</v>
      </c>
      <c r="H445">
        <v>4</v>
      </c>
      <c r="I445">
        <v>2</v>
      </c>
      <c r="J445">
        <v>0.3</v>
      </c>
      <c r="K445">
        <v>0.33329999999999999</v>
      </c>
      <c r="L445">
        <v>0.42</v>
      </c>
      <c r="M445">
        <v>0</v>
      </c>
      <c r="N445">
        <v>7</v>
      </c>
      <c r="O445">
        <v>77</v>
      </c>
      <c r="P445">
        <v>84</v>
      </c>
    </row>
    <row r="446" spans="1:16" x14ac:dyDescent="0.3">
      <c r="A446">
        <v>445</v>
      </c>
      <c r="B446" s="4">
        <v>40563</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3">
      <c r="A447">
        <v>446</v>
      </c>
      <c r="B447" s="4">
        <v>40563</v>
      </c>
      <c r="C447">
        <v>1</v>
      </c>
      <c r="D447">
        <v>0</v>
      </c>
      <c r="E447">
        <v>1</v>
      </c>
      <c r="F447">
        <v>14</v>
      </c>
      <c r="G447" t="b">
        <v>0</v>
      </c>
      <c r="H447">
        <v>4</v>
      </c>
      <c r="I447">
        <v>2</v>
      </c>
      <c r="J447">
        <v>0.3</v>
      </c>
      <c r="K447">
        <v>0.30299999999999999</v>
      </c>
      <c r="L447">
        <v>0.45</v>
      </c>
      <c r="M447">
        <v>0.1343</v>
      </c>
      <c r="N447">
        <v>6</v>
      </c>
      <c r="O447">
        <v>75</v>
      </c>
      <c r="P447">
        <v>81</v>
      </c>
    </row>
    <row r="448" spans="1:16" x14ac:dyDescent="0.3">
      <c r="A448">
        <v>447</v>
      </c>
      <c r="B448" s="4">
        <v>40563</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3">
      <c r="A449">
        <v>448</v>
      </c>
      <c r="B449" s="4">
        <v>40563</v>
      </c>
      <c r="C449">
        <v>1</v>
      </c>
      <c r="D449">
        <v>0</v>
      </c>
      <c r="E449">
        <v>1</v>
      </c>
      <c r="F449">
        <v>16</v>
      </c>
      <c r="G449" t="b">
        <v>0</v>
      </c>
      <c r="H449">
        <v>4</v>
      </c>
      <c r="I449">
        <v>2</v>
      </c>
      <c r="J449">
        <v>0.3</v>
      </c>
      <c r="K449">
        <v>0.30299999999999999</v>
      </c>
      <c r="L449">
        <v>0.49</v>
      </c>
      <c r="M449">
        <v>0.1343</v>
      </c>
      <c r="N449">
        <v>8</v>
      </c>
      <c r="O449">
        <v>83</v>
      </c>
      <c r="P449">
        <v>91</v>
      </c>
    </row>
    <row r="450" spans="1:16" x14ac:dyDescent="0.3">
      <c r="A450">
        <v>449</v>
      </c>
      <c r="B450" s="4">
        <v>40563</v>
      </c>
      <c r="C450">
        <v>1</v>
      </c>
      <c r="D450">
        <v>0</v>
      </c>
      <c r="E450">
        <v>1</v>
      </c>
      <c r="F450">
        <v>17</v>
      </c>
      <c r="G450" t="b">
        <v>0</v>
      </c>
      <c r="H450">
        <v>4</v>
      </c>
      <c r="I450">
        <v>2</v>
      </c>
      <c r="J450">
        <v>0.3</v>
      </c>
      <c r="K450">
        <v>0.31819999999999998</v>
      </c>
      <c r="L450">
        <v>0.49</v>
      </c>
      <c r="M450">
        <v>0.1045</v>
      </c>
      <c r="N450">
        <v>8</v>
      </c>
      <c r="O450">
        <v>207</v>
      </c>
      <c r="P450">
        <v>215</v>
      </c>
    </row>
    <row r="451" spans="1:16" x14ac:dyDescent="0.3">
      <c r="A451">
        <v>450</v>
      </c>
      <c r="B451" s="4">
        <v>40563</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3">
      <c r="A452">
        <v>451</v>
      </c>
      <c r="B452" s="4">
        <v>40563</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3">
      <c r="A453">
        <v>452</v>
      </c>
      <c r="B453" s="4">
        <v>40563</v>
      </c>
      <c r="C453">
        <v>1</v>
      </c>
      <c r="D453">
        <v>0</v>
      </c>
      <c r="E453">
        <v>1</v>
      </c>
      <c r="F453">
        <v>20</v>
      </c>
      <c r="G453" t="b">
        <v>0</v>
      </c>
      <c r="H453">
        <v>4</v>
      </c>
      <c r="I453">
        <v>2</v>
      </c>
      <c r="J453">
        <v>0.26</v>
      </c>
      <c r="K453">
        <v>0.2424</v>
      </c>
      <c r="L453">
        <v>0.6</v>
      </c>
      <c r="M453">
        <v>0.28360000000000002</v>
      </c>
      <c r="N453">
        <v>2</v>
      </c>
      <c r="O453">
        <v>124</v>
      </c>
      <c r="P453">
        <v>126</v>
      </c>
    </row>
    <row r="454" spans="1:16" x14ac:dyDescent="0.3">
      <c r="A454">
        <v>453</v>
      </c>
      <c r="B454" s="4">
        <v>40563</v>
      </c>
      <c r="C454">
        <v>1</v>
      </c>
      <c r="D454">
        <v>0</v>
      </c>
      <c r="E454">
        <v>1</v>
      </c>
      <c r="F454">
        <v>21</v>
      </c>
      <c r="G454" t="b">
        <v>0</v>
      </c>
      <c r="H454">
        <v>4</v>
      </c>
      <c r="I454">
        <v>2</v>
      </c>
      <c r="J454">
        <v>0.24</v>
      </c>
      <c r="K454">
        <v>0.2273</v>
      </c>
      <c r="L454">
        <v>0.6</v>
      </c>
      <c r="M454">
        <v>0.25369999999999998</v>
      </c>
      <c r="N454">
        <v>3</v>
      </c>
      <c r="O454">
        <v>54</v>
      </c>
      <c r="P454">
        <v>57</v>
      </c>
    </row>
    <row r="455" spans="1:16" x14ac:dyDescent="0.3">
      <c r="A455">
        <v>454</v>
      </c>
      <c r="B455" s="4">
        <v>40563</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3">
      <c r="A456">
        <v>455</v>
      </c>
      <c r="B456" s="4">
        <v>40563</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3">
      <c r="A457">
        <v>456</v>
      </c>
      <c r="B457" s="4">
        <v>40564</v>
      </c>
      <c r="C457">
        <v>1</v>
      </c>
      <c r="D457">
        <v>0</v>
      </c>
      <c r="E457">
        <v>1</v>
      </c>
      <c r="F457">
        <v>0</v>
      </c>
      <c r="G457" t="b">
        <v>0</v>
      </c>
      <c r="H457">
        <v>5</v>
      </c>
      <c r="I457">
        <v>2</v>
      </c>
      <c r="J457">
        <v>0.24</v>
      </c>
      <c r="K457">
        <v>0.2273</v>
      </c>
      <c r="L457">
        <v>0.7</v>
      </c>
      <c r="M457">
        <v>0.25369999999999998</v>
      </c>
      <c r="N457">
        <v>1</v>
      </c>
      <c r="O457">
        <v>20</v>
      </c>
      <c r="P457">
        <v>21</v>
      </c>
    </row>
    <row r="458" spans="1:16" x14ac:dyDescent="0.3">
      <c r="A458">
        <v>457</v>
      </c>
      <c r="B458" s="4">
        <v>40564</v>
      </c>
      <c r="C458">
        <v>1</v>
      </c>
      <c r="D458">
        <v>0</v>
      </c>
      <c r="E458">
        <v>1</v>
      </c>
      <c r="F458">
        <v>1</v>
      </c>
      <c r="G458" t="b">
        <v>0</v>
      </c>
      <c r="H458">
        <v>5</v>
      </c>
      <c r="I458">
        <v>2</v>
      </c>
      <c r="J458">
        <v>0.24</v>
      </c>
      <c r="K458">
        <v>0.2273</v>
      </c>
      <c r="L458">
        <v>0.7</v>
      </c>
      <c r="M458">
        <v>0.25369999999999998</v>
      </c>
      <c r="N458">
        <v>0</v>
      </c>
      <c r="O458">
        <v>6</v>
      </c>
      <c r="P458">
        <v>6</v>
      </c>
    </row>
    <row r="459" spans="1:16" x14ac:dyDescent="0.3">
      <c r="A459">
        <v>458</v>
      </c>
      <c r="B459" s="4">
        <v>40564</v>
      </c>
      <c r="C459">
        <v>1</v>
      </c>
      <c r="D459">
        <v>0</v>
      </c>
      <c r="E459">
        <v>1</v>
      </c>
      <c r="F459">
        <v>2</v>
      </c>
      <c r="G459" t="b">
        <v>0</v>
      </c>
      <c r="H459">
        <v>5</v>
      </c>
      <c r="I459">
        <v>3</v>
      </c>
      <c r="J459">
        <v>0.24</v>
      </c>
      <c r="K459">
        <v>0.2424</v>
      </c>
      <c r="L459">
        <v>0.75</v>
      </c>
      <c r="M459">
        <v>0.16420000000000001</v>
      </c>
      <c r="N459">
        <v>0</v>
      </c>
      <c r="O459">
        <v>2</v>
      </c>
      <c r="P459">
        <v>2</v>
      </c>
    </row>
    <row r="460" spans="1:16" x14ac:dyDescent="0.3">
      <c r="A460">
        <v>459</v>
      </c>
      <c r="B460" s="4">
        <v>40564</v>
      </c>
      <c r="C460">
        <v>1</v>
      </c>
      <c r="D460">
        <v>0</v>
      </c>
      <c r="E460">
        <v>1</v>
      </c>
      <c r="F460">
        <v>3</v>
      </c>
      <c r="G460" t="b">
        <v>0</v>
      </c>
      <c r="H460">
        <v>5</v>
      </c>
      <c r="I460">
        <v>3</v>
      </c>
      <c r="J460">
        <v>0.22</v>
      </c>
      <c r="K460">
        <v>0.21210000000000001</v>
      </c>
      <c r="L460">
        <v>0.8</v>
      </c>
      <c r="M460">
        <v>0.29849999999999999</v>
      </c>
      <c r="N460">
        <v>0</v>
      </c>
      <c r="O460">
        <v>1</v>
      </c>
      <c r="P460">
        <v>1</v>
      </c>
    </row>
    <row r="461" spans="1:16" x14ac:dyDescent="0.3">
      <c r="A461">
        <v>460</v>
      </c>
      <c r="B461" s="4">
        <v>40564</v>
      </c>
      <c r="C461">
        <v>1</v>
      </c>
      <c r="D461">
        <v>0</v>
      </c>
      <c r="E461">
        <v>1</v>
      </c>
      <c r="F461">
        <v>4</v>
      </c>
      <c r="G461" t="b">
        <v>0</v>
      </c>
      <c r="H461">
        <v>5</v>
      </c>
      <c r="I461">
        <v>2</v>
      </c>
      <c r="J461">
        <v>0.22</v>
      </c>
      <c r="K461">
        <v>0.2576</v>
      </c>
      <c r="L461">
        <v>0.87</v>
      </c>
      <c r="M461">
        <v>8.9599999999999999E-2</v>
      </c>
      <c r="N461">
        <v>0</v>
      </c>
      <c r="O461">
        <v>1</v>
      </c>
      <c r="P461">
        <v>1</v>
      </c>
    </row>
    <row r="462" spans="1:16" x14ac:dyDescent="0.3">
      <c r="A462">
        <v>461</v>
      </c>
      <c r="B462" s="4">
        <v>40564</v>
      </c>
      <c r="C462">
        <v>1</v>
      </c>
      <c r="D462">
        <v>0</v>
      </c>
      <c r="E462">
        <v>1</v>
      </c>
      <c r="F462">
        <v>5</v>
      </c>
      <c r="G462" t="b">
        <v>0</v>
      </c>
      <c r="H462">
        <v>5</v>
      </c>
      <c r="I462">
        <v>1</v>
      </c>
      <c r="J462">
        <v>0.24</v>
      </c>
      <c r="K462">
        <v>0.19700000000000001</v>
      </c>
      <c r="L462">
        <v>0.6</v>
      </c>
      <c r="M462">
        <v>0.41789999999999999</v>
      </c>
      <c r="N462">
        <v>1</v>
      </c>
      <c r="O462">
        <v>4</v>
      </c>
      <c r="P462">
        <v>5</v>
      </c>
    </row>
    <row r="463" spans="1:16" x14ac:dyDescent="0.3">
      <c r="A463">
        <v>462</v>
      </c>
      <c r="B463" s="4">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3">
      <c r="A464">
        <v>463</v>
      </c>
      <c r="B464" s="4">
        <v>40564</v>
      </c>
      <c r="C464">
        <v>1</v>
      </c>
      <c r="D464">
        <v>0</v>
      </c>
      <c r="E464">
        <v>1</v>
      </c>
      <c r="F464">
        <v>7</v>
      </c>
      <c r="G464" t="b">
        <v>0</v>
      </c>
      <c r="H464">
        <v>5</v>
      </c>
      <c r="I464">
        <v>1</v>
      </c>
      <c r="J464">
        <v>0.2</v>
      </c>
      <c r="K464">
        <v>0.18179999999999999</v>
      </c>
      <c r="L464">
        <v>0.51</v>
      </c>
      <c r="M464">
        <v>0.28360000000000002</v>
      </c>
      <c r="N464">
        <v>2</v>
      </c>
      <c r="O464">
        <v>66</v>
      </c>
      <c r="P464">
        <v>68</v>
      </c>
    </row>
    <row r="465" spans="1:16" x14ac:dyDescent="0.3">
      <c r="A465">
        <v>464</v>
      </c>
      <c r="B465" s="4">
        <v>40564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3">
      <c r="A466">
        <v>465</v>
      </c>
      <c r="B466" s="4">
        <v>40564</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3">
      <c r="A467">
        <v>466</v>
      </c>
      <c r="B467" s="4">
        <v>40564</v>
      </c>
      <c r="C467">
        <v>1</v>
      </c>
      <c r="D467">
        <v>0</v>
      </c>
      <c r="E467">
        <v>1</v>
      </c>
      <c r="F467">
        <v>10</v>
      </c>
      <c r="G467" t="b">
        <v>0</v>
      </c>
      <c r="H467">
        <v>5</v>
      </c>
      <c r="I467">
        <v>1</v>
      </c>
      <c r="J467">
        <v>0.2</v>
      </c>
      <c r="K467">
        <v>0.16669999999999999</v>
      </c>
      <c r="L467">
        <v>0.47</v>
      </c>
      <c r="M467">
        <v>0.4627</v>
      </c>
      <c r="N467">
        <v>6</v>
      </c>
      <c r="O467">
        <v>57</v>
      </c>
      <c r="P467">
        <v>63</v>
      </c>
    </row>
    <row r="468" spans="1:16" x14ac:dyDescent="0.3">
      <c r="A468">
        <v>467</v>
      </c>
      <c r="B468" s="4">
        <v>40564</v>
      </c>
      <c r="C468">
        <v>1</v>
      </c>
      <c r="D468">
        <v>0</v>
      </c>
      <c r="E468">
        <v>1</v>
      </c>
      <c r="F468">
        <v>11</v>
      </c>
      <c r="G468" t="b">
        <v>0</v>
      </c>
      <c r="H468">
        <v>5</v>
      </c>
      <c r="I468">
        <v>1</v>
      </c>
      <c r="J468">
        <v>0.22</v>
      </c>
      <c r="K468">
        <v>0.18179999999999999</v>
      </c>
      <c r="L468">
        <v>0.41</v>
      </c>
      <c r="M468">
        <v>0.4627</v>
      </c>
      <c r="N468">
        <v>6</v>
      </c>
      <c r="O468">
        <v>53</v>
      </c>
      <c r="P468">
        <v>59</v>
      </c>
    </row>
    <row r="469" spans="1:16" x14ac:dyDescent="0.3">
      <c r="A469">
        <v>468</v>
      </c>
      <c r="B469" s="4">
        <v>40564</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3">
      <c r="A470">
        <v>469</v>
      </c>
      <c r="B470" s="4">
        <v>40564</v>
      </c>
      <c r="C470">
        <v>1</v>
      </c>
      <c r="D470">
        <v>0</v>
      </c>
      <c r="E470">
        <v>1</v>
      </c>
      <c r="F470">
        <v>13</v>
      </c>
      <c r="G470" t="b">
        <v>0</v>
      </c>
      <c r="H470">
        <v>5</v>
      </c>
      <c r="I470">
        <v>1</v>
      </c>
      <c r="J470">
        <v>0.2</v>
      </c>
      <c r="K470">
        <v>0.1515</v>
      </c>
      <c r="L470">
        <v>0.21</v>
      </c>
      <c r="M470">
        <v>0.58209999999999995</v>
      </c>
      <c r="N470">
        <v>8</v>
      </c>
      <c r="O470">
        <v>65</v>
      </c>
      <c r="P470">
        <v>73</v>
      </c>
    </row>
    <row r="471" spans="1:16" x14ac:dyDescent="0.3">
      <c r="A471">
        <v>470</v>
      </c>
      <c r="B471" s="4">
        <v>40564</v>
      </c>
      <c r="C471">
        <v>1</v>
      </c>
      <c r="D471">
        <v>0</v>
      </c>
      <c r="E471">
        <v>1</v>
      </c>
      <c r="F471">
        <v>14</v>
      </c>
      <c r="G471" t="b">
        <v>0</v>
      </c>
      <c r="H471">
        <v>5</v>
      </c>
      <c r="I471">
        <v>1</v>
      </c>
      <c r="J471">
        <v>0.2</v>
      </c>
      <c r="K471">
        <v>0.1515</v>
      </c>
      <c r="L471">
        <v>0.25</v>
      </c>
      <c r="M471">
        <v>0.52239999999999998</v>
      </c>
      <c r="N471">
        <v>6</v>
      </c>
      <c r="O471">
        <v>56</v>
      </c>
      <c r="P471">
        <v>62</v>
      </c>
    </row>
    <row r="472" spans="1:16" x14ac:dyDescent="0.3">
      <c r="A472">
        <v>471</v>
      </c>
      <c r="B472" s="4">
        <v>40564</v>
      </c>
      <c r="C472">
        <v>1</v>
      </c>
      <c r="D472">
        <v>0</v>
      </c>
      <c r="E472">
        <v>1</v>
      </c>
      <c r="F472">
        <v>15</v>
      </c>
      <c r="G472" t="b">
        <v>0</v>
      </c>
      <c r="H472">
        <v>5</v>
      </c>
      <c r="I472">
        <v>1</v>
      </c>
      <c r="J472">
        <v>0.16</v>
      </c>
      <c r="K472">
        <v>0.1212</v>
      </c>
      <c r="L472">
        <v>0.26</v>
      </c>
      <c r="M472">
        <v>0.44779999999999998</v>
      </c>
      <c r="N472">
        <v>4</v>
      </c>
      <c r="O472">
        <v>61</v>
      </c>
      <c r="P472">
        <v>65</v>
      </c>
    </row>
    <row r="473" spans="1:16" x14ac:dyDescent="0.3">
      <c r="A473">
        <v>472</v>
      </c>
      <c r="B473" s="4">
        <v>40564</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3">
      <c r="A474">
        <v>473</v>
      </c>
      <c r="B474" s="4">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3">
      <c r="A475">
        <v>474</v>
      </c>
      <c r="B475" s="4">
        <v>40564</v>
      </c>
      <c r="C475">
        <v>1</v>
      </c>
      <c r="D475">
        <v>0</v>
      </c>
      <c r="E475">
        <v>1</v>
      </c>
      <c r="F475">
        <v>18</v>
      </c>
      <c r="G475" t="b">
        <v>0</v>
      </c>
      <c r="H475">
        <v>5</v>
      </c>
      <c r="I475">
        <v>1</v>
      </c>
      <c r="J475">
        <v>0.12</v>
      </c>
      <c r="K475">
        <v>0.1212</v>
      </c>
      <c r="L475">
        <v>0.3</v>
      </c>
      <c r="M475">
        <v>0.25369999999999998</v>
      </c>
      <c r="N475">
        <v>1</v>
      </c>
      <c r="O475">
        <v>119</v>
      </c>
      <c r="P475">
        <v>120</v>
      </c>
    </row>
    <row r="476" spans="1:16" x14ac:dyDescent="0.3">
      <c r="A476">
        <v>475</v>
      </c>
      <c r="B476" s="4">
        <v>40564</v>
      </c>
      <c r="C476">
        <v>1</v>
      </c>
      <c r="D476">
        <v>0</v>
      </c>
      <c r="E476">
        <v>1</v>
      </c>
      <c r="F476">
        <v>19</v>
      </c>
      <c r="G476" t="b">
        <v>0</v>
      </c>
      <c r="H476">
        <v>5</v>
      </c>
      <c r="I476">
        <v>1</v>
      </c>
      <c r="J476">
        <v>0.12</v>
      </c>
      <c r="K476">
        <v>0.1061</v>
      </c>
      <c r="L476">
        <v>0.3</v>
      </c>
      <c r="M476">
        <v>0.32840000000000003</v>
      </c>
      <c r="N476">
        <v>3</v>
      </c>
      <c r="O476">
        <v>93</v>
      </c>
      <c r="P476">
        <v>96</v>
      </c>
    </row>
    <row r="477" spans="1:16" x14ac:dyDescent="0.3">
      <c r="A477">
        <v>476</v>
      </c>
      <c r="B477" s="4">
        <v>40564</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3">
      <c r="A478">
        <v>477</v>
      </c>
      <c r="B478" s="4">
        <v>40564</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3">
      <c r="A479">
        <v>478</v>
      </c>
      <c r="B479" s="4">
        <v>40564</v>
      </c>
      <c r="C479">
        <v>1</v>
      </c>
      <c r="D479">
        <v>0</v>
      </c>
      <c r="E479">
        <v>1</v>
      </c>
      <c r="F479">
        <v>22</v>
      </c>
      <c r="G479" t="b">
        <v>0</v>
      </c>
      <c r="H479">
        <v>5</v>
      </c>
      <c r="I479">
        <v>1</v>
      </c>
      <c r="J479">
        <v>0.06</v>
      </c>
      <c r="K479">
        <v>3.0300000000000001E-2</v>
      </c>
      <c r="L479">
        <v>0.41</v>
      </c>
      <c r="M479">
        <v>0.3881</v>
      </c>
      <c r="N479">
        <v>1</v>
      </c>
      <c r="O479">
        <v>33</v>
      </c>
      <c r="P479">
        <v>34</v>
      </c>
    </row>
    <row r="480" spans="1:16" x14ac:dyDescent="0.3">
      <c r="A480">
        <v>479</v>
      </c>
      <c r="B480" s="4">
        <v>40564</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3">
      <c r="A481">
        <v>480</v>
      </c>
      <c r="B481" s="4">
        <v>40565</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3">
      <c r="A482">
        <v>481</v>
      </c>
      <c r="B482" s="4">
        <v>40565</v>
      </c>
      <c r="C482">
        <v>1</v>
      </c>
      <c r="D482">
        <v>0</v>
      </c>
      <c r="E482">
        <v>1</v>
      </c>
      <c r="F482">
        <v>1</v>
      </c>
      <c r="G482" t="b">
        <v>0</v>
      </c>
      <c r="H482">
        <v>6</v>
      </c>
      <c r="I482">
        <v>2</v>
      </c>
      <c r="J482">
        <v>0.04</v>
      </c>
      <c r="K482">
        <v>0</v>
      </c>
      <c r="L482">
        <v>0.41</v>
      </c>
      <c r="M482">
        <v>0.3881</v>
      </c>
      <c r="N482">
        <v>3</v>
      </c>
      <c r="O482">
        <v>9</v>
      </c>
      <c r="P482">
        <v>12</v>
      </c>
    </row>
    <row r="483" spans="1:16" x14ac:dyDescent="0.3">
      <c r="A483">
        <v>482</v>
      </c>
      <c r="B483" s="4">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3">
      <c r="A484">
        <v>483</v>
      </c>
      <c r="B484" s="4">
        <v>40565</v>
      </c>
      <c r="C484">
        <v>1</v>
      </c>
      <c r="D484">
        <v>0</v>
      </c>
      <c r="E484">
        <v>1</v>
      </c>
      <c r="F484">
        <v>3</v>
      </c>
      <c r="G484" t="b">
        <v>0</v>
      </c>
      <c r="H484">
        <v>6</v>
      </c>
      <c r="I484">
        <v>2</v>
      </c>
      <c r="J484">
        <v>0.04</v>
      </c>
      <c r="K484">
        <v>3.0300000000000001E-2</v>
      </c>
      <c r="L484">
        <v>0.41</v>
      </c>
      <c r="M484">
        <v>0.28360000000000002</v>
      </c>
      <c r="N484">
        <v>1</v>
      </c>
      <c r="O484">
        <v>6</v>
      </c>
      <c r="P484">
        <v>7</v>
      </c>
    </row>
    <row r="485" spans="1:16" x14ac:dyDescent="0.3">
      <c r="A485">
        <v>484</v>
      </c>
      <c r="B485" s="4">
        <v>40565</v>
      </c>
      <c r="C485">
        <v>1</v>
      </c>
      <c r="D485">
        <v>0</v>
      </c>
      <c r="E485">
        <v>1</v>
      </c>
      <c r="F485">
        <v>4</v>
      </c>
      <c r="G485" t="b">
        <v>0</v>
      </c>
      <c r="H485">
        <v>6</v>
      </c>
      <c r="I485">
        <v>2</v>
      </c>
      <c r="J485">
        <v>0.02</v>
      </c>
      <c r="K485">
        <v>1.52E-2</v>
      </c>
      <c r="L485">
        <v>0.48</v>
      </c>
      <c r="M485">
        <v>0.29849999999999999</v>
      </c>
      <c r="N485">
        <v>0</v>
      </c>
      <c r="O485">
        <v>3</v>
      </c>
      <c r="P485">
        <v>3</v>
      </c>
    </row>
    <row r="486" spans="1:16" x14ac:dyDescent="0.3">
      <c r="A486">
        <v>485</v>
      </c>
      <c r="B486" s="4">
        <v>40565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3">
      <c r="A487">
        <v>486</v>
      </c>
      <c r="B487" s="4">
        <v>40565</v>
      </c>
      <c r="C487">
        <v>1</v>
      </c>
      <c r="D487">
        <v>0</v>
      </c>
      <c r="E487">
        <v>1</v>
      </c>
      <c r="F487">
        <v>7</v>
      </c>
      <c r="G487" t="b">
        <v>0</v>
      </c>
      <c r="H487">
        <v>6</v>
      </c>
      <c r="I487">
        <v>1</v>
      </c>
      <c r="J487">
        <v>0.02</v>
      </c>
      <c r="K487">
        <v>1.52E-2</v>
      </c>
      <c r="L487">
        <v>0.44</v>
      </c>
      <c r="M487">
        <v>0.28360000000000002</v>
      </c>
      <c r="N487">
        <v>0</v>
      </c>
      <c r="O487">
        <v>8</v>
      </c>
      <c r="P487">
        <v>8</v>
      </c>
    </row>
    <row r="488" spans="1:16" x14ac:dyDescent="0.3">
      <c r="A488">
        <v>487</v>
      </c>
      <c r="B488" s="4">
        <v>40565</v>
      </c>
      <c r="C488">
        <v>1</v>
      </c>
      <c r="D488">
        <v>0</v>
      </c>
      <c r="E488">
        <v>1</v>
      </c>
      <c r="F488">
        <v>8</v>
      </c>
      <c r="G488" t="b">
        <v>0</v>
      </c>
      <c r="H488">
        <v>6</v>
      </c>
      <c r="I488">
        <v>1</v>
      </c>
      <c r="J488">
        <v>0.02</v>
      </c>
      <c r="K488">
        <v>0</v>
      </c>
      <c r="L488">
        <v>0.44</v>
      </c>
      <c r="M488">
        <v>0.32840000000000003</v>
      </c>
      <c r="N488">
        <v>1</v>
      </c>
      <c r="O488">
        <v>26</v>
      </c>
      <c r="P488">
        <v>27</v>
      </c>
    </row>
    <row r="489" spans="1:16" x14ac:dyDescent="0.3">
      <c r="A489">
        <v>488</v>
      </c>
      <c r="B489" s="4">
        <v>40565</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3">
      <c r="A490">
        <v>489</v>
      </c>
      <c r="B490" s="4">
        <v>40565</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3">
      <c r="A491">
        <v>490</v>
      </c>
      <c r="B491" s="4">
        <v>40565</v>
      </c>
      <c r="C491">
        <v>1</v>
      </c>
      <c r="D491">
        <v>0</v>
      </c>
      <c r="E491">
        <v>1</v>
      </c>
      <c r="F491">
        <v>11</v>
      </c>
      <c r="G491" t="b">
        <v>0</v>
      </c>
      <c r="H491">
        <v>6</v>
      </c>
      <c r="I491">
        <v>2</v>
      </c>
      <c r="J491">
        <v>0.06</v>
      </c>
      <c r="K491">
        <v>7.5800000000000006E-2</v>
      </c>
      <c r="L491">
        <v>0.38</v>
      </c>
      <c r="M491">
        <v>0.1343</v>
      </c>
      <c r="N491">
        <v>4</v>
      </c>
      <c r="O491">
        <v>59</v>
      </c>
      <c r="P491">
        <v>63</v>
      </c>
    </row>
    <row r="492" spans="1:16" x14ac:dyDescent="0.3">
      <c r="A492">
        <v>491</v>
      </c>
      <c r="B492" s="4">
        <v>40565</v>
      </c>
      <c r="C492">
        <v>1</v>
      </c>
      <c r="D492">
        <v>0</v>
      </c>
      <c r="E492">
        <v>1</v>
      </c>
      <c r="F492">
        <v>12</v>
      </c>
      <c r="G492" t="b">
        <v>0</v>
      </c>
      <c r="H492">
        <v>6</v>
      </c>
      <c r="I492">
        <v>2</v>
      </c>
      <c r="J492">
        <v>0.06</v>
      </c>
      <c r="K492">
        <v>0.1061</v>
      </c>
      <c r="L492">
        <v>0.38</v>
      </c>
      <c r="M492">
        <v>0.1045</v>
      </c>
      <c r="N492">
        <v>10</v>
      </c>
      <c r="O492">
        <v>60</v>
      </c>
      <c r="P492">
        <v>70</v>
      </c>
    </row>
    <row r="493" spans="1:16" x14ac:dyDescent="0.3">
      <c r="A493">
        <v>492</v>
      </c>
      <c r="B493" s="4">
        <v>40565</v>
      </c>
      <c r="C493">
        <v>1</v>
      </c>
      <c r="D493">
        <v>0</v>
      </c>
      <c r="E493">
        <v>1</v>
      </c>
      <c r="F493">
        <v>13</v>
      </c>
      <c r="G493" t="b">
        <v>0</v>
      </c>
      <c r="H493">
        <v>6</v>
      </c>
      <c r="I493">
        <v>1</v>
      </c>
      <c r="J493">
        <v>0.08</v>
      </c>
      <c r="K493">
        <v>0.16669999999999999</v>
      </c>
      <c r="L493">
        <v>0.35</v>
      </c>
      <c r="M493">
        <v>0</v>
      </c>
      <c r="N493">
        <v>12</v>
      </c>
      <c r="O493">
        <v>72</v>
      </c>
      <c r="P493">
        <v>84</v>
      </c>
    </row>
    <row r="494" spans="1:16" x14ac:dyDescent="0.3">
      <c r="A494">
        <v>493</v>
      </c>
      <c r="B494" s="4">
        <v>40565</v>
      </c>
      <c r="C494">
        <v>1</v>
      </c>
      <c r="D494">
        <v>0</v>
      </c>
      <c r="E494">
        <v>1</v>
      </c>
      <c r="F494">
        <v>14</v>
      </c>
      <c r="G494" t="b">
        <v>0</v>
      </c>
      <c r="H494">
        <v>6</v>
      </c>
      <c r="I494">
        <v>1</v>
      </c>
      <c r="J494">
        <v>0.1</v>
      </c>
      <c r="K494">
        <v>0.13639999999999999</v>
      </c>
      <c r="L494">
        <v>0.33</v>
      </c>
      <c r="M494">
        <v>0.1045</v>
      </c>
      <c r="N494">
        <v>11</v>
      </c>
      <c r="O494">
        <v>64</v>
      </c>
      <c r="P494">
        <v>75</v>
      </c>
    </row>
    <row r="495" spans="1:16" x14ac:dyDescent="0.3">
      <c r="A495">
        <v>494</v>
      </c>
      <c r="B495" s="4">
        <v>40565</v>
      </c>
      <c r="C495">
        <v>1</v>
      </c>
      <c r="D495">
        <v>0</v>
      </c>
      <c r="E495">
        <v>1</v>
      </c>
      <c r="F495">
        <v>15</v>
      </c>
      <c r="G495" t="b">
        <v>0</v>
      </c>
      <c r="H495">
        <v>6</v>
      </c>
      <c r="I495">
        <v>1</v>
      </c>
      <c r="J495">
        <v>0.12</v>
      </c>
      <c r="K495">
        <v>0.1515</v>
      </c>
      <c r="L495">
        <v>0.28000000000000003</v>
      </c>
      <c r="M495">
        <v>0</v>
      </c>
      <c r="N495">
        <v>10</v>
      </c>
      <c r="O495">
        <v>93</v>
      </c>
      <c r="P495">
        <v>103</v>
      </c>
    </row>
    <row r="496" spans="1:16" x14ac:dyDescent="0.3">
      <c r="A496">
        <v>495</v>
      </c>
      <c r="B496" s="4">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3">
      <c r="A497">
        <v>496</v>
      </c>
      <c r="B497" s="4">
        <v>40565</v>
      </c>
      <c r="C497">
        <v>1</v>
      </c>
      <c r="D497">
        <v>0</v>
      </c>
      <c r="E497">
        <v>1</v>
      </c>
      <c r="F497">
        <v>17</v>
      </c>
      <c r="G497" t="b">
        <v>0</v>
      </c>
      <c r="H497">
        <v>6</v>
      </c>
      <c r="I497">
        <v>1</v>
      </c>
      <c r="J497">
        <v>0.12</v>
      </c>
      <c r="K497">
        <v>0.19700000000000001</v>
      </c>
      <c r="L497">
        <v>0.28000000000000003</v>
      </c>
      <c r="M497">
        <v>0</v>
      </c>
      <c r="N497">
        <v>8</v>
      </c>
      <c r="O497">
        <v>59</v>
      </c>
      <c r="P497">
        <v>67</v>
      </c>
    </row>
    <row r="498" spans="1:16" x14ac:dyDescent="0.3">
      <c r="A498">
        <v>497</v>
      </c>
      <c r="B498" s="4">
        <v>40565</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3">
      <c r="A499">
        <v>498</v>
      </c>
      <c r="B499" s="4">
        <v>40565</v>
      </c>
      <c r="C499">
        <v>1</v>
      </c>
      <c r="D499">
        <v>0</v>
      </c>
      <c r="E499">
        <v>1</v>
      </c>
      <c r="F499">
        <v>19</v>
      </c>
      <c r="G499" t="b">
        <v>0</v>
      </c>
      <c r="H499">
        <v>6</v>
      </c>
      <c r="I499">
        <v>1</v>
      </c>
      <c r="J499">
        <v>0.08</v>
      </c>
      <c r="K499">
        <v>0.1061</v>
      </c>
      <c r="L499">
        <v>0.35</v>
      </c>
      <c r="M499">
        <v>0.1343</v>
      </c>
      <c r="N499">
        <v>6</v>
      </c>
      <c r="O499">
        <v>53</v>
      </c>
      <c r="P499">
        <v>59</v>
      </c>
    </row>
    <row r="500" spans="1:16" x14ac:dyDescent="0.3">
      <c r="A500">
        <v>499</v>
      </c>
      <c r="B500" s="4">
        <v>40565</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3">
      <c r="A501">
        <v>500</v>
      </c>
      <c r="B501" s="4">
        <v>40565</v>
      </c>
      <c r="C501">
        <v>1</v>
      </c>
      <c r="D501">
        <v>0</v>
      </c>
      <c r="E501">
        <v>1</v>
      </c>
      <c r="F501">
        <v>21</v>
      </c>
      <c r="G501" t="b">
        <v>0</v>
      </c>
      <c r="H501">
        <v>6</v>
      </c>
      <c r="I501">
        <v>1</v>
      </c>
      <c r="J501">
        <v>0.06</v>
      </c>
      <c r="K501">
        <v>0.1061</v>
      </c>
      <c r="L501">
        <v>0.41</v>
      </c>
      <c r="M501">
        <v>8.9599999999999999E-2</v>
      </c>
      <c r="N501">
        <v>0</v>
      </c>
      <c r="O501">
        <v>39</v>
      </c>
      <c r="P501">
        <v>39</v>
      </c>
    </row>
    <row r="502" spans="1:16" x14ac:dyDescent="0.3">
      <c r="A502">
        <v>501</v>
      </c>
      <c r="B502" s="4">
        <v>40565</v>
      </c>
      <c r="C502">
        <v>1</v>
      </c>
      <c r="D502">
        <v>0</v>
      </c>
      <c r="E502">
        <v>1</v>
      </c>
      <c r="F502">
        <v>22</v>
      </c>
      <c r="G502" t="b">
        <v>0</v>
      </c>
      <c r="H502">
        <v>6</v>
      </c>
      <c r="I502">
        <v>1</v>
      </c>
      <c r="J502">
        <v>0.06</v>
      </c>
      <c r="K502">
        <v>0.1515</v>
      </c>
      <c r="L502">
        <v>0.49</v>
      </c>
      <c r="M502">
        <v>0</v>
      </c>
      <c r="N502">
        <v>7</v>
      </c>
      <c r="O502">
        <v>23</v>
      </c>
      <c r="P502">
        <v>30</v>
      </c>
    </row>
    <row r="503" spans="1:16" x14ac:dyDescent="0.3">
      <c r="A503">
        <v>502</v>
      </c>
      <c r="B503" s="4">
        <v>40565</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3">
      <c r="A504">
        <v>503</v>
      </c>
      <c r="B504" s="4">
        <v>40566</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3">
      <c r="A505">
        <v>504</v>
      </c>
      <c r="B505" s="4">
        <v>40566</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3">
      <c r="A506">
        <v>505</v>
      </c>
      <c r="B506" s="4">
        <v>40566</v>
      </c>
      <c r="C506">
        <v>1</v>
      </c>
      <c r="D506">
        <v>0</v>
      </c>
      <c r="E506">
        <v>1</v>
      </c>
      <c r="F506">
        <v>2</v>
      </c>
      <c r="G506" t="b">
        <v>0</v>
      </c>
      <c r="H506">
        <v>0</v>
      </c>
      <c r="I506">
        <v>1</v>
      </c>
      <c r="J506">
        <v>0.02</v>
      </c>
      <c r="K506">
        <v>6.0600000000000001E-2</v>
      </c>
      <c r="L506">
        <v>0.62</v>
      </c>
      <c r="M506">
        <v>0.1343</v>
      </c>
      <c r="N506">
        <v>3</v>
      </c>
      <c r="O506">
        <v>15</v>
      </c>
      <c r="P506">
        <v>18</v>
      </c>
    </row>
    <row r="507" spans="1:16" x14ac:dyDescent="0.3">
      <c r="A507">
        <v>506</v>
      </c>
      <c r="B507" s="4">
        <v>40566</v>
      </c>
      <c r="C507">
        <v>1</v>
      </c>
      <c r="D507">
        <v>0</v>
      </c>
      <c r="E507">
        <v>1</v>
      </c>
      <c r="F507">
        <v>3</v>
      </c>
      <c r="G507" t="b">
        <v>0</v>
      </c>
      <c r="H507">
        <v>0</v>
      </c>
      <c r="I507">
        <v>1</v>
      </c>
      <c r="J507">
        <v>0.02</v>
      </c>
      <c r="K507">
        <v>6.0600000000000001E-2</v>
      </c>
      <c r="L507">
        <v>0.62</v>
      </c>
      <c r="M507">
        <v>0.1343</v>
      </c>
      <c r="N507">
        <v>1</v>
      </c>
      <c r="O507">
        <v>4</v>
      </c>
      <c r="P507">
        <v>5</v>
      </c>
    </row>
    <row r="508" spans="1:16" x14ac:dyDescent="0.3">
      <c r="A508">
        <v>507</v>
      </c>
      <c r="B508" s="4">
        <v>40566</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3">
      <c r="A509">
        <v>508</v>
      </c>
      <c r="B509" s="4">
        <v>40566</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3">
      <c r="A510">
        <v>509</v>
      </c>
      <c r="B510" s="4">
        <v>40566</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3">
      <c r="A511">
        <v>510</v>
      </c>
      <c r="B511" s="4">
        <v>40566</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3">
      <c r="A512">
        <v>511</v>
      </c>
      <c r="B512" s="4">
        <v>40566</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3">
      <c r="A513">
        <v>512</v>
      </c>
      <c r="B513" s="4">
        <v>40566</v>
      </c>
      <c r="C513">
        <v>1</v>
      </c>
      <c r="D513">
        <v>0</v>
      </c>
      <c r="E513">
        <v>1</v>
      </c>
      <c r="F513">
        <v>10</v>
      </c>
      <c r="G513" t="b">
        <v>0</v>
      </c>
      <c r="H513">
        <v>0</v>
      </c>
      <c r="I513">
        <v>1</v>
      </c>
      <c r="J513">
        <v>0.14000000000000001</v>
      </c>
      <c r="K513">
        <v>0.1061</v>
      </c>
      <c r="L513">
        <v>0.46</v>
      </c>
      <c r="M513">
        <v>0.3881</v>
      </c>
      <c r="N513">
        <v>7</v>
      </c>
      <c r="O513">
        <v>51</v>
      </c>
      <c r="P513">
        <v>58</v>
      </c>
    </row>
    <row r="514" spans="1:16" x14ac:dyDescent="0.3">
      <c r="A514">
        <v>513</v>
      </c>
      <c r="B514" s="4">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3">
      <c r="A515">
        <v>514</v>
      </c>
      <c r="B515" s="4">
        <v>40566</v>
      </c>
      <c r="C515">
        <v>1</v>
      </c>
      <c r="D515">
        <v>0</v>
      </c>
      <c r="E515">
        <v>1</v>
      </c>
      <c r="F515">
        <v>12</v>
      </c>
      <c r="G515" t="b">
        <v>0</v>
      </c>
      <c r="H515">
        <v>0</v>
      </c>
      <c r="I515">
        <v>1</v>
      </c>
      <c r="J515">
        <v>0.16</v>
      </c>
      <c r="K515">
        <v>0.1212</v>
      </c>
      <c r="L515">
        <v>0.37</v>
      </c>
      <c r="M515">
        <v>0.4627</v>
      </c>
      <c r="N515">
        <v>24</v>
      </c>
      <c r="O515">
        <v>92</v>
      </c>
      <c r="P515">
        <v>116</v>
      </c>
    </row>
    <row r="516" spans="1:16" x14ac:dyDescent="0.3">
      <c r="A516">
        <v>515</v>
      </c>
      <c r="B516" s="4">
        <v>40566</v>
      </c>
      <c r="C516">
        <v>1</v>
      </c>
      <c r="D516">
        <v>0</v>
      </c>
      <c r="E516">
        <v>1</v>
      </c>
      <c r="F516">
        <v>13</v>
      </c>
      <c r="G516" t="b">
        <v>0</v>
      </c>
      <c r="H516">
        <v>0</v>
      </c>
      <c r="I516">
        <v>1</v>
      </c>
      <c r="J516">
        <v>0.14000000000000001</v>
      </c>
      <c r="K516">
        <v>0.1061</v>
      </c>
      <c r="L516">
        <v>0.33</v>
      </c>
      <c r="M516">
        <v>0.3881</v>
      </c>
      <c r="N516">
        <v>12</v>
      </c>
      <c r="O516">
        <v>75</v>
      </c>
      <c r="P516">
        <v>87</v>
      </c>
    </row>
    <row r="517" spans="1:16" x14ac:dyDescent="0.3">
      <c r="A517">
        <v>516</v>
      </c>
      <c r="B517" s="4">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3">
      <c r="A518">
        <v>517</v>
      </c>
      <c r="B518" s="4">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3">
      <c r="A519">
        <v>518</v>
      </c>
      <c r="B519" s="4">
        <v>40566</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3">
      <c r="A520">
        <v>519</v>
      </c>
      <c r="B520" s="4">
        <v>40566</v>
      </c>
      <c r="C520">
        <v>1</v>
      </c>
      <c r="D520">
        <v>0</v>
      </c>
      <c r="E520">
        <v>1</v>
      </c>
      <c r="F520">
        <v>17</v>
      </c>
      <c r="G520" t="b">
        <v>0</v>
      </c>
      <c r="H520">
        <v>0</v>
      </c>
      <c r="I520">
        <v>1</v>
      </c>
      <c r="J520">
        <v>0.14000000000000001</v>
      </c>
      <c r="K520">
        <v>0.1061</v>
      </c>
      <c r="L520">
        <v>0.26</v>
      </c>
      <c r="M520">
        <v>0.3881</v>
      </c>
      <c r="N520">
        <v>5</v>
      </c>
      <c r="O520">
        <v>50</v>
      </c>
      <c r="P520">
        <v>55</v>
      </c>
    </row>
    <row r="521" spans="1:16" x14ac:dyDescent="0.3">
      <c r="A521">
        <v>520</v>
      </c>
      <c r="B521" s="4">
        <v>40566</v>
      </c>
      <c r="C521">
        <v>1</v>
      </c>
      <c r="D521">
        <v>0</v>
      </c>
      <c r="E521">
        <v>1</v>
      </c>
      <c r="F521">
        <v>18</v>
      </c>
      <c r="G521" t="b">
        <v>0</v>
      </c>
      <c r="H521">
        <v>0</v>
      </c>
      <c r="I521">
        <v>1</v>
      </c>
      <c r="J521">
        <v>0.12</v>
      </c>
      <c r="K521">
        <v>0.1212</v>
      </c>
      <c r="L521">
        <v>0.3</v>
      </c>
      <c r="M521">
        <v>0.25369999999999998</v>
      </c>
      <c r="N521">
        <v>5</v>
      </c>
      <c r="O521">
        <v>44</v>
      </c>
      <c r="P521">
        <v>49</v>
      </c>
    </row>
    <row r="522" spans="1:16" x14ac:dyDescent="0.3">
      <c r="A522">
        <v>521</v>
      </c>
      <c r="B522" s="4">
        <v>40566</v>
      </c>
      <c r="C522">
        <v>1</v>
      </c>
      <c r="D522">
        <v>0</v>
      </c>
      <c r="E522">
        <v>1</v>
      </c>
      <c r="F522">
        <v>19</v>
      </c>
      <c r="G522" t="b">
        <v>0</v>
      </c>
      <c r="H522">
        <v>0</v>
      </c>
      <c r="I522">
        <v>1</v>
      </c>
      <c r="J522">
        <v>0.12</v>
      </c>
      <c r="K522">
        <v>0.1212</v>
      </c>
      <c r="L522">
        <v>0.3</v>
      </c>
      <c r="M522">
        <v>0.28360000000000002</v>
      </c>
      <c r="N522">
        <v>5</v>
      </c>
      <c r="O522">
        <v>45</v>
      </c>
      <c r="P522">
        <v>50</v>
      </c>
    </row>
    <row r="523" spans="1:16" x14ac:dyDescent="0.3">
      <c r="A523">
        <v>522</v>
      </c>
      <c r="B523" s="4">
        <v>40566</v>
      </c>
      <c r="C523">
        <v>1</v>
      </c>
      <c r="D523">
        <v>0</v>
      </c>
      <c r="E523">
        <v>1</v>
      </c>
      <c r="F523">
        <v>20</v>
      </c>
      <c r="G523" t="b">
        <v>0</v>
      </c>
      <c r="H523">
        <v>0</v>
      </c>
      <c r="I523">
        <v>1</v>
      </c>
      <c r="J523">
        <v>0.1</v>
      </c>
      <c r="K523">
        <v>0.1061</v>
      </c>
      <c r="L523">
        <v>0.36</v>
      </c>
      <c r="M523">
        <v>0.25369999999999998</v>
      </c>
      <c r="N523">
        <v>4</v>
      </c>
      <c r="O523">
        <v>31</v>
      </c>
      <c r="P523">
        <v>35</v>
      </c>
    </row>
    <row r="524" spans="1:16" x14ac:dyDescent="0.3">
      <c r="A524">
        <v>523</v>
      </c>
      <c r="B524" s="4">
        <v>40566</v>
      </c>
      <c r="C524">
        <v>1</v>
      </c>
      <c r="D524">
        <v>0</v>
      </c>
      <c r="E524">
        <v>1</v>
      </c>
      <c r="F524">
        <v>21</v>
      </c>
      <c r="G524" t="b">
        <v>0</v>
      </c>
      <c r="H524">
        <v>0</v>
      </c>
      <c r="I524">
        <v>1</v>
      </c>
      <c r="J524">
        <v>0.1</v>
      </c>
      <c r="K524">
        <v>0.1061</v>
      </c>
      <c r="L524">
        <v>0.36</v>
      </c>
      <c r="M524">
        <v>0.19400000000000001</v>
      </c>
      <c r="N524">
        <v>5</v>
      </c>
      <c r="O524">
        <v>20</v>
      </c>
      <c r="P524">
        <v>25</v>
      </c>
    </row>
    <row r="525" spans="1:16" x14ac:dyDescent="0.3">
      <c r="A525">
        <v>524</v>
      </c>
      <c r="B525" s="4">
        <v>40566</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3">
      <c r="A526">
        <v>525</v>
      </c>
      <c r="B526" s="4">
        <v>40566</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3">
      <c r="A527">
        <v>526</v>
      </c>
      <c r="B527" s="4">
        <v>40567</v>
      </c>
      <c r="C527">
        <v>1</v>
      </c>
      <c r="D527">
        <v>0</v>
      </c>
      <c r="E527">
        <v>1</v>
      </c>
      <c r="F527">
        <v>0</v>
      </c>
      <c r="G527" t="b">
        <v>0</v>
      </c>
      <c r="H527">
        <v>1</v>
      </c>
      <c r="I527">
        <v>1</v>
      </c>
      <c r="J527">
        <v>0.06</v>
      </c>
      <c r="K527">
        <v>6.0600000000000001E-2</v>
      </c>
      <c r="L527">
        <v>0.41</v>
      </c>
      <c r="M527">
        <v>0.19400000000000001</v>
      </c>
      <c r="N527">
        <v>0</v>
      </c>
      <c r="O527">
        <v>7</v>
      </c>
      <c r="P527">
        <v>7</v>
      </c>
    </row>
    <row r="528" spans="1:16" x14ac:dyDescent="0.3">
      <c r="A528">
        <v>527</v>
      </c>
      <c r="B528" s="4">
        <v>40567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3">
      <c r="A529">
        <v>528</v>
      </c>
      <c r="B529" s="4">
        <v>40567</v>
      </c>
      <c r="C529">
        <v>1</v>
      </c>
      <c r="D529">
        <v>0</v>
      </c>
      <c r="E529">
        <v>1</v>
      </c>
      <c r="F529">
        <v>3</v>
      </c>
      <c r="G529" t="b">
        <v>0</v>
      </c>
      <c r="H529">
        <v>1</v>
      </c>
      <c r="I529">
        <v>1</v>
      </c>
      <c r="J529">
        <v>0.04</v>
      </c>
      <c r="K529">
        <v>3.0300000000000001E-2</v>
      </c>
      <c r="L529">
        <v>0.45</v>
      </c>
      <c r="M529">
        <v>0.25369999999999998</v>
      </c>
      <c r="N529">
        <v>0</v>
      </c>
      <c r="O529">
        <v>1</v>
      </c>
      <c r="P529">
        <v>1</v>
      </c>
    </row>
    <row r="530" spans="1:16" x14ac:dyDescent="0.3">
      <c r="A530">
        <v>529</v>
      </c>
      <c r="B530" s="4">
        <v>40567</v>
      </c>
      <c r="C530">
        <v>1</v>
      </c>
      <c r="D530">
        <v>0</v>
      </c>
      <c r="E530">
        <v>1</v>
      </c>
      <c r="F530">
        <v>4</v>
      </c>
      <c r="G530" t="b">
        <v>0</v>
      </c>
      <c r="H530">
        <v>1</v>
      </c>
      <c r="I530">
        <v>1</v>
      </c>
      <c r="J530">
        <v>0.02</v>
      </c>
      <c r="K530">
        <v>6.0600000000000001E-2</v>
      </c>
      <c r="L530">
        <v>0.48</v>
      </c>
      <c r="M530">
        <v>0.1343</v>
      </c>
      <c r="N530">
        <v>0</v>
      </c>
      <c r="O530">
        <v>1</v>
      </c>
      <c r="P530">
        <v>1</v>
      </c>
    </row>
    <row r="531" spans="1:16" x14ac:dyDescent="0.3">
      <c r="A531">
        <v>530</v>
      </c>
      <c r="B531" s="4">
        <v>40567</v>
      </c>
      <c r="C531">
        <v>1</v>
      </c>
      <c r="D531">
        <v>0</v>
      </c>
      <c r="E531">
        <v>1</v>
      </c>
      <c r="F531">
        <v>5</v>
      </c>
      <c r="G531" t="b">
        <v>0</v>
      </c>
      <c r="H531">
        <v>1</v>
      </c>
      <c r="I531">
        <v>1</v>
      </c>
      <c r="J531">
        <v>0.02</v>
      </c>
      <c r="K531">
        <v>6.0600000000000001E-2</v>
      </c>
      <c r="L531">
        <v>0.48</v>
      </c>
      <c r="M531">
        <v>0.1343</v>
      </c>
      <c r="N531">
        <v>0</v>
      </c>
      <c r="O531">
        <v>5</v>
      </c>
      <c r="P531">
        <v>5</v>
      </c>
    </row>
    <row r="532" spans="1:16" x14ac:dyDescent="0.3">
      <c r="A532">
        <v>531</v>
      </c>
      <c r="B532" s="4">
        <v>40567</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3">
      <c r="A533">
        <v>532</v>
      </c>
      <c r="B533" s="4">
        <v>40567</v>
      </c>
      <c r="C533">
        <v>1</v>
      </c>
      <c r="D533">
        <v>0</v>
      </c>
      <c r="E533">
        <v>1</v>
      </c>
      <c r="F533">
        <v>7</v>
      </c>
      <c r="G533" t="b">
        <v>0</v>
      </c>
      <c r="H533">
        <v>1</v>
      </c>
      <c r="I533">
        <v>1</v>
      </c>
      <c r="J533">
        <v>0.02</v>
      </c>
      <c r="K533">
        <v>0.1212</v>
      </c>
      <c r="L533">
        <v>0.48</v>
      </c>
      <c r="M533">
        <v>0</v>
      </c>
      <c r="N533">
        <v>5</v>
      </c>
      <c r="O533">
        <v>79</v>
      </c>
      <c r="P533">
        <v>84</v>
      </c>
    </row>
    <row r="534" spans="1:16" x14ac:dyDescent="0.3">
      <c r="A534">
        <v>533</v>
      </c>
      <c r="B534" s="4">
        <v>40567</v>
      </c>
      <c r="C534">
        <v>1</v>
      </c>
      <c r="D534">
        <v>0</v>
      </c>
      <c r="E534">
        <v>1</v>
      </c>
      <c r="F534">
        <v>8</v>
      </c>
      <c r="G534" t="b">
        <v>0</v>
      </c>
      <c r="H534">
        <v>1</v>
      </c>
      <c r="I534">
        <v>1</v>
      </c>
      <c r="J534">
        <v>0.04</v>
      </c>
      <c r="K534">
        <v>0.13639999999999999</v>
      </c>
      <c r="L534">
        <v>0.49</v>
      </c>
      <c r="M534">
        <v>0</v>
      </c>
      <c r="N534">
        <v>6</v>
      </c>
      <c r="O534">
        <v>171</v>
      </c>
      <c r="P534">
        <v>177</v>
      </c>
    </row>
    <row r="535" spans="1:16" x14ac:dyDescent="0.3">
      <c r="A535">
        <v>534</v>
      </c>
      <c r="B535" s="4">
        <v>40567</v>
      </c>
      <c r="C535">
        <v>1</v>
      </c>
      <c r="D535">
        <v>0</v>
      </c>
      <c r="E535">
        <v>1</v>
      </c>
      <c r="F535">
        <v>9</v>
      </c>
      <c r="G535" t="b">
        <v>0</v>
      </c>
      <c r="H535">
        <v>1</v>
      </c>
      <c r="I535">
        <v>1</v>
      </c>
      <c r="J535">
        <v>0.06</v>
      </c>
      <c r="K535">
        <v>0.1515</v>
      </c>
      <c r="L535">
        <v>0.41</v>
      </c>
      <c r="M535">
        <v>0</v>
      </c>
      <c r="N535">
        <v>4</v>
      </c>
      <c r="O535">
        <v>98</v>
      </c>
      <c r="P535">
        <v>102</v>
      </c>
    </row>
    <row r="536" spans="1:16" x14ac:dyDescent="0.3">
      <c r="A536">
        <v>535</v>
      </c>
      <c r="B536" s="4">
        <v>40567</v>
      </c>
      <c r="C536">
        <v>1</v>
      </c>
      <c r="D536">
        <v>0</v>
      </c>
      <c r="E536">
        <v>1</v>
      </c>
      <c r="F536">
        <v>10</v>
      </c>
      <c r="G536" t="b">
        <v>0</v>
      </c>
      <c r="H536">
        <v>1</v>
      </c>
      <c r="I536">
        <v>1</v>
      </c>
      <c r="J536">
        <v>0.1</v>
      </c>
      <c r="K536">
        <v>0.13639999999999999</v>
      </c>
      <c r="L536">
        <v>0.42</v>
      </c>
      <c r="M536">
        <v>0</v>
      </c>
      <c r="N536">
        <v>6</v>
      </c>
      <c r="O536">
        <v>34</v>
      </c>
      <c r="P536">
        <v>40</v>
      </c>
    </row>
    <row r="537" spans="1:16" x14ac:dyDescent="0.3">
      <c r="A537">
        <v>536</v>
      </c>
      <c r="B537" s="4">
        <v>40567</v>
      </c>
      <c r="C537">
        <v>1</v>
      </c>
      <c r="D537">
        <v>0</v>
      </c>
      <c r="E537">
        <v>1</v>
      </c>
      <c r="F537">
        <v>11</v>
      </c>
      <c r="G537" t="b">
        <v>0</v>
      </c>
      <c r="H537">
        <v>1</v>
      </c>
      <c r="I537">
        <v>1</v>
      </c>
      <c r="J537">
        <v>0.1</v>
      </c>
      <c r="K537">
        <v>0.1212</v>
      </c>
      <c r="L537">
        <v>0.46</v>
      </c>
      <c r="M537">
        <v>0.1343</v>
      </c>
      <c r="N537">
        <v>3</v>
      </c>
      <c r="O537">
        <v>43</v>
      </c>
      <c r="P537">
        <v>46</v>
      </c>
    </row>
    <row r="538" spans="1:16" x14ac:dyDescent="0.3">
      <c r="A538">
        <v>537</v>
      </c>
      <c r="B538" s="4">
        <v>40567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3">
      <c r="A539">
        <v>538</v>
      </c>
      <c r="B539" s="4">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3">
      <c r="A540">
        <v>539</v>
      </c>
      <c r="B540" s="4">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3">
      <c r="A541">
        <v>540</v>
      </c>
      <c r="B541" s="4">
        <v>40567</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3">
      <c r="A542">
        <v>541</v>
      </c>
      <c r="B542" s="4">
        <v>40567</v>
      </c>
      <c r="C542">
        <v>1</v>
      </c>
      <c r="D542">
        <v>0</v>
      </c>
      <c r="E542">
        <v>1</v>
      </c>
      <c r="F542">
        <v>16</v>
      </c>
      <c r="G542" t="b">
        <v>0</v>
      </c>
      <c r="H542">
        <v>1</v>
      </c>
      <c r="I542">
        <v>1</v>
      </c>
      <c r="J542">
        <v>0.16</v>
      </c>
      <c r="K542">
        <v>0.1515</v>
      </c>
      <c r="L542">
        <v>0.47</v>
      </c>
      <c r="M542">
        <v>0.25369999999999998</v>
      </c>
      <c r="N542">
        <v>4</v>
      </c>
      <c r="O542">
        <v>66</v>
      </c>
      <c r="P542">
        <v>70</v>
      </c>
    </row>
    <row r="543" spans="1:16" x14ac:dyDescent="0.3">
      <c r="A543">
        <v>542</v>
      </c>
      <c r="B543" s="4">
        <v>40567</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3">
      <c r="A544">
        <v>543</v>
      </c>
      <c r="B544" s="4">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3">
      <c r="A545">
        <v>544</v>
      </c>
      <c r="B545" s="4">
        <v>40567</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3">
      <c r="A546">
        <v>545</v>
      </c>
      <c r="B546" s="4">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3">
      <c r="A547">
        <v>546</v>
      </c>
      <c r="B547" s="4">
        <v>40567</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3">
      <c r="A548">
        <v>547</v>
      </c>
      <c r="B548" s="4">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3">
      <c r="A549">
        <v>548</v>
      </c>
      <c r="B549" s="4">
        <v>40567</v>
      </c>
      <c r="C549">
        <v>1</v>
      </c>
      <c r="D549">
        <v>0</v>
      </c>
      <c r="E549">
        <v>1</v>
      </c>
      <c r="F549">
        <v>23</v>
      </c>
      <c r="G549" t="b">
        <v>0</v>
      </c>
      <c r="H549">
        <v>1</v>
      </c>
      <c r="I549">
        <v>2</v>
      </c>
      <c r="J549">
        <v>0.16</v>
      </c>
      <c r="K549">
        <v>0.1515</v>
      </c>
      <c r="L549">
        <v>0.64</v>
      </c>
      <c r="M549">
        <v>0.25369999999999998</v>
      </c>
      <c r="N549">
        <v>3</v>
      </c>
      <c r="O549">
        <v>21</v>
      </c>
      <c r="P549">
        <v>24</v>
      </c>
    </row>
    <row r="550" spans="1:16" x14ac:dyDescent="0.3">
      <c r="A550">
        <v>549</v>
      </c>
      <c r="B550" s="4">
        <v>40568</v>
      </c>
      <c r="C550">
        <v>1</v>
      </c>
      <c r="D550">
        <v>0</v>
      </c>
      <c r="E550">
        <v>1</v>
      </c>
      <c r="F550">
        <v>0</v>
      </c>
      <c r="G550" t="b">
        <v>0</v>
      </c>
      <c r="H550">
        <v>2</v>
      </c>
      <c r="I550">
        <v>2</v>
      </c>
      <c r="J550">
        <v>0.16</v>
      </c>
      <c r="K550">
        <v>0.13639999999999999</v>
      </c>
      <c r="L550">
        <v>0.69</v>
      </c>
      <c r="M550">
        <v>0.28360000000000002</v>
      </c>
      <c r="N550">
        <v>3</v>
      </c>
      <c r="O550">
        <v>6</v>
      </c>
      <c r="P550">
        <v>9</v>
      </c>
    </row>
    <row r="551" spans="1:16" x14ac:dyDescent="0.3">
      <c r="A551">
        <v>550</v>
      </c>
      <c r="B551" s="4">
        <v>40568</v>
      </c>
      <c r="C551">
        <v>1</v>
      </c>
      <c r="D551">
        <v>0</v>
      </c>
      <c r="E551">
        <v>1</v>
      </c>
      <c r="F551">
        <v>1</v>
      </c>
      <c r="G551" t="b">
        <v>0</v>
      </c>
      <c r="H551">
        <v>2</v>
      </c>
      <c r="I551">
        <v>2</v>
      </c>
      <c r="J551">
        <v>0.16</v>
      </c>
      <c r="K551">
        <v>0.16669999999999999</v>
      </c>
      <c r="L551">
        <v>0.69</v>
      </c>
      <c r="M551">
        <v>0.16420000000000001</v>
      </c>
      <c r="N551">
        <v>0</v>
      </c>
      <c r="O551">
        <v>5</v>
      </c>
      <c r="P551">
        <v>5</v>
      </c>
    </row>
    <row r="552" spans="1:16" x14ac:dyDescent="0.3">
      <c r="A552">
        <v>551</v>
      </c>
      <c r="B552" s="4">
        <v>40568</v>
      </c>
      <c r="C552">
        <v>1</v>
      </c>
      <c r="D552">
        <v>0</v>
      </c>
      <c r="E552">
        <v>1</v>
      </c>
      <c r="F552">
        <v>2</v>
      </c>
      <c r="G552" t="b">
        <v>0</v>
      </c>
      <c r="H552">
        <v>2</v>
      </c>
      <c r="I552">
        <v>1</v>
      </c>
      <c r="J552">
        <v>0.16</v>
      </c>
      <c r="K552">
        <v>0.1515</v>
      </c>
      <c r="L552">
        <v>0.69</v>
      </c>
      <c r="M552">
        <v>0.22389999999999999</v>
      </c>
      <c r="N552">
        <v>0</v>
      </c>
      <c r="O552">
        <v>2</v>
      </c>
      <c r="P552">
        <v>2</v>
      </c>
    </row>
    <row r="553" spans="1:16" x14ac:dyDescent="0.3">
      <c r="A553">
        <v>552</v>
      </c>
      <c r="B553" s="4">
        <v>40568</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3">
      <c r="A554">
        <v>553</v>
      </c>
      <c r="B554" s="4">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3">
      <c r="A555">
        <v>554</v>
      </c>
      <c r="B555" s="4">
        <v>40568</v>
      </c>
      <c r="C555">
        <v>1</v>
      </c>
      <c r="D555">
        <v>0</v>
      </c>
      <c r="E555">
        <v>1</v>
      </c>
      <c r="F555">
        <v>6</v>
      </c>
      <c r="G555" t="b">
        <v>0</v>
      </c>
      <c r="H555">
        <v>2</v>
      </c>
      <c r="I555">
        <v>1</v>
      </c>
      <c r="J555">
        <v>0.16</v>
      </c>
      <c r="K555">
        <v>0.18179999999999999</v>
      </c>
      <c r="L555">
        <v>0.74</v>
      </c>
      <c r="M555">
        <v>0.1045</v>
      </c>
      <c r="N555">
        <v>1</v>
      </c>
      <c r="O555">
        <v>35</v>
      </c>
      <c r="P555">
        <v>36</v>
      </c>
    </row>
    <row r="556" spans="1:16" x14ac:dyDescent="0.3">
      <c r="A556">
        <v>555</v>
      </c>
      <c r="B556" s="4">
        <v>40568</v>
      </c>
      <c r="C556">
        <v>1</v>
      </c>
      <c r="D556">
        <v>0</v>
      </c>
      <c r="E556">
        <v>1</v>
      </c>
      <c r="F556">
        <v>7</v>
      </c>
      <c r="G556" t="b">
        <v>0</v>
      </c>
      <c r="H556">
        <v>2</v>
      </c>
      <c r="I556">
        <v>1</v>
      </c>
      <c r="J556">
        <v>0.16</v>
      </c>
      <c r="K556">
        <v>0.1515</v>
      </c>
      <c r="L556">
        <v>0.74</v>
      </c>
      <c r="M556">
        <v>0.22389999999999999</v>
      </c>
      <c r="N556">
        <v>5</v>
      </c>
      <c r="O556">
        <v>103</v>
      </c>
      <c r="P556">
        <v>108</v>
      </c>
    </row>
    <row r="557" spans="1:16" x14ac:dyDescent="0.3">
      <c r="A557">
        <v>556</v>
      </c>
      <c r="B557" s="4">
        <v>40568</v>
      </c>
      <c r="C557">
        <v>1</v>
      </c>
      <c r="D557">
        <v>0</v>
      </c>
      <c r="E557">
        <v>1</v>
      </c>
      <c r="F557">
        <v>8</v>
      </c>
      <c r="G557" t="b">
        <v>0</v>
      </c>
      <c r="H557">
        <v>2</v>
      </c>
      <c r="I557">
        <v>2</v>
      </c>
      <c r="J557">
        <v>0.16</v>
      </c>
      <c r="K557">
        <v>0.18179999999999999</v>
      </c>
      <c r="L557">
        <v>0.74</v>
      </c>
      <c r="M557">
        <v>0.1343</v>
      </c>
      <c r="N557">
        <v>5</v>
      </c>
      <c r="O557">
        <v>233</v>
      </c>
      <c r="P557">
        <v>238</v>
      </c>
    </row>
    <row r="558" spans="1:16" x14ac:dyDescent="0.3">
      <c r="A558">
        <v>557</v>
      </c>
      <c r="B558" s="4">
        <v>40568</v>
      </c>
      <c r="C558">
        <v>1</v>
      </c>
      <c r="D558">
        <v>0</v>
      </c>
      <c r="E558">
        <v>1</v>
      </c>
      <c r="F558">
        <v>9</v>
      </c>
      <c r="G558" t="b">
        <v>0</v>
      </c>
      <c r="H558">
        <v>2</v>
      </c>
      <c r="I558">
        <v>2</v>
      </c>
      <c r="J558">
        <v>0.2</v>
      </c>
      <c r="K558">
        <v>0.2273</v>
      </c>
      <c r="L558">
        <v>0.64</v>
      </c>
      <c r="M558">
        <v>8.9599999999999999E-2</v>
      </c>
      <c r="N558">
        <v>10</v>
      </c>
      <c r="O558">
        <v>134</v>
      </c>
      <c r="P558">
        <v>144</v>
      </c>
    </row>
    <row r="559" spans="1:16" x14ac:dyDescent="0.3">
      <c r="A559">
        <v>558</v>
      </c>
      <c r="B559" s="4">
        <v>40568</v>
      </c>
      <c r="C559">
        <v>1</v>
      </c>
      <c r="D559">
        <v>0</v>
      </c>
      <c r="E559">
        <v>1</v>
      </c>
      <c r="F559">
        <v>10</v>
      </c>
      <c r="G559" t="b">
        <v>0</v>
      </c>
      <c r="H559">
        <v>2</v>
      </c>
      <c r="I559">
        <v>2</v>
      </c>
      <c r="J559">
        <v>0.22</v>
      </c>
      <c r="K559">
        <v>0.2424</v>
      </c>
      <c r="L559">
        <v>0.6</v>
      </c>
      <c r="M559">
        <v>0.1045</v>
      </c>
      <c r="N559">
        <v>6</v>
      </c>
      <c r="O559">
        <v>49</v>
      </c>
      <c r="P559">
        <v>55</v>
      </c>
    </row>
    <row r="560" spans="1:16" x14ac:dyDescent="0.3">
      <c r="A560">
        <v>559</v>
      </c>
      <c r="B560" s="4">
        <v>40568</v>
      </c>
      <c r="C560">
        <v>1</v>
      </c>
      <c r="D560">
        <v>0</v>
      </c>
      <c r="E560">
        <v>1</v>
      </c>
      <c r="F560">
        <v>11</v>
      </c>
      <c r="G560" t="b">
        <v>0</v>
      </c>
      <c r="H560">
        <v>2</v>
      </c>
      <c r="I560">
        <v>2</v>
      </c>
      <c r="J560">
        <v>0.24</v>
      </c>
      <c r="K560">
        <v>0.2424</v>
      </c>
      <c r="L560">
        <v>0.6</v>
      </c>
      <c r="M560">
        <v>0.1343</v>
      </c>
      <c r="N560">
        <v>6</v>
      </c>
      <c r="O560">
        <v>55</v>
      </c>
      <c r="P560">
        <v>61</v>
      </c>
    </row>
    <row r="561" spans="1:16" x14ac:dyDescent="0.3">
      <c r="A561">
        <v>560</v>
      </c>
      <c r="B561" s="4">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3">
      <c r="A562">
        <v>561</v>
      </c>
      <c r="B562" s="4">
        <v>40568</v>
      </c>
      <c r="C562">
        <v>1</v>
      </c>
      <c r="D562">
        <v>0</v>
      </c>
      <c r="E562">
        <v>1</v>
      </c>
      <c r="F562">
        <v>13</v>
      </c>
      <c r="G562" t="b">
        <v>0</v>
      </c>
      <c r="H562">
        <v>2</v>
      </c>
      <c r="I562">
        <v>2</v>
      </c>
      <c r="J562">
        <v>0.26</v>
      </c>
      <c r="K562">
        <v>0.2727</v>
      </c>
      <c r="L562">
        <v>0.56000000000000005</v>
      </c>
      <c r="M562">
        <v>0.1343</v>
      </c>
      <c r="N562">
        <v>21</v>
      </c>
      <c r="O562">
        <v>72</v>
      </c>
      <c r="P562">
        <v>93</v>
      </c>
    </row>
    <row r="563" spans="1:16" x14ac:dyDescent="0.3">
      <c r="A563">
        <v>562</v>
      </c>
      <c r="B563" s="4">
        <v>40568</v>
      </c>
      <c r="C563">
        <v>1</v>
      </c>
      <c r="D563">
        <v>0</v>
      </c>
      <c r="E563">
        <v>1</v>
      </c>
      <c r="F563">
        <v>14</v>
      </c>
      <c r="G563" t="b">
        <v>0</v>
      </c>
      <c r="H563">
        <v>2</v>
      </c>
      <c r="I563">
        <v>2</v>
      </c>
      <c r="J563">
        <v>0.3</v>
      </c>
      <c r="K563">
        <v>0.33329999999999999</v>
      </c>
      <c r="L563">
        <v>0.45</v>
      </c>
      <c r="M563">
        <v>0</v>
      </c>
      <c r="N563">
        <v>11</v>
      </c>
      <c r="O563">
        <v>57</v>
      </c>
      <c r="P563">
        <v>68</v>
      </c>
    </row>
    <row r="564" spans="1:16" x14ac:dyDescent="0.3">
      <c r="A564">
        <v>563</v>
      </c>
      <c r="B564" s="4">
        <v>40568</v>
      </c>
      <c r="C564">
        <v>1</v>
      </c>
      <c r="D564">
        <v>0</v>
      </c>
      <c r="E564">
        <v>1</v>
      </c>
      <c r="F564">
        <v>15</v>
      </c>
      <c r="G564" t="b">
        <v>0</v>
      </c>
      <c r="H564">
        <v>2</v>
      </c>
      <c r="I564">
        <v>2</v>
      </c>
      <c r="J564">
        <v>0.32</v>
      </c>
      <c r="K564">
        <v>0.34849999999999998</v>
      </c>
      <c r="L564">
        <v>0.42</v>
      </c>
      <c r="M564">
        <v>0</v>
      </c>
      <c r="N564">
        <v>21</v>
      </c>
      <c r="O564">
        <v>63</v>
      </c>
      <c r="P564">
        <v>84</v>
      </c>
    </row>
    <row r="565" spans="1:16" x14ac:dyDescent="0.3">
      <c r="A565">
        <v>564</v>
      </c>
      <c r="B565" s="4">
        <v>40568</v>
      </c>
      <c r="C565">
        <v>1</v>
      </c>
      <c r="D565">
        <v>0</v>
      </c>
      <c r="E565">
        <v>1</v>
      </c>
      <c r="F565">
        <v>16</v>
      </c>
      <c r="G565" t="b">
        <v>0</v>
      </c>
      <c r="H565">
        <v>2</v>
      </c>
      <c r="I565">
        <v>2</v>
      </c>
      <c r="J565">
        <v>0.32</v>
      </c>
      <c r="K565">
        <v>0.34849999999999998</v>
      </c>
      <c r="L565">
        <v>0.42</v>
      </c>
      <c r="M565">
        <v>0</v>
      </c>
      <c r="N565">
        <v>14</v>
      </c>
      <c r="O565">
        <v>102</v>
      </c>
      <c r="P565">
        <v>116</v>
      </c>
    </row>
    <row r="566" spans="1:16" x14ac:dyDescent="0.3">
      <c r="A566">
        <v>565</v>
      </c>
      <c r="B566" s="4">
        <v>40568</v>
      </c>
      <c r="C566">
        <v>1</v>
      </c>
      <c r="D566">
        <v>0</v>
      </c>
      <c r="E566">
        <v>1</v>
      </c>
      <c r="F566">
        <v>17</v>
      </c>
      <c r="G566" t="b">
        <v>0</v>
      </c>
      <c r="H566">
        <v>2</v>
      </c>
      <c r="I566">
        <v>1</v>
      </c>
      <c r="J566">
        <v>0.3</v>
      </c>
      <c r="K566">
        <v>0.33329999999999999</v>
      </c>
      <c r="L566">
        <v>0.45</v>
      </c>
      <c r="M566">
        <v>0</v>
      </c>
      <c r="N566">
        <v>14</v>
      </c>
      <c r="O566">
        <v>208</v>
      </c>
      <c r="P566">
        <v>222</v>
      </c>
    </row>
    <row r="567" spans="1:16" x14ac:dyDescent="0.3">
      <c r="A567">
        <v>566</v>
      </c>
      <c r="B567" s="4">
        <v>40568</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3">
      <c r="A568">
        <v>567</v>
      </c>
      <c r="B568" s="4">
        <v>40568</v>
      </c>
      <c r="C568">
        <v>1</v>
      </c>
      <c r="D568">
        <v>0</v>
      </c>
      <c r="E568">
        <v>1</v>
      </c>
      <c r="F568">
        <v>19</v>
      </c>
      <c r="G568" t="b">
        <v>0</v>
      </c>
      <c r="H568">
        <v>2</v>
      </c>
      <c r="I568">
        <v>2</v>
      </c>
      <c r="J568">
        <v>0.26</v>
      </c>
      <c r="K568">
        <v>0.2576</v>
      </c>
      <c r="L568">
        <v>0.65</v>
      </c>
      <c r="M568">
        <v>0.16420000000000001</v>
      </c>
      <c r="N568">
        <v>13</v>
      </c>
      <c r="O568">
        <v>133</v>
      </c>
      <c r="P568">
        <v>146</v>
      </c>
    </row>
    <row r="569" spans="1:16" x14ac:dyDescent="0.3">
      <c r="A569">
        <v>568</v>
      </c>
      <c r="B569" s="4">
        <v>40568</v>
      </c>
      <c r="C569">
        <v>1</v>
      </c>
      <c r="D569">
        <v>0</v>
      </c>
      <c r="E569">
        <v>1</v>
      </c>
      <c r="F569">
        <v>20</v>
      </c>
      <c r="G569" t="b">
        <v>0</v>
      </c>
      <c r="H569">
        <v>2</v>
      </c>
      <c r="I569">
        <v>1</v>
      </c>
      <c r="J569">
        <v>0.24</v>
      </c>
      <c r="K569">
        <v>0.2273</v>
      </c>
      <c r="L569">
        <v>0.65</v>
      </c>
      <c r="M569">
        <v>0.19400000000000001</v>
      </c>
      <c r="N569">
        <v>16</v>
      </c>
      <c r="O569">
        <v>103</v>
      </c>
      <c r="P569">
        <v>119</v>
      </c>
    </row>
    <row r="570" spans="1:16" x14ac:dyDescent="0.3">
      <c r="A570">
        <v>569</v>
      </c>
      <c r="B570" s="4">
        <v>40568</v>
      </c>
      <c r="C570">
        <v>1</v>
      </c>
      <c r="D570">
        <v>0</v>
      </c>
      <c r="E570">
        <v>1</v>
      </c>
      <c r="F570">
        <v>21</v>
      </c>
      <c r="G570" t="b">
        <v>0</v>
      </c>
      <c r="H570">
        <v>2</v>
      </c>
      <c r="I570">
        <v>1</v>
      </c>
      <c r="J570">
        <v>0.24</v>
      </c>
      <c r="K570">
        <v>0.2273</v>
      </c>
      <c r="L570">
        <v>0.65</v>
      </c>
      <c r="M570">
        <v>0.19400000000000001</v>
      </c>
      <c r="N570">
        <v>5</v>
      </c>
      <c r="O570">
        <v>40</v>
      </c>
      <c r="P570">
        <v>45</v>
      </c>
    </row>
    <row r="571" spans="1:16" x14ac:dyDescent="0.3">
      <c r="A571">
        <v>570</v>
      </c>
      <c r="B571" s="4">
        <v>40568</v>
      </c>
      <c r="C571">
        <v>1</v>
      </c>
      <c r="D571">
        <v>0</v>
      </c>
      <c r="E571">
        <v>1</v>
      </c>
      <c r="F571">
        <v>22</v>
      </c>
      <c r="G571" t="b">
        <v>0</v>
      </c>
      <c r="H571">
        <v>2</v>
      </c>
      <c r="I571">
        <v>1</v>
      </c>
      <c r="J571">
        <v>0.22</v>
      </c>
      <c r="K571">
        <v>0.2273</v>
      </c>
      <c r="L571">
        <v>0.64</v>
      </c>
      <c r="M571">
        <v>0.16420000000000001</v>
      </c>
      <c r="N571">
        <v>4</v>
      </c>
      <c r="O571">
        <v>49</v>
      </c>
      <c r="P571">
        <v>53</v>
      </c>
    </row>
    <row r="572" spans="1:16" x14ac:dyDescent="0.3">
      <c r="A572">
        <v>571</v>
      </c>
      <c r="B572" s="4">
        <v>40568</v>
      </c>
      <c r="C572">
        <v>1</v>
      </c>
      <c r="D572">
        <v>0</v>
      </c>
      <c r="E572">
        <v>1</v>
      </c>
      <c r="F572">
        <v>23</v>
      </c>
      <c r="G572" t="b">
        <v>0</v>
      </c>
      <c r="H572">
        <v>2</v>
      </c>
      <c r="I572">
        <v>2</v>
      </c>
      <c r="J572">
        <v>0.22</v>
      </c>
      <c r="K572">
        <v>0.2273</v>
      </c>
      <c r="L572">
        <v>0.64</v>
      </c>
      <c r="M572">
        <v>0.16420000000000001</v>
      </c>
      <c r="N572">
        <v>3</v>
      </c>
      <c r="O572">
        <v>37</v>
      </c>
      <c r="P572">
        <v>40</v>
      </c>
    </row>
    <row r="573" spans="1:16" x14ac:dyDescent="0.3">
      <c r="A573">
        <v>572</v>
      </c>
      <c r="B573" s="4">
        <v>40569</v>
      </c>
      <c r="C573">
        <v>1</v>
      </c>
      <c r="D573">
        <v>0</v>
      </c>
      <c r="E573">
        <v>1</v>
      </c>
      <c r="F573">
        <v>0</v>
      </c>
      <c r="G573" t="b">
        <v>0</v>
      </c>
      <c r="H573">
        <v>3</v>
      </c>
      <c r="I573">
        <v>2</v>
      </c>
      <c r="J573">
        <v>0.22</v>
      </c>
      <c r="K573">
        <v>0.2273</v>
      </c>
      <c r="L573">
        <v>0.69</v>
      </c>
      <c r="M573">
        <v>0.1343</v>
      </c>
      <c r="N573">
        <v>3</v>
      </c>
      <c r="O573">
        <v>14</v>
      </c>
      <c r="P573">
        <v>17</v>
      </c>
    </row>
    <row r="574" spans="1:16" x14ac:dyDescent="0.3">
      <c r="A574">
        <v>573</v>
      </c>
      <c r="B574" s="4">
        <v>40569</v>
      </c>
      <c r="C574">
        <v>1</v>
      </c>
      <c r="D574">
        <v>0</v>
      </c>
      <c r="E574">
        <v>1</v>
      </c>
      <c r="F574">
        <v>1</v>
      </c>
      <c r="G574" t="b">
        <v>0</v>
      </c>
      <c r="H574">
        <v>3</v>
      </c>
      <c r="I574">
        <v>2</v>
      </c>
      <c r="J574">
        <v>0.24</v>
      </c>
      <c r="K574">
        <v>0.2424</v>
      </c>
      <c r="L574">
        <v>0.65</v>
      </c>
      <c r="M574">
        <v>0.1343</v>
      </c>
      <c r="N574">
        <v>0</v>
      </c>
      <c r="O574">
        <v>5</v>
      </c>
      <c r="P574">
        <v>5</v>
      </c>
    </row>
    <row r="575" spans="1:16" x14ac:dyDescent="0.3">
      <c r="A575">
        <v>574</v>
      </c>
      <c r="B575" s="4">
        <v>40569</v>
      </c>
      <c r="C575">
        <v>1</v>
      </c>
      <c r="D575">
        <v>0</v>
      </c>
      <c r="E575">
        <v>1</v>
      </c>
      <c r="F575">
        <v>2</v>
      </c>
      <c r="G575" t="b">
        <v>0</v>
      </c>
      <c r="H575">
        <v>3</v>
      </c>
      <c r="I575">
        <v>3</v>
      </c>
      <c r="J575">
        <v>0.22</v>
      </c>
      <c r="K575">
        <v>0.2273</v>
      </c>
      <c r="L575">
        <v>0.69</v>
      </c>
      <c r="M575">
        <v>0.19400000000000001</v>
      </c>
      <c r="N575">
        <v>3</v>
      </c>
      <c r="O575">
        <v>7</v>
      </c>
      <c r="P575">
        <v>10</v>
      </c>
    </row>
    <row r="576" spans="1:16" x14ac:dyDescent="0.3">
      <c r="A576">
        <v>575</v>
      </c>
      <c r="B576" s="4">
        <v>40569</v>
      </c>
      <c r="C576">
        <v>1</v>
      </c>
      <c r="D576">
        <v>0</v>
      </c>
      <c r="E576">
        <v>1</v>
      </c>
      <c r="F576">
        <v>5</v>
      </c>
      <c r="G576" t="b">
        <v>0</v>
      </c>
      <c r="H576">
        <v>3</v>
      </c>
      <c r="I576">
        <v>3</v>
      </c>
      <c r="J576">
        <v>0.2</v>
      </c>
      <c r="K576">
        <v>0.18179999999999999</v>
      </c>
      <c r="L576">
        <v>0.86</v>
      </c>
      <c r="M576">
        <v>0.28360000000000002</v>
      </c>
      <c r="N576">
        <v>0</v>
      </c>
      <c r="O576">
        <v>1</v>
      </c>
      <c r="P576">
        <v>1</v>
      </c>
    </row>
    <row r="577" spans="1:16" x14ac:dyDescent="0.3">
      <c r="A577">
        <v>576</v>
      </c>
      <c r="B577" s="4">
        <v>40569</v>
      </c>
      <c r="C577">
        <v>1</v>
      </c>
      <c r="D577">
        <v>0</v>
      </c>
      <c r="E577">
        <v>1</v>
      </c>
      <c r="F577">
        <v>6</v>
      </c>
      <c r="G577" t="b">
        <v>0</v>
      </c>
      <c r="H577">
        <v>3</v>
      </c>
      <c r="I577">
        <v>3</v>
      </c>
      <c r="J577">
        <v>0.2</v>
      </c>
      <c r="K577">
        <v>0.18179999999999999</v>
      </c>
      <c r="L577">
        <v>0.86</v>
      </c>
      <c r="M577">
        <v>0.28360000000000002</v>
      </c>
      <c r="N577">
        <v>0</v>
      </c>
      <c r="O577">
        <v>8</v>
      </c>
      <c r="P577">
        <v>8</v>
      </c>
    </row>
    <row r="578" spans="1:16" x14ac:dyDescent="0.3">
      <c r="A578">
        <v>577</v>
      </c>
      <c r="B578" s="4">
        <v>40569</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3">
      <c r="A579">
        <v>578</v>
      </c>
      <c r="B579" s="4">
        <v>40569</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3">
      <c r="A580">
        <v>579</v>
      </c>
      <c r="B580" s="4">
        <v>40569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3">
      <c r="A581">
        <v>580</v>
      </c>
      <c r="B581" s="4">
        <v>40569</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3">
      <c r="A582">
        <v>581</v>
      </c>
      <c r="B582" s="4">
        <v>40569</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3">
      <c r="A583">
        <v>582</v>
      </c>
      <c r="B583" s="4">
        <v>40569</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3">
      <c r="A584">
        <v>583</v>
      </c>
      <c r="B584" s="4">
        <v>40569</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3">
      <c r="A585">
        <v>584</v>
      </c>
      <c r="B585" s="4">
        <v>40569</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3">
      <c r="A586">
        <v>585</v>
      </c>
      <c r="B586" s="4">
        <v>40569</v>
      </c>
      <c r="C586">
        <v>1</v>
      </c>
      <c r="D586">
        <v>0</v>
      </c>
      <c r="E586">
        <v>1</v>
      </c>
      <c r="F586">
        <v>15</v>
      </c>
      <c r="G586" t="b">
        <v>0</v>
      </c>
      <c r="H586">
        <v>3</v>
      </c>
      <c r="I586">
        <v>3</v>
      </c>
      <c r="J586">
        <v>0.22</v>
      </c>
      <c r="K586">
        <v>0.18179999999999999</v>
      </c>
      <c r="L586">
        <v>0.93</v>
      </c>
      <c r="M586">
        <v>0.4627</v>
      </c>
      <c r="N586">
        <v>1</v>
      </c>
      <c r="O586">
        <v>42</v>
      </c>
      <c r="P586">
        <v>43</v>
      </c>
    </row>
    <row r="587" spans="1:16" x14ac:dyDescent="0.3">
      <c r="A587">
        <v>586</v>
      </c>
      <c r="B587" s="4">
        <v>40569</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3">
      <c r="A588">
        <v>587</v>
      </c>
      <c r="B588" s="4">
        <v>40569</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3">
      <c r="A589">
        <v>588</v>
      </c>
      <c r="B589" s="4">
        <v>40570</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3">
      <c r="A590">
        <v>589</v>
      </c>
      <c r="B590" s="4">
        <v>40570</v>
      </c>
      <c r="C590">
        <v>1</v>
      </c>
      <c r="D590">
        <v>0</v>
      </c>
      <c r="E590">
        <v>1</v>
      </c>
      <c r="F590">
        <v>17</v>
      </c>
      <c r="G590" t="b">
        <v>0</v>
      </c>
      <c r="H590">
        <v>4</v>
      </c>
      <c r="I590">
        <v>1</v>
      </c>
      <c r="J590">
        <v>0.22</v>
      </c>
      <c r="K590">
        <v>0.2424</v>
      </c>
      <c r="L590">
        <v>0.55000000000000004</v>
      </c>
      <c r="M590">
        <v>0.1045</v>
      </c>
      <c r="N590">
        <v>2</v>
      </c>
      <c r="O590">
        <v>82</v>
      </c>
      <c r="P590">
        <v>84</v>
      </c>
    </row>
    <row r="591" spans="1:16" x14ac:dyDescent="0.3">
      <c r="A591">
        <v>590</v>
      </c>
      <c r="B591" s="4">
        <v>40570</v>
      </c>
      <c r="C591">
        <v>1</v>
      </c>
      <c r="D591">
        <v>0</v>
      </c>
      <c r="E591">
        <v>1</v>
      </c>
      <c r="F591">
        <v>18</v>
      </c>
      <c r="G591" t="b">
        <v>0</v>
      </c>
      <c r="H591">
        <v>4</v>
      </c>
      <c r="I591">
        <v>1</v>
      </c>
      <c r="J591">
        <v>0.2</v>
      </c>
      <c r="K591">
        <v>0.2273</v>
      </c>
      <c r="L591">
        <v>0.69</v>
      </c>
      <c r="M591">
        <v>8.9599999999999999E-2</v>
      </c>
      <c r="N591">
        <v>3</v>
      </c>
      <c r="O591">
        <v>101</v>
      </c>
      <c r="P591">
        <v>104</v>
      </c>
    </row>
    <row r="592" spans="1:16" x14ac:dyDescent="0.3">
      <c r="A592">
        <v>591</v>
      </c>
      <c r="B592" s="4">
        <v>40570</v>
      </c>
      <c r="C592">
        <v>1</v>
      </c>
      <c r="D592">
        <v>0</v>
      </c>
      <c r="E592">
        <v>1</v>
      </c>
      <c r="F592">
        <v>19</v>
      </c>
      <c r="G592" t="b">
        <v>0</v>
      </c>
      <c r="H592">
        <v>4</v>
      </c>
      <c r="I592">
        <v>1</v>
      </c>
      <c r="J592">
        <v>0.2</v>
      </c>
      <c r="K592">
        <v>0.2273</v>
      </c>
      <c r="L592">
        <v>0.69</v>
      </c>
      <c r="M592">
        <v>8.9599999999999999E-2</v>
      </c>
      <c r="N592">
        <v>3</v>
      </c>
      <c r="O592">
        <v>76</v>
      </c>
      <c r="P592">
        <v>79</v>
      </c>
    </row>
    <row r="593" spans="1:16" x14ac:dyDescent="0.3">
      <c r="A593">
        <v>592</v>
      </c>
      <c r="B593" s="4">
        <v>40570</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3">
      <c r="A594">
        <v>593</v>
      </c>
      <c r="B594" s="4">
        <v>40570</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3">
      <c r="A595">
        <v>594</v>
      </c>
      <c r="B595" s="4">
        <v>40570</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3">
      <c r="A596">
        <v>595</v>
      </c>
      <c r="B596" s="4">
        <v>40570</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3">
      <c r="A597">
        <v>596</v>
      </c>
      <c r="B597" s="4">
        <v>40571</v>
      </c>
      <c r="C597">
        <v>1</v>
      </c>
      <c r="D597">
        <v>0</v>
      </c>
      <c r="E597">
        <v>1</v>
      </c>
      <c r="F597">
        <v>0</v>
      </c>
      <c r="G597" t="b">
        <v>0</v>
      </c>
      <c r="H597">
        <v>5</v>
      </c>
      <c r="I597">
        <v>2</v>
      </c>
      <c r="J597">
        <v>0.2</v>
      </c>
      <c r="K597">
        <v>0.21210000000000001</v>
      </c>
      <c r="L597">
        <v>0.75</v>
      </c>
      <c r="M597">
        <v>0.1343</v>
      </c>
      <c r="N597">
        <v>0</v>
      </c>
      <c r="O597">
        <v>9</v>
      </c>
      <c r="P597">
        <v>9</v>
      </c>
    </row>
    <row r="598" spans="1:16" x14ac:dyDescent="0.3">
      <c r="A598">
        <v>597</v>
      </c>
      <c r="B598" s="4">
        <v>40571</v>
      </c>
      <c r="C598">
        <v>1</v>
      </c>
      <c r="D598">
        <v>0</v>
      </c>
      <c r="E598">
        <v>1</v>
      </c>
      <c r="F598">
        <v>1</v>
      </c>
      <c r="G598" t="b">
        <v>0</v>
      </c>
      <c r="H598">
        <v>5</v>
      </c>
      <c r="I598">
        <v>2</v>
      </c>
      <c r="J598">
        <v>0.2</v>
      </c>
      <c r="K598">
        <v>0.21210000000000001</v>
      </c>
      <c r="L598">
        <v>0.75</v>
      </c>
      <c r="M598">
        <v>0.1343</v>
      </c>
      <c r="N598">
        <v>1</v>
      </c>
      <c r="O598">
        <v>2</v>
      </c>
      <c r="P598">
        <v>3</v>
      </c>
    </row>
    <row r="599" spans="1:16" x14ac:dyDescent="0.3">
      <c r="A599">
        <v>598</v>
      </c>
      <c r="B599" s="4">
        <v>40571</v>
      </c>
      <c r="C599">
        <v>1</v>
      </c>
      <c r="D599">
        <v>0</v>
      </c>
      <c r="E599">
        <v>1</v>
      </c>
      <c r="F599">
        <v>2</v>
      </c>
      <c r="G599" t="b">
        <v>0</v>
      </c>
      <c r="H599">
        <v>5</v>
      </c>
      <c r="I599">
        <v>2</v>
      </c>
      <c r="J599">
        <v>0.2</v>
      </c>
      <c r="K599">
        <v>0.21210000000000001</v>
      </c>
      <c r="L599">
        <v>0.75</v>
      </c>
      <c r="M599">
        <v>0.16420000000000001</v>
      </c>
      <c r="N599">
        <v>0</v>
      </c>
      <c r="O599">
        <v>2</v>
      </c>
      <c r="P599">
        <v>2</v>
      </c>
    </row>
    <row r="600" spans="1:16" x14ac:dyDescent="0.3">
      <c r="A600">
        <v>599</v>
      </c>
      <c r="B600" s="4">
        <v>40571</v>
      </c>
      <c r="C600">
        <v>1</v>
      </c>
      <c r="D600">
        <v>0</v>
      </c>
      <c r="E600">
        <v>1</v>
      </c>
      <c r="F600">
        <v>3</v>
      </c>
      <c r="G600" t="b">
        <v>0</v>
      </c>
      <c r="H600">
        <v>5</v>
      </c>
      <c r="I600">
        <v>2</v>
      </c>
      <c r="J600">
        <v>0.2</v>
      </c>
      <c r="K600">
        <v>0.2273</v>
      </c>
      <c r="L600">
        <v>0.75</v>
      </c>
      <c r="M600">
        <v>0.1045</v>
      </c>
      <c r="N600">
        <v>1</v>
      </c>
      <c r="O600">
        <v>0</v>
      </c>
      <c r="P600">
        <v>1</v>
      </c>
    </row>
    <row r="601" spans="1:16" x14ac:dyDescent="0.3">
      <c r="A601">
        <v>600</v>
      </c>
      <c r="B601" s="4">
        <v>40571</v>
      </c>
      <c r="C601">
        <v>1</v>
      </c>
      <c r="D601">
        <v>0</v>
      </c>
      <c r="E601">
        <v>1</v>
      </c>
      <c r="F601">
        <v>5</v>
      </c>
      <c r="G601" t="b">
        <v>0</v>
      </c>
      <c r="H601">
        <v>5</v>
      </c>
      <c r="I601">
        <v>2</v>
      </c>
      <c r="J601">
        <v>0.18</v>
      </c>
      <c r="K601">
        <v>0.21210000000000001</v>
      </c>
      <c r="L601">
        <v>0.8</v>
      </c>
      <c r="M601">
        <v>0.1045</v>
      </c>
      <c r="N601">
        <v>0</v>
      </c>
      <c r="O601">
        <v>4</v>
      </c>
      <c r="P601">
        <v>4</v>
      </c>
    </row>
    <row r="602" spans="1:16" x14ac:dyDescent="0.3">
      <c r="A602">
        <v>601</v>
      </c>
      <c r="B602" s="4">
        <v>40571</v>
      </c>
      <c r="C602">
        <v>1</v>
      </c>
      <c r="D602">
        <v>0</v>
      </c>
      <c r="E602">
        <v>1</v>
      </c>
      <c r="F602">
        <v>6</v>
      </c>
      <c r="G602" t="b">
        <v>0</v>
      </c>
      <c r="H602">
        <v>5</v>
      </c>
      <c r="I602">
        <v>2</v>
      </c>
      <c r="J602">
        <v>0.18</v>
      </c>
      <c r="K602">
        <v>0.19700000000000001</v>
      </c>
      <c r="L602">
        <v>0.8</v>
      </c>
      <c r="M602">
        <v>0.1343</v>
      </c>
      <c r="N602">
        <v>0</v>
      </c>
      <c r="O602">
        <v>16</v>
      </c>
      <c r="P602">
        <v>16</v>
      </c>
    </row>
    <row r="603" spans="1:16" x14ac:dyDescent="0.3">
      <c r="A603">
        <v>602</v>
      </c>
      <c r="B603" s="4">
        <v>40571</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3">
      <c r="A604">
        <v>603</v>
      </c>
      <c r="B604" s="4">
        <v>40571</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3">
      <c r="A605">
        <v>604</v>
      </c>
      <c r="B605" s="4">
        <v>40571</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3">
      <c r="A606">
        <v>605</v>
      </c>
      <c r="B606" s="4">
        <v>40571</v>
      </c>
      <c r="C606">
        <v>1</v>
      </c>
      <c r="D606">
        <v>0</v>
      </c>
      <c r="E606">
        <v>1</v>
      </c>
      <c r="F606">
        <v>10</v>
      </c>
      <c r="G606" t="b">
        <v>0</v>
      </c>
      <c r="H606">
        <v>5</v>
      </c>
      <c r="I606">
        <v>3</v>
      </c>
      <c r="J606">
        <v>0.18</v>
      </c>
      <c r="K606">
        <v>0.21210000000000001</v>
      </c>
      <c r="L606">
        <v>0.86</v>
      </c>
      <c r="M606">
        <v>0.1045</v>
      </c>
      <c r="N606">
        <v>0</v>
      </c>
      <c r="O606">
        <v>49</v>
      </c>
      <c r="P606">
        <v>49</v>
      </c>
    </row>
    <row r="607" spans="1:16" x14ac:dyDescent="0.3">
      <c r="A607">
        <v>606</v>
      </c>
      <c r="B607" s="4">
        <v>40571</v>
      </c>
      <c r="C607">
        <v>1</v>
      </c>
      <c r="D607">
        <v>0</v>
      </c>
      <c r="E607">
        <v>1</v>
      </c>
      <c r="F607">
        <v>11</v>
      </c>
      <c r="G607" t="b">
        <v>0</v>
      </c>
      <c r="H607">
        <v>5</v>
      </c>
      <c r="I607">
        <v>3</v>
      </c>
      <c r="J607">
        <v>0.18</v>
      </c>
      <c r="K607">
        <v>0.21210000000000001</v>
      </c>
      <c r="L607">
        <v>0.93</v>
      </c>
      <c r="M607">
        <v>0.1045</v>
      </c>
      <c r="N607">
        <v>0</v>
      </c>
      <c r="O607">
        <v>30</v>
      </c>
      <c r="P607">
        <v>30</v>
      </c>
    </row>
    <row r="608" spans="1:16" x14ac:dyDescent="0.3">
      <c r="A608">
        <v>607</v>
      </c>
      <c r="B608" s="4">
        <v>40571</v>
      </c>
      <c r="C608">
        <v>1</v>
      </c>
      <c r="D608">
        <v>0</v>
      </c>
      <c r="E608">
        <v>1</v>
      </c>
      <c r="F608">
        <v>12</v>
      </c>
      <c r="G608" t="b">
        <v>0</v>
      </c>
      <c r="H608">
        <v>5</v>
      </c>
      <c r="I608">
        <v>3</v>
      </c>
      <c r="J608">
        <v>0.18</v>
      </c>
      <c r="K608">
        <v>0.21210000000000001</v>
      </c>
      <c r="L608">
        <v>0.93</v>
      </c>
      <c r="M608">
        <v>0.1045</v>
      </c>
      <c r="N608">
        <v>1</v>
      </c>
      <c r="O608">
        <v>28</v>
      </c>
      <c r="P608">
        <v>29</v>
      </c>
    </row>
    <row r="609" spans="1:16" x14ac:dyDescent="0.3">
      <c r="A609">
        <v>608</v>
      </c>
      <c r="B609" s="4">
        <v>40571</v>
      </c>
      <c r="C609">
        <v>1</v>
      </c>
      <c r="D609">
        <v>0</v>
      </c>
      <c r="E609">
        <v>1</v>
      </c>
      <c r="F609">
        <v>13</v>
      </c>
      <c r="G609" t="b">
        <v>0</v>
      </c>
      <c r="H609">
        <v>5</v>
      </c>
      <c r="I609">
        <v>3</v>
      </c>
      <c r="J609">
        <v>0.18</v>
      </c>
      <c r="K609">
        <v>0.21210000000000001</v>
      </c>
      <c r="L609">
        <v>0.93</v>
      </c>
      <c r="M609">
        <v>0.1045</v>
      </c>
      <c r="N609">
        <v>0</v>
      </c>
      <c r="O609">
        <v>31</v>
      </c>
      <c r="P609">
        <v>31</v>
      </c>
    </row>
    <row r="610" spans="1:16" x14ac:dyDescent="0.3">
      <c r="A610">
        <v>609</v>
      </c>
      <c r="B610" s="4">
        <v>40571</v>
      </c>
      <c r="C610">
        <v>1</v>
      </c>
      <c r="D610">
        <v>0</v>
      </c>
      <c r="E610">
        <v>1</v>
      </c>
      <c r="F610">
        <v>14</v>
      </c>
      <c r="G610" t="b">
        <v>0</v>
      </c>
      <c r="H610">
        <v>5</v>
      </c>
      <c r="I610">
        <v>3</v>
      </c>
      <c r="J610">
        <v>0.22</v>
      </c>
      <c r="K610">
        <v>0.2727</v>
      </c>
      <c r="L610">
        <v>0.8</v>
      </c>
      <c r="M610">
        <v>0</v>
      </c>
      <c r="N610">
        <v>2</v>
      </c>
      <c r="O610">
        <v>36</v>
      </c>
      <c r="P610">
        <v>38</v>
      </c>
    </row>
    <row r="611" spans="1:16" x14ac:dyDescent="0.3">
      <c r="A611">
        <v>610</v>
      </c>
      <c r="B611" s="4">
        <v>40571</v>
      </c>
      <c r="C611">
        <v>1</v>
      </c>
      <c r="D611">
        <v>0</v>
      </c>
      <c r="E611">
        <v>1</v>
      </c>
      <c r="F611">
        <v>15</v>
      </c>
      <c r="G611" t="b">
        <v>0</v>
      </c>
      <c r="H611">
        <v>5</v>
      </c>
      <c r="I611">
        <v>2</v>
      </c>
      <c r="J611">
        <v>0.2</v>
      </c>
      <c r="K611">
        <v>0.2576</v>
      </c>
      <c r="L611">
        <v>0.86</v>
      </c>
      <c r="M611">
        <v>0</v>
      </c>
      <c r="N611">
        <v>1</v>
      </c>
      <c r="O611">
        <v>40</v>
      </c>
      <c r="P611">
        <v>41</v>
      </c>
    </row>
    <row r="612" spans="1:16" x14ac:dyDescent="0.3">
      <c r="A612">
        <v>611</v>
      </c>
      <c r="B612" s="4">
        <v>40571</v>
      </c>
      <c r="C612">
        <v>1</v>
      </c>
      <c r="D612">
        <v>0</v>
      </c>
      <c r="E612">
        <v>1</v>
      </c>
      <c r="F612">
        <v>16</v>
      </c>
      <c r="G612" t="b">
        <v>0</v>
      </c>
      <c r="H612">
        <v>5</v>
      </c>
      <c r="I612">
        <v>1</v>
      </c>
      <c r="J612">
        <v>0.22</v>
      </c>
      <c r="K612">
        <v>0.2727</v>
      </c>
      <c r="L612">
        <v>0.8</v>
      </c>
      <c r="M612">
        <v>0</v>
      </c>
      <c r="N612">
        <v>10</v>
      </c>
      <c r="O612">
        <v>70</v>
      </c>
      <c r="P612">
        <v>80</v>
      </c>
    </row>
    <row r="613" spans="1:16" x14ac:dyDescent="0.3">
      <c r="A613">
        <v>612</v>
      </c>
      <c r="B613" s="4">
        <v>40571</v>
      </c>
      <c r="C613">
        <v>1</v>
      </c>
      <c r="D613">
        <v>0</v>
      </c>
      <c r="E613">
        <v>1</v>
      </c>
      <c r="F613">
        <v>17</v>
      </c>
      <c r="G613" t="b">
        <v>0</v>
      </c>
      <c r="H613">
        <v>5</v>
      </c>
      <c r="I613">
        <v>1</v>
      </c>
      <c r="J613">
        <v>0.24</v>
      </c>
      <c r="K613">
        <v>0.2424</v>
      </c>
      <c r="L613">
        <v>0.75</v>
      </c>
      <c r="M613">
        <v>0.1343</v>
      </c>
      <c r="N613">
        <v>2</v>
      </c>
      <c r="O613">
        <v>147</v>
      </c>
      <c r="P613">
        <v>149</v>
      </c>
    </row>
    <row r="614" spans="1:16" x14ac:dyDescent="0.3">
      <c r="A614">
        <v>613</v>
      </c>
      <c r="B614" s="4">
        <v>40571</v>
      </c>
      <c r="C614">
        <v>1</v>
      </c>
      <c r="D614">
        <v>0</v>
      </c>
      <c r="E614">
        <v>1</v>
      </c>
      <c r="F614">
        <v>18</v>
      </c>
      <c r="G614" t="b">
        <v>0</v>
      </c>
      <c r="H614">
        <v>5</v>
      </c>
      <c r="I614">
        <v>1</v>
      </c>
      <c r="J614">
        <v>0.24</v>
      </c>
      <c r="K614">
        <v>0.2273</v>
      </c>
      <c r="L614">
        <v>0.75</v>
      </c>
      <c r="M614">
        <v>0.19400000000000001</v>
      </c>
      <c r="N614">
        <v>2</v>
      </c>
      <c r="O614">
        <v>107</v>
      </c>
      <c r="P614">
        <v>109</v>
      </c>
    </row>
    <row r="615" spans="1:16" x14ac:dyDescent="0.3">
      <c r="A615">
        <v>614</v>
      </c>
      <c r="B615" s="4">
        <v>40571</v>
      </c>
      <c r="C615">
        <v>1</v>
      </c>
      <c r="D615">
        <v>0</v>
      </c>
      <c r="E615">
        <v>1</v>
      </c>
      <c r="F615">
        <v>19</v>
      </c>
      <c r="G615" t="b">
        <v>0</v>
      </c>
      <c r="H615">
        <v>5</v>
      </c>
      <c r="I615">
        <v>2</v>
      </c>
      <c r="J615">
        <v>0.24</v>
      </c>
      <c r="K615">
        <v>0.2424</v>
      </c>
      <c r="L615">
        <v>0.75</v>
      </c>
      <c r="M615">
        <v>0.1343</v>
      </c>
      <c r="N615">
        <v>5</v>
      </c>
      <c r="O615">
        <v>84</v>
      </c>
      <c r="P615">
        <v>89</v>
      </c>
    </row>
    <row r="616" spans="1:16" x14ac:dyDescent="0.3">
      <c r="A616">
        <v>615</v>
      </c>
      <c r="B616" s="4">
        <v>40571</v>
      </c>
      <c r="C616">
        <v>1</v>
      </c>
      <c r="D616">
        <v>0</v>
      </c>
      <c r="E616">
        <v>1</v>
      </c>
      <c r="F616">
        <v>20</v>
      </c>
      <c r="G616" t="b">
        <v>0</v>
      </c>
      <c r="H616">
        <v>5</v>
      </c>
      <c r="I616">
        <v>2</v>
      </c>
      <c r="J616">
        <v>0.24</v>
      </c>
      <c r="K616">
        <v>0.2273</v>
      </c>
      <c r="L616">
        <v>0.7</v>
      </c>
      <c r="M616">
        <v>0.19400000000000001</v>
      </c>
      <c r="N616">
        <v>1</v>
      </c>
      <c r="O616">
        <v>61</v>
      </c>
      <c r="P616">
        <v>62</v>
      </c>
    </row>
    <row r="617" spans="1:16" x14ac:dyDescent="0.3">
      <c r="A617">
        <v>616</v>
      </c>
      <c r="B617" s="4">
        <v>40571</v>
      </c>
      <c r="C617">
        <v>1</v>
      </c>
      <c r="D617">
        <v>0</v>
      </c>
      <c r="E617">
        <v>1</v>
      </c>
      <c r="F617">
        <v>21</v>
      </c>
      <c r="G617" t="b">
        <v>0</v>
      </c>
      <c r="H617">
        <v>5</v>
      </c>
      <c r="I617">
        <v>2</v>
      </c>
      <c r="J617">
        <v>0.22</v>
      </c>
      <c r="K617">
        <v>0.2273</v>
      </c>
      <c r="L617">
        <v>0.75</v>
      </c>
      <c r="M617">
        <v>0.1343</v>
      </c>
      <c r="N617">
        <v>1</v>
      </c>
      <c r="O617">
        <v>57</v>
      </c>
      <c r="P617">
        <v>58</v>
      </c>
    </row>
    <row r="618" spans="1:16" x14ac:dyDescent="0.3">
      <c r="A618">
        <v>617</v>
      </c>
      <c r="B618" s="4">
        <v>40571</v>
      </c>
      <c r="C618">
        <v>1</v>
      </c>
      <c r="D618">
        <v>0</v>
      </c>
      <c r="E618">
        <v>1</v>
      </c>
      <c r="F618">
        <v>22</v>
      </c>
      <c r="G618" t="b">
        <v>0</v>
      </c>
      <c r="H618">
        <v>5</v>
      </c>
      <c r="I618">
        <v>1</v>
      </c>
      <c r="J618">
        <v>0.24</v>
      </c>
      <c r="K618">
        <v>0.21210000000000001</v>
      </c>
      <c r="L618">
        <v>0.65</v>
      </c>
      <c r="M618">
        <v>0.35820000000000002</v>
      </c>
      <c r="N618">
        <v>0</v>
      </c>
      <c r="O618">
        <v>26</v>
      </c>
      <c r="P618">
        <v>26</v>
      </c>
    </row>
    <row r="619" spans="1:16" x14ac:dyDescent="0.3">
      <c r="A619">
        <v>618</v>
      </c>
      <c r="B619" s="4">
        <v>40571</v>
      </c>
      <c r="C619">
        <v>1</v>
      </c>
      <c r="D619">
        <v>0</v>
      </c>
      <c r="E619">
        <v>1</v>
      </c>
      <c r="F619">
        <v>23</v>
      </c>
      <c r="G619" t="b">
        <v>0</v>
      </c>
      <c r="H619">
        <v>5</v>
      </c>
      <c r="I619">
        <v>1</v>
      </c>
      <c r="J619">
        <v>0.24</v>
      </c>
      <c r="K619">
        <v>0.2273</v>
      </c>
      <c r="L619">
        <v>0.6</v>
      </c>
      <c r="M619">
        <v>0.22389999999999999</v>
      </c>
      <c r="N619">
        <v>1</v>
      </c>
      <c r="O619">
        <v>22</v>
      </c>
      <c r="P619">
        <v>23</v>
      </c>
    </row>
    <row r="620" spans="1:16" x14ac:dyDescent="0.3">
      <c r="A620">
        <v>619</v>
      </c>
      <c r="B620" s="4">
        <v>40572</v>
      </c>
      <c r="C620">
        <v>1</v>
      </c>
      <c r="D620">
        <v>0</v>
      </c>
      <c r="E620">
        <v>1</v>
      </c>
      <c r="F620">
        <v>0</v>
      </c>
      <c r="G620" t="b">
        <v>0</v>
      </c>
      <c r="H620">
        <v>6</v>
      </c>
      <c r="I620">
        <v>1</v>
      </c>
      <c r="J620">
        <v>0.22</v>
      </c>
      <c r="K620">
        <v>0.19700000000000001</v>
      </c>
      <c r="L620">
        <v>0.64</v>
      </c>
      <c r="M620">
        <v>0.35820000000000002</v>
      </c>
      <c r="N620">
        <v>2</v>
      </c>
      <c r="O620">
        <v>26</v>
      </c>
      <c r="P620">
        <v>28</v>
      </c>
    </row>
    <row r="621" spans="1:16" x14ac:dyDescent="0.3">
      <c r="A621">
        <v>620</v>
      </c>
      <c r="B621" s="4">
        <v>40572</v>
      </c>
      <c r="C621">
        <v>1</v>
      </c>
      <c r="D621">
        <v>0</v>
      </c>
      <c r="E621">
        <v>1</v>
      </c>
      <c r="F621">
        <v>1</v>
      </c>
      <c r="G621" t="b">
        <v>0</v>
      </c>
      <c r="H621">
        <v>6</v>
      </c>
      <c r="I621">
        <v>1</v>
      </c>
      <c r="J621">
        <v>0.22</v>
      </c>
      <c r="K621">
        <v>0.2273</v>
      </c>
      <c r="L621">
        <v>0.64</v>
      </c>
      <c r="M621">
        <v>0.19400000000000001</v>
      </c>
      <c r="N621">
        <v>0</v>
      </c>
      <c r="O621">
        <v>20</v>
      </c>
      <c r="P621">
        <v>20</v>
      </c>
    </row>
    <row r="622" spans="1:16" x14ac:dyDescent="0.3">
      <c r="A622">
        <v>621</v>
      </c>
      <c r="B622" s="4">
        <v>40572</v>
      </c>
      <c r="C622">
        <v>1</v>
      </c>
      <c r="D622">
        <v>0</v>
      </c>
      <c r="E622">
        <v>1</v>
      </c>
      <c r="F622">
        <v>2</v>
      </c>
      <c r="G622" t="b">
        <v>0</v>
      </c>
      <c r="H622">
        <v>6</v>
      </c>
      <c r="I622">
        <v>1</v>
      </c>
      <c r="J622">
        <v>0.22</v>
      </c>
      <c r="K622">
        <v>0.2273</v>
      </c>
      <c r="L622">
        <v>0.64</v>
      </c>
      <c r="M622">
        <v>0.16420000000000001</v>
      </c>
      <c r="N622">
        <v>0</v>
      </c>
      <c r="O622">
        <v>15</v>
      </c>
      <c r="P622">
        <v>15</v>
      </c>
    </row>
    <row r="623" spans="1:16" x14ac:dyDescent="0.3">
      <c r="A623">
        <v>622</v>
      </c>
      <c r="B623" s="4">
        <v>40572</v>
      </c>
      <c r="C623">
        <v>1</v>
      </c>
      <c r="D623">
        <v>0</v>
      </c>
      <c r="E623">
        <v>1</v>
      </c>
      <c r="F623">
        <v>3</v>
      </c>
      <c r="G623" t="b">
        <v>0</v>
      </c>
      <c r="H623">
        <v>6</v>
      </c>
      <c r="I623">
        <v>1</v>
      </c>
      <c r="J623">
        <v>0.2</v>
      </c>
      <c r="K623">
        <v>0.21210000000000001</v>
      </c>
      <c r="L623">
        <v>0.64</v>
      </c>
      <c r="M623">
        <v>0.1343</v>
      </c>
      <c r="N623">
        <v>3</v>
      </c>
      <c r="O623">
        <v>5</v>
      </c>
      <c r="P623">
        <v>8</v>
      </c>
    </row>
    <row r="624" spans="1:16" x14ac:dyDescent="0.3">
      <c r="A624">
        <v>623</v>
      </c>
      <c r="B624" s="4">
        <v>40572</v>
      </c>
      <c r="C624">
        <v>1</v>
      </c>
      <c r="D624">
        <v>0</v>
      </c>
      <c r="E624">
        <v>1</v>
      </c>
      <c r="F624">
        <v>4</v>
      </c>
      <c r="G624" t="b">
        <v>0</v>
      </c>
      <c r="H624">
        <v>6</v>
      </c>
      <c r="I624">
        <v>1</v>
      </c>
      <c r="J624">
        <v>0.16</v>
      </c>
      <c r="K624">
        <v>0.18179999999999999</v>
      </c>
      <c r="L624">
        <v>0.69</v>
      </c>
      <c r="M624">
        <v>0.1045</v>
      </c>
      <c r="N624">
        <v>1</v>
      </c>
      <c r="O624">
        <v>2</v>
      </c>
      <c r="P624">
        <v>3</v>
      </c>
    </row>
    <row r="625" spans="1:16" x14ac:dyDescent="0.3">
      <c r="A625">
        <v>624</v>
      </c>
      <c r="B625" s="4">
        <v>40572</v>
      </c>
      <c r="C625">
        <v>1</v>
      </c>
      <c r="D625">
        <v>0</v>
      </c>
      <c r="E625">
        <v>1</v>
      </c>
      <c r="F625">
        <v>6</v>
      </c>
      <c r="G625" t="b">
        <v>0</v>
      </c>
      <c r="H625">
        <v>6</v>
      </c>
      <c r="I625">
        <v>1</v>
      </c>
      <c r="J625">
        <v>0.16</v>
      </c>
      <c r="K625">
        <v>0.18179999999999999</v>
      </c>
      <c r="L625">
        <v>0.64</v>
      </c>
      <c r="M625">
        <v>0.1343</v>
      </c>
      <c r="N625">
        <v>0</v>
      </c>
      <c r="O625">
        <v>2</v>
      </c>
      <c r="P625">
        <v>2</v>
      </c>
    </row>
    <row r="626" spans="1:16" x14ac:dyDescent="0.3">
      <c r="A626">
        <v>625</v>
      </c>
      <c r="B626" s="4">
        <v>40572</v>
      </c>
      <c r="C626">
        <v>1</v>
      </c>
      <c r="D626">
        <v>0</v>
      </c>
      <c r="E626">
        <v>1</v>
      </c>
      <c r="F626">
        <v>7</v>
      </c>
      <c r="G626" t="b">
        <v>0</v>
      </c>
      <c r="H626">
        <v>6</v>
      </c>
      <c r="I626">
        <v>1</v>
      </c>
      <c r="J626">
        <v>0.16</v>
      </c>
      <c r="K626">
        <v>0.18179999999999999</v>
      </c>
      <c r="L626">
        <v>0.59</v>
      </c>
      <c r="M626">
        <v>0.1045</v>
      </c>
      <c r="N626">
        <v>1</v>
      </c>
      <c r="O626">
        <v>4</v>
      </c>
      <c r="P626">
        <v>5</v>
      </c>
    </row>
    <row r="627" spans="1:16" x14ac:dyDescent="0.3">
      <c r="A627">
        <v>626</v>
      </c>
      <c r="B627" s="4">
        <v>40572</v>
      </c>
      <c r="C627">
        <v>1</v>
      </c>
      <c r="D627">
        <v>0</v>
      </c>
      <c r="E627">
        <v>1</v>
      </c>
      <c r="F627">
        <v>8</v>
      </c>
      <c r="G627" t="b">
        <v>0</v>
      </c>
      <c r="H627">
        <v>6</v>
      </c>
      <c r="I627">
        <v>1</v>
      </c>
      <c r="J627">
        <v>0.18</v>
      </c>
      <c r="K627">
        <v>0.19700000000000001</v>
      </c>
      <c r="L627">
        <v>0.55000000000000004</v>
      </c>
      <c r="M627">
        <v>0.16420000000000001</v>
      </c>
      <c r="N627">
        <v>3</v>
      </c>
      <c r="O627">
        <v>31</v>
      </c>
      <c r="P627">
        <v>34</v>
      </c>
    </row>
    <row r="628" spans="1:16" x14ac:dyDescent="0.3">
      <c r="A628">
        <v>627</v>
      </c>
      <c r="B628" s="4">
        <v>40572</v>
      </c>
      <c r="C628">
        <v>1</v>
      </c>
      <c r="D628">
        <v>0</v>
      </c>
      <c r="E628">
        <v>1</v>
      </c>
      <c r="F628">
        <v>9</v>
      </c>
      <c r="G628" t="b">
        <v>0</v>
      </c>
      <c r="H628">
        <v>6</v>
      </c>
      <c r="I628">
        <v>1</v>
      </c>
      <c r="J628">
        <v>0.18</v>
      </c>
      <c r="K628">
        <v>0.21210000000000001</v>
      </c>
      <c r="L628">
        <v>0.59</v>
      </c>
      <c r="M628">
        <v>8.9599999999999999E-2</v>
      </c>
      <c r="N628">
        <v>0</v>
      </c>
      <c r="O628">
        <v>34</v>
      </c>
      <c r="P628">
        <v>34</v>
      </c>
    </row>
    <row r="629" spans="1:16" x14ac:dyDescent="0.3">
      <c r="A629">
        <v>628</v>
      </c>
      <c r="B629" s="4">
        <v>40572</v>
      </c>
      <c r="C629">
        <v>1</v>
      </c>
      <c r="D629">
        <v>0</v>
      </c>
      <c r="E629">
        <v>1</v>
      </c>
      <c r="F629">
        <v>10</v>
      </c>
      <c r="G629" t="b">
        <v>0</v>
      </c>
      <c r="H629">
        <v>6</v>
      </c>
      <c r="I629">
        <v>2</v>
      </c>
      <c r="J629">
        <v>0.18</v>
      </c>
      <c r="K629">
        <v>0.21210000000000001</v>
      </c>
      <c r="L629">
        <v>0.64</v>
      </c>
      <c r="M629">
        <v>0.1045</v>
      </c>
      <c r="N629">
        <v>4</v>
      </c>
      <c r="O629">
        <v>51</v>
      </c>
      <c r="P629">
        <v>55</v>
      </c>
    </row>
    <row r="630" spans="1:16" x14ac:dyDescent="0.3">
      <c r="A630">
        <v>629</v>
      </c>
      <c r="B630" s="4">
        <v>40572</v>
      </c>
      <c r="C630">
        <v>1</v>
      </c>
      <c r="D630">
        <v>0</v>
      </c>
      <c r="E630">
        <v>1</v>
      </c>
      <c r="F630">
        <v>11</v>
      </c>
      <c r="G630" t="b">
        <v>0</v>
      </c>
      <c r="H630">
        <v>6</v>
      </c>
      <c r="I630">
        <v>2</v>
      </c>
      <c r="J630">
        <v>0.18</v>
      </c>
      <c r="K630">
        <v>0.19700000000000001</v>
      </c>
      <c r="L630">
        <v>0.64</v>
      </c>
      <c r="M630">
        <v>0.1343</v>
      </c>
      <c r="N630">
        <v>4</v>
      </c>
      <c r="O630">
        <v>60</v>
      </c>
      <c r="P630">
        <v>64</v>
      </c>
    </row>
    <row r="631" spans="1:16" x14ac:dyDescent="0.3">
      <c r="A631">
        <v>630</v>
      </c>
      <c r="B631" s="4">
        <v>40572</v>
      </c>
      <c r="C631">
        <v>1</v>
      </c>
      <c r="D631">
        <v>0</v>
      </c>
      <c r="E631">
        <v>1</v>
      </c>
      <c r="F631">
        <v>12</v>
      </c>
      <c r="G631" t="b">
        <v>0</v>
      </c>
      <c r="H631">
        <v>6</v>
      </c>
      <c r="I631">
        <v>2</v>
      </c>
      <c r="J631">
        <v>0.2</v>
      </c>
      <c r="K631">
        <v>0.19700000000000001</v>
      </c>
      <c r="L631">
        <v>0.59</v>
      </c>
      <c r="M631">
        <v>0.19400000000000001</v>
      </c>
      <c r="N631">
        <v>12</v>
      </c>
      <c r="O631">
        <v>66</v>
      </c>
      <c r="P631">
        <v>78</v>
      </c>
    </row>
    <row r="632" spans="1:16" x14ac:dyDescent="0.3">
      <c r="A632">
        <v>631</v>
      </c>
      <c r="B632" s="4">
        <v>40572</v>
      </c>
      <c r="C632">
        <v>1</v>
      </c>
      <c r="D632">
        <v>0</v>
      </c>
      <c r="E632">
        <v>1</v>
      </c>
      <c r="F632">
        <v>13</v>
      </c>
      <c r="G632" t="b">
        <v>0</v>
      </c>
      <c r="H632">
        <v>6</v>
      </c>
      <c r="I632">
        <v>2</v>
      </c>
      <c r="J632">
        <v>0.22</v>
      </c>
      <c r="K632">
        <v>0.2273</v>
      </c>
      <c r="L632">
        <v>0.55000000000000004</v>
      </c>
      <c r="M632">
        <v>0.16420000000000001</v>
      </c>
      <c r="N632">
        <v>9</v>
      </c>
      <c r="O632">
        <v>56</v>
      </c>
      <c r="P632">
        <v>65</v>
      </c>
    </row>
    <row r="633" spans="1:16" x14ac:dyDescent="0.3">
      <c r="A633">
        <v>632</v>
      </c>
      <c r="B633" s="4">
        <v>40572</v>
      </c>
      <c r="C633">
        <v>1</v>
      </c>
      <c r="D633">
        <v>0</v>
      </c>
      <c r="E633">
        <v>1</v>
      </c>
      <c r="F633">
        <v>14</v>
      </c>
      <c r="G633" t="b">
        <v>0</v>
      </c>
      <c r="H633">
        <v>6</v>
      </c>
      <c r="I633">
        <v>2</v>
      </c>
      <c r="J633">
        <v>0.22</v>
      </c>
      <c r="K633">
        <v>0.2273</v>
      </c>
      <c r="L633">
        <v>0.6</v>
      </c>
      <c r="M633">
        <v>0.1343</v>
      </c>
      <c r="N633">
        <v>10</v>
      </c>
      <c r="O633">
        <v>89</v>
      </c>
      <c r="P633">
        <v>99</v>
      </c>
    </row>
    <row r="634" spans="1:16" x14ac:dyDescent="0.3">
      <c r="A634">
        <v>633</v>
      </c>
      <c r="B634" s="4">
        <v>40572</v>
      </c>
      <c r="C634">
        <v>1</v>
      </c>
      <c r="D634">
        <v>0</v>
      </c>
      <c r="E634">
        <v>1</v>
      </c>
      <c r="F634">
        <v>15</v>
      </c>
      <c r="G634" t="b">
        <v>0</v>
      </c>
      <c r="H634">
        <v>6</v>
      </c>
      <c r="I634">
        <v>1</v>
      </c>
      <c r="J634">
        <v>0.22</v>
      </c>
      <c r="K634">
        <v>0.21210000000000001</v>
      </c>
      <c r="L634">
        <v>0.69</v>
      </c>
      <c r="M634">
        <v>0.25369999999999998</v>
      </c>
      <c r="N634">
        <v>22</v>
      </c>
      <c r="O634">
        <v>98</v>
      </c>
      <c r="P634">
        <v>120</v>
      </c>
    </row>
    <row r="635" spans="1:16" x14ac:dyDescent="0.3">
      <c r="A635">
        <v>634</v>
      </c>
      <c r="B635" s="4">
        <v>40572</v>
      </c>
      <c r="C635">
        <v>1</v>
      </c>
      <c r="D635">
        <v>0</v>
      </c>
      <c r="E635">
        <v>1</v>
      </c>
      <c r="F635">
        <v>16</v>
      </c>
      <c r="G635" t="b">
        <v>0</v>
      </c>
      <c r="H635">
        <v>6</v>
      </c>
      <c r="I635">
        <v>1</v>
      </c>
      <c r="J635">
        <v>0.24</v>
      </c>
      <c r="K635">
        <v>0.2424</v>
      </c>
      <c r="L635">
        <v>0.6</v>
      </c>
      <c r="M635">
        <v>0.16420000000000001</v>
      </c>
      <c r="N635">
        <v>19</v>
      </c>
      <c r="O635">
        <v>88</v>
      </c>
      <c r="P635">
        <v>107</v>
      </c>
    </row>
    <row r="636" spans="1:16" x14ac:dyDescent="0.3">
      <c r="A636">
        <v>635</v>
      </c>
      <c r="B636" s="4">
        <v>40572</v>
      </c>
      <c r="C636">
        <v>1</v>
      </c>
      <c r="D636">
        <v>0</v>
      </c>
      <c r="E636">
        <v>1</v>
      </c>
      <c r="F636">
        <v>17</v>
      </c>
      <c r="G636" t="b">
        <v>0</v>
      </c>
      <c r="H636">
        <v>6</v>
      </c>
      <c r="I636">
        <v>1</v>
      </c>
      <c r="J636">
        <v>0.24</v>
      </c>
      <c r="K636">
        <v>0.28789999999999999</v>
      </c>
      <c r="L636">
        <v>0.6</v>
      </c>
      <c r="M636">
        <v>0</v>
      </c>
      <c r="N636">
        <v>9</v>
      </c>
      <c r="O636">
        <v>82</v>
      </c>
      <c r="P636">
        <v>91</v>
      </c>
    </row>
    <row r="637" spans="1:16" x14ac:dyDescent="0.3">
      <c r="A637">
        <v>636</v>
      </c>
      <c r="B637" s="4">
        <v>40572</v>
      </c>
      <c r="C637">
        <v>1</v>
      </c>
      <c r="D637">
        <v>0</v>
      </c>
      <c r="E637">
        <v>1</v>
      </c>
      <c r="F637">
        <v>18</v>
      </c>
      <c r="G637" t="b">
        <v>0</v>
      </c>
      <c r="H637">
        <v>6</v>
      </c>
      <c r="I637">
        <v>1</v>
      </c>
      <c r="J637">
        <v>0.22</v>
      </c>
      <c r="K637">
        <v>0.2273</v>
      </c>
      <c r="L637">
        <v>0.69</v>
      </c>
      <c r="M637">
        <v>0.1343</v>
      </c>
      <c r="N637">
        <v>9</v>
      </c>
      <c r="O637">
        <v>59</v>
      </c>
      <c r="P637">
        <v>68</v>
      </c>
    </row>
    <row r="638" spans="1:16" x14ac:dyDescent="0.3">
      <c r="A638">
        <v>637</v>
      </c>
      <c r="B638" s="4">
        <v>40572</v>
      </c>
      <c r="C638">
        <v>1</v>
      </c>
      <c r="D638">
        <v>0</v>
      </c>
      <c r="E638">
        <v>1</v>
      </c>
      <c r="F638">
        <v>19</v>
      </c>
      <c r="G638" t="b">
        <v>0</v>
      </c>
      <c r="H638">
        <v>6</v>
      </c>
      <c r="I638">
        <v>2</v>
      </c>
      <c r="J638">
        <v>0.22</v>
      </c>
      <c r="K638">
        <v>0.21210000000000001</v>
      </c>
      <c r="L638">
        <v>0.69</v>
      </c>
      <c r="M638">
        <v>0.25369999999999998</v>
      </c>
      <c r="N638">
        <v>6</v>
      </c>
      <c r="O638">
        <v>52</v>
      </c>
      <c r="P638">
        <v>58</v>
      </c>
    </row>
    <row r="639" spans="1:16" x14ac:dyDescent="0.3">
      <c r="A639">
        <v>638</v>
      </c>
      <c r="B639" s="4">
        <v>40572</v>
      </c>
      <c r="C639">
        <v>1</v>
      </c>
      <c r="D639">
        <v>0</v>
      </c>
      <c r="E639">
        <v>1</v>
      </c>
      <c r="F639">
        <v>20</v>
      </c>
      <c r="G639" t="b">
        <v>0</v>
      </c>
      <c r="H639">
        <v>6</v>
      </c>
      <c r="I639">
        <v>1</v>
      </c>
      <c r="J639">
        <v>0.18</v>
      </c>
      <c r="K639">
        <v>0.21210000000000001</v>
      </c>
      <c r="L639">
        <v>0.74</v>
      </c>
      <c r="M639">
        <v>8.9599999999999999E-2</v>
      </c>
      <c r="N639">
        <v>1</v>
      </c>
      <c r="O639">
        <v>42</v>
      </c>
      <c r="P639">
        <v>43</v>
      </c>
    </row>
    <row r="640" spans="1:16" x14ac:dyDescent="0.3">
      <c r="A640">
        <v>639</v>
      </c>
      <c r="B640" s="4">
        <v>40572</v>
      </c>
      <c r="C640">
        <v>1</v>
      </c>
      <c r="D640">
        <v>0</v>
      </c>
      <c r="E640">
        <v>1</v>
      </c>
      <c r="F640">
        <v>21</v>
      </c>
      <c r="G640" t="b">
        <v>0</v>
      </c>
      <c r="H640">
        <v>6</v>
      </c>
      <c r="I640">
        <v>1</v>
      </c>
      <c r="J640">
        <v>0.18</v>
      </c>
      <c r="K640">
        <v>0.21210000000000001</v>
      </c>
      <c r="L640">
        <v>0.74</v>
      </c>
      <c r="M640">
        <v>8.9599999999999999E-2</v>
      </c>
      <c r="N640">
        <v>1</v>
      </c>
      <c r="O640">
        <v>35</v>
      </c>
      <c r="P640">
        <v>36</v>
      </c>
    </row>
    <row r="641" spans="1:16" x14ac:dyDescent="0.3">
      <c r="A641">
        <v>640</v>
      </c>
      <c r="B641" s="4">
        <v>40572</v>
      </c>
      <c r="C641">
        <v>1</v>
      </c>
      <c r="D641">
        <v>0</v>
      </c>
      <c r="E641">
        <v>1</v>
      </c>
      <c r="F641">
        <v>22</v>
      </c>
      <c r="G641" t="b">
        <v>0</v>
      </c>
      <c r="H641">
        <v>6</v>
      </c>
      <c r="I641">
        <v>1</v>
      </c>
      <c r="J641">
        <v>0.16</v>
      </c>
      <c r="K641">
        <v>0.19700000000000001</v>
      </c>
      <c r="L641">
        <v>0.8</v>
      </c>
      <c r="M641">
        <v>8.9599999999999999E-2</v>
      </c>
      <c r="N641">
        <v>4</v>
      </c>
      <c r="O641">
        <v>28</v>
      </c>
      <c r="P641">
        <v>32</v>
      </c>
    </row>
    <row r="642" spans="1:16" x14ac:dyDescent="0.3">
      <c r="A642">
        <v>641</v>
      </c>
      <c r="B642" s="4">
        <v>40572</v>
      </c>
      <c r="C642">
        <v>1</v>
      </c>
      <c r="D642">
        <v>0</v>
      </c>
      <c r="E642">
        <v>1</v>
      </c>
      <c r="F642">
        <v>23</v>
      </c>
      <c r="G642" t="b">
        <v>0</v>
      </c>
      <c r="H642">
        <v>6</v>
      </c>
      <c r="I642">
        <v>1</v>
      </c>
      <c r="J642">
        <v>0.16</v>
      </c>
      <c r="K642">
        <v>0.19700000000000001</v>
      </c>
      <c r="L642">
        <v>0.8</v>
      </c>
      <c r="M642">
        <v>8.9599999999999999E-2</v>
      </c>
      <c r="N642">
        <v>3</v>
      </c>
      <c r="O642">
        <v>30</v>
      </c>
      <c r="P642">
        <v>33</v>
      </c>
    </row>
    <row r="643" spans="1:16" x14ac:dyDescent="0.3">
      <c r="A643">
        <v>642</v>
      </c>
      <c r="B643" s="4">
        <v>40573</v>
      </c>
      <c r="C643">
        <v>1</v>
      </c>
      <c r="D643">
        <v>0</v>
      </c>
      <c r="E643">
        <v>1</v>
      </c>
      <c r="F643">
        <v>0</v>
      </c>
      <c r="G643" t="b">
        <v>0</v>
      </c>
      <c r="H643">
        <v>0</v>
      </c>
      <c r="I643">
        <v>1</v>
      </c>
      <c r="J643">
        <v>0.16</v>
      </c>
      <c r="K643">
        <v>0.18179999999999999</v>
      </c>
      <c r="L643">
        <v>0.8</v>
      </c>
      <c r="M643">
        <v>0.1045</v>
      </c>
      <c r="N643">
        <v>0</v>
      </c>
      <c r="O643">
        <v>33</v>
      </c>
      <c r="P643">
        <v>33</v>
      </c>
    </row>
    <row r="644" spans="1:16" x14ac:dyDescent="0.3">
      <c r="A644">
        <v>643</v>
      </c>
      <c r="B644" s="4">
        <v>40573</v>
      </c>
      <c r="C644">
        <v>1</v>
      </c>
      <c r="D644">
        <v>0</v>
      </c>
      <c r="E644">
        <v>1</v>
      </c>
      <c r="F644">
        <v>1</v>
      </c>
      <c r="G644" t="b">
        <v>0</v>
      </c>
      <c r="H644">
        <v>0</v>
      </c>
      <c r="I644">
        <v>1</v>
      </c>
      <c r="J644">
        <v>0.14000000000000001</v>
      </c>
      <c r="K644">
        <v>0.21210000000000001</v>
      </c>
      <c r="L644">
        <v>0.8</v>
      </c>
      <c r="M644">
        <v>0</v>
      </c>
      <c r="N644">
        <v>7</v>
      </c>
      <c r="O644">
        <v>22</v>
      </c>
      <c r="P644">
        <v>29</v>
      </c>
    </row>
    <row r="645" spans="1:16" x14ac:dyDescent="0.3">
      <c r="A645">
        <v>644</v>
      </c>
      <c r="B645" s="4">
        <v>40573</v>
      </c>
      <c r="C645">
        <v>1</v>
      </c>
      <c r="D645">
        <v>0</v>
      </c>
      <c r="E645">
        <v>1</v>
      </c>
      <c r="F645">
        <v>2</v>
      </c>
      <c r="G645" t="b">
        <v>0</v>
      </c>
      <c r="H645">
        <v>0</v>
      </c>
      <c r="I645">
        <v>1</v>
      </c>
      <c r="J645">
        <v>0.16</v>
      </c>
      <c r="K645">
        <v>0.2273</v>
      </c>
      <c r="L645">
        <v>0.8</v>
      </c>
      <c r="M645">
        <v>0</v>
      </c>
      <c r="N645">
        <v>1</v>
      </c>
      <c r="O645">
        <v>10</v>
      </c>
      <c r="P645">
        <v>11</v>
      </c>
    </row>
    <row r="646" spans="1:16" x14ac:dyDescent="0.3">
      <c r="A646">
        <v>645</v>
      </c>
      <c r="B646" s="4">
        <v>40573</v>
      </c>
      <c r="C646">
        <v>1</v>
      </c>
      <c r="D646">
        <v>0</v>
      </c>
      <c r="E646">
        <v>1</v>
      </c>
      <c r="F646">
        <v>3</v>
      </c>
      <c r="G646" t="b">
        <v>0</v>
      </c>
      <c r="H646">
        <v>0</v>
      </c>
      <c r="I646">
        <v>1</v>
      </c>
      <c r="J646">
        <v>0.14000000000000001</v>
      </c>
      <c r="K646">
        <v>0.21210000000000001</v>
      </c>
      <c r="L646">
        <v>0.93</v>
      </c>
      <c r="M646">
        <v>0</v>
      </c>
      <c r="N646">
        <v>1</v>
      </c>
      <c r="O646">
        <v>7</v>
      </c>
      <c r="P646">
        <v>8</v>
      </c>
    </row>
    <row r="647" spans="1:16" x14ac:dyDescent="0.3">
      <c r="A647">
        <v>646</v>
      </c>
      <c r="B647" s="4">
        <v>40573</v>
      </c>
      <c r="C647">
        <v>1</v>
      </c>
      <c r="D647">
        <v>0</v>
      </c>
      <c r="E647">
        <v>1</v>
      </c>
      <c r="F647">
        <v>4</v>
      </c>
      <c r="G647" t="b">
        <v>0</v>
      </c>
      <c r="H647">
        <v>0</v>
      </c>
      <c r="I647">
        <v>1</v>
      </c>
      <c r="J647">
        <v>0.14000000000000001</v>
      </c>
      <c r="K647">
        <v>0.21210000000000001</v>
      </c>
      <c r="L647">
        <v>0.93</v>
      </c>
      <c r="M647">
        <v>0</v>
      </c>
      <c r="N647">
        <v>0</v>
      </c>
      <c r="O647">
        <v>1</v>
      </c>
      <c r="P647">
        <v>1</v>
      </c>
    </row>
    <row r="648" spans="1:16" x14ac:dyDescent="0.3">
      <c r="A648">
        <v>647</v>
      </c>
      <c r="B648" s="4">
        <v>40573</v>
      </c>
      <c r="C648">
        <v>1</v>
      </c>
      <c r="D648">
        <v>0</v>
      </c>
      <c r="E648">
        <v>1</v>
      </c>
      <c r="F648">
        <v>5</v>
      </c>
      <c r="G648" t="b">
        <v>0</v>
      </c>
      <c r="H648">
        <v>0</v>
      </c>
      <c r="I648">
        <v>1</v>
      </c>
      <c r="J648">
        <v>0.14000000000000001</v>
      </c>
      <c r="K648">
        <v>0.21210000000000001</v>
      </c>
      <c r="L648">
        <v>0.86</v>
      </c>
      <c r="M648">
        <v>0</v>
      </c>
      <c r="N648">
        <v>0</v>
      </c>
      <c r="O648">
        <v>3</v>
      </c>
      <c r="P648">
        <v>3</v>
      </c>
    </row>
    <row r="649" spans="1:16" x14ac:dyDescent="0.3">
      <c r="A649">
        <v>648</v>
      </c>
      <c r="B649" s="4">
        <v>40573</v>
      </c>
      <c r="C649">
        <v>1</v>
      </c>
      <c r="D649">
        <v>0</v>
      </c>
      <c r="E649">
        <v>1</v>
      </c>
      <c r="F649">
        <v>7</v>
      </c>
      <c r="G649" t="b">
        <v>0</v>
      </c>
      <c r="H649">
        <v>0</v>
      </c>
      <c r="I649">
        <v>1</v>
      </c>
      <c r="J649">
        <v>0.14000000000000001</v>
      </c>
      <c r="K649">
        <v>0.21210000000000001</v>
      </c>
      <c r="L649">
        <v>0.86</v>
      </c>
      <c r="M649">
        <v>0</v>
      </c>
      <c r="N649">
        <v>0</v>
      </c>
      <c r="O649">
        <v>3</v>
      </c>
      <c r="P649">
        <v>3</v>
      </c>
    </row>
    <row r="650" spans="1:16" x14ac:dyDescent="0.3">
      <c r="A650">
        <v>649</v>
      </c>
      <c r="B650" s="4">
        <v>40573</v>
      </c>
      <c r="C650">
        <v>1</v>
      </c>
      <c r="D650">
        <v>0</v>
      </c>
      <c r="E650">
        <v>1</v>
      </c>
      <c r="F650">
        <v>8</v>
      </c>
      <c r="G650" t="b">
        <v>0</v>
      </c>
      <c r="H650">
        <v>0</v>
      </c>
      <c r="I650">
        <v>2</v>
      </c>
      <c r="J650">
        <v>0.14000000000000001</v>
      </c>
      <c r="K650">
        <v>0.21210000000000001</v>
      </c>
      <c r="L650">
        <v>0.86</v>
      </c>
      <c r="M650">
        <v>0</v>
      </c>
      <c r="N650">
        <v>1</v>
      </c>
      <c r="O650">
        <v>11</v>
      </c>
      <c r="P650">
        <v>12</v>
      </c>
    </row>
    <row r="651" spans="1:16" x14ac:dyDescent="0.3">
      <c r="A651">
        <v>650</v>
      </c>
      <c r="B651" s="4">
        <v>40573</v>
      </c>
      <c r="C651">
        <v>1</v>
      </c>
      <c r="D651">
        <v>0</v>
      </c>
      <c r="E651">
        <v>1</v>
      </c>
      <c r="F651">
        <v>9</v>
      </c>
      <c r="G651" t="b">
        <v>0</v>
      </c>
      <c r="H651">
        <v>0</v>
      </c>
      <c r="I651">
        <v>2</v>
      </c>
      <c r="J651">
        <v>0.16</v>
      </c>
      <c r="K651">
        <v>0.2273</v>
      </c>
      <c r="L651">
        <v>0.8</v>
      </c>
      <c r="M651">
        <v>0</v>
      </c>
      <c r="N651">
        <v>4</v>
      </c>
      <c r="O651">
        <v>34</v>
      </c>
      <c r="P651">
        <v>38</v>
      </c>
    </row>
    <row r="652" spans="1:16" x14ac:dyDescent="0.3">
      <c r="A652">
        <v>651</v>
      </c>
      <c r="B652" s="4">
        <v>40573</v>
      </c>
      <c r="C652">
        <v>1</v>
      </c>
      <c r="D652">
        <v>0</v>
      </c>
      <c r="E652">
        <v>1</v>
      </c>
      <c r="F652">
        <v>10</v>
      </c>
      <c r="G652" t="b">
        <v>0</v>
      </c>
      <c r="H652">
        <v>0</v>
      </c>
      <c r="I652">
        <v>2</v>
      </c>
      <c r="J652">
        <v>0.18</v>
      </c>
      <c r="K652">
        <v>0.2424</v>
      </c>
      <c r="L652">
        <v>0.8</v>
      </c>
      <c r="M652">
        <v>0</v>
      </c>
      <c r="N652">
        <v>7</v>
      </c>
      <c r="O652">
        <v>57</v>
      </c>
      <c r="P652">
        <v>64</v>
      </c>
    </row>
    <row r="653" spans="1:16" x14ac:dyDescent="0.3">
      <c r="A653">
        <v>652</v>
      </c>
      <c r="B653" s="4">
        <v>40573</v>
      </c>
      <c r="C653">
        <v>1</v>
      </c>
      <c r="D653">
        <v>0</v>
      </c>
      <c r="E653">
        <v>1</v>
      </c>
      <c r="F653">
        <v>11</v>
      </c>
      <c r="G653" t="b">
        <v>0</v>
      </c>
      <c r="H653">
        <v>0</v>
      </c>
      <c r="I653">
        <v>1</v>
      </c>
      <c r="J653">
        <v>0.22</v>
      </c>
      <c r="K653">
        <v>0.2727</v>
      </c>
      <c r="L653">
        <v>0.75</v>
      </c>
      <c r="M653">
        <v>0</v>
      </c>
      <c r="N653">
        <v>9</v>
      </c>
      <c r="O653">
        <v>50</v>
      </c>
      <c r="P653">
        <v>59</v>
      </c>
    </row>
    <row r="654" spans="1:16" x14ac:dyDescent="0.3">
      <c r="A654">
        <v>653</v>
      </c>
      <c r="B654" s="4">
        <v>40573</v>
      </c>
      <c r="C654">
        <v>1</v>
      </c>
      <c r="D654">
        <v>0</v>
      </c>
      <c r="E654">
        <v>1</v>
      </c>
      <c r="F654">
        <v>12</v>
      </c>
      <c r="G654" t="b">
        <v>0</v>
      </c>
      <c r="H654">
        <v>0</v>
      </c>
      <c r="I654">
        <v>1</v>
      </c>
      <c r="J654">
        <v>0.3</v>
      </c>
      <c r="K654">
        <v>0.31819999999999998</v>
      </c>
      <c r="L654">
        <v>0.52</v>
      </c>
      <c r="M654">
        <v>0.1045</v>
      </c>
      <c r="N654">
        <v>10</v>
      </c>
      <c r="O654">
        <v>87</v>
      </c>
      <c r="P654">
        <v>97</v>
      </c>
    </row>
    <row r="655" spans="1:16" x14ac:dyDescent="0.3">
      <c r="A655">
        <v>654</v>
      </c>
      <c r="B655" s="4">
        <v>40573</v>
      </c>
      <c r="C655">
        <v>1</v>
      </c>
      <c r="D655">
        <v>0</v>
      </c>
      <c r="E655">
        <v>1</v>
      </c>
      <c r="F655">
        <v>13</v>
      </c>
      <c r="G655" t="b">
        <v>0</v>
      </c>
      <c r="H655">
        <v>0</v>
      </c>
      <c r="I655">
        <v>1</v>
      </c>
      <c r="J655">
        <v>0.28000000000000003</v>
      </c>
      <c r="K655">
        <v>0.28789999999999999</v>
      </c>
      <c r="L655">
        <v>0.61</v>
      </c>
      <c r="M655">
        <v>0.1045</v>
      </c>
      <c r="N655">
        <v>13</v>
      </c>
      <c r="O655">
        <v>71</v>
      </c>
      <c r="P655">
        <v>84</v>
      </c>
    </row>
    <row r="656" spans="1:16" x14ac:dyDescent="0.3">
      <c r="A656">
        <v>655</v>
      </c>
      <c r="B656" s="4">
        <v>40573</v>
      </c>
      <c r="C656">
        <v>1</v>
      </c>
      <c r="D656">
        <v>0</v>
      </c>
      <c r="E656">
        <v>1</v>
      </c>
      <c r="F656">
        <v>14</v>
      </c>
      <c r="G656" t="b">
        <v>0</v>
      </c>
      <c r="H656">
        <v>0</v>
      </c>
      <c r="I656">
        <v>1</v>
      </c>
      <c r="J656">
        <v>0.28000000000000003</v>
      </c>
      <c r="K656">
        <v>0.30299999999999999</v>
      </c>
      <c r="L656">
        <v>0.61</v>
      </c>
      <c r="M656">
        <v>8.9599999999999999E-2</v>
      </c>
      <c r="N656">
        <v>18</v>
      </c>
      <c r="O656">
        <v>104</v>
      </c>
      <c r="P656">
        <v>122</v>
      </c>
    </row>
    <row r="657" spans="1:16" x14ac:dyDescent="0.3">
      <c r="A657">
        <v>656</v>
      </c>
      <c r="B657" s="4">
        <v>40573</v>
      </c>
      <c r="C657">
        <v>1</v>
      </c>
      <c r="D657">
        <v>0</v>
      </c>
      <c r="E657">
        <v>1</v>
      </c>
      <c r="F657">
        <v>15</v>
      </c>
      <c r="G657" t="b">
        <v>0</v>
      </c>
      <c r="H657">
        <v>0</v>
      </c>
      <c r="I657">
        <v>1</v>
      </c>
      <c r="J657">
        <v>0.3</v>
      </c>
      <c r="K657">
        <v>0.33329999999999999</v>
      </c>
      <c r="L657">
        <v>0.56000000000000005</v>
      </c>
      <c r="M657">
        <v>0</v>
      </c>
      <c r="N657">
        <v>14</v>
      </c>
      <c r="O657">
        <v>95</v>
      </c>
      <c r="P657">
        <v>109</v>
      </c>
    </row>
    <row r="658" spans="1:16" x14ac:dyDescent="0.3">
      <c r="A658">
        <v>657</v>
      </c>
      <c r="B658" s="4">
        <v>40573</v>
      </c>
      <c r="C658">
        <v>1</v>
      </c>
      <c r="D658">
        <v>0</v>
      </c>
      <c r="E658">
        <v>1</v>
      </c>
      <c r="F658">
        <v>16</v>
      </c>
      <c r="G658" t="b">
        <v>0</v>
      </c>
      <c r="H658">
        <v>0</v>
      </c>
      <c r="I658">
        <v>1</v>
      </c>
      <c r="J658">
        <v>0.3</v>
      </c>
      <c r="K658">
        <v>0.33329999999999999</v>
      </c>
      <c r="L658">
        <v>0.56000000000000005</v>
      </c>
      <c r="M658">
        <v>0</v>
      </c>
      <c r="N658">
        <v>19</v>
      </c>
      <c r="O658">
        <v>104</v>
      </c>
      <c r="P658">
        <v>123</v>
      </c>
    </row>
    <row r="659" spans="1:16" x14ac:dyDescent="0.3">
      <c r="A659">
        <v>658</v>
      </c>
      <c r="B659" s="4">
        <v>40573</v>
      </c>
      <c r="C659">
        <v>1</v>
      </c>
      <c r="D659">
        <v>0</v>
      </c>
      <c r="E659">
        <v>1</v>
      </c>
      <c r="F659">
        <v>17</v>
      </c>
      <c r="G659" t="b">
        <v>0</v>
      </c>
      <c r="H659">
        <v>0</v>
      </c>
      <c r="I659">
        <v>1</v>
      </c>
      <c r="J659">
        <v>0.3</v>
      </c>
      <c r="K659">
        <v>0.28789999999999999</v>
      </c>
      <c r="L659">
        <v>0.56000000000000005</v>
      </c>
      <c r="M659">
        <v>0.19400000000000001</v>
      </c>
      <c r="N659">
        <v>6</v>
      </c>
      <c r="O659">
        <v>71</v>
      </c>
      <c r="P659">
        <v>77</v>
      </c>
    </row>
    <row r="660" spans="1:16" x14ac:dyDescent="0.3">
      <c r="A660">
        <v>659</v>
      </c>
      <c r="B660" s="4">
        <v>40573</v>
      </c>
      <c r="C660">
        <v>1</v>
      </c>
      <c r="D660">
        <v>0</v>
      </c>
      <c r="E660">
        <v>1</v>
      </c>
      <c r="F660">
        <v>18</v>
      </c>
      <c r="G660" t="b">
        <v>0</v>
      </c>
      <c r="H660">
        <v>0</v>
      </c>
      <c r="I660">
        <v>1</v>
      </c>
      <c r="J660">
        <v>0.26</v>
      </c>
      <c r="K660">
        <v>0.2576</v>
      </c>
      <c r="L660">
        <v>0.65</v>
      </c>
      <c r="M660">
        <v>0.16420000000000001</v>
      </c>
      <c r="N660">
        <v>8</v>
      </c>
      <c r="O660">
        <v>57</v>
      </c>
      <c r="P660">
        <v>65</v>
      </c>
    </row>
    <row r="661" spans="1:16" x14ac:dyDescent="0.3">
      <c r="A661">
        <v>660</v>
      </c>
      <c r="B661" s="4">
        <v>40573</v>
      </c>
      <c r="C661">
        <v>1</v>
      </c>
      <c r="D661">
        <v>0</v>
      </c>
      <c r="E661">
        <v>1</v>
      </c>
      <c r="F661">
        <v>19</v>
      </c>
      <c r="G661" t="b">
        <v>0</v>
      </c>
      <c r="H661">
        <v>0</v>
      </c>
      <c r="I661">
        <v>1</v>
      </c>
      <c r="J661">
        <v>0.26</v>
      </c>
      <c r="K661">
        <v>0.2576</v>
      </c>
      <c r="L661">
        <v>0.65</v>
      </c>
      <c r="M661">
        <v>0.19400000000000001</v>
      </c>
      <c r="N661">
        <v>9</v>
      </c>
      <c r="O661">
        <v>46</v>
      </c>
      <c r="P661">
        <v>55</v>
      </c>
    </row>
    <row r="662" spans="1:16" x14ac:dyDescent="0.3">
      <c r="A662">
        <v>661</v>
      </c>
      <c r="B662" s="4">
        <v>40573</v>
      </c>
      <c r="C662">
        <v>1</v>
      </c>
      <c r="D662">
        <v>0</v>
      </c>
      <c r="E662">
        <v>1</v>
      </c>
      <c r="F662">
        <v>20</v>
      </c>
      <c r="G662" t="b">
        <v>0</v>
      </c>
      <c r="H662">
        <v>0</v>
      </c>
      <c r="I662">
        <v>2</v>
      </c>
      <c r="J662">
        <v>0.26</v>
      </c>
      <c r="K662">
        <v>0.2727</v>
      </c>
      <c r="L662">
        <v>0.65</v>
      </c>
      <c r="M662">
        <v>0.1045</v>
      </c>
      <c r="N662">
        <v>3</v>
      </c>
      <c r="O662">
        <v>30</v>
      </c>
      <c r="P662">
        <v>33</v>
      </c>
    </row>
    <row r="663" spans="1:16" x14ac:dyDescent="0.3">
      <c r="A663">
        <v>662</v>
      </c>
      <c r="B663" s="4">
        <v>40573</v>
      </c>
      <c r="C663">
        <v>1</v>
      </c>
      <c r="D663">
        <v>0</v>
      </c>
      <c r="E663">
        <v>1</v>
      </c>
      <c r="F663">
        <v>21</v>
      </c>
      <c r="G663" t="b">
        <v>0</v>
      </c>
      <c r="H663">
        <v>0</v>
      </c>
      <c r="I663">
        <v>2</v>
      </c>
      <c r="J663">
        <v>0.24</v>
      </c>
      <c r="K663">
        <v>0.2424</v>
      </c>
      <c r="L663">
        <v>0.7</v>
      </c>
      <c r="M663">
        <v>0.16420000000000001</v>
      </c>
      <c r="N663">
        <v>3</v>
      </c>
      <c r="O663">
        <v>25</v>
      </c>
      <c r="P663">
        <v>28</v>
      </c>
    </row>
    <row r="664" spans="1:16" x14ac:dyDescent="0.3">
      <c r="A664">
        <v>663</v>
      </c>
      <c r="B664" s="4">
        <v>40573</v>
      </c>
      <c r="C664">
        <v>1</v>
      </c>
      <c r="D664">
        <v>0</v>
      </c>
      <c r="E664">
        <v>1</v>
      </c>
      <c r="F664">
        <v>22</v>
      </c>
      <c r="G664" t="b">
        <v>0</v>
      </c>
      <c r="H664">
        <v>0</v>
      </c>
      <c r="I664">
        <v>2</v>
      </c>
      <c r="J664">
        <v>0.24</v>
      </c>
      <c r="K664">
        <v>0.2273</v>
      </c>
      <c r="L664">
        <v>0.7</v>
      </c>
      <c r="M664">
        <v>0.19400000000000001</v>
      </c>
      <c r="N664">
        <v>2</v>
      </c>
      <c r="O664">
        <v>19</v>
      </c>
      <c r="P664">
        <v>21</v>
      </c>
    </row>
    <row r="665" spans="1:16" x14ac:dyDescent="0.3">
      <c r="A665">
        <v>664</v>
      </c>
      <c r="B665" s="4">
        <v>40573</v>
      </c>
      <c r="C665">
        <v>1</v>
      </c>
      <c r="D665">
        <v>0</v>
      </c>
      <c r="E665">
        <v>1</v>
      </c>
      <c r="F665">
        <v>23</v>
      </c>
      <c r="G665" t="b">
        <v>0</v>
      </c>
      <c r="H665">
        <v>0</v>
      </c>
      <c r="I665">
        <v>2</v>
      </c>
      <c r="J665">
        <v>0.24</v>
      </c>
      <c r="K665">
        <v>0.21210000000000001</v>
      </c>
      <c r="L665">
        <v>0.65</v>
      </c>
      <c r="M665">
        <v>0.28360000000000002</v>
      </c>
      <c r="N665">
        <v>5</v>
      </c>
      <c r="O665">
        <v>16</v>
      </c>
      <c r="P665">
        <v>21</v>
      </c>
    </row>
    <row r="666" spans="1:16" x14ac:dyDescent="0.3">
      <c r="A666">
        <v>665</v>
      </c>
      <c r="B666" s="4">
        <v>40574</v>
      </c>
      <c r="C666">
        <v>1</v>
      </c>
      <c r="D666">
        <v>0</v>
      </c>
      <c r="E666">
        <v>1</v>
      </c>
      <c r="F666">
        <v>0</v>
      </c>
      <c r="G666" t="b">
        <v>0</v>
      </c>
      <c r="H666">
        <v>1</v>
      </c>
      <c r="I666">
        <v>2</v>
      </c>
      <c r="J666">
        <v>0.24</v>
      </c>
      <c r="K666">
        <v>0.2273</v>
      </c>
      <c r="L666">
        <v>0.65</v>
      </c>
      <c r="M666">
        <v>0.22389999999999999</v>
      </c>
      <c r="N666">
        <v>1</v>
      </c>
      <c r="O666">
        <v>6</v>
      </c>
      <c r="P666">
        <v>7</v>
      </c>
    </row>
    <row r="667" spans="1:16" x14ac:dyDescent="0.3">
      <c r="A667">
        <v>666</v>
      </c>
      <c r="B667" s="4">
        <v>40574</v>
      </c>
      <c r="C667">
        <v>1</v>
      </c>
      <c r="D667">
        <v>0</v>
      </c>
      <c r="E667">
        <v>1</v>
      </c>
      <c r="F667">
        <v>1</v>
      </c>
      <c r="G667" t="b">
        <v>0</v>
      </c>
      <c r="H667">
        <v>1</v>
      </c>
      <c r="I667">
        <v>1</v>
      </c>
      <c r="J667">
        <v>0.22</v>
      </c>
      <c r="K667">
        <v>0.21210000000000001</v>
      </c>
      <c r="L667">
        <v>0.64</v>
      </c>
      <c r="M667">
        <v>0.25369999999999998</v>
      </c>
      <c r="N667">
        <v>2</v>
      </c>
      <c r="O667">
        <v>5</v>
      </c>
      <c r="P667">
        <v>7</v>
      </c>
    </row>
    <row r="668" spans="1:16" x14ac:dyDescent="0.3">
      <c r="A668">
        <v>667</v>
      </c>
      <c r="B668" s="4">
        <v>40574</v>
      </c>
      <c r="C668">
        <v>1</v>
      </c>
      <c r="D668">
        <v>0</v>
      </c>
      <c r="E668">
        <v>1</v>
      </c>
      <c r="F668">
        <v>2</v>
      </c>
      <c r="G668" t="b">
        <v>0</v>
      </c>
      <c r="H668">
        <v>1</v>
      </c>
      <c r="I668">
        <v>1</v>
      </c>
      <c r="J668">
        <v>0.22</v>
      </c>
      <c r="K668">
        <v>0.2273</v>
      </c>
      <c r="L668">
        <v>0.64</v>
      </c>
      <c r="M668">
        <v>0.19400000000000001</v>
      </c>
      <c r="N668">
        <v>0</v>
      </c>
      <c r="O668">
        <v>1</v>
      </c>
      <c r="P668">
        <v>1</v>
      </c>
    </row>
    <row r="669" spans="1:16" x14ac:dyDescent="0.3">
      <c r="A669">
        <v>668</v>
      </c>
      <c r="B669" s="4">
        <v>40574</v>
      </c>
      <c r="C669">
        <v>1</v>
      </c>
      <c r="D669">
        <v>0</v>
      </c>
      <c r="E669">
        <v>1</v>
      </c>
      <c r="F669">
        <v>3</v>
      </c>
      <c r="G669" t="b">
        <v>0</v>
      </c>
      <c r="H669">
        <v>1</v>
      </c>
      <c r="I669">
        <v>1</v>
      </c>
      <c r="J669">
        <v>0.22</v>
      </c>
      <c r="K669">
        <v>0.2273</v>
      </c>
      <c r="L669">
        <v>0.64</v>
      </c>
      <c r="M669">
        <v>0.19400000000000001</v>
      </c>
      <c r="N669">
        <v>0</v>
      </c>
      <c r="O669">
        <v>2</v>
      </c>
      <c r="P669">
        <v>2</v>
      </c>
    </row>
    <row r="670" spans="1:16" x14ac:dyDescent="0.3">
      <c r="A670">
        <v>669</v>
      </c>
      <c r="B670" s="4">
        <v>40574</v>
      </c>
      <c r="C670">
        <v>1</v>
      </c>
      <c r="D670">
        <v>0</v>
      </c>
      <c r="E670">
        <v>1</v>
      </c>
      <c r="F670">
        <v>4</v>
      </c>
      <c r="G670" t="b">
        <v>0</v>
      </c>
      <c r="H670">
        <v>1</v>
      </c>
      <c r="I670">
        <v>1</v>
      </c>
      <c r="J670">
        <v>0.2</v>
      </c>
      <c r="K670">
        <v>0.19700000000000001</v>
      </c>
      <c r="L670">
        <v>0.59</v>
      </c>
      <c r="M670">
        <v>0.22389999999999999</v>
      </c>
      <c r="N670">
        <v>0</v>
      </c>
      <c r="O670">
        <v>2</v>
      </c>
      <c r="P670">
        <v>2</v>
      </c>
    </row>
    <row r="671" spans="1:16" x14ac:dyDescent="0.3">
      <c r="A671">
        <v>670</v>
      </c>
      <c r="B671" s="4">
        <v>40574</v>
      </c>
      <c r="C671">
        <v>1</v>
      </c>
      <c r="D671">
        <v>0</v>
      </c>
      <c r="E671">
        <v>1</v>
      </c>
      <c r="F671">
        <v>5</v>
      </c>
      <c r="G671" t="b">
        <v>0</v>
      </c>
      <c r="H671">
        <v>1</v>
      </c>
      <c r="I671">
        <v>1</v>
      </c>
      <c r="J671">
        <v>0.18</v>
      </c>
      <c r="K671">
        <v>0.16669999999999999</v>
      </c>
      <c r="L671">
        <v>0.64</v>
      </c>
      <c r="M671">
        <v>0.28360000000000002</v>
      </c>
      <c r="N671">
        <v>0</v>
      </c>
      <c r="O671">
        <v>8</v>
      </c>
      <c r="P671">
        <v>8</v>
      </c>
    </row>
    <row r="672" spans="1:16" x14ac:dyDescent="0.3">
      <c r="A672">
        <v>671</v>
      </c>
      <c r="B672" s="4">
        <v>40574</v>
      </c>
      <c r="C672">
        <v>1</v>
      </c>
      <c r="D672">
        <v>0</v>
      </c>
      <c r="E672">
        <v>1</v>
      </c>
      <c r="F672">
        <v>6</v>
      </c>
      <c r="G672" t="b">
        <v>0</v>
      </c>
      <c r="H672">
        <v>1</v>
      </c>
      <c r="I672">
        <v>1</v>
      </c>
      <c r="J672">
        <v>0.16</v>
      </c>
      <c r="K672">
        <v>0.13639999999999999</v>
      </c>
      <c r="L672">
        <v>0.69</v>
      </c>
      <c r="M672">
        <v>0.32840000000000003</v>
      </c>
      <c r="N672">
        <v>0</v>
      </c>
      <c r="O672">
        <v>37</v>
      </c>
      <c r="P672">
        <v>37</v>
      </c>
    </row>
    <row r="673" spans="1:16" x14ac:dyDescent="0.3">
      <c r="A673">
        <v>672</v>
      </c>
      <c r="B673" s="4">
        <v>40574</v>
      </c>
      <c r="C673">
        <v>1</v>
      </c>
      <c r="D673">
        <v>0</v>
      </c>
      <c r="E673">
        <v>1</v>
      </c>
      <c r="F673">
        <v>7</v>
      </c>
      <c r="G673" t="b">
        <v>0</v>
      </c>
      <c r="H673">
        <v>1</v>
      </c>
      <c r="I673">
        <v>2</v>
      </c>
      <c r="J673">
        <v>0.16</v>
      </c>
      <c r="K673">
        <v>0.13639999999999999</v>
      </c>
      <c r="L673">
        <v>0.64</v>
      </c>
      <c r="M673">
        <v>0.28360000000000002</v>
      </c>
      <c r="N673">
        <v>1</v>
      </c>
      <c r="O673">
        <v>71</v>
      </c>
      <c r="P673">
        <v>72</v>
      </c>
    </row>
    <row r="674" spans="1:16" x14ac:dyDescent="0.3">
      <c r="A674">
        <v>673</v>
      </c>
      <c r="B674" s="4">
        <v>40574</v>
      </c>
      <c r="C674">
        <v>1</v>
      </c>
      <c r="D674">
        <v>0</v>
      </c>
      <c r="E674">
        <v>1</v>
      </c>
      <c r="F674">
        <v>8</v>
      </c>
      <c r="G674" t="b">
        <v>0</v>
      </c>
      <c r="H674">
        <v>1</v>
      </c>
      <c r="I674">
        <v>2</v>
      </c>
      <c r="J674">
        <v>0.16</v>
      </c>
      <c r="K674">
        <v>0.13639999999999999</v>
      </c>
      <c r="L674">
        <v>0.59</v>
      </c>
      <c r="M674">
        <v>0.28360000000000002</v>
      </c>
      <c r="N674">
        <v>3</v>
      </c>
      <c r="O674">
        <v>182</v>
      </c>
      <c r="P674">
        <v>185</v>
      </c>
    </row>
    <row r="675" spans="1:16" x14ac:dyDescent="0.3">
      <c r="A675">
        <v>674</v>
      </c>
      <c r="B675" s="4">
        <v>40574</v>
      </c>
      <c r="C675">
        <v>1</v>
      </c>
      <c r="D675">
        <v>0</v>
      </c>
      <c r="E675">
        <v>1</v>
      </c>
      <c r="F675">
        <v>9</v>
      </c>
      <c r="G675" t="b">
        <v>0</v>
      </c>
      <c r="H675">
        <v>1</v>
      </c>
      <c r="I675">
        <v>2</v>
      </c>
      <c r="J675">
        <v>0.16</v>
      </c>
      <c r="K675">
        <v>0.13639999999999999</v>
      </c>
      <c r="L675">
        <v>0.59</v>
      </c>
      <c r="M675">
        <v>0.29849999999999999</v>
      </c>
      <c r="N675">
        <v>0</v>
      </c>
      <c r="O675">
        <v>112</v>
      </c>
      <c r="P675">
        <v>112</v>
      </c>
    </row>
    <row r="676" spans="1:16" x14ac:dyDescent="0.3">
      <c r="A676">
        <v>675</v>
      </c>
      <c r="B676" s="4">
        <v>40574</v>
      </c>
      <c r="C676">
        <v>1</v>
      </c>
      <c r="D676">
        <v>0</v>
      </c>
      <c r="E676">
        <v>1</v>
      </c>
      <c r="F676">
        <v>10</v>
      </c>
      <c r="G676" t="b">
        <v>0</v>
      </c>
      <c r="H676">
        <v>1</v>
      </c>
      <c r="I676">
        <v>2</v>
      </c>
      <c r="J676">
        <v>0.16</v>
      </c>
      <c r="K676">
        <v>0.1515</v>
      </c>
      <c r="L676">
        <v>0.59</v>
      </c>
      <c r="M676">
        <v>0.19400000000000001</v>
      </c>
      <c r="N676">
        <v>1</v>
      </c>
      <c r="O676">
        <v>68</v>
      </c>
      <c r="P676">
        <v>69</v>
      </c>
    </row>
    <row r="677" spans="1:16" x14ac:dyDescent="0.3">
      <c r="A677">
        <v>676</v>
      </c>
      <c r="B677" s="4">
        <v>40574</v>
      </c>
      <c r="C677">
        <v>1</v>
      </c>
      <c r="D677">
        <v>0</v>
      </c>
      <c r="E677">
        <v>1</v>
      </c>
      <c r="F677">
        <v>11</v>
      </c>
      <c r="G677" t="b">
        <v>0</v>
      </c>
      <c r="H677">
        <v>1</v>
      </c>
      <c r="I677">
        <v>2</v>
      </c>
      <c r="J677">
        <v>0.16</v>
      </c>
      <c r="K677">
        <v>0.1515</v>
      </c>
      <c r="L677">
        <v>0.59</v>
      </c>
      <c r="M677">
        <v>0.19400000000000001</v>
      </c>
      <c r="N677">
        <v>2</v>
      </c>
      <c r="O677">
        <v>46</v>
      </c>
      <c r="P677">
        <v>48</v>
      </c>
    </row>
    <row r="678" spans="1:16" x14ac:dyDescent="0.3">
      <c r="A678">
        <v>677</v>
      </c>
      <c r="B678" s="4">
        <v>40574</v>
      </c>
      <c r="C678">
        <v>1</v>
      </c>
      <c r="D678">
        <v>0</v>
      </c>
      <c r="E678">
        <v>1</v>
      </c>
      <c r="F678">
        <v>12</v>
      </c>
      <c r="G678" t="b">
        <v>0</v>
      </c>
      <c r="H678">
        <v>1</v>
      </c>
      <c r="I678">
        <v>2</v>
      </c>
      <c r="J678">
        <v>0.18</v>
      </c>
      <c r="K678">
        <v>0.21210000000000001</v>
      </c>
      <c r="L678">
        <v>0.55000000000000004</v>
      </c>
      <c r="M678">
        <v>0.1045</v>
      </c>
      <c r="N678">
        <v>6</v>
      </c>
      <c r="O678">
        <v>62</v>
      </c>
      <c r="P678">
        <v>68</v>
      </c>
    </row>
    <row r="679" spans="1:16" x14ac:dyDescent="0.3">
      <c r="A679">
        <v>678</v>
      </c>
      <c r="B679" s="4">
        <v>40574</v>
      </c>
      <c r="C679">
        <v>1</v>
      </c>
      <c r="D679">
        <v>0</v>
      </c>
      <c r="E679">
        <v>1</v>
      </c>
      <c r="F679">
        <v>13</v>
      </c>
      <c r="G679" t="b">
        <v>0</v>
      </c>
      <c r="H679">
        <v>1</v>
      </c>
      <c r="I679">
        <v>2</v>
      </c>
      <c r="J679">
        <v>0.16</v>
      </c>
      <c r="K679">
        <v>0.2273</v>
      </c>
      <c r="L679">
        <v>0.59</v>
      </c>
      <c r="M679">
        <v>0</v>
      </c>
      <c r="N679">
        <v>2</v>
      </c>
      <c r="O679">
        <v>52</v>
      </c>
      <c r="P679">
        <v>54</v>
      </c>
    </row>
    <row r="680" spans="1:16" x14ac:dyDescent="0.3">
      <c r="A680">
        <v>679</v>
      </c>
      <c r="B680" s="4">
        <v>40574</v>
      </c>
      <c r="C680">
        <v>1</v>
      </c>
      <c r="D680">
        <v>0</v>
      </c>
      <c r="E680">
        <v>1</v>
      </c>
      <c r="F680">
        <v>14</v>
      </c>
      <c r="G680" t="b">
        <v>0</v>
      </c>
      <c r="H680">
        <v>1</v>
      </c>
      <c r="I680">
        <v>2</v>
      </c>
      <c r="J680">
        <v>0.18</v>
      </c>
      <c r="K680">
        <v>0.19700000000000001</v>
      </c>
      <c r="L680">
        <v>0.55000000000000004</v>
      </c>
      <c r="M680">
        <v>0.1343</v>
      </c>
      <c r="N680">
        <v>1</v>
      </c>
      <c r="O680">
        <v>85</v>
      </c>
      <c r="P680">
        <v>86</v>
      </c>
    </row>
    <row r="681" spans="1:16" x14ac:dyDescent="0.3">
      <c r="A681">
        <v>680</v>
      </c>
      <c r="B681" s="4">
        <v>40574</v>
      </c>
      <c r="C681">
        <v>1</v>
      </c>
      <c r="D681">
        <v>0</v>
      </c>
      <c r="E681">
        <v>1</v>
      </c>
      <c r="F681">
        <v>15</v>
      </c>
      <c r="G681" t="b">
        <v>0</v>
      </c>
      <c r="H681">
        <v>1</v>
      </c>
      <c r="I681">
        <v>2</v>
      </c>
      <c r="J681">
        <v>0.16</v>
      </c>
      <c r="K681">
        <v>0.18179999999999999</v>
      </c>
      <c r="L681">
        <v>0.59</v>
      </c>
      <c r="M681">
        <v>0.1343</v>
      </c>
      <c r="N681">
        <v>3</v>
      </c>
      <c r="O681">
        <v>41</v>
      </c>
      <c r="P681">
        <v>44</v>
      </c>
    </row>
    <row r="682" spans="1:16" x14ac:dyDescent="0.3">
      <c r="A682">
        <v>681</v>
      </c>
      <c r="B682" s="4">
        <v>40574</v>
      </c>
      <c r="C682">
        <v>1</v>
      </c>
      <c r="D682">
        <v>0</v>
      </c>
      <c r="E682">
        <v>1</v>
      </c>
      <c r="F682">
        <v>16</v>
      </c>
      <c r="G682" t="b">
        <v>0</v>
      </c>
      <c r="H682">
        <v>1</v>
      </c>
      <c r="I682">
        <v>2</v>
      </c>
      <c r="J682">
        <v>0.16</v>
      </c>
      <c r="K682">
        <v>0.18179999999999999</v>
      </c>
      <c r="L682">
        <v>0.56000000000000005</v>
      </c>
      <c r="M682">
        <v>0.19400000000000001</v>
      </c>
      <c r="N682">
        <v>3</v>
      </c>
      <c r="O682">
        <v>83</v>
      </c>
      <c r="P682">
        <v>86</v>
      </c>
    </row>
    <row r="683" spans="1:16" x14ac:dyDescent="0.3">
      <c r="A683">
        <v>682</v>
      </c>
      <c r="B683" s="4">
        <v>40574</v>
      </c>
      <c r="C683">
        <v>1</v>
      </c>
      <c r="D683">
        <v>0</v>
      </c>
      <c r="E683">
        <v>1</v>
      </c>
      <c r="F683">
        <v>17</v>
      </c>
      <c r="G683" t="b">
        <v>0</v>
      </c>
      <c r="H683">
        <v>1</v>
      </c>
      <c r="I683">
        <v>2</v>
      </c>
      <c r="J683">
        <v>0.16</v>
      </c>
      <c r="K683">
        <v>0.1515</v>
      </c>
      <c r="L683">
        <v>0.59</v>
      </c>
      <c r="M683">
        <v>0.19400000000000001</v>
      </c>
      <c r="N683">
        <v>6</v>
      </c>
      <c r="O683">
        <v>155</v>
      </c>
      <c r="P683">
        <v>161</v>
      </c>
    </row>
    <row r="684" spans="1:16" x14ac:dyDescent="0.3">
      <c r="A684">
        <v>683</v>
      </c>
      <c r="B684" s="4">
        <v>40574</v>
      </c>
      <c r="C684">
        <v>1</v>
      </c>
      <c r="D684">
        <v>0</v>
      </c>
      <c r="E684">
        <v>1</v>
      </c>
      <c r="F684">
        <v>18</v>
      </c>
      <c r="G684" t="b">
        <v>0</v>
      </c>
      <c r="H684">
        <v>1</v>
      </c>
      <c r="I684">
        <v>2</v>
      </c>
      <c r="J684">
        <v>0.16</v>
      </c>
      <c r="K684">
        <v>0.1515</v>
      </c>
      <c r="L684">
        <v>0.55000000000000004</v>
      </c>
      <c r="M684">
        <v>0.22389999999999999</v>
      </c>
      <c r="N684">
        <v>3</v>
      </c>
      <c r="O684">
        <v>153</v>
      </c>
      <c r="P684">
        <v>156</v>
      </c>
    </row>
    <row r="685" spans="1:16" x14ac:dyDescent="0.3">
      <c r="A685">
        <v>684</v>
      </c>
      <c r="B685" s="4">
        <v>40574</v>
      </c>
      <c r="C685">
        <v>1</v>
      </c>
      <c r="D685">
        <v>0</v>
      </c>
      <c r="E685">
        <v>1</v>
      </c>
      <c r="F685">
        <v>19</v>
      </c>
      <c r="G685" t="b">
        <v>0</v>
      </c>
      <c r="H685">
        <v>1</v>
      </c>
      <c r="I685">
        <v>1</v>
      </c>
      <c r="J685">
        <v>0.3</v>
      </c>
      <c r="K685">
        <v>0.31819999999999998</v>
      </c>
      <c r="L685">
        <v>0.61</v>
      </c>
      <c r="M685">
        <v>0.1045</v>
      </c>
      <c r="N685">
        <v>3</v>
      </c>
      <c r="O685">
        <v>108</v>
      </c>
      <c r="P685">
        <v>111</v>
      </c>
    </row>
    <row r="686" spans="1:16" x14ac:dyDescent="0.3">
      <c r="A686">
        <v>685</v>
      </c>
      <c r="B686" s="4">
        <v>40574</v>
      </c>
      <c r="C686">
        <v>1</v>
      </c>
      <c r="D686">
        <v>0</v>
      </c>
      <c r="E686">
        <v>1</v>
      </c>
      <c r="F686">
        <v>20</v>
      </c>
      <c r="G686" t="b">
        <v>0</v>
      </c>
      <c r="H686">
        <v>1</v>
      </c>
      <c r="I686">
        <v>3</v>
      </c>
      <c r="J686">
        <v>0.16</v>
      </c>
      <c r="K686">
        <v>0.16669999999999999</v>
      </c>
      <c r="L686">
        <v>0.59</v>
      </c>
      <c r="M686">
        <v>0.16420000000000001</v>
      </c>
      <c r="N686">
        <v>0</v>
      </c>
      <c r="O686">
        <v>78</v>
      </c>
      <c r="P686">
        <v>78</v>
      </c>
    </row>
    <row r="687" spans="1:16" x14ac:dyDescent="0.3">
      <c r="A687">
        <v>686</v>
      </c>
      <c r="B687" s="4">
        <v>40574</v>
      </c>
      <c r="C687">
        <v>1</v>
      </c>
      <c r="D687">
        <v>0</v>
      </c>
      <c r="E687">
        <v>1</v>
      </c>
      <c r="F687">
        <v>21</v>
      </c>
      <c r="G687" t="b">
        <v>0</v>
      </c>
      <c r="H687">
        <v>1</v>
      </c>
      <c r="I687">
        <v>3</v>
      </c>
      <c r="J687">
        <v>0.16</v>
      </c>
      <c r="K687">
        <v>0.19700000000000001</v>
      </c>
      <c r="L687">
        <v>0.59</v>
      </c>
      <c r="M687">
        <v>8.9599999999999999E-2</v>
      </c>
      <c r="N687">
        <v>3</v>
      </c>
      <c r="O687">
        <v>53</v>
      </c>
      <c r="P687">
        <v>56</v>
      </c>
    </row>
    <row r="688" spans="1:16" x14ac:dyDescent="0.3">
      <c r="A688">
        <v>687</v>
      </c>
      <c r="B688" s="4">
        <v>40574</v>
      </c>
      <c r="C688">
        <v>1</v>
      </c>
      <c r="D688">
        <v>0</v>
      </c>
      <c r="E688">
        <v>1</v>
      </c>
      <c r="F688">
        <v>22</v>
      </c>
      <c r="G688" t="b">
        <v>0</v>
      </c>
      <c r="H688">
        <v>1</v>
      </c>
      <c r="I688">
        <v>2</v>
      </c>
      <c r="J688">
        <v>0.16</v>
      </c>
      <c r="K688">
        <v>0.18179999999999999</v>
      </c>
      <c r="L688">
        <v>0.59</v>
      </c>
      <c r="M688">
        <v>0.1045</v>
      </c>
      <c r="N688">
        <v>0</v>
      </c>
      <c r="O688">
        <v>34</v>
      </c>
      <c r="P688">
        <v>34</v>
      </c>
    </row>
    <row r="689" spans="1:16" x14ac:dyDescent="0.3">
      <c r="A689">
        <v>688</v>
      </c>
      <c r="B689" s="4">
        <v>40574</v>
      </c>
      <c r="C689">
        <v>1</v>
      </c>
      <c r="D689">
        <v>0</v>
      </c>
      <c r="E689">
        <v>1</v>
      </c>
      <c r="F689">
        <v>23</v>
      </c>
      <c r="G689" t="b">
        <v>0</v>
      </c>
      <c r="H689">
        <v>1</v>
      </c>
      <c r="I689">
        <v>2</v>
      </c>
      <c r="J689">
        <v>0.16</v>
      </c>
      <c r="K689">
        <v>0.19700000000000001</v>
      </c>
      <c r="L689">
        <v>0.64</v>
      </c>
      <c r="M689">
        <v>8.9599999999999999E-2</v>
      </c>
      <c r="N689">
        <v>2</v>
      </c>
      <c r="O689">
        <v>15</v>
      </c>
      <c r="P689">
        <v>17</v>
      </c>
    </row>
    <row r="690" spans="1:16" x14ac:dyDescent="0.3">
      <c r="A690">
        <v>689</v>
      </c>
      <c r="B690" s="4">
        <v>40575</v>
      </c>
      <c r="C690">
        <v>1</v>
      </c>
      <c r="D690">
        <v>0</v>
      </c>
      <c r="E690">
        <v>2</v>
      </c>
      <c r="F690">
        <v>0</v>
      </c>
      <c r="G690" t="b">
        <v>0</v>
      </c>
      <c r="H690">
        <v>2</v>
      </c>
      <c r="I690">
        <v>2</v>
      </c>
      <c r="J690">
        <v>0.16</v>
      </c>
      <c r="K690">
        <v>0.18179999999999999</v>
      </c>
      <c r="L690">
        <v>0.64</v>
      </c>
      <c r="M690">
        <v>0.1045</v>
      </c>
      <c r="N690">
        <v>2</v>
      </c>
      <c r="O690">
        <v>6</v>
      </c>
      <c r="P690">
        <v>8</v>
      </c>
    </row>
    <row r="691" spans="1:16" x14ac:dyDescent="0.3">
      <c r="A691">
        <v>690</v>
      </c>
      <c r="B691" s="4">
        <v>40575</v>
      </c>
      <c r="C691">
        <v>1</v>
      </c>
      <c r="D691">
        <v>0</v>
      </c>
      <c r="E691">
        <v>2</v>
      </c>
      <c r="F691">
        <v>1</v>
      </c>
      <c r="G691" t="b">
        <v>0</v>
      </c>
      <c r="H691">
        <v>2</v>
      </c>
      <c r="I691">
        <v>2</v>
      </c>
      <c r="J691">
        <v>0.16</v>
      </c>
      <c r="K691">
        <v>0.18179999999999999</v>
      </c>
      <c r="L691">
        <v>0.69</v>
      </c>
      <c r="M691">
        <v>0.1045</v>
      </c>
      <c r="N691">
        <v>0</v>
      </c>
      <c r="O691">
        <v>3</v>
      </c>
      <c r="P691">
        <v>3</v>
      </c>
    </row>
    <row r="692" spans="1:16" x14ac:dyDescent="0.3">
      <c r="A692">
        <v>691</v>
      </c>
      <c r="B692" s="4">
        <v>40575</v>
      </c>
      <c r="C692">
        <v>1</v>
      </c>
      <c r="D692">
        <v>0</v>
      </c>
      <c r="E692">
        <v>2</v>
      </c>
      <c r="F692">
        <v>2</v>
      </c>
      <c r="G692" t="b">
        <v>0</v>
      </c>
      <c r="H692">
        <v>2</v>
      </c>
      <c r="I692">
        <v>2</v>
      </c>
      <c r="J692">
        <v>0.16</v>
      </c>
      <c r="K692">
        <v>0.2273</v>
      </c>
      <c r="L692">
        <v>0.69</v>
      </c>
      <c r="M692">
        <v>0</v>
      </c>
      <c r="N692">
        <v>0</v>
      </c>
      <c r="O692">
        <v>2</v>
      </c>
      <c r="P692">
        <v>2</v>
      </c>
    </row>
    <row r="693" spans="1:16" x14ac:dyDescent="0.3">
      <c r="A693">
        <v>692</v>
      </c>
      <c r="B693" s="4">
        <v>40575</v>
      </c>
      <c r="C693">
        <v>1</v>
      </c>
      <c r="D693">
        <v>0</v>
      </c>
      <c r="E693">
        <v>2</v>
      </c>
      <c r="F693">
        <v>3</v>
      </c>
      <c r="G693" t="b">
        <v>0</v>
      </c>
      <c r="H693">
        <v>2</v>
      </c>
      <c r="I693">
        <v>2</v>
      </c>
      <c r="J693">
        <v>0.16</v>
      </c>
      <c r="K693">
        <v>0.2273</v>
      </c>
      <c r="L693">
        <v>0.69</v>
      </c>
      <c r="M693">
        <v>0</v>
      </c>
      <c r="N693">
        <v>0</v>
      </c>
      <c r="O693">
        <v>2</v>
      </c>
      <c r="P693">
        <v>2</v>
      </c>
    </row>
    <row r="694" spans="1:16" x14ac:dyDescent="0.3">
      <c r="A694">
        <v>693</v>
      </c>
      <c r="B694" s="4">
        <v>40575</v>
      </c>
      <c r="C694">
        <v>1</v>
      </c>
      <c r="D694">
        <v>0</v>
      </c>
      <c r="E694">
        <v>2</v>
      </c>
      <c r="F694">
        <v>5</v>
      </c>
      <c r="G694" t="b">
        <v>0</v>
      </c>
      <c r="H694">
        <v>2</v>
      </c>
      <c r="I694">
        <v>3</v>
      </c>
      <c r="J694">
        <v>0.14000000000000001</v>
      </c>
      <c r="K694">
        <v>0.21210000000000001</v>
      </c>
      <c r="L694">
        <v>0.93</v>
      </c>
      <c r="M694">
        <v>0</v>
      </c>
      <c r="N694">
        <v>0</v>
      </c>
      <c r="O694">
        <v>3</v>
      </c>
      <c r="P694">
        <v>3</v>
      </c>
    </row>
    <row r="695" spans="1:16" x14ac:dyDescent="0.3">
      <c r="A695">
        <v>694</v>
      </c>
      <c r="B695" s="4">
        <v>40575</v>
      </c>
      <c r="C695">
        <v>1</v>
      </c>
      <c r="D695">
        <v>0</v>
      </c>
      <c r="E695">
        <v>2</v>
      </c>
      <c r="F695">
        <v>6</v>
      </c>
      <c r="G695" t="b">
        <v>0</v>
      </c>
      <c r="H695">
        <v>2</v>
      </c>
      <c r="I695">
        <v>3</v>
      </c>
      <c r="J695">
        <v>0.14000000000000001</v>
      </c>
      <c r="K695">
        <v>0.21210000000000001</v>
      </c>
      <c r="L695">
        <v>0.93</v>
      </c>
      <c r="M695">
        <v>0</v>
      </c>
      <c r="N695">
        <v>0</v>
      </c>
      <c r="O695">
        <v>22</v>
      </c>
      <c r="P695">
        <v>22</v>
      </c>
    </row>
    <row r="696" spans="1:16" x14ac:dyDescent="0.3">
      <c r="A696">
        <v>695</v>
      </c>
      <c r="B696" s="4">
        <v>40575</v>
      </c>
      <c r="C696">
        <v>1</v>
      </c>
      <c r="D696">
        <v>0</v>
      </c>
      <c r="E696">
        <v>2</v>
      </c>
      <c r="F696">
        <v>7</v>
      </c>
      <c r="G696" t="b">
        <v>0</v>
      </c>
      <c r="H696">
        <v>2</v>
      </c>
      <c r="I696">
        <v>3</v>
      </c>
      <c r="J696">
        <v>0.16</v>
      </c>
      <c r="K696">
        <v>0.2273</v>
      </c>
      <c r="L696">
        <v>0.93</v>
      </c>
      <c r="M696">
        <v>0</v>
      </c>
      <c r="N696">
        <v>0</v>
      </c>
      <c r="O696">
        <v>52</v>
      </c>
      <c r="P696">
        <v>52</v>
      </c>
    </row>
    <row r="697" spans="1:16" x14ac:dyDescent="0.3">
      <c r="A697">
        <v>696</v>
      </c>
      <c r="B697" s="4">
        <v>40575</v>
      </c>
      <c r="C697">
        <v>1</v>
      </c>
      <c r="D697">
        <v>0</v>
      </c>
      <c r="E697">
        <v>2</v>
      </c>
      <c r="F697">
        <v>8</v>
      </c>
      <c r="G697" t="b">
        <v>0</v>
      </c>
      <c r="H697">
        <v>2</v>
      </c>
      <c r="I697">
        <v>3</v>
      </c>
      <c r="J697">
        <v>0.16</v>
      </c>
      <c r="K697">
        <v>0.2273</v>
      </c>
      <c r="L697">
        <v>0.93</v>
      </c>
      <c r="M697">
        <v>0</v>
      </c>
      <c r="N697">
        <v>3</v>
      </c>
      <c r="O697">
        <v>132</v>
      </c>
      <c r="P697">
        <v>135</v>
      </c>
    </row>
    <row r="698" spans="1:16" x14ac:dyDescent="0.3">
      <c r="A698">
        <v>697</v>
      </c>
      <c r="B698" s="4">
        <v>40575</v>
      </c>
      <c r="C698">
        <v>1</v>
      </c>
      <c r="D698">
        <v>0</v>
      </c>
      <c r="E698">
        <v>2</v>
      </c>
      <c r="F698">
        <v>9</v>
      </c>
      <c r="G698" t="b">
        <v>0</v>
      </c>
      <c r="H698">
        <v>2</v>
      </c>
      <c r="I698">
        <v>2</v>
      </c>
      <c r="J698">
        <v>0.16</v>
      </c>
      <c r="K698">
        <v>0.2273</v>
      </c>
      <c r="L698">
        <v>0.93</v>
      </c>
      <c r="M698">
        <v>0</v>
      </c>
      <c r="N698">
        <v>2</v>
      </c>
      <c r="O698">
        <v>114</v>
      </c>
      <c r="P698">
        <v>116</v>
      </c>
    </row>
    <row r="699" spans="1:16" x14ac:dyDescent="0.3">
      <c r="A699">
        <v>698</v>
      </c>
      <c r="B699" s="4">
        <v>40575</v>
      </c>
      <c r="C699">
        <v>1</v>
      </c>
      <c r="D699">
        <v>0</v>
      </c>
      <c r="E699">
        <v>2</v>
      </c>
      <c r="F699">
        <v>10</v>
      </c>
      <c r="G699" t="b">
        <v>0</v>
      </c>
      <c r="H699">
        <v>2</v>
      </c>
      <c r="I699">
        <v>2</v>
      </c>
      <c r="J699">
        <v>0.16</v>
      </c>
      <c r="K699">
        <v>0.2273</v>
      </c>
      <c r="L699">
        <v>0.93</v>
      </c>
      <c r="M699">
        <v>0</v>
      </c>
      <c r="N699">
        <v>0</v>
      </c>
      <c r="O699">
        <v>47</v>
      </c>
      <c r="P699">
        <v>47</v>
      </c>
    </row>
    <row r="700" spans="1:16" x14ac:dyDescent="0.3">
      <c r="A700">
        <v>699</v>
      </c>
      <c r="B700" s="4">
        <v>40575</v>
      </c>
      <c r="C700">
        <v>1</v>
      </c>
      <c r="D700">
        <v>0</v>
      </c>
      <c r="E700">
        <v>2</v>
      </c>
      <c r="F700">
        <v>11</v>
      </c>
      <c r="G700" t="b">
        <v>0</v>
      </c>
      <c r="H700">
        <v>2</v>
      </c>
      <c r="I700">
        <v>2</v>
      </c>
      <c r="J700">
        <v>0.18</v>
      </c>
      <c r="K700">
        <v>0.2424</v>
      </c>
      <c r="L700">
        <v>0.86</v>
      </c>
      <c r="M700">
        <v>0</v>
      </c>
      <c r="N700">
        <v>2</v>
      </c>
      <c r="O700">
        <v>49</v>
      </c>
      <c r="P700">
        <v>51</v>
      </c>
    </row>
    <row r="701" spans="1:16" x14ac:dyDescent="0.3">
      <c r="A701">
        <v>700</v>
      </c>
      <c r="B701" s="4">
        <v>40575</v>
      </c>
      <c r="C701">
        <v>1</v>
      </c>
      <c r="D701">
        <v>0</v>
      </c>
      <c r="E701">
        <v>2</v>
      </c>
      <c r="F701">
        <v>12</v>
      </c>
      <c r="G701" t="b">
        <v>0</v>
      </c>
      <c r="H701">
        <v>2</v>
      </c>
      <c r="I701">
        <v>2</v>
      </c>
      <c r="J701">
        <v>0.2</v>
      </c>
      <c r="K701">
        <v>0.2576</v>
      </c>
      <c r="L701">
        <v>0.86</v>
      </c>
      <c r="M701">
        <v>0</v>
      </c>
      <c r="N701">
        <v>2</v>
      </c>
      <c r="O701">
        <v>53</v>
      </c>
      <c r="P701">
        <v>55</v>
      </c>
    </row>
    <row r="702" spans="1:16" x14ac:dyDescent="0.3">
      <c r="A702">
        <v>701</v>
      </c>
      <c r="B702" s="4">
        <v>40575</v>
      </c>
      <c r="C702">
        <v>1</v>
      </c>
      <c r="D702">
        <v>0</v>
      </c>
      <c r="E702">
        <v>2</v>
      </c>
      <c r="F702">
        <v>13</v>
      </c>
      <c r="G702" t="b">
        <v>0</v>
      </c>
      <c r="H702">
        <v>2</v>
      </c>
      <c r="I702">
        <v>2</v>
      </c>
      <c r="J702">
        <v>0.2</v>
      </c>
      <c r="K702">
        <v>0.2576</v>
      </c>
      <c r="L702">
        <v>0.86</v>
      </c>
      <c r="M702">
        <v>0</v>
      </c>
      <c r="N702">
        <v>3</v>
      </c>
      <c r="O702">
        <v>49</v>
      </c>
      <c r="P702">
        <v>52</v>
      </c>
    </row>
    <row r="703" spans="1:16" x14ac:dyDescent="0.3">
      <c r="A703">
        <v>702</v>
      </c>
      <c r="B703" s="4">
        <v>40575</v>
      </c>
      <c r="C703">
        <v>1</v>
      </c>
      <c r="D703">
        <v>0</v>
      </c>
      <c r="E703">
        <v>2</v>
      </c>
      <c r="F703">
        <v>14</v>
      </c>
      <c r="G703" t="b">
        <v>0</v>
      </c>
      <c r="H703">
        <v>2</v>
      </c>
      <c r="I703">
        <v>2</v>
      </c>
      <c r="J703">
        <v>0.22</v>
      </c>
      <c r="K703">
        <v>0.2576</v>
      </c>
      <c r="L703">
        <v>0.8</v>
      </c>
      <c r="M703">
        <v>8.9599999999999999E-2</v>
      </c>
      <c r="N703">
        <v>5</v>
      </c>
      <c r="O703">
        <v>49</v>
      </c>
      <c r="P703">
        <v>54</v>
      </c>
    </row>
    <row r="704" spans="1:16" x14ac:dyDescent="0.3">
      <c r="A704">
        <v>703</v>
      </c>
      <c r="B704" s="4">
        <v>40575</v>
      </c>
      <c r="C704">
        <v>1</v>
      </c>
      <c r="D704">
        <v>0</v>
      </c>
      <c r="E704">
        <v>2</v>
      </c>
      <c r="F704">
        <v>15</v>
      </c>
      <c r="G704" t="b">
        <v>0</v>
      </c>
      <c r="H704">
        <v>2</v>
      </c>
      <c r="I704">
        <v>2</v>
      </c>
      <c r="J704">
        <v>0.24</v>
      </c>
      <c r="K704">
        <v>0.28789999999999999</v>
      </c>
      <c r="L704">
        <v>0.75</v>
      </c>
      <c r="M704">
        <v>0</v>
      </c>
      <c r="N704">
        <v>7</v>
      </c>
      <c r="O704">
        <v>45</v>
      </c>
      <c r="P704">
        <v>52</v>
      </c>
    </row>
    <row r="705" spans="1:16" x14ac:dyDescent="0.3">
      <c r="A705">
        <v>704</v>
      </c>
      <c r="B705" s="4">
        <v>40575</v>
      </c>
      <c r="C705">
        <v>1</v>
      </c>
      <c r="D705">
        <v>0</v>
      </c>
      <c r="E705">
        <v>2</v>
      </c>
      <c r="F705">
        <v>16</v>
      </c>
      <c r="G705" t="b">
        <v>0</v>
      </c>
      <c r="H705">
        <v>2</v>
      </c>
      <c r="I705">
        <v>2</v>
      </c>
      <c r="J705">
        <v>0.24</v>
      </c>
      <c r="K705">
        <v>0.2424</v>
      </c>
      <c r="L705">
        <v>0.75</v>
      </c>
      <c r="M705">
        <v>0.1343</v>
      </c>
      <c r="N705">
        <v>3</v>
      </c>
      <c r="O705">
        <v>61</v>
      </c>
      <c r="P705">
        <v>64</v>
      </c>
    </row>
    <row r="706" spans="1:16" x14ac:dyDescent="0.3">
      <c r="A706">
        <v>705</v>
      </c>
      <c r="B706" s="4">
        <v>40575</v>
      </c>
      <c r="C706">
        <v>1</v>
      </c>
      <c r="D706">
        <v>0</v>
      </c>
      <c r="E706">
        <v>2</v>
      </c>
      <c r="F706">
        <v>17</v>
      </c>
      <c r="G706" t="b">
        <v>0</v>
      </c>
      <c r="H706">
        <v>2</v>
      </c>
      <c r="I706">
        <v>2</v>
      </c>
      <c r="J706">
        <v>0.24</v>
      </c>
      <c r="K706">
        <v>0.28789999999999999</v>
      </c>
      <c r="L706">
        <v>0.75</v>
      </c>
      <c r="M706">
        <v>0</v>
      </c>
      <c r="N706">
        <v>4</v>
      </c>
      <c r="O706">
        <v>172</v>
      </c>
      <c r="P706">
        <v>176</v>
      </c>
    </row>
    <row r="707" spans="1:16" x14ac:dyDescent="0.3">
      <c r="A707">
        <v>706</v>
      </c>
      <c r="B707" s="4">
        <v>40575</v>
      </c>
      <c r="C707">
        <v>1</v>
      </c>
      <c r="D707">
        <v>0</v>
      </c>
      <c r="E707">
        <v>2</v>
      </c>
      <c r="F707">
        <v>18</v>
      </c>
      <c r="G707" t="b">
        <v>0</v>
      </c>
      <c r="H707">
        <v>2</v>
      </c>
      <c r="I707">
        <v>2</v>
      </c>
      <c r="J707">
        <v>0.24</v>
      </c>
      <c r="K707">
        <v>0.2576</v>
      </c>
      <c r="L707">
        <v>0.81</v>
      </c>
      <c r="M707">
        <v>0.1045</v>
      </c>
      <c r="N707">
        <v>3</v>
      </c>
      <c r="O707">
        <v>165</v>
      </c>
      <c r="P707">
        <v>168</v>
      </c>
    </row>
    <row r="708" spans="1:16" x14ac:dyDescent="0.3">
      <c r="A708">
        <v>707</v>
      </c>
      <c r="B708" s="4">
        <v>40575</v>
      </c>
      <c r="C708">
        <v>1</v>
      </c>
      <c r="D708">
        <v>0</v>
      </c>
      <c r="E708">
        <v>2</v>
      </c>
      <c r="F708">
        <v>19</v>
      </c>
      <c r="G708" t="b">
        <v>0</v>
      </c>
      <c r="H708">
        <v>2</v>
      </c>
      <c r="I708">
        <v>2</v>
      </c>
      <c r="J708">
        <v>0.24</v>
      </c>
      <c r="K708">
        <v>0.2424</v>
      </c>
      <c r="L708">
        <v>0.81</v>
      </c>
      <c r="M708">
        <v>0.1343</v>
      </c>
      <c r="N708">
        <v>3</v>
      </c>
      <c r="O708">
        <v>105</v>
      </c>
      <c r="P708">
        <v>108</v>
      </c>
    </row>
    <row r="709" spans="1:16" x14ac:dyDescent="0.3">
      <c r="A709">
        <v>708</v>
      </c>
      <c r="B709" s="4">
        <v>40575</v>
      </c>
      <c r="C709">
        <v>1</v>
      </c>
      <c r="D709">
        <v>0</v>
      </c>
      <c r="E709">
        <v>2</v>
      </c>
      <c r="F709">
        <v>20</v>
      </c>
      <c r="G709" t="b">
        <v>0</v>
      </c>
      <c r="H709">
        <v>2</v>
      </c>
      <c r="I709">
        <v>2</v>
      </c>
      <c r="J709">
        <v>0.22</v>
      </c>
      <c r="K709">
        <v>0.2273</v>
      </c>
      <c r="L709">
        <v>0.87</v>
      </c>
      <c r="M709">
        <v>0.1343</v>
      </c>
      <c r="N709">
        <v>5</v>
      </c>
      <c r="O709">
        <v>69</v>
      </c>
      <c r="P709">
        <v>74</v>
      </c>
    </row>
    <row r="710" spans="1:16" x14ac:dyDescent="0.3">
      <c r="A710">
        <v>709</v>
      </c>
      <c r="B710" s="4">
        <v>40575</v>
      </c>
      <c r="C710">
        <v>1</v>
      </c>
      <c r="D710">
        <v>0</v>
      </c>
      <c r="E710">
        <v>2</v>
      </c>
      <c r="F710">
        <v>21</v>
      </c>
      <c r="G710" t="b">
        <v>0</v>
      </c>
      <c r="H710">
        <v>2</v>
      </c>
      <c r="I710">
        <v>2</v>
      </c>
      <c r="J710">
        <v>0.22</v>
      </c>
      <c r="K710">
        <v>0.2273</v>
      </c>
      <c r="L710">
        <v>0.87</v>
      </c>
      <c r="M710">
        <v>0.1343</v>
      </c>
      <c r="N710">
        <v>0</v>
      </c>
      <c r="O710">
        <v>64</v>
      </c>
      <c r="P710">
        <v>64</v>
      </c>
    </row>
    <row r="711" spans="1:16" x14ac:dyDescent="0.3">
      <c r="A711">
        <v>710</v>
      </c>
      <c r="B711" s="4">
        <v>40575</v>
      </c>
      <c r="C711">
        <v>1</v>
      </c>
      <c r="D711">
        <v>0</v>
      </c>
      <c r="E711">
        <v>2</v>
      </c>
      <c r="F711">
        <v>22</v>
      </c>
      <c r="G711" t="b">
        <v>0</v>
      </c>
      <c r="H711">
        <v>2</v>
      </c>
      <c r="I711">
        <v>2</v>
      </c>
      <c r="J711">
        <v>0.22</v>
      </c>
      <c r="K711">
        <v>0.2576</v>
      </c>
      <c r="L711">
        <v>0.87</v>
      </c>
      <c r="M711">
        <v>8.9599999999999999E-2</v>
      </c>
      <c r="N711">
        <v>2</v>
      </c>
      <c r="O711">
        <v>34</v>
      </c>
      <c r="P711">
        <v>36</v>
      </c>
    </row>
    <row r="712" spans="1:16" x14ac:dyDescent="0.3">
      <c r="A712">
        <v>711</v>
      </c>
      <c r="B712" s="4">
        <v>40575</v>
      </c>
      <c r="C712">
        <v>1</v>
      </c>
      <c r="D712">
        <v>0</v>
      </c>
      <c r="E712">
        <v>2</v>
      </c>
      <c r="F712">
        <v>23</v>
      </c>
      <c r="G712" t="b">
        <v>0</v>
      </c>
      <c r="H712">
        <v>2</v>
      </c>
      <c r="I712">
        <v>3</v>
      </c>
      <c r="J712">
        <v>0.2</v>
      </c>
      <c r="K712">
        <v>0.19700000000000001</v>
      </c>
      <c r="L712">
        <v>0.93</v>
      </c>
      <c r="M712">
        <v>0.19400000000000001</v>
      </c>
      <c r="N712">
        <v>1</v>
      </c>
      <c r="O712">
        <v>15</v>
      </c>
      <c r="P712">
        <v>16</v>
      </c>
    </row>
    <row r="713" spans="1:16" x14ac:dyDescent="0.3">
      <c r="A713">
        <v>712</v>
      </c>
      <c r="B713" s="4">
        <v>40576</v>
      </c>
      <c r="C713">
        <v>1</v>
      </c>
      <c r="D713">
        <v>0</v>
      </c>
      <c r="E713">
        <v>2</v>
      </c>
      <c r="F713">
        <v>0</v>
      </c>
      <c r="G713" t="b">
        <v>0</v>
      </c>
      <c r="H713">
        <v>3</v>
      </c>
      <c r="I713">
        <v>3</v>
      </c>
      <c r="J713">
        <v>0.22</v>
      </c>
      <c r="K713">
        <v>0.2424</v>
      </c>
      <c r="L713">
        <v>0.93</v>
      </c>
      <c r="M713">
        <v>0.1045</v>
      </c>
      <c r="N713">
        <v>0</v>
      </c>
      <c r="O713">
        <v>2</v>
      </c>
      <c r="P713">
        <v>2</v>
      </c>
    </row>
    <row r="714" spans="1:16" x14ac:dyDescent="0.3">
      <c r="A714">
        <v>713</v>
      </c>
      <c r="B714" s="4">
        <v>40576</v>
      </c>
      <c r="C714">
        <v>1</v>
      </c>
      <c r="D714">
        <v>0</v>
      </c>
      <c r="E714">
        <v>2</v>
      </c>
      <c r="F714">
        <v>1</v>
      </c>
      <c r="G714" t="b">
        <v>0</v>
      </c>
      <c r="H714">
        <v>3</v>
      </c>
      <c r="I714">
        <v>3</v>
      </c>
      <c r="J714">
        <v>0.22</v>
      </c>
      <c r="K714">
        <v>0.2273</v>
      </c>
      <c r="L714">
        <v>0.93</v>
      </c>
      <c r="M714">
        <v>0.19400000000000001</v>
      </c>
      <c r="N714">
        <v>0</v>
      </c>
      <c r="O714">
        <v>3</v>
      </c>
      <c r="P714">
        <v>3</v>
      </c>
    </row>
    <row r="715" spans="1:16" x14ac:dyDescent="0.3">
      <c r="A715">
        <v>714</v>
      </c>
      <c r="B715" s="4">
        <v>40576</v>
      </c>
      <c r="C715">
        <v>1</v>
      </c>
      <c r="D715">
        <v>0</v>
      </c>
      <c r="E715">
        <v>2</v>
      </c>
      <c r="F715">
        <v>2</v>
      </c>
      <c r="G715" t="b">
        <v>0</v>
      </c>
      <c r="H715">
        <v>3</v>
      </c>
      <c r="I715">
        <v>3</v>
      </c>
      <c r="J715">
        <v>0.22</v>
      </c>
      <c r="K715">
        <v>0.2273</v>
      </c>
      <c r="L715">
        <v>0.93</v>
      </c>
      <c r="M715">
        <v>0.1343</v>
      </c>
      <c r="N715">
        <v>4</v>
      </c>
      <c r="O715">
        <v>0</v>
      </c>
      <c r="P715">
        <v>4</v>
      </c>
    </row>
    <row r="716" spans="1:16" x14ac:dyDescent="0.3">
      <c r="A716">
        <v>715</v>
      </c>
      <c r="B716" s="4">
        <v>40576</v>
      </c>
      <c r="C716">
        <v>1</v>
      </c>
      <c r="D716">
        <v>0</v>
      </c>
      <c r="E716">
        <v>2</v>
      </c>
      <c r="F716">
        <v>3</v>
      </c>
      <c r="G716" t="b">
        <v>0</v>
      </c>
      <c r="H716">
        <v>3</v>
      </c>
      <c r="I716">
        <v>3</v>
      </c>
      <c r="J716">
        <v>0.22</v>
      </c>
      <c r="K716">
        <v>0.2273</v>
      </c>
      <c r="L716">
        <v>0.93</v>
      </c>
      <c r="M716">
        <v>0.1343</v>
      </c>
      <c r="N716">
        <v>0</v>
      </c>
      <c r="O716">
        <v>1</v>
      </c>
      <c r="P716">
        <v>1</v>
      </c>
    </row>
    <row r="717" spans="1:16" x14ac:dyDescent="0.3">
      <c r="A717">
        <v>716</v>
      </c>
      <c r="B717" s="4">
        <v>40576</v>
      </c>
      <c r="C717">
        <v>1</v>
      </c>
      <c r="D717">
        <v>0</v>
      </c>
      <c r="E717">
        <v>2</v>
      </c>
      <c r="F717">
        <v>4</v>
      </c>
      <c r="G717" t="b">
        <v>0</v>
      </c>
      <c r="H717">
        <v>3</v>
      </c>
      <c r="I717">
        <v>3</v>
      </c>
      <c r="J717">
        <v>0.22</v>
      </c>
      <c r="K717">
        <v>0.21210000000000001</v>
      </c>
      <c r="L717">
        <v>0.93</v>
      </c>
      <c r="M717">
        <v>0.28360000000000002</v>
      </c>
      <c r="N717">
        <v>0</v>
      </c>
      <c r="O717">
        <v>1</v>
      </c>
      <c r="P717">
        <v>1</v>
      </c>
    </row>
    <row r="718" spans="1:16" x14ac:dyDescent="0.3">
      <c r="A718">
        <v>717</v>
      </c>
      <c r="B718" s="4">
        <v>40576</v>
      </c>
      <c r="C718">
        <v>1</v>
      </c>
      <c r="D718">
        <v>0</v>
      </c>
      <c r="E718">
        <v>2</v>
      </c>
      <c r="F718">
        <v>5</v>
      </c>
      <c r="G718" t="b">
        <v>0</v>
      </c>
      <c r="H718">
        <v>3</v>
      </c>
      <c r="I718">
        <v>3</v>
      </c>
      <c r="J718">
        <v>0.22</v>
      </c>
      <c r="K718">
        <v>0.2424</v>
      </c>
      <c r="L718">
        <v>0.93</v>
      </c>
      <c r="M718">
        <v>0.1045</v>
      </c>
      <c r="N718">
        <v>0</v>
      </c>
      <c r="O718">
        <v>3</v>
      </c>
      <c r="P718">
        <v>3</v>
      </c>
    </row>
    <row r="719" spans="1:16" x14ac:dyDescent="0.3">
      <c r="A719">
        <v>718</v>
      </c>
      <c r="B719" s="4">
        <v>40576</v>
      </c>
      <c r="C719">
        <v>1</v>
      </c>
      <c r="D719">
        <v>0</v>
      </c>
      <c r="E719">
        <v>2</v>
      </c>
      <c r="F719">
        <v>6</v>
      </c>
      <c r="G719" t="b">
        <v>0</v>
      </c>
      <c r="H719">
        <v>3</v>
      </c>
      <c r="I719">
        <v>3</v>
      </c>
      <c r="J719">
        <v>0.22</v>
      </c>
      <c r="K719">
        <v>0.2424</v>
      </c>
      <c r="L719">
        <v>0.93</v>
      </c>
      <c r="M719">
        <v>0.1045</v>
      </c>
      <c r="N719">
        <v>1</v>
      </c>
      <c r="O719">
        <v>17</v>
      </c>
      <c r="P719">
        <v>18</v>
      </c>
    </row>
    <row r="720" spans="1:16" x14ac:dyDescent="0.3">
      <c r="A720">
        <v>719</v>
      </c>
      <c r="B720" s="4">
        <v>40576</v>
      </c>
      <c r="C720">
        <v>1</v>
      </c>
      <c r="D720">
        <v>0</v>
      </c>
      <c r="E720">
        <v>2</v>
      </c>
      <c r="F720">
        <v>7</v>
      </c>
      <c r="G720" t="b">
        <v>0</v>
      </c>
      <c r="H720">
        <v>3</v>
      </c>
      <c r="I720">
        <v>3</v>
      </c>
      <c r="J720">
        <v>0.22</v>
      </c>
      <c r="K720">
        <v>0.21210000000000001</v>
      </c>
      <c r="L720">
        <v>0.93</v>
      </c>
      <c r="M720">
        <v>0.22389999999999999</v>
      </c>
      <c r="N720">
        <v>1</v>
      </c>
      <c r="O720">
        <v>48</v>
      </c>
      <c r="P720">
        <v>49</v>
      </c>
    </row>
    <row r="721" spans="1:16" x14ac:dyDescent="0.3">
      <c r="A721">
        <v>720</v>
      </c>
      <c r="B721" s="4">
        <v>40576</v>
      </c>
      <c r="C721">
        <v>1</v>
      </c>
      <c r="D721">
        <v>0</v>
      </c>
      <c r="E721">
        <v>2</v>
      </c>
      <c r="F721">
        <v>8</v>
      </c>
      <c r="G721" t="b">
        <v>0</v>
      </c>
      <c r="H721">
        <v>3</v>
      </c>
      <c r="I721">
        <v>3</v>
      </c>
      <c r="J721">
        <v>0.22</v>
      </c>
      <c r="K721">
        <v>0.21210000000000001</v>
      </c>
      <c r="L721">
        <v>0.93</v>
      </c>
      <c r="M721">
        <v>0.22389999999999999</v>
      </c>
      <c r="N721">
        <v>1</v>
      </c>
      <c r="O721">
        <v>154</v>
      </c>
      <c r="P721">
        <v>155</v>
      </c>
    </row>
    <row r="722" spans="1:16" x14ac:dyDescent="0.3">
      <c r="A722">
        <v>721</v>
      </c>
      <c r="B722" s="4">
        <v>40576</v>
      </c>
      <c r="C722">
        <v>1</v>
      </c>
      <c r="D722">
        <v>0</v>
      </c>
      <c r="E722">
        <v>2</v>
      </c>
      <c r="F722">
        <v>9</v>
      </c>
      <c r="G722" t="b">
        <v>0</v>
      </c>
      <c r="H722">
        <v>3</v>
      </c>
      <c r="I722">
        <v>2</v>
      </c>
      <c r="J722">
        <v>0.24</v>
      </c>
      <c r="K722">
        <v>0.2576</v>
      </c>
      <c r="L722">
        <v>0.93</v>
      </c>
      <c r="M722">
        <v>8.9599999999999999E-2</v>
      </c>
      <c r="N722">
        <v>4</v>
      </c>
      <c r="O722">
        <v>119</v>
      </c>
      <c r="P722">
        <v>123</v>
      </c>
    </row>
    <row r="723" spans="1:16" x14ac:dyDescent="0.3">
      <c r="A723">
        <v>722</v>
      </c>
      <c r="B723" s="4">
        <v>40576</v>
      </c>
      <c r="C723">
        <v>1</v>
      </c>
      <c r="D723">
        <v>0</v>
      </c>
      <c r="E723">
        <v>2</v>
      </c>
      <c r="F723">
        <v>10</v>
      </c>
      <c r="G723" t="b">
        <v>0</v>
      </c>
      <c r="H723">
        <v>3</v>
      </c>
      <c r="I723">
        <v>2</v>
      </c>
      <c r="J723">
        <v>0.22</v>
      </c>
      <c r="K723">
        <v>0.2727</v>
      </c>
      <c r="L723">
        <v>1</v>
      </c>
      <c r="M723">
        <v>0</v>
      </c>
      <c r="N723">
        <v>2</v>
      </c>
      <c r="O723">
        <v>59</v>
      </c>
      <c r="P723">
        <v>61</v>
      </c>
    </row>
    <row r="724" spans="1:16" x14ac:dyDescent="0.3">
      <c r="A724">
        <v>723</v>
      </c>
      <c r="B724" s="4">
        <v>40576</v>
      </c>
      <c r="C724">
        <v>1</v>
      </c>
      <c r="D724">
        <v>0</v>
      </c>
      <c r="E724">
        <v>2</v>
      </c>
      <c r="F724">
        <v>11</v>
      </c>
      <c r="G724" t="b">
        <v>0</v>
      </c>
      <c r="H724">
        <v>3</v>
      </c>
      <c r="I724">
        <v>2</v>
      </c>
      <c r="J724">
        <v>0.24</v>
      </c>
      <c r="K724">
        <v>0.2273</v>
      </c>
      <c r="L724">
        <v>0.93</v>
      </c>
      <c r="M724">
        <v>0.19400000000000001</v>
      </c>
      <c r="N724">
        <v>5</v>
      </c>
      <c r="O724">
        <v>47</v>
      </c>
      <c r="P724">
        <v>52</v>
      </c>
    </row>
    <row r="725" spans="1:16" x14ac:dyDescent="0.3">
      <c r="A725">
        <v>724</v>
      </c>
      <c r="B725" s="4">
        <v>40576</v>
      </c>
      <c r="C725">
        <v>1</v>
      </c>
      <c r="D725">
        <v>0</v>
      </c>
      <c r="E725">
        <v>2</v>
      </c>
      <c r="F725">
        <v>12</v>
      </c>
      <c r="G725" t="b">
        <v>0</v>
      </c>
      <c r="H725">
        <v>3</v>
      </c>
      <c r="I725">
        <v>2</v>
      </c>
      <c r="J725">
        <v>0.24</v>
      </c>
      <c r="K725">
        <v>0.2273</v>
      </c>
      <c r="L725">
        <v>0.93</v>
      </c>
      <c r="M725">
        <v>0.22389999999999999</v>
      </c>
      <c r="N725">
        <v>3</v>
      </c>
      <c r="O725">
        <v>61</v>
      </c>
      <c r="P725">
        <v>64</v>
      </c>
    </row>
    <row r="726" spans="1:16" x14ac:dyDescent="0.3">
      <c r="A726">
        <v>725</v>
      </c>
      <c r="B726" s="4">
        <v>40576</v>
      </c>
      <c r="C726">
        <v>1</v>
      </c>
      <c r="D726">
        <v>0</v>
      </c>
      <c r="E726">
        <v>2</v>
      </c>
      <c r="F726">
        <v>13</v>
      </c>
      <c r="G726" t="b">
        <v>0</v>
      </c>
      <c r="H726">
        <v>3</v>
      </c>
      <c r="I726">
        <v>1</v>
      </c>
      <c r="J726">
        <v>0.34</v>
      </c>
      <c r="K726">
        <v>0.33329999999999999</v>
      </c>
      <c r="L726">
        <v>0.93</v>
      </c>
      <c r="M726">
        <v>0.16420000000000001</v>
      </c>
      <c r="N726">
        <v>1</v>
      </c>
      <c r="O726">
        <v>74</v>
      </c>
      <c r="P726">
        <v>75</v>
      </c>
    </row>
    <row r="727" spans="1:16" x14ac:dyDescent="0.3">
      <c r="A727">
        <v>726</v>
      </c>
      <c r="B727" s="4">
        <v>40576</v>
      </c>
      <c r="C727">
        <v>1</v>
      </c>
      <c r="D727">
        <v>0</v>
      </c>
      <c r="E727">
        <v>2</v>
      </c>
      <c r="F727">
        <v>14</v>
      </c>
      <c r="G727" t="b">
        <v>0</v>
      </c>
      <c r="H727">
        <v>3</v>
      </c>
      <c r="I727">
        <v>1</v>
      </c>
      <c r="J727">
        <v>0.38</v>
      </c>
      <c r="K727">
        <v>0.39389999999999997</v>
      </c>
      <c r="L727">
        <v>0.82</v>
      </c>
      <c r="M727">
        <v>0.3881</v>
      </c>
      <c r="N727">
        <v>2</v>
      </c>
      <c r="O727">
        <v>61</v>
      </c>
      <c r="P727">
        <v>63</v>
      </c>
    </row>
    <row r="728" spans="1:16" x14ac:dyDescent="0.3">
      <c r="A728">
        <v>727</v>
      </c>
      <c r="B728" s="4">
        <v>40576</v>
      </c>
      <c r="C728">
        <v>1</v>
      </c>
      <c r="D728">
        <v>0</v>
      </c>
      <c r="E728">
        <v>2</v>
      </c>
      <c r="F728">
        <v>15</v>
      </c>
      <c r="G728" t="b">
        <v>0</v>
      </c>
      <c r="H728">
        <v>3</v>
      </c>
      <c r="I728">
        <v>1</v>
      </c>
      <c r="J728">
        <v>0.38</v>
      </c>
      <c r="K728">
        <v>0.39389999999999997</v>
      </c>
      <c r="L728">
        <v>0.76</v>
      </c>
      <c r="M728">
        <v>0.32840000000000003</v>
      </c>
      <c r="N728">
        <v>10</v>
      </c>
      <c r="O728">
        <v>66</v>
      </c>
      <c r="P728">
        <v>76</v>
      </c>
    </row>
    <row r="729" spans="1:16" x14ac:dyDescent="0.3">
      <c r="A729">
        <v>728</v>
      </c>
      <c r="B729" s="4">
        <v>40576</v>
      </c>
      <c r="C729">
        <v>1</v>
      </c>
      <c r="D729">
        <v>0</v>
      </c>
      <c r="E729">
        <v>2</v>
      </c>
      <c r="F729">
        <v>16</v>
      </c>
      <c r="G729" t="b">
        <v>0</v>
      </c>
      <c r="H729">
        <v>3</v>
      </c>
      <c r="I729">
        <v>1</v>
      </c>
      <c r="J729">
        <v>0.36</v>
      </c>
      <c r="K729">
        <v>0.33329999999999999</v>
      </c>
      <c r="L729">
        <v>0.71</v>
      </c>
      <c r="M729">
        <v>0.29849999999999999</v>
      </c>
      <c r="N729">
        <v>8</v>
      </c>
      <c r="O729">
        <v>95</v>
      </c>
      <c r="P729">
        <v>103</v>
      </c>
    </row>
    <row r="730" spans="1:16" x14ac:dyDescent="0.3">
      <c r="A730">
        <v>729</v>
      </c>
      <c r="B730" s="4">
        <v>40576</v>
      </c>
      <c r="C730">
        <v>1</v>
      </c>
      <c r="D730">
        <v>0</v>
      </c>
      <c r="E730">
        <v>2</v>
      </c>
      <c r="F730">
        <v>17</v>
      </c>
      <c r="G730" t="b">
        <v>0</v>
      </c>
      <c r="H730">
        <v>3</v>
      </c>
      <c r="I730">
        <v>1</v>
      </c>
      <c r="J730">
        <v>0.36</v>
      </c>
      <c r="K730">
        <v>0.31819999999999998</v>
      </c>
      <c r="L730">
        <v>0.53</v>
      </c>
      <c r="M730">
        <v>0.52239999999999998</v>
      </c>
      <c r="N730">
        <v>7</v>
      </c>
      <c r="O730">
        <v>183</v>
      </c>
      <c r="P730">
        <v>190</v>
      </c>
    </row>
    <row r="731" spans="1:16" x14ac:dyDescent="0.3">
      <c r="A731">
        <v>730</v>
      </c>
      <c r="B731" s="4">
        <v>40576</v>
      </c>
      <c r="C731">
        <v>1</v>
      </c>
      <c r="D731">
        <v>0</v>
      </c>
      <c r="E731">
        <v>2</v>
      </c>
      <c r="F731">
        <v>18</v>
      </c>
      <c r="G731" t="b">
        <v>0</v>
      </c>
      <c r="H731">
        <v>3</v>
      </c>
      <c r="I731">
        <v>1</v>
      </c>
      <c r="J731">
        <v>0.34</v>
      </c>
      <c r="K731">
        <v>0.28789999999999999</v>
      </c>
      <c r="L731">
        <v>0.42</v>
      </c>
      <c r="M731">
        <v>0.55220000000000002</v>
      </c>
      <c r="N731">
        <v>7</v>
      </c>
      <c r="O731">
        <v>175</v>
      </c>
      <c r="P731">
        <v>182</v>
      </c>
    </row>
    <row r="732" spans="1:16" x14ac:dyDescent="0.3">
      <c r="A732">
        <v>731</v>
      </c>
      <c r="B732" s="4">
        <v>40576</v>
      </c>
      <c r="C732">
        <v>1</v>
      </c>
      <c r="D732">
        <v>0</v>
      </c>
      <c r="E732">
        <v>2</v>
      </c>
      <c r="F732">
        <v>19</v>
      </c>
      <c r="G732" t="b">
        <v>0</v>
      </c>
      <c r="H732">
        <v>3</v>
      </c>
      <c r="I732">
        <v>1</v>
      </c>
      <c r="J732">
        <v>0.28000000000000003</v>
      </c>
      <c r="K732">
        <v>0.2424</v>
      </c>
      <c r="L732">
        <v>0.45</v>
      </c>
      <c r="M732">
        <v>0.49249999999999999</v>
      </c>
      <c r="N732">
        <v>3</v>
      </c>
      <c r="O732">
        <v>88</v>
      </c>
      <c r="P732">
        <v>91</v>
      </c>
    </row>
    <row r="733" spans="1:16" x14ac:dyDescent="0.3">
      <c r="A733">
        <v>732</v>
      </c>
      <c r="B733" s="4">
        <v>40576</v>
      </c>
      <c r="C733">
        <v>1</v>
      </c>
      <c r="D733">
        <v>0</v>
      </c>
      <c r="E733">
        <v>2</v>
      </c>
      <c r="F733">
        <v>20</v>
      </c>
      <c r="G733" t="b">
        <v>0</v>
      </c>
      <c r="H733">
        <v>3</v>
      </c>
      <c r="I733">
        <v>1</v>
      </c>
      <c r="J733">
        <v>0.24</v>
      </c>
      <c r="K733">
        <v>0.19700000000000001</v>
      </c>
      <c r="L733">
        <v>0.48</v>
      </c>
      <c r="M733">
        <v>0.55220000000000002</v>
      </c>
      <c r="N733">
        <v>4</v>
      </c>
      <c r="O733">
        <v>71</v>
      </c>
      <c r="P733">
        <v>75</v>
      </c>
    </row>
    <row r="734" spans="1:16" x14ac:dyDescent="0.3">
      <c r="A734">
        <v>733</v>
      </c>
      <c r="B734" s="4">
        <v>40576</v>
      </c>
      <c r="C734">
        <v>1</v>
      </c>
      <c r="D734">
        <v>0</v>
      </c>
      <c r="E734">
        <v>2</v>
      </c>
      <c r="F734">
        <v>21</v>
      </c>
      <c r="G734" t="b">
        <v>0</v>
      </c>
      <c r="H734">
        <v>3</v>
      </c>
      <c r="I734">
        <v>1</v>
      </c>
      <c r="J734">
        <v>0.22</v>
      </c>
      <c r="K734">
        <v>0.19700000000000001</v>
      </c>
      <c r="L734">
        <v>0.47</v>
      </c>
      <c r="M734">
        <v>0.32840000000000003</v>
      </c>
      <c r="N734">
        <v>1</v>
      </c>
      <c r="O734">
        <v>62</v>
      </c>
      <c r="P734">
        <v>63</v>
      </c>
    </row>
    <row r="735" spans="1:16" x14ac:dyDescent="0.3">
      <c r="A735">
        <v>734</v>
      </c>
      <c r="B735" s="4">
        <v>40576</v>
      </c>
      <c r="C735">
        <v>1</v>
      </c>
      <c r="D735">
        <v>0</v>
      </c>
      <c r="E735">
        <v>2</v>
      </c>
      <c r="F735">
        <v>22</v>
      </c>
      <c r="G735" t="b">
        <v>0</v>
      </c>
      <c r="H735">
        <v>3</v>
      </c>
      <c r="I735">
        <v>1</v>
      </c>
      <c r="J735">
        <v>0.22</v>
      </c>
      <c r="K735">
        <v>0.21210000000000001</v>
      </c>
      <c r="L735">
        <v>0.44</v>
      </c>
      <c r="M735">
        <v>0.25369999999999998</v>
      </c>
      <c r="N735">
        <v>5</v>
      </c>
      <c r="O735">
        <v>35</v>
      </c>
      <c r="P735">
        <v>40</v>
      </c>
    </row>
    <row r="736" spans="1:16" x14ac:dyDescent="0.3">
      <c r="A736">
        <v>735</v>
      </c>
      <c r="B736" s="4">
        <v>40576</v>
      </c>
      <c r="C736">
        <v>1</v>
      </c>
      <c r="D736">
        <v>0</v>
      </c>
      <c r="E736">
        <v>2</v>
      </c>
      <c r="F736">
        <v>23</v>
      </c>
      <c r="G736" t="b">
        <v>0</v>
      </c>
      <c r="H736">
        <v>3</v>
      </c>
      <c r="I736">
        <v>1</v>
      </c>
      <c r="J736">
        <v>0.2</v>
      </c>
      <c r="K736">
        <v>0.16669999999999999</v>
      </c>
      <c r="L736">
        <v>0.44</v>
      </c>
      <c r="M736">
        <v>0.44779999999999998</v>
      </c>
      <c r="N736">
        <v>3</v>
      </c>
      <c r="O736">
        <v>29</v>
      </c>
      <c r="P736">
        <v>32</v>
      </c>
    </row>
    <row r="737" spans="1:16" x14ac:dyDescent="0.3">
      <c r="A737">
        <v>736</v>
      </c>
      <c r="B737" s="4">
        <v>40577</v>
      </c>
      <c r="C737">
        <v>1</v>
      </c>
      <c r="D737">
        <v>0</v>
      </c>
      <c r="E737">
        <v>2</v>
      </c>
      <c r="F737">
        <v>0</v>
      </c>
      <c r="G737" t="b">
        <v>0</v>
      </c>
      <c r="H737">
        <v>4</v>
      </c>
      <c r="I737">
        <v>1</v>
      </c>
      <c r="J737">
        <v>0.2</v>
      </c>
      <c r="K737">
        <v>0.16669999999999999</v>
      </c>
      <c r="L737">
        <v>0.4</v>
      </c>
      <c r="M737">
        <v>0.44779999999999998</v>
      </c>
      <c r="N737">
        <v>1</v>
      </c>
      <c r="O737">
        <v>11</v>
      </c>
      <c r="P737">
        <v>12</v>
      </c>
    </row>
    <row r="738" spans="1:16" x14ac:dyDescent="0.3">
      <c r="A738">
        <v>737</v>
      </c>
      <c r="B738" s="4">
        <v>40577</v>
      </c>
      <c r="C738">
        <v>1</v>
      </c>
      <c r="D738">
        <v>0</v>
      </c>
      <c r="E738">
        <v>2</v>
      </c>
      <c r="F738">
        <v>1</v>
      </c>
      <c r="G738" t="b">
        <v>0</v>
      </c>
      <c r="H738">
        <v>4</v>
      </c>
      <c r="I738">
        <v>1</v>
      </c>
      <c r="J738">
        <v>0.2</v>
      </c>
      <c r="K738">
        <v>0.1515</v>
      </c>
      <c r="L738">
        <v>0.44</v>
      </c>
      <c r="M738">
        <v>0.52239999999999998</v>
      </c>
      <c r="N738">
        <v>0</v>
      </c>
      <c r="O738">
        <v>5</v>
      </c>
      <c r="P738">
        <v>5</v>
      </c>
    </row>
    <row r="739" spans="1:16" x14ac:dyDescent="0.3">
      <c r="A739">
        <v>738</v>
      </c>
      <c r="B739" s="4">
        <v>40577</v>
      </c>
      <c r="C739">
        <v>1</v>
      </c>
      <c r="D739">
        <v>0</v>
      </c>
      <c r="E739">
        <v>2</v>
      </c>
      <c r="F739">
        <v>2</v>
      </c>
      <c r="G739" t="b">
        <v>0</v>
      </c>
      <c r="H739">
        <v>4</v>
      </c>
      <c r="I739">
        <v>1</v>
      </c>
      <c r="J739">
        <v>0.18</v>
      </c>
      <c r="K739">
        <v>0.16669999999999999</v>
      </c>
      <c r="L739">
        <v>0.43</v>
      </c>
      <c r="M739">
        <v>0.25369999999999998</v>
      </c>
      <c r="N739">
        <v>0</v>
      </c>
      <c r="O739">
        <v>2</v>
      </c>
      <c r="P739">
        <v>2</v>
      </c>
    </row>
    <row r="740" spans="1:16" x14ac:dyDescent="0.3">
      <c r="A740">
        <v>739</v>
      </c>
      <c r="B740" s="4">
        <v>40577</v>
      </c>
      <c r="C740">
        <v>1</v>
      </c>
      <c r="D740">
        <v>0</v>
      </c>
      <c r="E740">
        <v>2</v>
      </c>
      <c r="F740">
        <v>3</v>
      </c>
      <c r="G740" t="b">
        <v>0</v>
      </c>
      <c r="H740">
        <v>4</v>
      </c>
      <c r="I740">
        <v>1</v>
      </c>
      <c r="J740">
        <v>0.18</v>
      </c>
      <c r="K740">
        <v>0.16669999999999999</v>
      </c>
      <c r="L740">
        <v>0.43</v>
      </c>
      <c r="M740">
        <v>0.25369999999999998</v>
      </c>
      <c r="N740">
        <v>0</v>
      </c>
      <c r="O740">
        <v>1</v>
      </c>
      <c r="P740">
        <v>1</v>
      </c>
    </row>
    <row r="741" spans="1:16" x14ac:dyDescent="0.3">
      <c r="A741">
        <v>740</v>
      </c>
      <c r="B741" s="4">
        <v>40577</v>
      </c>
      <c r="C741">
        <v>1</v>
      </c>
      <c r="D741">
        <v>0</v>
      </c>
      <c r="E741">
        <v>2</v>
      </c>
      <c r="F741">
        <v>5</v>
      </c>
      <c r="G741" t="b">
        <v>0</v>
      </c>
      <c r="H741">
        <v>4</v>
      </c>
      <c r="I741">
        <v>1</v>
      </c>
      <c r="J741">
        <v>0.16</v>
      </c>
      <c r="K741">
        <v>0.13639999999999999</v>
      </c>
      <c r="L741">
        <v>0.5</v>
      </c>
      <c r="M741">
        <v>0.29849999999999999</v>
      </c>
      <c r="N741">
        <v>0</v>
      </c>
      <c r="O741">
        <v>2</v>
      </c>
      <c r="P741">
        <v>2</v>
      </c>
    </row>
    <row r="742" spans="1:16" x14ac:dyDescent="0.3">
      <c r="A742">
        <v>741</v>
      </c>
      <c r="B742" s="4">
        <v>40577</v>
      </c>
      <c r="C742">
        <v>1</v>
      </c>
      <c r="D742">
        <v>0</v>
      </c>
      <c r="E742">
        <v>2</v>
      </c>
      <c r="F742">
        <v>6</v>
      </c>
      <c r="G742" t="b">
        <v>0</v>
      </c>
      <c r="H742">
        <v>4</v>
      </c>
      <c r="I742">
        <v>1</v>
      </c>
      <c r="J742">
        <v>0.16</v>
      </c>
      <c r="K742">
        <v>0.13639999999999999</v>
      </c>
      <c r="L742">
        <v>0.43</v>
      </c>
      <c r="M742">
        <v>0.35820000000000002</v>
      </c>
      <c r="N742">
        <v>0</v>
      </c>
      <c r="O742">
        <v>39</v>
      </c>
      <c r="P742">
        <v>39</v>
      </c>
    </row>
    <row r="743" spans="1:16" x14ac:dyDescent="0.3">
      <c r="A743">
        <v>742</v>
      </c>
      <c r="B743" s="4">
        <v>40577</v>
      </c>
      <c r="C743">
        <v>1</v>
      </c>
      <c r="D743">
        <v>0</v>
      </c>
      <c r="E743">
        <v>2</v>
      </c>
      <c r="F743">
        <v>7</v>
      </c>
      <c r="G743" t="b">
        <v>0</v>
      </c>
      <c r="H743">
        <v>4</v>
      </c>
      <c r="I743">
        <v>1</v>
      </c>
      <c r="J743">
        <v>0.14000000000000001</v>
      </c>
      <c r="K743">
        <v>0.1212</v>
      </c>
      <c r="L743">
        <v>0.5</v>
      </c>
      <c r="M743">
        <v>0.32840000000000003</v>
      </c>
      <c r="N743">
        <v>1</v>
      </c>
      <c r="O743">
        <v>86</v>
      </c>
      <c r="P743">
        <v>87</v>
      </c>
    </row>
    <row r="744" spans="1:16" x14ac:dyDescent="0.3">
      <c r="A744">
        <v>743</v>
      </c>
      <c r="B744" s="4">
        <v>40577</v>
      </c>
      <c r="C744">
        <v>1</v>
      </c>
      <c r="D744">
        <v>0</v>
      </c>
      <c r="E744">
        <v>2</v>
      </c>
      <c r="F744">
        <v>8</v>
      </c>
      <c r="G744" t="b">
        <v>0</v>
      </c>
      <c r="H744">
        <v>4</v>
      </c>
      <c r="I744">
        <v>1</v>
      </c>
      <c r="J744">
        <v>0.14000000000000001</v>
      </c>
      <c r="K744">
        <v>0.1212</v>
      </c>
      <c r="L744">
        <v>0.5</v>
      </c>
      <c r="M744">
        <v>0.35820000000000002</v>
      </c>
      <c r="N744">
        <v>4</v>
      </c>
      <c r="O744">
        <v>184</v>
      </c>
      <c r="P744">
        <v>188</v>
      </c>
    </row>
    <row r="745" spans="1:16" x14ac:dyDescent="0.3">
      <c r="A745">
        <v>744</v>
      </c>
      <c r="B745" s="4">
        <v>40577</v>
      </c>
      <c r="C745">
        <v>1</v>
      </c>
      <c r="D745">
        <v>0</v>
      </c>
      <c r="E745">
        <v>2</v>
      </c>
      <c r="F745">
        <v>9</v>
      </c>
      <c r="G745" t="b">
        <v>0</v>
      </c>
      <c r="H745">
        <v>4</v>
      </c>
      <c r="I745">
        <v>1</v>
      </c>
      <c r="J745">
        <v>0.16</v>
      </c>
      <c r="K745">
        <v>0.13639999999999999</v>
      </c>
      <c r="L745">
        <v>0.47</v>
      </c>
      <c r="M745">
        <v>0.29849999999999999</v>
      </c>
      <c r="N745">
        <v>6</v>
      </c>
      <c r="O745">
        <v>127</v>
      </c>
      <c r="P745">
        <v>133</v>
      </c>
    </row>
    <row r="746" spans="1:16" x14ac:dyDescent="0.3">
      <c r="A746">
        <v>745</v>
      </c>
      <c r="B746" s="4">
        <v>40577</v>
      </c>
      <c r="C746">
        <v>1</v>
      </c>
      <c r="D746">
        <v>0</v>
      </c>
      <c r="E746">
        <v>2</v>
      </c>
      <c r="F746">
        <v>10</v>
      </c>
      <c r="G746" t="b">
        <v>0</v>
      </c>
      <c r="H746">
        <v>4</v>
      </c>
      <c r="I746">
        <v>1</v>
      </c>
      <c r="J746">
        <v>0.18</v>
      </c>
      <c r="K746">
        <v>0.1515</v>
      </c>
      <c r="L746">
        <v>0.43</v>
      </c>
      <c r="M746">
        <v>0.32840000000000003</v>
      </c>
      <c r="N746">
        <v>2</v>
      </c>
      <c r="O746">
        <v>50</v>
      </c>
      <c r="P746">
        <v>52</v>
      </c>
    </row>
    <row r="747" spans="1:16" x14ac:dyDescent="0.3">
      <c r="A747">
        <v>746</v>
      </c>
      <c r="B747" s="4">
        <v>40577</v>
      </c>
      <c r="C747">
        <v>1</v>
      </c>
      <c r="D747">
        <v>0</v>
      </c>
      <c r="E747">
        <v>2</v>
      </c>
      <c r="F747">
        <v>11</v>
      </c>
      <c r="G747" t="b">
        <v>0</v>
      </c>
      <c r="H747">
        <v>4</v>
      </c>
      <c r="I747">
        <v>1</v>
      </c>
      <c r="J747">
        <v>0.18</v>
      </c>
      <c r="K747">
        <v>0.13639999999999999</v>
      </c>
      <c r="L747">
        <v>0.43</v>
      </c>
      <c r="M747">
        <v>0.44779999999999998</v>
      </c>
      <c r="N747">
        <v>9</v>
      </c>
      <c r="O747">
        <v>55</v>
      </c>
      <c r="P747">
        <v>64</v>
      </c>
    </row>
    <row r="748" spans="1:16" x14ac:dyDescent="0.3">
      <c r="A748">
        <v>747</v>
      </c>
      <c r="B748" s="4">
        <v>40577</v>
      </c>
      <c r="C748">
        <v>1</v>
      </c>
      <c r="D748">
        <v>0</v>
      </c>
      <c r="E748">
        <v>2</v>
      </c>
      <c r="F748">
        <v>12</v>
      </c>
      <c r="G748" t="b">
        <v>0</v>
      </c>
      <c r="H748">
        <v>4</v>
      </c>
      <c r="I748">
        <v>1</v>
      </c>
      <c r="J748">
        <v>0.2</v>
      </c>
      <c r="K748">
        <v>0.18179999999999999</v>
      </c>
      <c r="L748">
        <v>0.4</v>
      </c>
      <c r="M748">
        <v>0.35820000000000002</v>
      </c>
      <c r="N748">
        <v>2</v>
      </c>
      <c r="O748">
        <v>67</v>
      </c>
      <c r="P748">
        <v>69</v>
      </c>
    </row>
    <row r="749" spans="1:16" x14ac:dyDescent="0.3">
      <c r="A749">
        <v>748</v>
      </c>
      <c r="B749" s="4">
        <v>40577</v>
      </c>
      <c r="C749">
        <v>1</v>
      </c>
      <c r="D749">
        <v>0</v>
      </c>
      <c r="E749">
        <v>2</v>
      </c>
      <c r="F749">
        <v>13</v>
      </c>
      <c r="G749" t="b">
        <v>0</v>
      </c>
      <c r="H749">
        <v>4</v>
      </c>
      <c r="I749">
        <v>1</v>
      </c>
      <c r="J749">
        <v>0.2</v>
      </c>
      <c r="K749">
        <v>0.16669999999999999</v>
      </c>
      <c r="L749">
        <v>0.4</v>
      </c>
      <c r="M749">
        <v>0.41789999999999999</v>
      </c>
      <c r="N749">
        <v>4</v>
      </c>
      <c r="O749">
        <v>47</v>
      </c>
      <c r="P749">
        <v>51</v>
      </c>
    </row>
    <row r="750" spans="1:16" x14ac:dyDescent="0.3">
      <c r="A750">
        <v>749</v>
      </c>
      <c r="B750" s="4">
        <v>40577</v>
      </c>
      <c r="C750">
        <v>1</v>
      </c>
      <c r="D750">
        <v>0</v>
      </c>
      <c r="E750">
        <v>2</v>
      </c>
      <c r="F750">
        <v>14</v>
      </c>
      <c r="G750" t="b">
        <v>0</v>
      </c>
      <c r="H750">
        <v>4</v>
      </c>
      <c r="I750">
        <v>1</v>
      </c>
      <c r="J750">
        <v>0.22</v>
      </c>
      <c r="K750">
        <v>0.19700000000000001</v>
      </c>
      <c r="L750">
        <v>0.37</v>
      </c>
      <c r="M750">
        <v>0.3881</v>
      </c>
      <c r="N750">
        <v>4</v>
      </c>
      <c r="O750">
        <v>43</v>
      </c>
      <c r="P750">
        <v>47</v>
      </c>
    </row>
    <row r="751" spans="1:16" x14ac:dyDescent="0.3">
      <c r="A751">
        <v>750</v>
      </c>
      <c r="B751" s="4">
        <v>40577</v>
      </c>
      <c r="C751">
        <v>1</v>
      </c>
      <c r="D751">
        <v>0</v>
      </c>
      <c r="E751">
        <v>2</v>
      </c>
      <c r="F751">
        <v>15</v>
      </c>
      <c r="G751" t="b">
        <v>0</v>
      </c>
      <c r="H751">
        <v>4</v>
      </c>
      <c r="I751">
        <v>1</v>
      </c>
      <c r="J751">
        <v>0.22</v>
      </c>
      <c r="K751">
        <v>0.19700000000000001</v>
      </c>
      <c r="L751">
        <v>0.37</v>
      </c>
      <c r="M751">
        <v>0.32840000000000003</v>
      </c>
      <c r="N751">
        <v>4</v>
      </c>
      <c r="O751">
        <v>56</v>
      </c>
      <c r="P751">
        <v>60</v>
      </c>
    </row>
    <row r="752" spans="1:16" x14ac:dyDescent="0.3">
      <c r="A752">
        <v>751</v>
      </c>
      <c r="B752" s="4">
        <v>40577</v>
      </c>
      <c r="C752">
        <v>1</v>
      </c>
      <c r="D752">
        <v>0</v>
      </c>
      <c r="E752">
        <v>2</v>
      </c>
      <c r="F752">
        <v>16</v>
      </c>
      <c r="G752" t="b">
        <v>0</v>
      </c>
      <c r="H752">
        <v>4</v>
      </c>
      <c r="I752">
        <v>1</v>
      </c>
      <c r="J752">
        <v>0.22</v>
      </c>
      <c r="K752">
        <v>0.21210000000000001</v>
      </c>
      <c r="L752">
        <v>0.37</v>
      </c>
      <c r="M752">
        <v>0.25369999999999998</v>
      </c>
      <c r="N752">
        <v>5</v>
      </c>
      <c r="O752">
        <v>73</v>
      </c>
      <c r="P752">
        <v>78</v>
      </c>
    </row>
    <row r="753" spans="1:16" x14ac:dyDescent="0.3">
      <c r="A753">
        <v>752</v>
      </c>
      <c r="B753" s="4">
        <v>40577</v>
      </c>
      <c r="C753">
        <v>1</v>
      </c>
      <c r="D753">
        <v>0</v>
      </c>
      <c r="E753">
        <v>2</v>
      </c>
      <c r="F753">
        <v>17</v>
      </c>
      <c r="G753" t="b">
        <v>0</v>
      </c>
      <c r="H753">
        <v>4</v>
      </c>
      <c r="I753">
        <v>1</v>
      </c>
      <c r="J753">
        <v>0.2</v>
      </c>
      <c r="K753">
        <v>0.19700000000000001</v>
      </c>
      <c r="L753">
        <v>0.4</v>
      </c>
      <c r="M753">
        <v>0.19400000000000001</v>
      </c>
      <c r="N753">
        <v>5</v>
      </c>
      <c r="O753">
        <v>170</v>
      </c>
      <c r="P753">
        <v>175</v>
      </c>
    </row>
    <row r="754" spans="1:16" x14ac:dyDescent="0.3">
      <c r="A754">
        <v>753</v>
      </c>
      <c r="B754" s="4">
        <v>40577</v>
      </c>
      <c r="C754">
        <v>1</v>
      </c>
      <c r="D754">
        <v>0</v>
      </c>
      <c r="E754">
        <v>2</v>
      </c>
      <c r="F754">
        <v>18</v>
      </c>
      <c r="G754" t="b">
        <v>0</v>
      </c>
      <c r="H754">
        <v>4</v>
      </c>
      <c r="I754">
        <v>1</v>
      </c>
      <c r="J754">
        <v>0.2</v>
      </c>
      <c r="K754">
        <v>0.21210000000000001</v>
      </c>
      <c r="L754">
        <v>0.4</v>
      </c>
      <c r="M754">
        <v>0.16420000000000001</v>
      </c>
      <c r="N754">
        <v>2</v>
      </c>
      <c r="O754">
        <v>145</v>
      </c>
      <c r="P754">
        <v>147</v>
      </c>
    </row>
    <row r="755" spans="1:16" x14ac:dyDescent="0.3">
      <c r="A755">
        <v>754</v>
      </c>
      <c r="B755" s="4">
        <v>40577</v>
      </c>
      <c r="C755">
        <v>1</v>
      </c>
      <c r="D755">
        <v>0</v>
      </c>
      <c r="E755">
        <v>2</v>
      </c>
      <c r="F755">
        <v>19</v>
      </c>
      <c r="G755" t="b">
        <v>0</v>
      </c>
      <c r="H755">
        <v>4</v>
      </c>
      <c r="I755">
        <v>1</v>
      </c>
      <c r="J755">
        <v>0.2</v>
      </c>
      <c r="K755">
        <v>0.2576</v>
      </c>
      <c r="L755">
        <v>0.4</v>
      </c>
      <c r="M755">
        <v>0</v>
      </c>
      <c r="N755">
        <v>4</v>
      </c>
      <c r="O755">
        <v>92</v>
      </c>
      <c r="P755">
        <v>96</v>
      </c>
    </row>
    <row r="756" spans="1:16" x14ac:dyDescent="0.3">
      <c r="A756">
        <v>755</v>
      </c>
      <c r="B756" s="4">
        <v>40577</v>
      </c>
      <c r="C756">
        <v>1</v>
      </c>
      <c r="D756">
        <v>0</v>
      </c>
      <c r="E756">
        <v>2</v>
      </c>
      <c r="F756">
        <v>20</v>
      </c>
      <c r="G756" t="b">
        <v>0</v>
      </c>
      <c r="H756">
        <v>4</v>
      </c>
      <c r="I756">
        <v>1</v>
      </c>
      <c r="J756">
        <v>0.2</v>
      </c>
      <c r="K756">
        <v>0.2273</v>
      </c>
      <c r="L756">
        <v>0.47</v>
      </c>
      <c r="M756">
        <v>8.9599999999999999E-2</v>
      </c>
      <c r="N756">
        <v>1</v>
      </c>
      <c r="O756">
        <v>108</v>
      </c>
      <c r="P756">
        <v>109</v>
      </c>
    </row>
    <row r="757" spans="1:16" x14ac:dyDescent="0.3">
      <c r="A757">
        <v>756</v>
      </c>
      <c r="B757" s="4">
        <v>40577</v>
      </c>
      <c r="C757">
        <v>1</v>
      </c>
      <c r="D757">
        <v>0</v>
      </c>
      <c r="E757">
        <v>2</v>
      </c>
      <c r="F757">
        <v>21</v>
      </c>
      <c r="G757" t="b">
        <v>0</v>
      </c>
      <c r="H757">
        <v>4</v>
      </c>
      <c r="I757">
        <v>1</v>
      </c>
      <c r="J757">
        <v>0.18</v>
      </c>
      <c r="K757">
        <v>0.21210000000000001</v>
      </c>
      <c r="L757">
        <v>0.55000000000000004</v>
      </c>
      <c r="M757">
        <v>0.1045</v>
      </c>
      <c r="N757">
        <v>1</v>
      </c>
      <c r="O757">
        <v>53</v>
      </c>
      <c r="P757">
        <v>54</v>
      </c>
    </row>
    <row r="758" spans="1:16" x14ac:dyDescent="0.3">
      <c r="A758">
        <v>757</v>
      </c>
      <c r="B758" s="4">
        <v>40577</v>
      </c>
      <c r="C758">
        <v>1</v>
      </c>
      <c r="D758">
        <v>0</v>
      </c>
      <c r="E758">
        <v>2</v>
      </c>
      <c r="F758">
        <v>22</v>
      </c>
      <c r="G758" t="b">
        <v>0</v>
      </c>
      <c r="H758">
        <v>4</v>
      </c>
      <c r="I758">
        <v>1</v>
      </c>
      <c r="J758">
        <v>0.18</v>
      </c>
      <c r="K758">
        <v>0.21210000000000001</v>
      </c>
      <c r="L758">
        <v>0.51</v>
      </c>
      <c r="M758">
        <v>8.9599999999999999E-2</v>
      </c>
      <c r="N758">
        <v>2</v>
      </c>
      <c r="O758">
        <v>39</v>
      </c>
      <c r="P758">
        <v>41</v>
      </c>
    </row>
    <row r="759" spans="1:16" x14ac:dyDescent="0.3">
      <c r="A759">
        <v>758</v>
      </c>
      <c r="B759" s="4">
        <v>40577</v>
      </c>
      <c r="C759">
        <v>1</v>
      </c>
      <c r="D759">
        <v>0</v>
      </c>
      <c r="E759">
        <v>2</v>
      </c>
      <c r="F759">
        <v>23</v>
      </c>
      <c r="G759" t="b">
        <v>0</v>
      </c>
      <c r="H759">
        <v>4</v>
      </c>
      <c r="I759">
        <v>1</v>
      </c>
      <c r="J759">
        <v>0.2</v>
      </c>
      <c r="K759">
        <v>0.2273</v>
      </c>
      <c r="L759">
        <v>0.47</v>
      </c>
      <c r="M759">
        <v>0.1045</v>
      </c>
      <c r="N759">
        <v>4</v>
      </c>
      <c r="O759">
        <v>34</v>
      </c>
      <c r="P759">
        <v>38</v>
      </c>
    </row>
    <row r="760" spans="1:16" x14ac:dyDescent="0.3">
      <c r="A760">
        <v>759</v>
      </c>
      <c r="B760" s="4">
        <v>40578</v>
      </c>
      <c r="C760">
        <v>1</v>
      </c>
      <c r="D760">
        <v>0</v>
      </c>
      <c r="E760">
        <v>2</v>
      </c>
      <c r="F760">
        <v>0</v>
      </c>
      <c r="G760" t="b">
        <v>0</v>
      </c>
      <c r="H760">
        <v>5</v>
      </c>
      <c r="I760">
        <v>2</v>
      </c>
      <c r="J760">
        <v>0.2</v>
      </c>
      <c r="K760">
        <v>0.2576</v>
      </c>
      <c r="L760">
        <v>0.44</v>
      </c>
      <c r="M760">
        <v>0</v>
      </c>
      <c r="N760">
        <v>3</v>
      </c>
      <c r="O760">
        <v>10</v>
      </c>
      <c r="P760">
        <v>13</v>
      </c>
    </row>
    <row r="761" spans="1:16" x14ac:dyDescent="0.3">
      <c r="A761">
        <v>760</v>
      </c>
      <c r="B761" s="4">
        <v>40578</v>
      </c>
      <c r="C761">
        <v>1</v>
      </c>
      <c r="D761">
        <v>0</v>
      </c>
      <c r="E761">
        <v>2</v>
      </c>
      <c r="F761">
        <v>1</v>
      </c>
      <c r="G761" t="b">
        <v>0</v>
      </c>
      <c r="H761">
        <v>5</v>
      </c>
      <c r="I761">
        <v>2</v>
      </c>
      <c r="J761">
        <v>0.16</v>
      </c>
      <c r="K761">
        <v>0.2273</v>
      </c>
      <c r="L761">
        <v>0.59</v>
      </c>
      <c r="M761">
        <v>0</v>
      </c>
      <c r="N761">
        <v>0</v>
      </c>
      <c r="O761">
        <v>7</v>
      </c>
      <c r="P761">
        <v>7</v>
      </c>
    </row>
    <row r="762" spans="1:16" x14ac:dyDescent="0.3">
      <c r="A762">
        <v>761</v>
      </c>
      <c r="B762" s="4">
        <v>40578</v>
      </c>
      <c r="C762">
        <v>1</v>
      </c>
      <c r="D762">
        <v>0</v>
      </c>
      <c r="E762">
        <v>2</v>
      </c>
      <c r="F762">
        <v>2</v>
      </c>
      <c r="G762" t="b">
        <v>0</v>
      </c>
      <c r="H762">
        <v>5</v>
      </c>
      <c r="I762">
        <v>2</v>
      </c>
      <c r="J762">
        <v>0.14000000000000001</v>
      </c>
      <c r="K762">
        <v>0.16669999999999999</v>
      </c>
      <c r="L762">
        <v>0.63</v>
      </c>
      <c r="M762">
        <v>0.1045</v>
      </c>
      <c r="N762">
        <v>0</v>
      </c>
      <c r="O762">
        <v>1</v>
      </c>
      <c r="P762">
        <v>1</v>
      </c>
    </row>
    <row r="763" spans="1:16" x14ac:dyDescent="0.3">
      <c r="A763">
        <v>762</v>
      </c>
      <c r="B763" s="4">
        <v>40578</v>
      </c>
      <c r="C763">
        <v>1</v>
      </c>
      <c r="D763">
        <v>0</v>
      </c>
      <c r="E763">
        <v>2</v>
      </c>
      <c r="F763">
        <v>3</v>
      </c>
      <c r="G763" t="b">
        <v>0</v>
      </c>
      <c r="H763">
        <v>5</v>
      </c>
      <c r="I763">
        <v>2</v>
      </c>
      <c r="J763">
        <v>0.14000000000000001</v>
      </c>
      <c r="K763">
        <v>0.16669999999999999</v>
      </c>
      <c r="L763">
        <v>0.63</v>
      </c>
      <c r="M763">
        <v>0.1045</v>
      </c>
      <c r="N763">
        <v>0</v>
      </c>
      <c r="O763">
        <v>1</v>
      </c>
      <c r="P763">
        <v>1</v>
      </c>
    </row>
    <row r="764" spans="1:16" x14ac:dyDescent="0.3">
      <c r="A764">
        <v>763</v>
      </c>
      <c r="B764" s="4">
        <v>40578</v>
      </c>
      <c r="C764">
        <v>1</v>
      </c>
      <c r="D764">
        <v>0</v>
      </c>
      <c r="E764">
        <v>2</v>
      </c>
      <c r="F764">
        <v>5</v>
      </c>
      <c r="G764" t="b">
        <v>0</v>
      </c>
      <c r="H764">
        <v>5</v>
      </c>
      <c r="I764">
        <v>2</v>
      </c>
      <c r="J764">
        <v>0.14000000000000001</v>
      </c>
      <c r="K764">
        <v>0.1515</v>
      </c>
      <c r="L764">
        <v>0.63</v>
      </c>
      <c r="M764">
        <v>0.1343</v>
      </c>
      <c r="N764">
        <v>0</v>
      </c>
      <c r="O764">
        <v>7</v>
      </c>
      <c r="P764">
        <v>7</v>
      </c>
    </row>
    <row r="765" spans="1:16" x14ac:dyDescent="0.3">
      <c r="A765">
        <v>764</v>
      </c>
      <c r="B765" s="4">
        <v>40578</v>
      </c>
      <c r="C765">
        <v>1</v>
      </c>
      <c r="D765">
        <v>0</v>
      </c>
      <c r="E765">
        <v>2</v>
      </c>
      <c r="F765">
        <v>6</v>
      </c>
      <c r="G765" t="b">
        <v>0</v>
      </c>
      <c r="H765">
        <v>5</v>
      </c>
      <c r="I765">
        <v>2</v>
      </c>
      <c r="J765">
        <v>0.16</v>
      </c>
      <c r="K765">
        <v>0.2273</v>
      </c>
      <c r="L765">
        <v>0.55000000000000004</v>
      </c>
      <c r="M765">
        <v>0</v>
      </c>
      <c r="N765">
        <v>2</v>
      </c>
      <c r="O765">
        <v>26</v>
      </c>
      <c r="P765">
        <v>28</v>
      </c>
    </row>
    <row r="766" spans="1:16" x14ac:dyDescent="0.3">
      <c r="A766">
        <v>765</v>
      </c>
      <c r="B766" s="4">
        <v>40578</v>
      </c>
      <c r="C766">
        <v>1</v>
      </c>
      <c r="D766">
        <v>0</v>
      </c>
      <c r="E766">
        <v>2</v>
      </c>
      <c r="F766">
        <v>7</v>
      </c>
      <c r="G766" t="b">
        <v>0</v>
      </c>
      <c r="H766">
        <v>5</v>
      </c>
      <c r="I766">
        <v>1</v>
      </c>
      <c r="J766">
        <v>0.14000000000000001</v>
      </c>
      <c r="K766">
        <v>0.21210000000000001</v>
      </c>
      <c r="L766">
        <v>0.59</v>
      </c>
      <c r="M766">
        <v>0</v>
      </c>
      <c r="N766">
        <v>0</v>
      </c>
      <c r="O766">
        <v>87</v>
      </c>
      <c r="P766">
        <v>87</v>
      </c>
    </row>
    <row r="767" spans="1:16" x14ac:dyDescent="0.3">
      <c r="A767">
        <v>766</v>
      </c>
      <c r="B767" s="4">
        <v>40578</v>
      </c>
      <c r="C767">
        <v>1</v>
      </c>
      <c r="D767">
        <v>0</v>
      </c>
      <c r="E767">
        <v>2</v>
      </c>
      <c r="F767">
        <v>8</v>
      </c>
      <c r="G767" t="b">
        <v>0</v>
      </c>
      <c r="H767">
        <v>5</v>
      </c>
      <c r="I767">
        <v>1</v>
      </c>
      <c r="J767">
        <v>0.14000000000000001</v>
      </c>
      <c r="K767">
        <v>0.1515</v>
      </c>
      <c r="L767">
        <v>0.74</v>
      </c>
      <c r="M767">
        <v>0.1343</v>
      </c>
      <c r="N767">
        <v>3</v>
      </c>
      <c r="O767">
        <v>217</v>
      </c>
      <c r="P767">
        <v>220</v>
      </c>
    </row>
    <row r="768" spans="1:16" x14ac:dyDescent="0.3">
      <c r="A768">
        <v>767</v>
      </c>
      <c r="B768" s="4">
        <v>40578</v>
      </c>
      <c r="C768">
        <v>1</v>
      </c>
      <c r="D768">
        <v>0</v>
      </c>
      <c r="E768">
        <v>2</v>
      </c>
      <c r="F768">
        <v>9</v>
      </c>
      <c r="G768" t="b">
        <v>0</v>
      </c>
      <c r="H768">
        <v>5</v>
      </c>
      <c r="I768">
        <v>2</v>
      </c>
      <c r="J768">
        <v>0.16</v>
      </c>
      <c r="K768">
        <v>0.18179999999999999</v>
      </c>
      <c r="L768">
        <v>0.8</v>
      </c>
      <c r="M768">
        <v>0.1343</v>
      </c>
      <c r="N768">
        <v>3</v>
      </c>
      <c r="O768">
        <v>124</v>
      </c>
      <c r="P768">
        <v>127</v>
      </c>
    </row>
    <row r="769" spans="1:16" x14ac:dyDescent="0.3">
      <c r="A769">
        <v>768</v>
      </c>
      <c r="B769" s="4">
        <v>40578</v>
      </c>
      <c r="C769">
        <v>1</v>
      </c>
      <c r="D769">
        <v>0</v>
      </c>
      <c r="E769">
        <v>2</v>
      </c>
      <c r="F769">
        <v>10</v>
      </c>
      <c r="G769" t="b">
        <v>0</v>
      </c>
      <c r="H769">
        <v>5</v>
      </c>
      <c r="I769">
        <v>2</v>
      </c>
      <c r="J769">
        <v>0.2</v>
      </c>
      <c r="K769">
        <v>0.21210000000000001</v>
      </c>
      <c r="L769">
        <v>0.51</v>
      </c>
      <c r="M769">
        <v>0.1343</v>
      </c>
      <c r="N769">
        <v>5</v>
      </c>
      <c r="O769">
        <v>46</v>
      </c>
      <c r="P769">
        <v>51</v>
      </c>
    </row>
    <row r="770" spans="1:16" x14ac:dyDescent="0.3">
      <c r="A770">
        <v>769</v>
      </c>
      <c r="B770" s="4">
        <v>40578</v>
      </c>
      <c r="C770">
        <v>1</v>
      </c>
      <c r="D770">
        <v>0</v>
      </c>
      <c r="E770">
        <v>2</v>
      </c>
      <c r="F770">
        <v>11</v>
      </c>
      <c r="G770" t="b">
        <v>0</v>
      </c>
      <c r="H770">
        <v>5</v>
      </c>
      <c r="I770">
        <v>1</v>
      </c>
      <c r="J770">
        <v>0.22</v>
      </c>
      <c r="K770">
        <v>0.2273</v>
      </c>
      <c r="L770">
        <v>0.51</v>
      </c>
      <c r="M770">
        <v>0.16420000000000001</v>
      </c>
      <c r="N770">
        <v>3</v>
      </c>
      <c r="O770">
        <v>61</v>
      </c>
      <c r="P770">
        <v>64</v>
      </c>
    </row>
    <row r="771" spans="1:16" x14ac:dyDescent="0.3">
      <c r="A771">
        <v>770</v>
      </c>
      <c r="B771" s="4">
        <v>40578</v>
      </c>
      <c r="C771">
        <v>1</v>
      </c>
      <c r="D771">
        <v>0</v>
      </c>
      <c r="E771">
        <v>2</v>
      </c>
      <c r="F771">
        <v>12</v>
      </c>
      <c r="G771" t="b">
        <v>0</v>
      </c>
      <c r="H771">
        <v>5</v>
      </c>
      <c r="I771">
        <v>2</v>
      </c>
      <c r="J771">
        <v>0.24</v>
      </c>
      <c r="K771">
        <v>0.2424</v>
      </c>
      <c r="L771">
        <v>0.48</v>
      </c>
      <c r="M771">
        <v>0.16420000000000001</v>
      </c>
      <c r="N771">
        <v>8</v>
      </c>
      <c r="O771">
        <v>78</v>
      </c>
      <c r="P771">
        <v>86</v>
      </c>
    </row>
    <row r="772" spans="1:16" x14ac:dyDescent="0.3">
      <c r="A772">
        <v>771</v>
      </c>
      <c r="B772" s="4">
        <v>40578</v>
      </c>
      <c r="C772">
        <v>1</v>
      </c>
      <c r="D772">
        <v>0</v>
      </c>
      <c r="E772">
        <v>2</v>
      </c>
      <c r="F772">
        <v>13</v>
      </c>
      <c r="G772" t="b">
        <v>0</v>
      </c>
      <c r="H772">
        <v>5</v>
      </c>
      <c r="I772">
        <v>2</v>
      </c>
      <c r="J772">
        <v>0.26</v>
      </c>
      <c r="K772">
        <v>0.2576</v>
      </c>
      <c r="L772">
        <v>0.5</v>
      </c>
      <c r="M772">
        <v>0.22389999999999999</v>
      </c>
      <c r="N772">
        <v>9</v>
      </c>
      <c r="O772">
        <v>73</v>
      </c>
      <c r="P772">
        <v>82</v>
      </c>
    </row>
    <row r="773" spans="1:16" x14ac:dyDescent="0.3">
      <c r="A773">
        <v>772</v>
      </c>
      <c r="B773" s="4">
        <v>40578</v>
      </c>
      <c r="C773">
        <v>1</v>
      </c>
      <c r="D773">
        <v>0</v>
      </c>
      <c r="E773">
        <v>2</v>
      </c>
      <c r="F773">
        <v>14</v>
      </c>
      <c r="G773" t="b">
        <v>0</v>
      </c>
      <c r="H773">
        <v>5</v>
      </c>
      <c r="I773">
        <v>2</v>
      </c>
      <c r="J773">
        <v>0.28000000000000003</v>
      </c>
      <c r="K773">
        <v>0.2727</v>
      </c>
      <c r="L773">
        <v>0.45</v>
      </c>
      <c r="M773">
        <v>0.16420000000000001</v>
      </c>
      <c r="N773">
        <v>15</v>
      </c>
      <c r="O773">
        <v>76</v>
      </c>
      <c r="P773">
        <v>91</v>
      </c>
    </row>
    <row r="774" spans="1:16" x14ac:dyDescent="0.3">
      <c r="A774">
        <v>773</v>
      </c>
      <c r="B774" s="4">
        <v>40578</v>
      </c>
      <c r="C774">
        <v>1</v>
      </c>
      <c r="D774">
        <v>0</v>
      </c>
      <c r="E774">
        <v>2</v>
      </c>
      <c r="F774">
        <v>15</v>
      </c>
      <c r="G774" t="b">
        <v>0</v>
      </c>
      <c r="H774">
        <v>5</v>
      </c>
      <c r="I774">
        <v>2</v>
      </c>
      <c r="J774">
        <v>0.28000000000000003</v>
      </c>
      <c r="K774">
        <v>0.2727</v>
      </c>
      <c r="L774">
        <v>0.48</v>
      </c>
      <c r="M774">
        <v>0.25369999999999998</v>
      </c>
      <c r="N774">
        <v>9</v>
      </c>
      <c r="O774">
        <v>81</v>
      </c>
      <c r="P774">
        <v>90</v>
      </c>
    </row>
    <row r="775" spans="1:16" x14ac:dyDescent="0.3">
      <c r="A775">
        <v>774</v>
      </c>
      <c r="B775" s="4">
        <v>40578</v>
      </c>
      <c r="C775">
        <v>1</v>
      </c>
      <c r="D775">
        <v>0</v>
      </c>
      <c r="E775">
        <v>2</v>
      </c>
      <c r="F775">
        <v>16</v>
      </c>
      <c r="G775" t="b">
        <v>0</v>
      </c>
      <c r="H775">
        <v>5</v>
      </c>
      <c r="I775">
        <v>2</v>
      </c>
      <c r="J775">
        <v>0.3</v>
      </c>
      <c r="K775">
        <v>0.28789999999999999</v>
      </c>
      <c r="L775">
        <v>0.42</v>
      </c>
      <c r="M775">
        <v>0.22389999999999999</v>
      </c>
      <c r="N775">
        <v>8</v>
      </c>
      <c r="O775">
        <v>91</v>
      </c>
      <c r="P775">
        <v>99</v>
      </c>
    </row>
    <row r="776" spans="1:16" x14ac:dyDescent="0.3">
      <c r="A776">
        <v>775</v>
      </c>
      <c r="B776" s="4">
        <v>40578</v>
      </c>
      <c r="C776">
        <v>1</v>
      </c>
      <c r="D776">
        <v>0</v>
      </c>
      <c r="E776">
        <v>2</v>
      </c>
      <c r="F776">
        <v>17</v>
      </c>
      <c r="G776" t="b">
        <v>0</v>
      </c>
      <c r="H776">
        <v>5</v>
      </c>
      <c r="I776">
        <v>2</v>
      </c>
      <c r="J776">
        <v>0.26</v>
      </c>
      <c r="K776">
        <v>0.2727</v>
      </c>
      <c r="L776">
        <v>0.56000000000000005</v>
      </c>
      <c r="M776">
        <v>0.1343</v>
      </c>
      <c r="N776">
        <v>10</v>
      </c>
      <c r="O776">
        <v>195</v>
      </c>
      <c r="P776">
        <v>205</v>
      </c>
    </row>
    <row r="777" spans="1:16" x14ac:dyDescent="0.3">
      <c r="A777">
        <v>776</v>
      </c>
      <c r="B777" s="4">
        <v>40578</v>
      </c>
      <c r="C777">
        <v>1</v>
      </c>
      <c r="D777">
        <v>0</v>
      </c>
      <c r="E777">
        <v>2</v>
      </c>
      <c r="F777">
        <v>18</v>
      </c>
      <c r="G777" t="b">
        <v>0</v>
      </c>
      <c r="H777">
        <v>5</v>
      </c>
      <c r="I777">
        <v>2</v>
      </c>
      <c r="J777">
        <v>0.24</v>
      </c>
      <c r="K777">
        <v>0.2576</v>
      </c>
      <c r="L777">
        <v>0.6</v>
      </c>
      <c r="M777">
        <v>0.1045</v>
      </c>
      <c r="N777">
        <v>3</v>
      </c>
      <c r="O777">
        <v>152</v>
      </c>
      <c r="P777">
        <v>155</v>
      </c>
    </row>
    <row r="778" spans="1:16" x14ac:dyDescent="0.3">
      <c r="A778">
        <v>777</v>
      </c>
      <c r="B778" s="4">
        <v>40578</v>
      </c>
      <c r="C778">
        <v>1</v>
      </c>
      <c r="D778">
        <v>0</v>
      </c>
      <c r="E778">
        <v>2</v>
      </c>
      <c r="F778">
        <v>19</v>
      </c>
      <c r="G778" t="b">
        <v>0</v>
      </c>
      <c r="H778">
        <v>5</v>
      </c>
      <c r="I778">
        <v>2</v>
      </c>
      <c r="J778">
        <v>0.24</v>
      </c>
      <c r="K778">
        <v>0.2424</v>
      </c>
      <c r="L778">
        <v>0.65</v>
      </c>
      <c r="M778">
        <v>0.1343</v>
      </c>
      <c r="N778">
        <v>1</v>
      </c>
      <c r="O778">
        <v>102</v>
      </c>
      <c r="P778">
        <v>103</v>
      </c>
    </row>
    <row r="779" spans="1:16" x14ac:dyDescent="0.3">
      <c r="A779">
        <v>778</v>
      </c>
      <c r="B779" s="4">
        <v>40578</v>
      </c>
      <c r="C779">
        <v>1</v>
      </c>
      <c r="D779">
        <v>0</v>
      </c>
      <c r="E779">
        <v>2</v>
      </c>
      <c r="F779">
        <v>20</v>
      </c>
      <c r="G779" t="b">
        <v>0</v>
      </c>
      <c r="H779">
        <v>5</v>
      </c>
      <c r="I779">
        <v>2</v>
      </c>
      <c r="J779">
        <v>0.24</v>
      </c>
      <c r="K779">
        <v>0.2424</v>
      </c>
      <c r="L779">
        <v>0.65</v>
      </c>
      <c r="M779">
        <v>0.16420000000000001</v>
      </c>
      <c r="N779">
        <v>2</v>
      </c>
      <c r="O779">
        <v>69</v>
      </c>
      <c r="P779">
        <v>71</v>
      </c>
    </row>
    <row r="780" spans="1:16" x14ac:dyDescent="0.3">
      <c r="A780">
        <v>779</v>
      </c>
      <c r="B780" s="4">
        <v>40578</v>
      </c>
      <c r="C780">
        <v>1</v>
      </c>
      <c r="D780">
        <v>0</v>
      </c>
      <c r="E780">
        <v>2</v>
      </c>
      <c r="F780">
        <v>21</v>
      </c>
      <c r="G780" t="b">
        <v>0</v>
      </c>
      <c r="H780">
        <v>5</v>
      </c>
      <c r="I780">
        <v>2</v>
      </c>
      <c r="J780">
        <v>0.24</v>
      </c>
      <c r="K780">
        <v>0.2424</v>
      </c>
      <c r="L780">
        <v>0.7</v>
      </c>
      <c r="M780">
        <v>0.16420000000000001</v>
      </c>
      <c r="N780">
        <v>2</v>
      </c>
      <c r="O780">
        <v>41</v>
      </c>
      <c r="P780">
        <v>43</v>
      </c>
    </row>
    <row r="781" spans="1:16" x14ac:dyDescent="0.3">
      <c r="A781">
        <v>780</v>
      </c>
      <c r="B781" s="4">
        <v>40578</v>
      </c>
      <c r="C781">
        <v>1</v>
      </c>
      <c r="D781">
        <v>0</v>
      </c>
      <c r="E781">
        <v>2</v>
      </c>
      <c r="F781">
        <v>22</v>
      </c>
      <c r="G781" t="b">
        <v>0</v>
      </c>
      <c r="H781">
        <v>5</v>
      </c>
      <c r="I781">
        <v>2</v>
      </c>
      <c r="J781">
        <v>0.24</v>
      </c>
      <c r="K781">
        <v>0.2424</v>
      </c>
      <c r="L781">
        <v>0.65</v>
      </c>
      <c r="M781">
        <v>0.16420000000000001</v>
      </c>
      <c r="N781">
        <v>1</v>
      </c>
      <c r="O781">
        <v>45</v>
      </c>
      <c r="P781">
        <v>46</v>
      </c>
    </row>
    <row r="782" spans="1:16" x14ac:dyDescent="0.3">
      <c r="A782">
        <v>781</v>
      </c>
      <c r="B782" s="4">
        <v>40578</v>
      </c>
      <c r="C782">
        <v>1</v>
      </c>
      <c r="D782">
        <v>0</v>
      </c>
      <c r="E782">
        <v>2</v>
      </c>
      <c r="F782">
        <v>23</v>
      </c>
      <c r="G782" t="b">
        <v>0</v>
      </c>
      <c r="H782">
        <v>5</v>
      </c>
      <c r="I782">
        <v>2</v>
      </c>
      <c r="J782">
        <v>0.24</v>
      </c>
      <c r="K782">
        <v>0.2424</v>
      </c>
      <c r="L782">
        <v>0.7</v>
      </c>
      <c r="M782">
        <v>0.1343</v>
      </c>
      <c r="N782">
        <v>1</v>
      </c>
      <c r="O782">
        <v>30</v>
      </c>
      <c r="P782">
        <v>31</v>
      </c>
    </row>
    <row r="783" spans="1:16" x14ac:dyDescent="0.3">
      <c r="A783">
        <v>782</v>
      </c>
      <c r="B783" s="4">
        <v>40579</v>
      </c>
      <c r="C783">
        <v>1</v>
      </c>
      <c r="D783">
        <v>0</v>
      </c>
      <c r="E783">
        <v>2</v>
      </c>
      <c r="F783">
        <v>0</v>
      </c>
      <c r="G783" t="b">
        <v>0</v>
      </c>
      <c r="H783">
        <v>6</v>
      </c>
      <c r="I783">
        <v>2</v>
      </c>
      <c r="J783">
        <v>0.24</v>
      </c>
      <c r="K783">
        <v>0.2424</v>
      </c>
      <c r="L783">
        <v>0.7</v>
      </c>
      <c r="M783">
        <v>0.16420000000000001</v>
      </c>
      <c r="N783">
        <v>3</v>
      </c>
      <c r="O783">
        <v>36</v>
      </c>
      <c r="P783">
        <v>39</v>
      </c>
    </row>
    <row r="784" spans="1:16" x14ac:dyDescent="0.3">
      <c r="A784">
        <v>783</v>
      </c>
      <c r="B784" s="4">
        <v>40579</v>
      </c>
      <c r="C784">
        <v>1</v>
      </c>
      <c r="D784">
        <v>0</v>
      </c>
      <c r="E784">
        <v>2</v>
      </c>
      <c r="F784">
        <v>1</v>
      </c>
      <c r="G784" t="b">
        <v>0</v>
      </c>
      <c r="H784">
        <v>6</v>
      </c>
      <c r="I784">
        <v>2</v>
      </c>
      <c r="J784">
        <v>0.24</v>
      </c>
      <c r="K784">
        <v>0.2424</v>
      </c>
      <c r="L784">
        <v>0.65</v>
      </c>
      <c r="M784">
        <v>0.16420000000000001</v>
      </c>
      <c r="N784">
        <v>1</v>
      </c>
      <c r="O784">
        <v>17</v>
      </c>
      <c r="P784">
        <v>18</v>
      </c>
    </row>
    <row r="785" spans="1:16" x14ac:dyDescent="0.3">
      <c r="A785">
        <v>784</v>
      </c>
      <c r="B785" s="4">
        <v>40579</v>
      </c>
      <c r="C785">
        <v>1</v>
      </c>
      <c r="D785">
        <v>0</v>
      </c>
      <c r="E785">
        <v>2</v>
      </c>
      <c r="F785">
        <v>2</v>
      </c>
      <c r="G785" t="b">
        <v>0</v>
      </c>
      <c r="H785">
        <v>6</v>
      </c>
      <c r="I785">
        <v>2</v>
      </c>
      <c r="J785">
        <v>0.24</v>
      </c>
      <c r="K785">
        <v>0.2424</v>
      </c>
      <c r="L785">
        <v>0.75</v>
      </c>
      <c r="M785">
        <v>0.16420000000000001</v>
      </c>
      <c r="N785">
        <v>5</v>
      </c>
      <c r="O785">
        <v>12</v>
      </c>
      <c r="P785">
        <v>17</v>
      </c>
    </row>
    <row r="786" spans="1:16" x14ac:dyDescent="0.3">
      <c r="A786">
        <v>785</v>
      </c>
      <c r="B786" s="4">
        <v>40579</v>
      </c>
      <c r="C786">
        <v>1</v>
      </c>
      <c r="D786">
        <v>0</v>
      </c>
      <c r="E786">
        <v>2</v>
      </c>
      <c r="F786">
        <v>3</v>
      </c>
      <c r="G786" t="b">
        <v>0</v>
      </c>
      <c r="H786">
        <v>6</v>
      </c>
      <c r="I786">
        <v>2</v>
      </c>
      <c r="J786">
        <v>0.24</v>
      </c>
      <c r="K786">
        <v>0.2424</v>
      </c>
      <c r="L786">
        <v>0.75</v>
      </c>
      <c r="M786">
        <v>0.16420000000000001</v>
      </c>
      <c r="N786">
        <v>1</v>
      </c>
      <c r="O786">
        <v>10</v>
      </c>
      <c r="P786">
        <v>11</v>
      </c>
    </row>
    <row r="787" spans="1:16" x14ac:dyDescent="0.3">
      <c r="A787">
        <v>786</v>
      </c>
      <c r="B787" s="4">
        <v>40579</v>
      </c>
      <c r="C787">
        <v>1</v>
      </c>
      <c r="D787">
        <v>0</v>
      </c>
      <c r="E787">
        <v>2</v>
      </c>
      <c r="F787">
        <v>4</v>
      </c>
      <c r="G787" t="b">
        <v>0</v>
      </c>
      <c r="H787">
        <v>6</v>
      </c>
      <c r="I787">
        <v>3</v>
      </c>
      <c r="J787">
        <v>0.22</v>
      </c>
      <c r="K787">
        <v>0.2273</v>
      </c>
      <c r="L787">
        <v>0.93</v>
      </c>
      <c r="M787">
        <v>0.1343</v>
      </c>
      <c r="N787">
        <v>0</v>
      </c>
      <c r="O787">
        <v>8</v>
      </c>
      <c r="P787">
        <v>8</v>
      </c>
    </row>
    <row r="788" spans="1:16" x14ac:dyDescent="0.3">
      <c r="A788">
        <v>787</v>
      </c>
      <c r="B788" s="4">
        <v>40579</v>
      </c>
      <c r="C788">
        <v>1</v>
      </c>
      <c r="D788">
        <v>0</v>
      </c>
      <c r="E788">
        <v>2</v>
      </c>
      <c r="F788">
        <v>5</v>
      </c>
      <c r="G788" t="b">
        <v>0</v>
      </c>
      <c r="H788">
        <v>6</v>
      </c>
      <c r="I788">
        <v>3</v>
      </c>
      <c r="J788">
        <v>0.2</v>
      </c>
      <c r="K788">
        <v>0.2273</v>
      </c>
      <c r="L788">
        <v>1</v>
      </c>
      <c r="M788">
        <v>8.9599999999999999E-2</v>
      </c>
      <c r="N788">
        <v>0</v>
      </c>
      <c r="O788">
        <v>9</v>
      </c>
      <c r="P788">
        <v>9</v>
      </c>
    </row>
    <row r="789" spans="1:16" x14ac:dyDescent="0.3">
      <c r="A789">
        <v>788</v>
      </c>
      <c r="B789" s="4">
        <v>40579</v>
      </c>
      <c r="C789">
        <v>1</v>
      </c>
      <c r="D789">
        <v>0</v>
      </c>
      <c r="E789">
        <v>2</v>
      </c>
      <c r="F789">
        <v>6</v>
      </c>
      <c r="G789" t="b">
        <v>0</v>
      </c>
      <c r="H789">
        <v>6</v>
      </c>
      <c r="I789">
        <v>3</v>
      </c>
      <c r="J789">
        <v>0.2</v>
      </c>
      <c r="K789">
        <v>0.2576</v>
      </c>
      <c r="L789">
        <v>1</v>
      </c>
      <c r="M789">
        <v>0</v>
      </c>
      <c r="N789">
        <v>0</v>
      </c>
      <c r="O789">
        <v>4</v>
      </c>
      <c r="P789">
        <v>4</v>
      </c>
    </row>
    <row r="790" spans="1:16" x14ac:dyDescent="0.3">
      <c r="A790">
        <v>789</v>
      </c>
      <c r="B790" s="4">
        <v>40579</v>
      </c>
      <c r="C790">
        <v>1</v>
      </c>
      <c r="D790">
        <v>0</v>
      </c>
      <c r="E790">
        <v>2</v>
      </c>
      <c r="F790">
        <v>7</v>
      </c>
      <c r="G790" t="b">
        <v>0</v>
      </c>
      <c r="H790">
        <v>6</v>
      </c>
      <c r="I790">
        <v>3</v>
      </c>
      <c r="J790">
        <v>0.22</v>
      </c>
      <c r="K790">
        <v>0.2576</v>
      </c>
      <c r="L790">
        <v>0.93</v>
      </c>
      <c r="M790">
        <v>8.9599999999999999E-2</v>
      </c>
      <c r="N790">
        <v>0</v>
      </c>
      <c r="O790">
        <v>4</v>
      </c>
      <c r="P790">
        <v>4</v>
      </c>
    </row>
    <row r="791" spans="1:16" x14ac:dyDescent="0.3">
      <c r="A791">
        <v>790</v>
      </c>
      <c r="B791" s="4">
        <v>40579</v>
      </c>
      <c r="C791">
        <v>1</v>
      </c>
      <c r="D791">
        <v>0</v>
      </c>
      <c r="E791">
        <v>2</v>
      </c>
      <c r="F791">
        <v>8</v>
      </c>
      <c r="G791" t="b">
        <v>0</v>
      </c>
      <c r="H791">
        <v>6</v>
      </c>
      <c r="I791">
        <v>3</v>
      </c>
      <c r="J791">
        <v>0.2</v>
      </c>
      <c r="K791">
        <v>0.2273</v>
      </c>
      <c r="L791">
        <v>1</v>
      </c>
      <c r="M791">
        <v>8.9599999999999999E-2</v>
      </c>
      <c r="N791">
        <v>0</v>
      </c>
      <c r="O791">
        <v>10</v>
      </c>
      <c r="P791">
        <v>10</v>
      </c>
    </row>
    <row r="792" spans="1:16" x14ac:dyDescent="0.3">
      <c r="A792">
        <v>791</v>
      </c>
      <c r="B792" s="4">
        <v>40579</v>
      </c>
      <c r="C792">
        <v>1</v>
      </c>
      <c r="D792">
        <v>0</v>
      </c>
      <c r="E792">
        <v>2</v>
      </c>
      <c r="F792">
        <v>9</v>
      </c>
      <c r="G792" t="b">
        <v>0</v>
      </c>
      <c r="H792">
        <v>6</v>
      </c>
      <c r="I792">
        <v>3</v>
      </c>
      <c r="J792">
        <v>0.2</v>
      </c>
      <c r="K792">
        <v>0.2273</v>
      </c>
      <c r="L792">
        <v>1</v>
      </c>
      <c r="M792">
        <v>8.9599999999999999E-2</v>
      </c>
      <c r="N792">
        <v>3</v>
      </c>
      <c r="O792">
        <v>17</v>
      </c>
      <c r="P792">
        <v>20</v>
      </c>
    </row>
    <row r="793" spans="1:16" x14ac:dyDescent="0.3">
      <c r="A793">
        <v>792</v>
      </c>
      <c r="B793" s="4">
        <v>40579</v>
      </c>
      <c r="C793">
        <v>1</v>
      </c>
      <c r="D793">
        <v>0</v>
      </c>
      <c r="E793">
        <v>2</v>
      </c>
      <c r="F793">
        <v>10</v>
      </c>
      <c r="G793" t="b">
        <v>0</v>
      </c>
      <c r="H793">
        <v>6</v>
      </c>
      <c r="I793">
        <v>3</v>
      </c>
      <c r="J793">
        <v>0.2</v>
      </c>
      <c r="K793">
        <v>0.21210000000000001</v>
      </c>
      <c r="L793">
        <v>1</v>
      </c>
      <c r="M793">
        <v>0.1343</v>
      </c>
      <c r="N793">
        <v>3</v>
      </c>
      <c r="O793">
        <v>31</v>
      </c>
      <c r="P793">
        <v>34</v>
      </c>
    </row>
    <row r="794" spans="1:16" x14ac:dyDescent="0.3">
      <c r="A794">
        <v>793</v>
      </c>
      <c r="B794" s="4">
        <v>40579</v>
      </c>
      <c r="C794">
        <v>1</v>
      </c>
      <c r="D794">
        <v>0</v>
      </c>
      <c r="E794">
        <v>2</v>
      </c>
      <c r="F794">
        <v>11</v>
      </c>
      <c r="G794" t="b">
        <v>0</v>
      </c>
      <c r="H794">
        <v>6</v>
      </c>
      <c r="I794">
        <v>3</v>
      </c>
      <c r="J794">
        <v>0.22</v>
      </c>
      <c r="K794">
        <v>0.2273</v>
      </c>
      <c r="L794">
        <v>1</v>
      </c>
      <c r="M794">
        <v>0.1343</v>
      </c>
      <c r="N794">
        <v>1</v>
      </c>
      <c r="O794">
        <v>46</v>
      </c>
      <c r="P794">
        <v>47</v>
      </c>
    </row>
    <row r="795" spans="1:16" x14ac:dyDescent="0.3">
      <c r="A795">
        <v>794</v>
      </c>
      <c r="B795" s="4">
        <v>40579</v>
      </c>
      <c r="C795">
        <v>1</v>
      </c>
      <c r="D795">
        <v>0</v>
      </c>
      <c r="E795">
        <v>2</v>
      </c>
      <c r="F795">
        <v>12</v>
      </c>
      <c r="G795" t="b">
        <v>0</v>
      </c>
      <c r="H795">
        <v>6</v>
      </c>
      <c r="I795">
        <v>3</v>
      </c>
      <c r="J795">
        <v>0.22</v>
      </c>
      <c r="K795">
        <v>0.2273</v>
      </c>
      <c r="L795">
        <v>1</v>
      </c>
      <c r="M795">
        <v>0.16420000000000001</v>
      </c>
      <c r="N795">
        <v>10</v>
      </c>
      <c r="O795">
        <v>42</v>
      </c>
      <c r="P795">
        <v>52</v>
      </c>
    </row>
    <row r="796" spans="1:16" x14ac:dyDescent="0.3">
      <c r="A796">
        <v>795</v>
      </c>
      <c r="B796" s="4">
        <v>40579</v>
      </c>
      <c r="C796">
        <v>1</v>
      </c>
      <c r="D796">
        <v>0</v>
      </c>
      <c r="E796">
        <v>2</v>
      </c>
      <c r="F796">
        <v>13</v>
      </c>
      <c r="G796" t="b">
        <v>0</v>
      </c>
      <c r="H796">
        <v>6</v>
      </c>
      <c r="I796">
        <v>3</v>
      </c>
      <c r="J796">
        <v>0.22</v>
      </c>
      <c r="K796">
        <v>0.2273</v>
      </c>
      <c r="L796">
        <v>1</v>
      </c>
      <c r="M796">
        <v>0.16420000000000001</v>
      </c>
      <c r="N796">
        <v>10</v>
      </c>
      <c r="O796">
        <v>62</v>
      </c>
      <c r="P796">
        <v>72</v>
      </c>
    </row>
    <row r="797" spans="1:16" x14ac:dyDescent="0.3">
      <c r="A797">
        <v>796</v>
      </c>
      <c r="B797" s="4">
        <v>40579</v>
      </c>
      <c r="C797">
        <v>1</v>
      </c>
      <c r="D797">
        <v>0</v>
      </c>
      <c r="E797">
        <v>2</v>
      </c>
      <c r="F797">
        <v>14</v>
      </c>
      <c r="G797" t="b">
        <v>0</v>
      </c>
      <c r="H797">
        <v>6</v>
      </c>
      <c r="I797">
        <v>3</v>
      </c>
      <c r="J797">
        <v>0.22</v>
      </c>
      <c r="K797">
        <v>0.2727</v>
      </c>
      <c r="L797">
        <v>1</v>
      </c>
      <c r="M797">
        <v>0</v>
      </c>
      <c r="N797">
        <v>5</v>
      </c>
      <c r="O797">
        <v>50</v>
      </c>
      <c r="P797">
        <v>55</v>
      </c>
    </row>
    <row r="798" spans="1:16" x14ac:dyDescent="0.3">
      <c r="A798">
        <v>797</v>
      </c>
      <c r="B798" s="4">
        <v>40579</v>
      </c>
      <c r="C798">
        <v>1</v>
      </c>
      <c r="D798">
        <v>0</v>
      </c>
      <c r="E798">
        <v>2</v>
      </c>
      <c r="F798">
        <v>15</v>
      </c>
      <c r="G798" t="b">
        <v>0</v>
      </c>
      <c r="H798">
        <v>6</v>
      </c>
      <c r="I798">
        <v>3</v>
      </c>
      <c r="J798">
        <v>0.22</v>
      </c>
      <c r="K798">
        <v>0.2727</v>
      </c>
      <c r="L798">
        <v>1</v>
      </c>
      <c r="M798">
        <v>0</v>
      </c>
      <c r="N798">
        <v>11</v>
      </c>
      <c r="O798">
        <v>49</v>
      </c>
      <c r="P798">
        <v>60</v>
      </c>
    </row>
    <row r="799" spans="1:16" x14ac:dyDescent="0.3">
      <c r="A799">
        <v>798</v>
      </c>
      <c r="B799" s="4">
        <v>40579</v>
      </c>
      <c r="C799">
        <v>1</v>
      </c>
      <c r="D799">
        <v>0</v>
      </c>
      <c r="E799">
        <v>2</v>
      </c>
      <c r="F799">
        <v>16</v>
      </c>
      <c r="G799" t="b">
        <v>0</v>
      </c>
      <c r="H799">
        <v>6</v>
      </c>
      <c r="I799">
        <v>3</v>
      </c>
      <c r="J799">
        <v>0.22</v>
      </c>
      <c r="K799">
        <v>0.2273</v>
      </c>
      <c r="L799">
        <v>1</v>
      </c>
      <c r="M799">
        <v>0.1343</v>
      </c>
      <c r="N799">
        <v>8</v>
      </c>
      <c r="O799">
        <v>63</v>
      </c>
      <c r="P799">
        <v>71</v>
      </c>
    </row>
    <row r="800" spans="1:16" x14ac:dyDescent="0.3">
      <c r="A800">
        <v>799</v>
      </c>
      <c r="B800" s="4">
        <v>40579</v>
      </c>
      <c r="C800">
        <v>1</v>
      </c>
      <c r="D800">
        <v>0</v>
      </c>
      <c r="E800">
        <v>2</v>
      </c>
      <c r="F800">
        <v>17</v>
      </c>
      <c r="G800" t="b">
        <v>0</v>
      </c>
      <c r="H800">
        <v>6</v>
      </c>
      <c r="I800">
        <v>2</v>
      </c>
      <c r="J800">
        <v>0.24</v>
      </c>
      <c r="K800">
        <v>0.21210000000000001</v>
      </c>
      <c r="L800">
        <v>1</v>
      </c>
      <c r="M800">
        <v>0.28360000000000002</v>
      </c>
      <c r="N800">
        <v>14</v>
      </c>
      <c r="O800">
        <v>64</v>
      </c>
      <c r="P800">
        <v>78</v>
      </c>
    </row>
    <row r="801" spans="1:16" x14ac:dyDescent="0.3">
      <c r="A801">
        <v>800</v>
      </c>
      <c r="B801" s="4">
        <v>40579</v>
      </c>
      <c r="C801">
        <v>1</v>
      </c>
      <c r="D801">
        <v>0</v>
      </c>
      <c r="E801">
        <v>2</v>
      </c>
      <c r="F801">
        <v>18</v>
      </c>
      <c r="G801" t="b">
        <v>0</v>
      </c>
      <c r="H801">
        <v>6</v>
      </c>
      <c r="I801">
        <v>2</v>
      </c>
      <c r="J801">
        <v>0.28000000000000003</v>
      </c>
      <c r="K801">
        <v>0.2424</v>
      </c>
      <c r="L801">
        <v>0.93</v>
      </c>
      <c r="M801">
        <v>0.44779999999999998</v>
      </c>
      <c r="N801">
        <v>2</v>
      </c>
      <c r="O801">
        <v>81</v>
      </c>
      <c r="P801">
        <v>83</v>
      </c>
    </row>
    <row r="802" spans="1:16" x14ac:dyDescent="0.3">
      <c r="A802">
        <v>801</v>
      </c>
      <c r="B802" s="4">
        <v>40579</v>
      </c>
      <c r="C802">
        <v>1</v>
      </c>
      <c r="D802">
        <v>0</v>
      </c>
      <c r="E802">
        <v>2</v>
      </c>
      <c r="F802">
        <v>19</v>
      </c>
      <c r="G802" t="b">
        <v>0</v>
      </c>
      <c r="H802">
        <v>6</v>
      </c>
      <c r="I802">
        <v>2</v>
      </c>
      <c r="J802">
        <v>0.28000000000000003</v>
      </c>
      <c r="K802">
        <v>0.2424</v>
      </c>
      <c r="L802">
        <v>0.93</v>
      </c>
      <c r="M802">
        <v>0.44779999999999998</v>
      </c>
      <c r="N802">
        <v>6</v>
      </c>
      <c r="O802">
        <v>78</v>
      </c>
      <c r="P802">
        <v>84</v>
      </c>
    </row>
    <row r="803" spans="1:16" x14ac:dyDescent="0.3">
      <c r="A803">
        <v>802</v>
      </c>
      <c r="B803" s="4">
        <v>40579</v>
      </c>
      <c r="C803">
        <v>1</v>
      </c>
      <c r="D803">
        <v>0</v>
      </c>
      <c r="E803">
        <v>2</v>
      </c>
      <c r="F803">
        <v>20</v>
      </c>
      <c r="G803" t="b">
        <v>0</v>
      </c>
      <c r="H803">
        <v>6</v>
      </c>
      <c r="I803">
        <v>1</v>
      </c>
      <c r="J803">
        <v>0.3</v>
      </c>
      <c r="K803">
        <v>0.28789999999999999</v>
      </c>
      <c r="L803">
        <v>0.87</v>
      </c>
      <c r="M803">
        <v>0.25369999999999998</v>
      </c>
      <c r="N803">
        <v>5</v>
      </c>
      <c r="O803">
        <v>64</v>
      </c>
      <c r="P803">
        <v>69</v>
      </c>
    </row>
    <row r="804" spans="1:16" x14ac:dyDescent="0.3">
      <c r="A804">
        <v>803</v>
      </c>
      <c r="B804" s="4">
        <v>40579</v>
      </c>
      <c r="C804">
        <v>1</v>
      </c>
      <c r="D804">
        <v>0</v>
      </c>
      <c r="E804">
        <v>2</v>
      </c>
      <c r="F804">
        <v>21</v>
      </c>
      <c r="G804" t="b">
        <v>0</v>
      </c>
      <c r="H804">
        <v>6</v>
      </c>
      <c r="I804">
        <v>1</v>
      </c>
      <c r="J804">
        <v>0.26</v>
      </c>
      <c r="K804">
        <v>0.2576</v>
      </c>
      <c r="L804">
        <v>1</v>
      </c>
      <c r="M804">
        <v>0.19400000000000001</v>
      </c>
      <c r="N804">
        <v>3</v>
      </c>
      <c r="O804">
        <v>53</v>
      </c>
      <c r="P804">
        <v>56</v>
      </c>
    </row>
    <row r="805" spans="1:16" x14ac:dyDescent="0.3">
      <c r="A805">
        <v>804</v>
      </c>
      <c r="B805" s="4">
        <v>40579</v>
      </c>
      <c r="C805">
        <v>1</v>
      </c>
      <c r="D805">
        <v>0</v>
      </c>
      <c r="E805">
        <v>2</v>
      </c>
      <c r="F805">
        <v>22</v>
      </c>
      <c r="G805" t="b">
        <v>0</v>
      </c>
      <c r="H805">
        <v>6</v>
      </c>
      <c r="I805">
        <v>1</v>
      </c>
      <c r="J805">
        <v>0.26</v>
      </c>
      <c r="K805">
        <v>0.2727</v>
      </c>
      <c r="L805">
        <v>0.93</v>
      </c>
      <c r="M805">
        <v>0.1343</v>
      </c>
      <c r="N805">
        <v>2</v>
      </c>
      <c r="O805">
        <v>43</v>
      </c>
      <c r="P805">
        <v>45</v>
      </c>
    </row>
    <row r="806" spans="1:16" x14ac:dyDescent="0.3">
      <c r="A806">
        <v>805</v>
      </c>
      <c r="B806" s="4">
        <v>40579</v>
      </c>
      <c r="C806">
        <v>1</v>
      </c>
      <c r="D806">
        <v>0</v>
      </c>
      <c r="E806">
        <v>2</v>
      </c>
      <c r="F806">
        <v>23</v>
      </c>
      <c r="G806" t="b">
        <v>0</v>
      </c>
      <c r="H806">
        <v>6</v>
      </c>
      <c r="I806">
        <v>1</v>
      </c>
      <c r="J806">
        <v>0.26</v>
      </c>
      <c r="K806">
        <v>0.2576</v>
      </c>
      <c r="L806">
        <v>0.93</v>
      </c>
      <c r="M806">
        <v>0.22389999999999999</v>
      </c>
      <c r="N806">
        <v>7</v>
      </c>
      <c r="O806">
        <v>52</v>
      </c>
      <c r="P806">
        <v>59</v>
      </c>
    </row>
    <row r="807" spans="1:16" x14ac:dyDescent="0.3">
      <c r="A807">
        <v>806</v>
      </c>
      <c r="B807" s="4">
        <v>40580</v>
      </c>
      <c r="C807">
        <v>1</v>
      </c>
      <c r="D807">
        <v>0</v>
      </c>
      <c r="E807">
        <v>2</v>
      </c>
      <c r="F807">
        <v>0</v>
      </c>
      <c r="G807" t="b">
        <v>0</v>
      </c>
      <c r="H807">
        <v>0</v>
      </c>
      <c r="I807">
        <v>1</v>
      </c>
      <c r="J807">
        <v>0.26</v>
      </c>
      <c r="K807">
        <v>0.2576</v>
      </c>
      <c r="L807">
        <v>0.7</v>
      </c>
      <c r="M807">
        <v>0.19400000000000001</v>
      </c>
      <c r="N807">
        <v>2</v>
      </c>
      <c r="O807">
        <v>37</v>
      </c>
      <c r="P807">
        <v>39</v>
      </c>
    </row>
    <row r="808" spans="1:16" x14ac:dyDescent="0.3">
      <c r="A808">
        <v>807</v>
      </c>
      <c r="B808" s="4">
        <v>40580</v>
      </c>
      <c r="C808">
        <v>1</v>
      </c>
      <c r="D808">
        <v>0</v>
      </c>
      <c r="E808">
        <v>2</v>
      </c>
      <c r="F808">
        <v>1</v>
      </c>
      <c r="G808" t="b">
        <v>0</v>
      </c>
      <c r="H808">
        <v>0</v>
      </c>
      <c r="I808">
        <v>1</v>
      </c>
      <c r="J808">
        <v>0.26</v>
      </c>
      <c r="K808">
        <v>0.2273</v>
      </c>
      <c r="L808">
        <v>0.65</v>
      </c>
      <c r="M808">
        <v>0.41789999999999999</v>
      </c>
      <c r="N808">
        <v>4</v>
      </c>
      <c r="O808">
        <v>40</v>
      </c>
      <c r="P808">
        <v>44</v>
      </c>
    </row>
    <row r="809" spans="1:16" x14ac:dyDescent="0.3">
      <c r="A809">
        <v>808</v>
      </c>
      <c r="B809" s="4">
        <v>40580</v>
      </c>
      <c r="C809">
        <v>1</v>
      </c>
      <c r="D809">
        <v>0</v>
      </c>
      <c r="E809">
        <v>2</v>
      </c>
      <c r="F809">
        <v>2</v>
      </c>
      <c r="G809" t="b">
        <v>0</v>
      </c>
      <c r="H809">
        <v>0</v>
      </c>
      <c r="I809">
        <v>1</v>
      </c>
      <c r="J809">
        <v>0.26</v>
      </c>
      <c r="K809">
        <v>0.2273</v>
      </c>
      <c r="L809">
        <v>0.6</v>
      </c>
      <c r="M809">
        <v>0.32840000000000003</v>
      </c>
      <c r="N809">
        <v>0</v>
      </c>
      <c r="O809">
        <v>20</v>
      </c>
      <c r="P809">
        <v>20</v>
      </c>
    </row>
    <row r="810" spans="1:16" x14ac:dyDescent="0.3">
      <c r="A810">
        <v>809</v>
      </c>
      <c r="B810" s="4">
        <v>40580</v>
      </c>
      <c r="C810">
        <v>1</v>
      </c>
      <c r="D810">
        <v>0</v>
      </c>
      <c r="E810">
        <v>2</v>
      </c>
      <c r="F810">
        <v>3</v>
      </c>
      <c r="G810" t="b">
        <v>0</v>
      </c>
      <c r="H810">
        <v>0</v>
      </c>
      <c r="I810">
        <v>1</v>
      </c>
      <c r="J810">
        <v>0.26</v>
      </c>
      <c r="K810">
        <v>0.28789999999999999</v>
      </c>
      <c r="L810">
        <v>0.6</v>
      </c>
      <c r="M810">
        <v>8.9599999999999999E-2</v>
      </c>
      <c r="N810">
        <v>3</v>
      </c>
      <c r="O810">
        <v>10</v>
      </c>
      <c r="P810">
        <v>13</v>
      </c>
    </row>
    <row r="811" spans="1:16" x14ac:dyDescent="0.3">
      <c r="A811">
        <v>810</v>
      </c>
      <c r="B811" s="4">
        <v>40580</v>
      </c>
      <c r="C811">
        <v>1</v>
      </c>
      <c r="D811">
        <v>0</v>
      </c>
      <c r="E811">
        <v>2</v>
      </c>
      <c r="F811">
        <v>4</v>
      </c>
      <c r="G811" t="b">
        <v>0</v>
      </c>
      <c r="H811">
        <v>0</v>
      </c>
      <c r="I811">
        <v>1</v>
      </c>
      <c r="J811">
        <v>0.26</v>
      </c>
      <c r="K811">
        <v>0.2273</v>
      </c>
      <c r="L811">
        <v>0.6</v>
      </c>
      <c r="M811">
        <v>0.35820000000000002</v>
      </c>
      <c r="N811">
        <v>0</v>
      </c>
      <c r="O811">
        <v>2</v>
      </c>
      <c r="P811">
        <v>2</v>
      </c>
    </row>
    <row r="812" spans="1:16" x14ac:dyDescent="0.3">
      <c r="A812">
        <v>811</v>
      </c>
      <c r="B812" s="4">
        <v>40580</v>
      </c>
      <c r="C812">
        <v>1</v>
      </c>
      <c r="D812">
        <v>0</v>
      </c>
      <c r="E812">
        <v>2</v>
      </c>
      <c r="F812">
        <v>5</v>
      </c>
      <c r="G812" t="b">
        <v>0</v>
      </c>
      <c r="H812">
        <v>0</v>
      </c>
      <c r="I812">
        <v>1</v>
      </c>
      <c r="J812">
        <v>0.26</v>
      </c>
      <c r="K812">
        <v>0.2576</v>
      </c>
      <c r="L812">
        <v>0.6</v>
      </c>
      <c r="M812">
        <v>0.22389999999999999</v>
      </c>
      <c r="N812">
        <v>0</v>
      </c>
      <c r="O812">
        <v>1</v>
      </c>
      <c r="P812">
        <v>1</v>
      </c>
    </row>
    <row r="813" spans="1:16" x14ac:dyDescent="0.3">
      <c r="A813">
        <v>812</v>
      </c>
      <c r="B813" s="4">
        <v>40580</v>
      </c>
      <c r="C813">
        <v>1</v>
      </c>
      <c r="D813">
        <v>0</v>
      </c>
      <c r="E813">
        <v>2</v>
      </c>
      <c r="F813">
        <v>6</v>
      </c>
      <c r="G813" t="b">
        <v>0</v>
      </c>
      <c r="H813">
        <v>0</v>
      </c>
      <c r="I813">
        <v>1</v>
      </c>
      <c r="J813">
        <v>0.26</v>
      </c>
      <c r="K813">
        <v>0.2576</v>
      </c>
      <c r="L813">
        <v>0.6</v>
      </c>
      <c r="M813">
        <v>0.22389999999999999</v>
      </c>
      <c r="N813">
        <v>0</v>
      </c>
      <c r="O813">
        <v>1</v>
      </c>
      <c r="P813">
        <v>1</v>
      </c>
    </row>
    <row r="814" spans="1:16" x14ac:dyDescent="0.3">
      <c r="A814">
        <v>813</v>
      </c>
      <c r="B814" s="4">
        <v>40580</v>
      </c>
      <c r="C814">
        <v>1</v>
      </c>
      <c r="D814">
        <v>0</v>
      </c>
      <c r="E814">
        <v>2</v>
      </c>
      <c r="F814">
        <v>7</v>
      </c>
      <c r="G814" t="b">
        <v>0</v>
      </c>
      <c r="H814">
        <v>0</v>
      </c>
      <c r="I814">
        <v>1</v>
      </c>
      <c r="J814">
        <v>0.24</v>
      </c>
      <c r="K814">
        <v>0.2424</v>
      </c>
      <c r="L814">
        <v>0.65</v>
      </c>
      <c r="M814">
        <v>0.16420000000000001</v>
      </c>
      <c r="N814">
        <v>0</v>
      </c>
      <c r="O814">
        <v>8</v>
      </c>
      <c r="P814">
        <v>8</v>
      </c>
    </row>
    <row r="815" spans="1:16" x14ac:dyDescent="0.3">
      <c r="A815">
        <v>814</v>
      </c>
      <c r="B815" s="4">
        <v>40580</v>
      </c>
      <c r="C815">
        <v>1</v>
      </c>
      <c r="D815">
        <v>0</v>
      </c>
      <c r="E815">
        <v>2</v>
      </c>
      <c r="F815">
        <v>8</v>
      </c>
      <c r="G815" t="b">
        <v>0</v>
      </c>
      <c r="H815">
        <v>0</v>
      </c>
      <c r="I815">
        <v>1</v>
      </c>
      <c r="J815">
        <v>0.24</v>
      </c>
      <c r="K815">
        <v>0.2576</v>
      </c>
      <c r="L815">
        <v>0.65</v>
      </c>
      <c r="M815">
        <v>0.1045</v>
      </c>
      <c r="N815">
        <v>2</v>
      </c>
      <c r="O815">
        <v>21</v>
      </c>
      <c r="P815">
        <v>23</v>
      </c>
    </row>
    <row r="816" spans="1:16" x14ac:dyDescent="0.3">
      <c r="A816">
        <v>815</v>
      </c>
      <c r="B816" s="4">
        <v>40580</v>
      </c>
      <c r="C816">
        <v>1</v>
      </c>
      <c r="D816">
        <v>0</v>
      </c>
      <c r="E816">
        <v>2</v>
      </c>
      <c r="F816">
        <v>9</v>
      </c>
      <c r="G816" t="b">
        <v>0</v>
      </c>
      <c r="H816">
        <v>0</v>
      </c>
      <c r="I816">
        <v>1</v>
      </c>
      <c r="J816">
        <v>0.28000000000000003</v>
      </c>
      <c r="K816">
        <v>0.28789999999999999</v>
      </c>
      <c r="L816">
        <v>0.56000000000000005</v>
      </c>
      <c r="M816">
        <v>0.1045</v>
      </c>
      <c r="N816">
        <v>7</v>
      </c>
      <c r="O816">
        <v>38</v>
      </c>
      <c r="P816">
        <v>45</v>
      </c>
    </row>
    <row r="817" spans="1:16" x14ac:dyDescent="0.3">
      <c r="A817">
        <v>816</v>
      </c>
      <c r="B817" s="4">
        <v>40580</v>
      </c>
      <c r="C817">
        <v>1</v>
      </c>
      <c r="D817">
        <v>0</v>
      </c>
      <c r="E817">
        <v>2</v>
      </c>
      <c r="F817">
        <v>10</v>
      </c>
      <c r="G817" t="b">
        <v>0</v>
      </c>
      <c r="H817">
        <v>0</v>
      </c>
      <c r="I817">
        <v>1</v>
      </c>
      <c r="J817">
        <v>0.3</v>
      </c>
      <c r="K817">
        <v>0.28789999999999999</v>
      </c>
      <c r="L817">
        <v>0.52</v>
      </c>
      <c r="M817">
        <v>0.25369999999999998</v>
      </c>
      <c r="N817">
        <v>15</v>
      </c>
      <c r="O817">
        <v>74</v>
      </c>
      <c r="P817">
        <v>89</v>
      </c>
    </row>
    <row r="818" spans="1:16" x14ac:dyDescent="0.3">
      <c r="A818">
        <v>817</v>
      </c>
      <c r="B818" s="4">
        <v>40580</v>
      </c>
      <c r="C818">
        <v>1</v>
      </c>
      <c r="D818">
        <v>0</v>
      </c>
      <c r="E818">
        <v>2</v>
      </c>
      <c r="F818">
        <v>11</v>
      </c>
      <c r="G818" t="b">
        <v>0</v>
      </c>
      <c r="H818">
        <v>0</v>
      </c>
      <c r="I818">
        <v>1</v>
      </c>
      <c r="J818">
        <v>0.32</v>
      </c>
      <c r="K818">
        <v>0.30299999999999999</v>
      </c>
      <c r="L818">
        <v>0.49</v>
      </c>
      <c r="M818">
        <v>0.25369999999999998</v>
      </c>
      <c r="N818">
        <v>28</v>
      </c>
      <c r="O818">
        <v>89</v>
      </c>
      <c r="P818">
        <v>117</v>
      </c>
    </row>
    <row r="819" spans="1:16" x14ac:dyDescent="0.3">
      <c r="A819">
        <v>818</v>
      </c>
      <c r="B819" s="4">
        <v>40580</v>
      </c>
      <c r="C819">
        <v>1</v>
      </c>
      <c r="D819">
        <v>0</v>
      </c>
      <c r="E819">
        <v>2</v>
      </c>
      <c r="F819">
        <v>12</v>
      </c>
      <c r="G819" t="b">
        <v>0</v>
      </c>
      <c r="H819">
        <v>0</v>
      </c>
      <c r="I819">
        <v>1</v>
      </c>
      <c r="J819">
        <v>0.34</v>
      </c>
      <c r="K819">
        <v>0.33329999999999999</v>
      </c>
      <c r="L819">
        <v>0.46</v>
      </c>
      <c r="M819">
        <v>0</v>
      </c>
      <c r="N819">
        <v>48</v>
      </c>
      <c r="O819">
        <v>126</v>
      </c>
      <c r="P819">
        <v>174</v>
      </c>
    </row>
    <row r="820" spans="1:16" x14ac:dyDescent="0.3">
      <c r="A820">
        <v>819</v>
      </c>
      <c r="B820" s="4">
        <v>40580</v>
      </c>
      <c r="C820">
        <v>1</v>
      </c>
      <c r="D820">
        <v>0</v>
      </c>
      <c r="E820">
        <v>2</v>
      </c>
      <c r="F820">
        <v>13</v>
      </c>
      <c r="G820" t="b">
        <v>0</v>
      </c>
      <c r="H820">
        <v>0</v>
      </c>
      <c r="I820">
        <v>1</v>
      </c>
      <c r="J820">
        <v>0.34</v>
      </c>
      <c r="K820">
        <v>0.36359999999999998</v>
      </c>
      <c r="L820">
        <v>0.46</v>
      </c>
      <c r="M820">
        <v>0</v>
      </c>
      <c r="N820">
        <v>47</v>
      </c>
      <c r="O820">
        <v>135</v>
      </c>
      <c r="P820">
        <v>182</v>
      </c>
    </row>
    <row r="821" spans="1:16" x14ac:dyDescent="0.3">
      <c r="A821">
        <v>820</v>
      </c>
      <c r="B821" s="4">
        <v>40580</v>
      </c>
      <c r="C821">
        <v>1</v>
      </c>
      <c r="D821">
        <v>0</v>
      </c>
      <c r="E821">
        <v>2</v>
      </c>
      <c r="F821">
        <v>14</v>
      </c>
      <c r="G821" t="b">
        <v>0</v>
      </c>
      <c r="H821">
        <v>0</v>
      </c>
      <c r="I821">
        <v>1</v>
      </c>
      <c r="J821">
        <v>0.34</v>
      </c>
      <c r="K821">
        <v>0.34849999999999998</v>
      </c>
      <c r="L821">
        <v>0.46</v>
      </c>
      <c r="M821">
        <v>8.9599999999999999E-2</v>
      </c>
      <c r="N821">
        <v>47</v>
      </c>
      <c r="O821">
        <v>114</v>
      </c>
      <c r="P821">
        <v>161</v>
      </c>
    </row>
    <row r="822" spans="1:16" x14ac:dyDescent="0.3">
      <c r="A822">
        <v>821</v>
      </c>
      <c r="B822" s="4">
        <v>40580</v>
      </c>
      <c r="C822">
        <v>1</v>
      </c>
      <c r="D822">
        <v>0</v>
      </c>
      <c r="E822">
        <v>2</v>
      </c>
      <c r="F822">
        <v>15</v>
      </c>
      <c r="G822" t="b">
        <v>0</v>
      </c>
      <c r="H822">
        <v>0</v>
      </c>
      <c r="I822">
        <v>1</v>
      </c>
      <c r="J822">
        <v>0.34</v>
      </c>
      <c r="K822">
        <v>0.34849999999999998</v>
      </c>
      <c r="L822">
        <v>0.46</v>
      </c>
      <c r="M822">
        <v>8.9599999999999999E-2</v>
      </c>
      <c r="N822">
        <v>52</v>
      </c>
      <c r="O822">
        <v>130</v>
      </c>
      <c r="P822">
        <v>182</v>
      </c>
    </row>
    <row r="823" spans="1:16" x14ac:dyDescent="0.3">
      <c r="A823">
        <v>822</v>
      </c>
      <c r="B823" s="4">
        <v>40580</v>
      </c>
      <c r="C823">
        <v>1</v>
      </c>
      <c r="D823">
        <v>0</v>
      </c>
      <c r="E823">
        <v>2</v>
      </c>
      <c r="F823">
        <v>16</v>
      </c>
      <c r="G823" t="b">
        <v>0</v>
      </c>
      <c r="H823">
        <v>0</v>
      </c>
      <c r="I823">
        <v>1</v>
      </c>
      <c r="J823">
        <v>0.34</v>
      </c>
      <c r="K823">
        <v>0.34849999999999998</v>
      </c>
      <c r="L823">
        <v>0.49</v>
      </c>
      <c r="M823">
        <v>0.1045</v>
      </c>
      <c r="N823">
        <v>42</v>
      </c>
      <c r="O823">
        <v>115</v>
      </c>
      <c r="P823">
        <v>157</v>
      </c>
    </row>
    <row r="824" spans="1:16" x14ac:dyDescent="0.3">
      <c r="A824">
        <v>823</v>
      </c>
      <c r="B824" s="4">
        <v>40580</v>
      </c>
      <c r="C824">
        <v>1</v>
      </c>
      <c r="D824">
        <v>0</v>
      </c>
      <c r="E824">
        <v>2</v>
      </c>
      <c r="F824">
        <v>17</v>
      </c>
      <c r="G824" t="b">
        <v>0</v>
      </c>
      <c r="H824">
        <v>0</v>
      </c>
      <c r="I824">
        <v>1</v>
      </c>
      <c r="J824">
        <v>0.34</v>
      </c>
      <c r="K824">
        <v>0.36359999999999998</v>
      </c>
      <c r="L824">
        <v>0.46</v>
      </c>
      <c r="M824">
        <v>0</v>
      </c>
      <c r="N824">
        <v>24</v>
      </c>
      <c r="O824">
        <v>97</v>
      </c>
      <c r="P824">
        <v>121</v>
      </c>
    </row>
    <row r="825" spans="1:16" x14ac:dyDescent="0.3">
      <c r="A825">
        <v>824</v>
      </c>
      <c r="B825" s="4">
        <v>40580</v>
      </c>
      <c r="C825">
        <v>1</v>
      </c>
      <c r="D825">
        <v>0</v>
      </c>
      <c r="E825">
        <v>2</v>
      </c>
      <c r="F825">
        <v>18</v>
      </c>
      <c r="G825" t="b">
        <v>0</v>
      </c>
      <c r="H825">
        <v>0</v>
      </c>
      <c r="I825">
        <v>1</v>
      </c>
      <c r="J825">
        <v>0.3</v>
      </c>
      <c r="K825">
        <v>0.30299999999999999</v>
      </c>
      <c r="L825">
        <v>0.56000000000000005</v>
      </c>
      <c r="M825">
        <v>0.16420000000000001</v>
      </c>
      <c r="N825">
        <v>13</v>
      </c>
      <c r="O825">
        <v>65</v>
      </c>
      <c r="P825">
        <v>78</v>
      </c>
    </row>
    <row r="826" spans="1:16" x14ac:dyDescent="0.3">
      <c r="A826">
        <v>825</v>
      </c>
      <c r="B826" s="4">
        <v>40580</v>
      </c>
      <c r="C826">
        <v>1</v>
      </c>
      <c r="D826">
        <v>0</v>
      </c>
      <c r="E826">
        <v>2</v>
      </c>
      <c r="F826">
        <v>19</v>
      </c>
      <c r="G826" t="b">
        <v>0</v>
      </c>
      <c r="H826">
        <v>0</v>
      </c>
      <c r="I826">
        <v>1</v>
      </c>
      <c r="J826">
        <v>0.28000000000000003</v>
      </c>
      <c r="K826">
        <v>0.28789999999999999</v>
      </c>
      <c r="L826">
        <v>0.61</v>
      </c>
      <c r="M826">
        <v>0.1343</v>
      </c>
      <c r="N826">
        <v>1</v>
      </c>
      <c r="O826">
        <v>20</v>
      </c>
      <c r="P826">
        <v>21</v>
      </c>
    </row>
    <row r="827" spans="1:16" x14ac:dyDescent="0.3">
      <c r="A827">
        <v>826</v>
      </c>
      <c r="B827" s="4">
        <v>40580</v>
      </c>
      <c r="C827">
        <v>1</v>
      </c>
      <c r="D827">
        <v>0</v>
      </c>
      <c r="E827">
        <v>2</v>
      </c>
      <c r="F827">
        <v>20</v>
      </c>
      <c r="G827" t="b">
        <v>0</v>
      </c>
      <c r="H827">
        <v>0</v>
      </c>
      <c r="I827">
        <v>1</v>
      </c>
      <c r="J827">
        <v>0.28000000000000003</v>
      </c>
      <c r="K827">
        <v>0.28789999999999999</v>
      </c>
      <c r="L827">
        <v>0.61</v>
      </c>
      <c r="M827">
        <v>0.1045</v>
      </c>
      <c r="N827">
        <v>5</v>
      </c>
      <c r="O827">
        <v>21</v>
      </c>
      <c r="P827">
        <v>26</v>
      </c>
    </row>
    <row r="828" spans="1:16" x14ac:dyDescent="0.3">
      <c r="A828">
        <v>827</v>
      </c>
      <c r="B828" s="4">
        <v>40580</v>
      </c>
      <c r="C828">
        <v>1</v>
      </c>
      <c r="D828">
        <v>0</v>
      </c>
      <c r="E828">
        <v>2</v>
      </c>
      <c r="F828">
        <v>21</v>
      </c>
      <c r="G828" t="b">
        <v>0</v>
      </c>
      <c r="H828">
        <v>0</v>
      </c>
      <c r="I828">
        <v>1</v>
      </c>
      <c r="J828">
        <v>0.26</v>
      </c>
      <c r="K828">
        <v>0.30299999999999999</v>
      </c>
      <c r="L828">
        <v>0.6</v>
      </c>
      <c r="M828">
        <v>0</v>
      </c>
      <c r="N828">
        <v>5</v>
      </c>
      <c r="O828">
        <v>22</v>
      </c>
      <c r="P828">
        <v>27</v>
      </c>
    </row>
    <row r="829" spans="1:16" x14ac:dyDescent="0.3">
      <c r="A829">
        <v>828</v>
      </c>
      <c r="B829" s="4">
        <v>40580</v>
      </c>
      <c r="C829">
        <v>1</v>
      </c>
      <c r="D829">
        <v>0</v>
      </c>
      <c r="E829">
        <v>2</v>
      </c>
      <c r="F829">
        <v>22</v>
      </c>
      <c r="G829" t="b">
        <v>0</v>
      </c>
      <c r="H829">
        <v>0</v>
      </c>
      <c r="I829">
        <v>1</v>
      </c>
      <c r="J829">
        <v>0.26</v>
      </c>
      <c r="K829">
        <v>0.30299999999999999</v>
      </c>
      <c r="L829">
        <v>0.6</v>
      </c>
      <c r="M829">
        <v>0</v>
      </c>
      <c r="N829">
        <v>5</v>
      </c>
      <c r="O829">
        <v>57</v>
      </c>
      <c r="P829">
        <v>62</v>
      </c>
    </row>
    <row r="830" spans="1:16" x14ac:dyDescent="0.3">
      <c r="A830">
        <v>829</v>
      </c>
      <c r="B830" s="4">
        <v>40580</v>
      </c>
      <c r="C830">
        <v>1</v>
      </c>
      <c r="D830">
        <v>0</v>
      </c>
      <c r="E830">
        <v>2</v>
      </c>
      <c r="F830">
        <v>23</v>
      </c>
      <c r="G830" t="b">
        <v>0</v>
      </c>
      <c r="H830">
        <v>0</v>
      </c>
      <c r="I830">
        <v>1</v>
      </c>
      <c r="J830">
        <v>0.24</v>
      </c>
      <c r="K830">
        <v>0.28789999999999999</v>
      </c>
      <c r="L830">
        <v>0.65</v>
      </c>
      <c r="M830">
        <v>0</v>
      </c>
      <c r="N830">
        <v>4</v>
      </c>
      <c r="O830">
        <v>26</v>
      </c>
      <c r="P830">
        <v>30</v>
      </c>
    </row>
    <row r="831" spans="1:16" x14ac:dyDescent="0.3">
      <c r="A831">
        <v>830</v>
      </c>
      <c r="B831" s="4">
        <v>40581</v>
      </c>
      <c r="C831">
        <v>1</v>
      </c>
      <c r="D831">
        <v>0</v>
      </c>
      <c r="E831">
        <v>2</v>
      </c>
      <c r="F831">
        <v>0</v>
      </c>
      <c r="G831" t="b">
        <v>0</v>
      </c>
      <c r="H831">
        <v>1</v>
      </c>
      <c r="I831">
        <v>1</v>
      </c>
      <c r="J831">
        <v>0.24</v>
      </c>
      <c r="K831">
        <v>0.28789999999999999</v>
      </c>
      <c r="L831">
        <v>0.65</v>
      </c>
      <c r="M831">
        <v>0</v>
      </c>
      <c r="N831">
        <v>1</v>
      </c>
      <c r="O831">
        <v>14</v>
      </c>
      <c r="P831">
        <v>15</v>
      </c>
    </row>
    <row r="832" spans="1:16" x14ac:dyDescent="0.3">
      <c r="A832">
        <v>831</v>
      </c>
      <c r="B832" s="4">
        <v>40581</v>
      </c>
      <c r="C832">
        <v>1</v>
      </c>
      <c r="D832">
        <v>0</v>
      </c>
      <c r="E832">
        <v>2</v>
      </c>
      <c r="F832">
        <v>1</v>
      </c>
      <c r="G832" t="b">
        <v>0</v>
      </c>
      <c r="H832">
        <v>1</v>
      </c>
      <c r="I832">
        <v>1</v>
      </c>
      <c r="J832">
        <v>0.22</v>
      </c>
      <c r="K832">
        <v>0.2727</v>
      </c>
      <c r="L832">
        <v>0.75</v>
      </c>
      <c r="M832">
        <v>0</v>
      </c>
      <c r="N832">
        <v>1</v>
      </c>
      <c r="O832">
        <v>4</v>
      </c>
      <c r="P832">
        <v>5</v>
      </c>
    </row>
    <row r="833" spans="1:16" x14ac:dyDescent="0.3">
      <c r="A833">
        <v>832</v>
      </c>
      <c r="B833" s="4">
        <v>40581</v>
      </c>
      <c r="C833">
        <v>1</v>
      </c>
      <c r="D833">
        <v>0</v>
      </c>
      <c r="E833">
        <v>2</v>
      </c>
      <c r="F833">
        <v>2</v>
      </c>
      <c r="G833" t="b">
        <v>0</v>
      </c>
      <c r="H833">
        <v>1</v>
      </c>
      <c r="I833">
        <v>1</v>
      </c>
      <c r="J833">
        <v>0.2</v>
      </c>
      <c r="K833">
        <v>0.2576</v>
      </c>
      <c r="L833">
        <v>0.8</v>
      </c>
      <c r="M833">
        <v>0</v>
      </c>
      <c r="N833">
        <v>0</v>
      </c>
      <c r="O833">
        <v>3</v>
      </c>
      <c r="P833">
        <v>3</v>
      </c>
    </row>
    <row r="834" spans="1:16" x14ac:dyDescent="0.3">
      <c r="A834">
        <v>833</v>
      </c>
      <c r="B834" s="4">
        <v>40581</v>
      </c>
      <c r="C834">
        <v>1</v>
      </c>
      <c r="D834">
        <v>0</v>
      </c>
      <c r="E834">
        <v>2</v>
      </c>
      <c r="F834">
        <v>3</v>
      </c>
      <c r="G834" t="b">
        <v>0</v>
      </c>
      <c r="H834">
        <v>1</v>
      </c>
      <c r="I834">
        <v>1</v>
      </c>
      <c r="J834">
        <v>0.2</v>
      </c>
      <c r="K834">
        <v>0.2576</v>
      </c>
      <c r="L834">
        <v>0.86</v>
      </c>
      <c r="M834">
        <v>0</v>
      </c>
      <c r="N834">
        <v>0</v>
      </c>
      <c r="O834">
        <v>1</v>
      </c>
      <c r="P834">
        <v>1</v>
      </c>
    </row>
    <row r="835" spans="1:16" x14ac:dyDescent="0.3">
      <c r="A835">
        <v>834</v>
      </c>
      <c r="B835" s="4">
        <v>40581</v>
      </c>
      <c r="C835">
        <v>1</v>
      </c>
      <c r="D835">
        <v>0</v>
      </c>
      <c r="E835">
        <v>2</v>
      </c>
      <c r="F835">
        <v>4</v>
      </c>
      <c r="G835" t="b">
        <v>0</v>
      </c>
      <c r="H835">
        <v>1</v>
      </c>
      <c r="I835">
        <v>1</v>
      </c>
      <c r="J835">
        <v>0.2</v>
      </c>
      <c r="K835">
        <v>0.2576</v>
      </c>
      <c r="L835">
        <v>0.86</v>
      </c>
      <c r="M835">
        <v>0</v>
      </c>
      <c r="N835">
        <v>1</v>
      </c>
      <c r="O835">
        <v>1</v>
      </c>
      <c r="P835">
        <v>2</v>
      </c>
    </row>
    <row r="836" spans="1:16" x14ac:dyDescent="0.3">
      <c r="A836">
        <v>835</v>
      </c>
      <c r="B836" s="4">
        <v>40581</v>
      </c>
      <c r="C836">
        <v>1</v>
      </c>
      <c r="D836">
        <v>0</v>
      </c>
      <c r="E836">
        <v>2</v>
      </c>
      <c r="F836">
        <v>5</v>
      </c>
      <c r="G836" t="b">
        <v>0</v>
      </c>
      <c r="H836">
        <v>1</v>
      </c>
      <c r="I836">
        <v>1</v>
      </c>
      <c r="J836">
        <v>0.2</v>
      </c>
      <c r="K836">
        <v>0.2576</v>
      </c>
      <c r="L836">
        <v>0.86</v>
      </c>
      <c r="M836">
        <v>0</v>
      </c>
      <c r="N836">
        <v>1</v>
      </c>
      <c r="O836">
        <v>9</v>
      </c>
      <c r="P836">
        <v>10</v>
      </c>
    </row>
    <row r="837" spans="1:16" x14ac:dyDescent="0.3">
      <c r="A837">
        <v>836</v>
      </c>
      <c r="B837" s="4">
        <v>40581</v>
      </c>
      <c r="C837">
        <v>1</v>
      </c>
      <c r="D837">
        <v>0</v>
      </c>
      <c r="E837">
        <v>2</v>
      </c>
      <c r="F837">
        <v>6</v>
      </c>
      <c r="G837" t="b">
        <v>0</v>
      </c>
      <c r="H837">
        <v>1</v>
      </c>
      <c r="I837">
        <v>1</v>
      </c>
      <c r="J837">
        <v>0.18</v>
      </c>
      <c r="K837">
        <v>0.2424</v>
      </c>
      <c r="L837">
        <v>0.93</v>
      </c>
      <c r="M837">
        <v>0</v>
      </c>
      <c r="N837">
        <v>1</v>
      </c>
      <c r="O837">
        <v>29</v>
      </c>
      <c r="P837">
        <v>30</v>
      </c>
    </row>
    <row r="838" spans="1:16" x14ac:dyDescent="0.3">
      <c r="A838">
        <v>837</v>
      </c>
      <c r="B838" s="4">
        <v>40581</v>
      </c>
      <c r="C838">
        <v>1</v>
      </c>
      <c r="D838">
        <v>0</v>
      </c>
      <c r="E838">
        <v>2</v>
      </c>
      <c r="F838">
        <v>7</v>
      </c>
      <c r="G838" t="b">
        <v>0</v>
      </c>
      <c r="H838">
        <v>1</v>
      </c>
      <c r="I838">
        <v>1</v>
      </c>
      <c r="J838">
        <v>0.18</v>
      </c>
      <c r="K838">
        <v>0.2424</v>
      </c>
      <c r="L838">
        <v>0.86</v>
      </c>
      <c r="M838">
        <v>0</v>
      </c>
      <c r="N838">
        <v>6</v>
      </c>
      <c r="O838">
        <v>89</v>
      </c>
      <c r="P838">
        <v>95</v>
      </c>
    </row>
    <row r="839" spans="1:16" x14ac:dyDescent="0.3">
      <c r="A839">
        <v>838</v>
      </c>
      <c r="B839" s="4">
        <v>40581</v>
      </c>
      <c r="C839">
        <v>1</v>
      </c>
      <c r="D839">
        <v>0</v>
      </c>
      <c r="E839">
        <v>2</v>
      </c>
      <c r="F839">
        <v>8</v>
      </c>
      <c r="G839" t="b">
        <v>0</v>
      </c>
      <c r="H839">
        <v>1</v>
      </c>
      <c r="I839">
        <v>2</v>
      </c>
      <c r="J839">
        <v>0.16</v>
      </c>
      <c r="K839">
        <v>0.2273</v>
      </c>
      <c r="L839">
        <v>1</v>
      </c>
      <c r="M839">
        <v>0</v>
      </c>
      <c r="N839">
        <v>7</v>
      </c>
      <c r="O839">
        <v>223</v>
      </c>
      <c r="P839">
        <v>230</v>
      </c>
    </row>
    <row r="840" spans="1:16" x14ac:dyDescent="0.3">
      <c r="A840">
        <v>839</v>
      </c>
      <c r="B840" s="4">
        <v>40581</v>
      </c>
      <c r="C840">
        <v>1</v>
      </c>
      <c r="D840">
        <v>0</v>
      </c>
      <c r="E840">
        <v>2</v>
      </c>
      <c r="F840">
        <v>9</v>
      </c>
      <c r="G840" t="b">
        <v>0</v>
      </c>
      <c r="H840">
        <v>1</v>
      </c>
      <c r="I840">
        <v>1</v>
      </c>
      <c r="J840">
        <v>0.22</v>
      </c>
      <c r="K840">
        <v>0.2727</v>
      </c>
      <c r="L840">
        <v>0.8</v>
      </c>
      <c r="M840">
        <v>0</v>
      </c>
      <c r="N840">
        <v>3</v>
      </c>
      <c r="O840">
        <v>115</v>
      </c>
      <c r="P840">
        <v>118</v>
      </c>
    </row>
    <row r="841" spans="1:16" x14ac:dyDescent="0.3">
      <c r="A841">
        <v>840</v>
      </c>
      <c r="B841" s="4">
        <v>40581</v>
      </c>
      <c r="C841">
        <v>1</v>
      </c>
      <c r="D841">
        <v>0</v>
      </c>
      <c r="E841">
        <v>2</v>
      </c>
      <c r="F841">
        <v>10</v>
      </c>
      <c r="G841" t="b">
        <v>0</v>
      </c>
      <c r="H841">
        <v>1</v>
      </c>
      <c r="I841">
        <v>1</v>
      </c>
      <c r="J841">
        <v>0.24</v>
      </c>
      <c r="K841">
        <v>0.2576</v>
      </c>
      <c r="L841">
        <v>0.75</v>
      </c>
      <c r="M841">
        <v>0.1045</v>
      </c>
      <c r="N841">
        <v>6</v>
      </c>
      <c r="O841">
        <v>49</v>
      </c>
      <c r="P841">
        <v>55</v>
      </c>
    </row>
    <row r="842" spans="1:16" x14ac:dyDescent="0.3">
      <c r="A842">
        <v>841</v>
      </c>
      <c r="B842" s="4">
        <v>40581</v>
      </c>
      <c r="C842">
        <v>1</v>
      </c>
      <c r="D842">
        <v>0</v>
      </c>
      <c r="E842">
        <v>2</v>
      </c>
      <c r="F842">
        <v>11</v>
      </c>
      <c r="G842" t="b">
        <v>0</v>
      </c>
      <c r="H842">
        <v>1</v>
      </c>
      <c r="I842">
        <v>1</v>
      </c>
      <c r="J842">
        <v>0.3</v>
      </c>
      <c r="K842">
        <v>0.31819999999999998</v>
      </c>
      <c r="L842">
        <v>0.65</v>
      </c>
      <c r="M842">
        <v>8.9599999999999999E-2</v>
      </c>
      <c r="N842">
        <v>11</v>
      </c>
      <c r="O842">
        <v>36</v>
      </c>
      <c r="P842">
        <v>47</v>
      </c>
    </row>
    <row r="843" spans="1:16" x14ac:dyDescent="0.3">
      <c r="A843">
        <v>842</v>
      </c>
      <c r="B843" s="4">
        <v>40581</v>
      </c>
      <c r="C843">
        <v>1</v>
      </c>
      <c r="D843">
        <v>0</v>
      </c>
      <c r="E843">
        <v>2</v>
      </c>
      <c r="F843">
        <v>12</v>
      </c>
      <c r="G843" t="b">
        <v>0</v>
      </c>
      <c r="H843">
        <v>1</v>
      </c>
      <c r="I843">
        <v>2</v>
      </c>
      <c r="J843">
        <v>0.32</v>
      </c>
      <c r="K843">
        <v>0.34849999999999998</v>
      </c>
      <c r="L843">
        <v>0.62</v>
      </c>
      <c r="M843">
        <v>0</v>
      </c>
      <c r="N843">
        <v>7</v>
      </c>
      <c r="O843">
        <v>59</v>
      </c>
      <c r="P843">
        <v>66</v>
      </c>
    </row>
    <row r="844" spans="1:16" x14ac:dyDescent="0.3">
      <c r="A844">
        <v>843</v>
      </c>
      <c r="B844" s="4">
        <v>40581</v>
      </c>
      <c r="C844">
        <v>1</v>
      </c>
      <c r="D844">
        <v>0</v>
      </c>
      <c r="E844">
        <v>2</v>
      </c>
      <c r="F844">
        <v>13</v>
      </c>
      <c r="G844" t="b">
        <v>0</v>
      </c>
      <c r="H844">
        <v>1</v>
      </c>
      <c r="I844">
        <v>2</v>
      </c>
      <c r="J844">
        <v>0.36</v>
      </c>
      <c r="K844">
        <v>0.36359999999999998</v>
      </c>
      <c r="L844">
        <v>0.56999999999999995</v>
      </c>
      <c r="M844">
        <v>8.9599999999999999E-2</v>
      </c>
      <c r="N844">
        <v>10</v>
      </c>
      <c r="O844">
        <v>54</v>
      </c>
      <c r="P844">
        <v>64</v>
      </c>
    </row>
    <row r="845" spans="1:16" x14ac:dyDescent="0.3">
      <c r="A845">
        <v>844</v>
      </c>
      <c r="B845" s="4">
        <v>40581</v>
      </c>
      <c r="C845">
        <v>1</v>
      </c>
      <c r="D845">
        <v>0</v>
      </c>
      <c r="E845">
        <v>2</v>
      </c>
      <c r="F845">
        <v>14</v>
      </c>
      <c r="G845" t="b">
        <v>0</v>
      </c>
      <c r="H845">
        <v>1</v>
      </c>
      <c r="I845">
        <v>2</v>
      </c>
      <c r="J845">
        <v>0.36</v>
      </c>
      <c r="K845">
        <v>0.36359999999999998</v>
      </c>
      <c r="L845">
        <v>0.56999999999999995</v>
      </c>
      <c r="M845">
        <v>8.9599999999999999E-2</v>
      </c>
      <c r="N845">
        <v>8</v>
      </c>
      <c r="O845">
        <v>52</v>
      </c>
      <c r="P845">
        <v>60</v>
      </c>
    </row>
    <row r="846" spans="1:16" x14ac:dyDescent="0.3">
      <c r="A846">
        <v>845</v>
      </c>
      <c r="B846" s="4">
        <v>40581</v>
      </c>
      <c r="C846">
        <v>1</v>
      </c>
      <c r="D846">
        <v>0</v>
      </c>
      <c r="E846">
        <v>2</v>
      </c>
      <c r="F846">
        <v>15</v>
      </c>
      <c r="G846" t="b">
        <v>0</v>
      </c>
      <c r="H846">
        <v>1</v>
      </c>
      <c r="I846">
        <v>2</v>
      </c>
      <c r="J846">
        <v>0.38</v>
      </c>
      <c r="K846">
        <v>0.39389999999999997</v>
      </c>
      <c r="L846">
        <v>0.54</v>
      </c>
      <c r="M846">
        <v>8.9599999999999999E-2</v>
      </c>
      <c r="N846">
        <v>4</v>
      </c>
      <c r="O846">
        <v>46</v>
      </c>
      <c r="P846">
        <v>50</v>
      </c>
    </row>
    <row r="847" spans="1:16" x14ac:dyDescent="0.3">
      <c r="A847">
        <v>846</v>
      </c>
      <c r="B847" s="4">
        <v>40581</v>
      </c>
      <c r="C847">
        <v>1</v>
      </c>
      <c r="D847">
        <v>0</v>
      </c>
      <c r="E847">
        <v>2</v>
      </c>
      <c r="F847">
        <v>16</v>
      </c>
      <c r="G847" t="b">
        <v>0</v>
      </c>
      <c r="H847">
        <v>1</v>
      </c>
      <c r="I847">
        <v>2</v>
      </c>
      <c r="J847">
        <v>0.36</v>
      </c>
      <c r="K847">
        <v>0.34849999999999998</v>
      </c>
      <c r="L847">
        <v>0.56999999999999995</v>
      </c>
      <c r="M847">
        <v>0.1343</v>
      </c>
      <c r="N847">
        <v>16</v>
      </c>
      <c r="O847">
        <v>98</v>
      </c>
      <c r="P847">
        <v>114</v>
      </c>
    </row>
    <row r="848" spans="1:16" x14ac:dyDescent="0.3">
      <c r="A848">
        <v>847</v>
      </c>
      <c r="B848" s="4">
        <v>40581</v>
      </c>
      <c r="C848">
        <v>1</v>
      </c>
      <c r="D848">
        <v>0</v>
      </c>
      <c r="E848">
        <v>2</v>
      </c>
      <c r="F848">
        <v>17</v>
      </c>
      <c r="G848" t="b">
        <v>0</v>
      </c>
      <c r="H848">
        <v>1</v>
      </c>
      <c r="I848">
        <v>2</v>
      </c>
      <c r="J848">
        <v>0.32</v>
      </c>
      <c r="K848">
        <v>0.31819999999999998</v>
      </c>
      <c r="L848">
        <v>0.7</v>
      </c>
      <c r="M848">
        <v>0.16420000000000001</v>
      </c>
      <c r="N848">
        <v>9</v>
      </c>
      <c r="O848">
        <v>207</v>
      </c>
      <c r="P848">
        <v>216</v>
      </c>
    </row>
    <row r="849" spans="1:16" x14ac:dyDescent="0.3">
      <c r="A849">
        <v>848</v>
      </c>
      <c r="B849" s="4">
        <v>40581</v>
      </c>
      <c r="C849">
        <v>1</v>
      </c>
      <c r="D849">
        <v>0</v>
      </c>
      <c r="E849">
        <v>2</v>
      </c>
      <c r="F849">
        <v>18</v>
      </c>
      <c r="G849" t="b">
        <v>0</v>
      </c>
      <c r="H849">
        <v>1</v>
      </c>
      <c r="I849">
        <v>2</v>
      </c>
      <c r="J849">
        <v>0.34</v>
      </c>
      <c r="K849">
        <v>0.33329999999999999</v>
      </c>
      <c r="L849">
        <v>0.66</v>
      </c>
      <c r="M849">
        <v>0.1343</v>
      </c>
      <c r="N849">
        <v>5</v>
      </c>
      <c r="O849">
        <v>170</v>
      </c>
      <c r="P849">
        <v>175</v>
      </c>
    </row>
    <row r="850" spans="1:16" x14ac:dyDescent="0.3">
      <c r="A850">
        <v>849</v>
      </c>
      <c r="B850" s="4">
        <v>40581</v>
      </c>
      <c r="C850">
        <v>1</v>
      </c>
      <c r="D850">
        <v>0</v>
      </c>
      <c r="E850">
        <v>2</v>
      </c>
      <c r="F850">
        <v>19</v>
      </c>
      <c r="G850" t="b">
        <v>0</v>
      </c>
      <c r="H850">
        <v>1</v>
      </c>
      <c r="I850">
        <v>2</v>
      </c>
      <c r="J850">
        <v>0.32</v>
      </c>
      <c r="K850">
        <v>0.34849999999999998</v>
      </c>
      <c r="L850">
        <v>0.7</v>
      </c>
      <c r="M850">
        <v>0</v>
      </c>
      <c r="N850">
        <v>5</v>
      </c>
      <c r="O850">
        <v>123</v>
      </c>
      <c r="P850">
        <v>128</v>
      </c>
    </row>
    <row r="851" spans="1:16" x14ac:dyDescent="0.3">
      <c r="A851">
        <v>850</v>
      </c>
      <c r="B851" s="4">
        <v>40581</v>
      </c>
      <c r="C851">
        <v>1</v>
      </c>
      <c r="D851">
        <v>0</v>
      </c>
      <c r="E851">
        <v>2</v>
      </c>
      <c r="F851">
        <v>20</v>
      </c>
      <c r="G851" t="b">
        <v>0</v>
      </c>
      <c r="H851">
        <v>1</v>
      </c>
      <c r="I851">
        <v>2</v>
      </c>
      <c r="J851">
        <v>0.32</v>
      </c>
      <c r="K851">
        <v>0.33329999999999999</v>
      </c>
      <c r="L851">
        <v>0.7</v>
      </c>
      <c r="M851">
        <v>0.1045</v>
      </c>
      <c r="N851">
        <v>6</v>
      </c>
      <c r="O851">
        <v>82</v>
      </c>
      <c r="P851">
        <v>88</v>
      </c>
    </row>
    <row r="852" spans="1:16" x14ac:dyDescent="0.3">
      <c r="A852">
        <v>851</v>
      </c>
      <c r="B852" s="4">
        <v>40581</v>
      </c>
      <c r="C852">
        <v>1</v>
      </c>
      <c r="D852">
        <v>0</v>
      </c>
      <c r="E852">
        <v>2</v>
      </c>
      <c r="F852">
        <v>21</v>
      </c>
      <c r="G852" t="b">
        <v>0</v>
      </c>
      <c r="H852">
        <v>1</v>
      </c>
      <c r="I852">
        <v>1</v>
      </c>
      <c r="J852">
        <v>0.32</v>
      </c>
      <c r="K852">
        <v>0.34849999999999998</v>
      </c>
      <c r="L852">
        <v>0.7</v>
      </c>
      <c r="M852">
        <v>0</v>
      </c>
      <c r="N852">
        <v>3</v>
      </c>
      <c r="O852">
        <v>75</v>
      </c>
      <c r="P852">
        <v>78</v>
      </c>
    </row>
    <row r="853" spans="1:16" x14ac:dyDescent="0.3">
      <c r="A853">
        <v>852</v>
      </c>
      <c r="B853" s="4">
        <v>40581</v>
      </c>
      <c r="C853">
        <v>1</v>
      </c>
      <c r="D853">
        <v>0</v>
      </c>
      <c r="E853">
        <v>2</v>
      </c>
      <c r="F853">
        <v>22</v>
      </c>
      <c r="G853" t="b">
        <v>0</v>
      </c>
      <c r="H853">
        <v>1</v>
      </c>
      <c r="I853">
        <v>1</v>
      </c>
      <c r="J853">
        <v>0.28000000000000003</v>
      </c>
      <c r="K853">
        <v>0.30299999999999999</v>
      </c>
      <c r="L853">
        <v>0.81</v>
      </c>
      <c r="M853">
        <v>8.9599999999999999E-2</v>
      </c>
      <c r="N853">
        <v>3</v>
      </c>
      <c r="O853">
        <v>34</v>
      </c>
      <c r="P853">
        <v>37</v>
      </c>
    </row>
    <row r="854" spans="1:16" x14ac:dyDescent="0.3">
      <c r="A854">
        <v>853</v>
      </c>
      <c r="B854" s="4">
        <v>40581</v>
      </c>
      <c r="C854">
        <v>1</v>
      </c>
      <c r="D854">
        <v>0</v>
      </c>
      <c r="E854">
        <v>2</v>
      </c>
      <c r="F854">
        <v>23</v>
      </c>
      <c r="G854" t="b">
        <v>0</v>
      </c>
      <c r="H854">
        <v>1</v>
      </c>
      <c r="I854">
        <v>2</v>
      </c>
      <c r="J854">
        <v>0.3</v>
      </c>
      <c r="K854">
        <v>0.33329999999999999</v>
      </c>
      <c r="L854">
        <v>0.81</v>
      </c>
      <c r="M854">
        <v>0</v>
      </c>
      <c r="N854">
        <v>6</v>
      </c>
      <c r="O854">
        <v>19</v>
      </c>
      <c r="P854">
        <v>25</v>
      </c>
    </row>
    <row r="855" spans="1:16" x14ac:dyDescent="0.3">
      <c r="A855">
        <v>854</v>
      </c>
      <c r="B855" s="4">
        <v>40582</v>
      </c>
      <c r="C855">
        <v>1</v>
      </c>
      <c r="D855">
        <v>0</v>
      </c>
      <c r="E855">
        <v>2</v>
      </c>
      <c r="F855">
        <v>0</v>
      </c>
      <c r="G855" t="b">
        <v>0</v>
      </c>
      <c r="H855">
        <v>2</v>
      </c>
      <c r="I855">
        <v>2</v>
      </c>
      <c r="J855">
        <v>0.28000000000000003</v>
      </c>
      <c r="K855">
        <v>0.31819999999999998</v>
      </c>
      <c r="L855">
        <v>0.87</v>
      </c>
      <c r="M855">
        <v>0</v>
      </c>
      <c r="N855">
        <v>4</v>
      </c>
      <c r="O855">
        <v>6</v>
      </c>
      <c r="P855">
        <v>10</v>
      </c>
    </row>
    <row r="856" spans="1:16" x14ac:dyDescent="0.3">
      <c r="A856">
        <v>855</v>
      </c>
      <c r="B856" s="4">
        <v>40582</v>
      </c>
      <c r="C856">
        <v>1</v>
      </c>
      <c r="D856">
        <v>0</v>
      </c>
      <c r="E856">
        <v>2</v>
      </c>
      <c r="F856">
        <v>1</v>
      </c>
      <c r="G856" t="b">
        <v>0</v>
      </c>
      <c r="H856">
        <v>2</v>
      </c>
      <c r="I856">
        <v>2</v>
      </c>
      <c r="J856">
        <v>0.28000000000000003</v>
      </c>
      <c r="K856">
        <v>0.31819999999999998</v>
      </c>
      <c r="L856">
        <v>0.87</v>
      </c>
      <c r="M856">
        <v>0</v>
      </c>
      <c r="N856">
        <v>0</v>
      </c>
      <c r="O856">
        <v>4</v>
      </c>
      <c r="P856">
        <v>4</v>
      </c>
    </row>
    <row r="857" spans="1:16" x14ac:dyDescent="0.3">
      <c r="A857">
        <v>856</v>
      </c>
      <c r="B857" s="4">
        <v>40582</v>
      </c>
      <c r="C857">
        <v>1</v>
      </c>
      <c r="D857">
        <v>0</v>
      </c>
      <c r="E857">
        <v>2</v>
      </c>
      <c r="F857">
        <v>2</v>
      </c>
      <c r="G857" t="b">
        <v>0</v>
      </c>
      <c r="H857">
        <v>2</v>
      </c>
      <c r="I857">
        <v>2</v>
      </c>
      <c r="J857">
        <v>0.26</v>
      </c>
      <c r="K857">
        <v>0.2727</v>
      </c>
      <c r="L857">
        <v>0.93</v>
      </c>
      <c r="M857">
        <v>0.1045</v>
      </c>
      <c r="N857">
        <v>1</v>
      </c>
      <c r="O857">
        <v>1</v>
      </c>
      <c r="P857">
        <v>2</v>
      </c>
    </row>
    <row r="858" spans="1:16" x14ac:dyDescent="0.3">
      <c r="A858">
        <v>857</v>
      </c>
      <c r="B858" s="4">
        <v>40582</v>
      </c>
      <c r="C858">
        <v>1</v>
      </c>
      <c r="D858">
        <v>0</v>
      </c>
      <c r="E858">
        <v>2</v>
      </c>
      <c r="F858">
        <v>3</v>
      </c>
      <c r="G858" t="b">
        <v>0</v>
      </c>
      <c r="H858">
        <v>2</v>
      </c>
      <c r="I858">
        <v>3</v>
      </c>
      <c r="J858">
        <v>0.28000000000000003</v>
      </c>
      <c r="K858">
        <v>0.2727</v>
      </c>
      <c r="L858">
        <v>0.93</v>
      </c>
      <c r="M858">
        <v>0.16420000000000001</v>
      </c>
      <c r="N858">
        <v>0</v>
      </c>
      <c r="O858">
        <v>1</v>
      </c>
      <c r="P858">
        <v>1</v>
      </c>
    </row>
    <row r="859" spans="1:16" x14ac:dyDescent="0.3">
      <c r="A859">
        <v>858</v>
      </c>
      <c r="B859" s="4">
        <v>40582</v>
      </c>
      <c r="C859">
        <v>1</v>
      </c>
      <c r="D859">
        <v>0</v>
      </c>
      <c r="E859">
        <v>2</v>
      </c>
      <c r="F859">
        <v>4</v>
      </c>
      <c r="G859" t="b">
        <v>0</v>
      </c>
      <c r="H859">
        <v>2</v>
      </c>
      <c r="I859">
        <v>1</v>
      </c>
      <c r="J859">
        <v>0.26</v>
      </c>
      <c r="K859">
        <v>0.2576</v>
      </c>
      <c r="L859">
        <v>0.93</v>
      </c>
      <c r="M859">
        <v>0.16420000000000001</v>
      </c>
      <c r="N859">
        <v>0</v>
      </c>
      <c r="O859">
        <v>3</v>
      </c>
      <c r="P859">
        <v>3</v>
      </c>
    </row>
    <row r="860" spans="1:16" x14ac:dyDescent="0.3">
      <c r="A860">
        <v>859</v>
      </c>
      <c r="B860" s="4">
        <v>40582</v>
      </c>
      <c r="C860">
        <v>1</v>
      </c>
      <c r="D860">
        <v>0</v>
      </c>
      <c r="E860">
        <v>2</v>
      </c>
      <c r="F860">
        <v>5</v>
      </c>
      <c r="G860" t="b">
        <v>0</v>
      </c>
      <c r="H860">
        <v>2</v>
      </c>
      <c r="I860">
        <v>1</v>
      </c>
      <c r="J860">
        <v>0.26</v>
      </c>
      <c r="K860">
        <v>0.2273</v>
      </c>
      <c r="L860">
        <v>0.81</v>
      </c>
      <c r="M860">
        <v>0.32840000000000003</v>
      </c>
      <c r="N860">
        <v>0</v>
      </c>
      <c r="O860">
        <v>2</v>
      </c>
      <c r="P860">
        <v>2</v>
      </c>
    </row>
    <row r="861" spans="1:16" x14ac:dyDescent="0.3">
      <c r="A861">
        <v>860</v>
      </c>
      <c r="B861" s="4">
        <v>40582</v>
      </c>
      <c r="C861">
        <v>1</v>
      </c>
      <c r="D861">
        <v>0</v>
      </c>
      <c r="E861">
        <v>2</v>
      </c>
      <c r="F861">
        <v>6</v>
      </c>
      <c r="G861" t="b">
        <v>0</v>
      </c>
      <c r="H861">
        <v>2</v>
      </c>
      <c r="I861">
        <v>1</v>
      </c>
      <c r="J861">
        <v>0.26</v>
      </c>
      <c r="K861">
        <v>0.2273</v>
      </c>
      <c r="L861">
        <v>0.7</v>
      </c>
      <c r="M861">
        <v>0.32840000000000003</v>
      </c>
      <c r="N861">
        <v>0</v>
      </c>
      <c r="O861">
        <v>39</v>
      </c>
      <c r="P861">
        <v>39</v>
      </c>
    </row>
    <row r="862" spans="1:16" x14ac:dyDescent="0.3">
      <c r="A862">
        <v>861</v>
      </c>
      <c r="B862" s="4">
        <v>40582</v>
      </c>
      <c r="C862">
        <v>1</v>
      </c>
      <c r="D862">
        <v>0</v>
      </c>
      <c r="E862">
        <v>2</v>
      </c>
      <c r="F862">
        <v>7</v>
      </c>
      <c r="G862" t="b">
        <v>0</v>
      </c>
      <c r="H862">
        <v>2</v>
      </c>
      <c r="I862">
        <v>1</v>
      </c>
      <c r="J862">
        <v>0.24</v>
      </c>
      <c r="K862">
        <v>0.19700000000000001</v>
      </c>
      <c r="L862">
        <v>0.65</v>
      </c>
      <c r="M862">
        <v>0.41789999999999999</v>
      </c>
      <c r="N862">
        <v>3</v>
      </c>
      <c r="O862">
        <v>97</v>
      </c>
      <c r="P862">
        <v>100</v>
      </c>
    </row>
    <row r="863" spans="1:16" x14ac:dyDescent="0.3">
      <c r="A863">
        <v>862</v>
      </c>
      <c r="B863" s="4">
        <v>40582</v>
      </c>
      <c r="C863">
        <v>1</v>
      </c>
      <c r="D863">
        <v>0</v>
      </c>
      <c r="E863">
        <v>2</v>
      </c>
      <c r="F863">
        <v>8</v>
      </c>
      <c r="G863" t="b">
        <v>0</v>
      </c>
      <c r="H863">
        <v>2</v>
      </c>
      <c r="I863">
        <v>1</v>
      </c>
      <c r="J863">
        <v>0.24</v>
      </c>
      <c r="K863">
        <v>0.19700000000000001</v>
      </c>
      <c r="L863">
        <v>0.56000000000000005</v>
      </c>
      <c r="M863">
        <v>0.49249999999999999</v>
      </c>
      <c r="N863">
        <v>7</v>
      </c>
      <c r="O863">
        <v>236</v>
      </c>
      <c r="P863">
        <v>243</v>
      </c>
    </row>
    <row r="864" spans="1:16" x14ac:dyDescent="0.3">
      <c r="A864">
        <v>863</v>
      </c>
      <c r="B864" s="4">
        <v>40582</v>
      </c>
      <c r="C864">
        <v>1</v>
      </c>
      <c r="D864">
        <v>0</v>
      </c>
      <c r="E864">
        <v>2</v>
      </c>
      <c r="F864">
        <v>9</v>
      </c>
      <c r="G864" t="b">
        <v>0</v>
      </c>
      <c r="H864">
        <v>2</v>
      </c>
      <c r="I864">
        <v>1</v>
      </c>
      <c r="J864">
        <v>0.24</v>
      </c>
      <c r="K864">
        <v>0.19700000000000001</v>
      </c>
      <c r="L864">
        <v>0.52</v>
      </c>
      <c r="M864">
        <v>0.49249999999999999</v>
      </c>
      <c r="N864">
        <v>7</v>
      </c>
      <c r="O864">
        <v>128</v>
      </c>
      <c r="P864">
        <v>135</v>
      </c>
    </row>
    <row r="865" spans="1:16" x14ac:dyDescent="0.3">
      <c r="A865">
        <v>864</v>
      </c>
      <c r="B865" s="4">
        <v>40582</v>
      </c>
      <c r="C865">
        <v>1</v>
      </c>
      <c r="D865">
        <v>0</v>
      </c>
      <c r="E865">
        <v>2</v>
      </c>
      <c r="F865">
        <v>10</v>
      </c>
      <c r="G865" t="b">
        <v>0</v>
      </c>
      <c r="H865">
        <v>2</v>
      </c>
      <c r="I865">
        <v>1</v>
      </c>
      <c r="J865">
        <v>0.22</v>
      </c>
      <c r="K865">
        <v>0.18179999999999999</v>
      </c>
      <c r="L865">
        <v>0.47</v>
      </c>
      <c r="M865">
        <v>0.55220000000000002</v>
      </c>
      <c r="N865">
        <v>4</v>
      </c>
      <c r="O865">
        <v>44</v>
      </c>
      <c r="P865">
        <v>48</v>
      </c>
    </row>
    <row r="866" spans="1:16" x14ac:dyDescent="0.3">
      <c r="A866">
        <v>865</v>
      </c>
      <c r="B866" s="4">
        <v>40582</v>
      </c>
      <c r="C866">
        <v>1</v>
      </c>
      <c r="D866">
        <v>0</v>
      </c>
      <c r="E866">
        <v>2</v>
      </c>
      <c r="F866">
        <v>11</v>
      </c>
      <c r="G866" t="b">
        <v>0</v>
      </c>
      <c r="H866">
        <v>2</v>
      </c>
      <c r="I866">
        <v>1</v>
      </c>
      <c r="J866">
        <v>0.22</v>
      </c>
      <c r="K866">
        <v>0.18179999999999999</v>
      </c>
      <c r="L866">
        <v>0.47</v>
      </c>
      <c r="M866">
        <v>0.4627</v>
      </c>
      <c r="N866">
        <v>1</v>
      </c>
      <c r="O866">
        <v>49</v>
      </c>
      <c r="P866">
        <v>50</v>
      </c>
    </row>
    <row r="867" spans="1:16" x14ac:dyDescent="0.3">
      <c r="A867">
        <v>866</v>
      </c>
      <c r="B867" s="4">
        <v>40582</v>
      </c>
      <c r="C867">
        <v>1</v>
      </c>
      <c r="D867">
        <v>0</v>
      </c>
      <c r="E867">
        <v>2</v>
      </c>
      <c r="F867">
        <v>12</v>
      </c>
      <c r="G867" t="b">
        <v>0</v>
      </c>
      <c r="H867">
        <v>2</v>
      </c>
      <c r="I867">
        <v>1</v>
      </c>
      <c r="J867">
        <v>0.24</v>
      </c>
      <c r="K867">
        <v>0.19700000000000001</v>
      </c>
      <c r="L867">
        <v>0.38</v>
      </c>
      <c r="M867">
        <v>0.49249999999999999</v>
      </c>
      <c r="N867">
        <v>2</v>
      </c>
      <c r="O867">
        <v>63</v>
      </c>
      <c r="P867">
        <v>65</v>
      </c>
    </row>
    <row r="868" spans="1:16" x14ac:dyDescent="0.3">
      <c r="A868">
        <v>867</v>
      </c>
      <c r="B868" s="4">
        <v>40582</v>
      </c>
      <c r="C868">
        <v>1</v>
      </c>
      <c r="D868">
        <v>0</v>
      </c>
      <c r="E868">
        <v>2</v>
      </c>
      <c r="F868">
        <v>13</v>
      </c>
      <c r="G868" t="b">
        <v>0</v>
      </c>
      <c r="H868">
        <v>2</v>
      </c>
      <c r="I868">
        <v>2</v>
      </c>
      <c r="J868">
        <v>0.24</v>
      </c>
      <c r="K868">
        <v>0.19700000000000001</v>
      </c>
      <c r="L868">
        <v>0.32</v>
      </c>
      <c r="M868">
        <v>0.44779999999999998</v>
      </c>
      <c r="N868">
        <v>2</v>
      </c>
      <c r="O868">
        <v>48</v>
      </c>
      <c r="P868">
        <v>50</v>
      </c>
    </row>
    <row r="869" spans="1:16" x14ac:dyDescent="0.3">
      <c r="A869">
        <v>868</v>
      </c>
      <c r="B869" s="4">
        <v>40582</v>
      </c>
      <c r="C869">
        <v>1</v>
      </c>
      <c r="D869">
        <v>0</v>
      </c>
      <c r="E869">
        <v>2</v>
      </c>
      <c r="F869">
        <v>14</v>
      </c>
      <c r="G869" t="b">
        <v>0</v>
      </c>
      <c r="H869">
        <v>2</v>
      </c>
      <c r="I869">
        <v>1</v>
      </c>
      <c r="J869">
        <v>0.22</v>
      </c>
      <c r="K869">
        <v>0.19700000000000001</v>
      </c>
      <c r="L869">
        <v>0.37</v>
      </c>
      <c r="M869">
        <v>0.41789999999999999</v>
      </c>
      <c r="N869">
        <v>3</v>
      </c>
      <c r="O869">
        <v>61</v>
      </c>
      <c r="P869">
        <v>64</v>
      </c>
    </row>
    <row r="870" spans="1:16" x14ac:dyDescent="0.3">
      <c r="A870">
        <v>869</v>
      </c>
      <c r="B870" s="4">
        <v>40582</v>
      </c>
      <c r="C870">
        <v>1</v>
      </c>
      <c r="D870">
        <v>0</v>
      </c>
      <c r="E870">
        <v>2</v>
      </c>
      <c r="F870">
        <v>15</v>
      </c>
      <c r="G870" t="b">
        <v>0</v>
      </c>
      <c r="H870">
        <v>2</v>
      </c>
      <c r="I870">
        <v>1</v>
      </c>
      <c r="J870">
        <v>0.22</v>
      </c>
      <c r="K870">
        <v>0.19700000000000001</v>
      </c>
      <c r="L870">
        <v>0.35</v>
      </c>
      <c r="M870">
        <v>0.3881</v>
      </c>
      <c r="N870">
        <v>6</v>
      </c>
      <c r="O870">
        <v>45</v>
      </c>
      <c r="P870">
        <v>51</v>
      </c>
    </row>
    <row r="871" spans="1:16" x14ac:dyDescent="0.3">
      <c r="A871">
        <v>870</v>
      </c>
      <c r="B871" s="4">
        <v>40582</v>
      </c>
      <c r="C871">
        <v>1</v>
      </c>
      <c r="D871">
        <v>0</v>
      </c>
      <c r="E871">
        <v>2</v>
      </c>
      <c r="F871">
        <v>16</v>
      </c>
      <c r="G871" t="b">
        <v>0</v>
      </c>
      <c r="H871">
        <v>2</v>
      </c>
      <c r="I871">
        <v>1</v>
      </c>
      <c r="J871">
        <v>0.22</v>
      </c>
      <c r="K871">
        <v>0.18179999999999999</v>
      </c>
      <c r="L871">
        <v>0.35</v>
      </c>
      <c r="M871">
        <v>0.52239999999999998</v>
      </c>
      <c r="N871">
        <v>4</v>
      </c>
      <c r="O871">
        <v>79</v>
      </c>
      <c r="P871">
        <v>83</v>
      </c>
    </row>
    <row r="872" spans="1:16" x14ac:dyDescent="0.3">
      <c r="A872">
        <v>871</v>
      </c>
      <c r="B872" s="4">
        <v>40582</v>
      </c>
      <c r="C872">
        <v>1</v>
      </c>
      <c r="D872">
        <v>0</v>
      </c>
      <c r="E872">
        <v>2</v>
      </c>
      <c r="F872">
        <v>17</v>
      </c>
      <c r="G872" t="b">
        <v>0</v>
      </c>
      <c r="H872">
        <v>2</v>
      </c>
      <c r="I872">
        <v>1</v>
      </c>
      <c r="J872">
        <v>0.22</v>
      </c>
      <c r="K872">
        <v>0.18179999999999999</v>
      </c>
      <c r="L872">
        <v>0.32</v>
      </c>
      <c r="M872">
        <v>0.58209999999999995</v>
      </c>
      <c r="N872">
        <v>4</v>
      </c>
      <c r="O872">
        <v>172</v>
      </c>
      <c r="P872">
        <v>176</v>
      </c>
    </row>
    <row r="873" spans="1:16" x14ac:dyDescent="0.3">
      <c r="A873">
        <v>872</v>
      </c>
      <c r="B873" s="4">
        <v>40582</v>
      </c>
      <c r="C873">
        <v>1</v>
      </c>
      <c r="D873">
        <v>0</v>
      </c>
      <c r="E873">
        <v>2</v>
      </c>
      <c r="F873">
        <v>18</v>
      </c>
      <c r="G873" t="b">
        <v>0</v>
      </c>
      <c r="H873">
        <v>2</v>
      </c>
      <c r="I873">
        <v>1</v>
      </c>
      <c r="J873">
        <v>0.2</v>
      </c>
      <c r="K873">
        <v>0.18179999999999999</v>
      </c>
      <c r="L873">
        <v>0.32</v>
      </c>
      <c r="M873">
        <v>0.3881</v>
      </c>
      <c r="N873">
        <v>1</v>
      </c>
      <c r="O873">
        <v>151</v>
      </c>
      <c r="P873">
        <v>152</v>
      </c>
    </row>
    <row r="874" spans="1:16" x14ac:dyDescent="0.3">
      <c r="A874">
        <v>873</v>
      </c>
      <c r="B874" s="4">
        <v>40582</v>
      </c>
      <c r="C874">
        <v>1</v>
      </c>
      <c r="D874">
        <v>0</v>
      </c>
      <c r="E874">
        <v>2</v>
      </c>
      <c r="F874">
        <v>19</v>
      </c>
      <c r="G874" t="b">
        <v>0</v>
      </c>
      <c r="H874">
        <v>2</v>
      </c>
      <c r="I874">
        <v>1</v>
      </c>
      <c r="J874">
        <v>0.16</v>
      </c>
      <c r="K874">
        <v>0.1212</v>
      </c>
      <c r="L874">
        <v>0.4</v>
      </c>
      <c r="M874">
        <v>0.4627</v>
      </c>
      <c r="N874">
        <v>1</v>
      </c>
      <c r="O874">
        <v>100</v>
      </c>
      <c r="P874">
        <v>101</v>
      </c>
    </row>
    <row r="875" spans="1:16" x14ac:dyDescent="0.3">
      <c r="A875">
        <v>874</v>
      </c>
      <c r="B875" s="4">
        <v>40582</v>
      </c>
      <c r="C875">
        <v>1</v>
      </c>
      <c r="D875">
        <v>0</v>
      </c>
      <c r="E875">
        <v>2</v>
      </c>
      <c r="F875">
        <v>20</v>
      </c>
      <c r="G875" t="b">
        <v>0</v>
      </c>
      <c r="H875">
        <v>2</v>
      </c>
      <c r="I875">
        <v>1</v>
      </c>
      <c r="J875">
        <v>0.16</v>
      </c>
      <c r="K875">
        <v>0.13639999999999999</v>
      </c>
      <c r="L875">
        <v>0.4</v>
      </c>
      <c r="M875">
        <v>0.32840000000000003</v>
      </c>
      <c r="N875">
        <v>3</v>
      </c>
      <c r="O875">
        <v>53</v>
      </c>
      <c r="P875">
        <v>56</v>
      </c>
    </row>
    <row r="876" spans="1:16" x14ac:dyDescent="0.3">
      <c r="A876">
        <v>875</v>
      </c>
      <c r="B876" s="4">
        <v>40582</v>
      </c>
      <c r="C876">
        <v>1</v>
      </c>
      <c r="D876">
        <v>0</v>
      </c>
      <c r="E876">
        <v>2</v>
      </c>
      <c r="F876">
        <v>21</v>
      </c>
      <c r="G876" t="b">
        <v>0</v>
      </c>
      <c r="H876">
        <v>2</v>
      </c>
      <c r="I876">
        <v>1</v>
      </c>
      <c r="J876">
        <v>0.14000000000000001</v>
      </c>
      <c r="K876">
        <v>0.1061</v>
      </c>
      <c r="L876">
        <v>0.33</v>
      </c>
      <c r="M876">
        <v>0.4627</v>
      </c>
      <c r="N876">
        <v>8</v>
      </c>
      <c r="O876">
        <v>46</v>
      </c>
      <c r="P876">
        <v>54</v>
      </c>
    </row>
    <row r="877" spans="1:16" x14ac:dyDescent="0.3">
      <c r="A877">
        <v>876</v>
      </c>
      <c r="B877" s="4">
        <v>40582</v>
      </c>
      <c r="C877">
        <v>1</v>
      </c>
      <c r="D877">
        <v>0</v>
      </c>
      <c r="E877">
        <v>2</v>
      </c>
      <c r="F877">
        <v>22</v>
      </c>
      <c r="G877" t="b">
        <v>0</v>
      </c>
      <c r="H877">
        <v>2</v>
      </c>
      <c r="I877">
        <v>1</v>
      </c>
      <c r="J877">
        <v>0.12</v>
      </c>
      <c r="K877">
        <v>0.1061</v>
      </c>
      <c r="L877">
        <v>0.33</v>
      </c>
      <c r="M877">
        <v>0.35820000000000002</v>
      </c>
      <c r="N877">
        <v>0</v>
      </c>
      <c r="O877">
        <v>29</v>
      </c>
      <c r="P877">
        <v>29</v>
      </c>
    </row>
    <row r="878" spans="1:16" x14ac:dyDescent="0.3">
      <c r="A878">
        <v>877</v>
      </c>
      <c r="B878" s="4">
        <v>40582</v>
      </c>
      <c r="C878">
        <v>1</v>
      </c>
      <c r="D878">
        <v>0</v>
      </c>
      <c r="E878">
        <v>2</v>
      </c>
      <c r="F878">
        <v>23</v>
      </c>
      <c r="G878" t="b">
        <v>0</v>
      </c>
      <c r="H878">
        <v>2</v>
      </c>
      <c r="I878">
        <v>1</v>
      </c>
      <c r="J878">
        <v>0.12</v>
      </c>
      <c r="K878">
        <v>0.1061</v>
      </c>
      <c r="L878">
        <v>0.33</v>
      </c>
      <c r="M878">
        <v>0.32840000000000003</v>
      </c>
      <c r="N878">
        <v>3</v>
      </c>
      <c r="O878">
        <v>9</v>
      </c>
      <c r="P878">
        <v>12</v>
      </c>
    </row>
    <row r="879" spans="1:16" x14ac:dyDescent="0.3">
      <c r="A879">
        <v>878</v>
      </c>
      <c r="B879" s="4">
        <v>40583</v>
      </c>
      <c r="C879">
        <v>1</v>
      </c>
      <c r="D879">
        <v>0</v>
      </c>
      <c r="E879">
        <v>2</v>
      </c>
      <c r="F879">
        <v>0</v>
      </c>
      <c r="G879" t="b">
        <v>0</v>
      </c>
      <c r="H879">
        <v>3</v>
      </c>
      <c r="I879">
        <v>1</v>
      </c>
      <c r="J879">
        <v>0.1</v>
      </c>
      <c r="K879">
        <v>7.5800000000000006E-2</v>
      </c>
      <c r="L879">
        <v>0.36</v>
      </c>
      <c r="M879">
        <v>0.35820000000000002</v>
      </c>
      <c r="N879">
        <v>0</v>
      </c>
      <c r="O879">
        <v>17</v>
      </c>
      <c r="P879">
        <v>17</v>
      </c>
    </row>
    <row r="880" spans="1:16" x14ac:dyDescent="0.3">
      <c r="A880">
        <v>879</v>
      </c>
      <c r="B880" s="4">
        <v>40583</v>
      </c>
      <c r="C880">
        <v>1</v>
      </c>
      <c r="D880">
        <v>0</v>
      </c>
      <c r="E880">
        <v>2</v>
      </c>
      <c r="F880">
        <v>1</v>
      </c>
      <c r="G880" t="b">
        <v>0</v>
      </c>
      <c r="H880">
        <v>3</v>
      </c>
      <c r="I880">
        <v>1</v>
      </c>
      <c r="J880">
        <v>0.1</v>
      </c>
      <c r="K880">
        <v>0.1061</v>
      </c>
      <c r="L880">
        <v>0.36</v>
      </c>
      <c r="M880">
        <v>0.22389999999999999</v>
      </c>
      <c r="N880">
        <v>0</v>
      </c>
      <c r="O880">
        <v>7</v>
      </c>
      <c r="P880">
        <v>7</v>
      </c>
    </row>
    <row r="881" spans="1:16" x14ac:dyDescent="0.3">
      <c r="A881">
        <v>880</v>
      </c>
      <c r="B881" s="4">
        <v>40583</v>
      </c>
      <c r="C881">
        <v>1</v>
      </c>
      <c r="D881">
        <v>0</v>
      </c>
      <c r="E881">
        <v>2</v>
      </c>
      <c r="F881">
        <v>2</v>
      </c>
      <c r="G881" t="b">
        <v>0</v>
      </c>
      <c r="H881">
        <v>3</v>
      </c>
      <c r="I881">
        <v>1</v>
      </c>
      <c r="J881">
        <v>0.08</v>
      </c>
      <c r="K881">
        <v>7.5800000000000006E-2</v>
      </c>
      <c r="L881">
        <v>0.38</v>
      </c>
      <c r="M881">
        <v>0.28360000000000002</v>
      </c>
      <c r="N881">
        <v>1</v>
      </c>
      <c r="O881">
        <v>2</v>
      </c>
      <c r="P881">
        <v>3</v>
      </c>
    </row>
    <row r="882" spans="1:16" x14ac:dyDescent="0.3">
      <c r="A882">
        <v>881</v>
      </c>
      <c r="B882" s="4">
        <v>40583</v>
      </c>
      <c r="C882">
        <v>1</v>
      </c>
      <c r="D882">
        <v>0</v>
      </c>
      <c r="E882">
        <v>2</v>
      </c>
      <c r="F882">
        <v>3</v>
      </c>
      <c r="G882" t="b">
        <v>0</v>
      </c>
      <c r="H882">
        <v>3</v>
      </c>
      <c r="I882">
        <v>1</v>
      </c>
      <c r="J882">
        <v>0.06</v>
      </c>
      <c r="K882">
        <v>7.5800000000000006E-2</v>
      </c>
      <c r="L882">
        <v>0.45</v>
      </c>
      <c r="M882">
        <v>0.1343</v>
      </c>
      <c r="N882">
        <v>0</v>
      </c>
      <c r="O882">
        <v>2</v>
      </c>
      <c r="P882">
        <v>2</v>
      </c>
    </row>
    <row r="883" spans="1:16" x14ac:dyDescent="0.3">
      <c r="A883">
        <v>882</v>
      </c>
      <c r="B883" s="4">
        <v>40583</v>
      </c>
      <c r="C883">
        <v>1</v>
      </c>
      <c r="D883">
        <v>0</v>
      </c>
      <c r="E883">
        <v>2</v>
      </c>
      <c r="F883">
        <v>5</v>
      </c>
      <c r="G883" t="b">
        <v>0</v>
      </c>
      <c r="H883">
        <v>3</v>
      </c>
      <c r="I883">
        <v>1</v>
      </c>
      <c r="J883">
        <v>0.06</v>
      </c>
      <c r="K883">
        <v>0.1061</v>
      </c>
      <c r="L883">
        <v>0.45</v>
      </c>
      <c r="M883">
        <v>0.1045</v>
      </c>
      <c r="N883">
        <v>0</v>
      </c>
      <c r="O883">
        <v>7</v>
      </c>
      <c r="P883">
        <v>7</v>
      </c>
    </row>
    <row r="884" spans="1:16" x14ac:dyDescent="0.3">
      <c r="A884">
        <v>883</v>
      </c>
      <c r="B884" s="4">
        <v>40583</v>
      </c>
      <c r="C884">
        <v>1</v>
      </c>
      <c r="D884">
        <v>0</v>
      </c>
      <c r="E884">
        <v>2</v>
      </c>
      <c r="F884">
        <v>6</v>
      </c>
      <c r="G884" t="b">
        <v>0</v>
      </c>
      <c r="H884">
        <v>3</v>
      </c>
      <c r="I884">
        <v>1</v>
      </c>
      <c r="J884">
        <v>0.06</v>
      </c>
      <c r="K884">
        <v>0.1515</v>
      </c>
      <c r="L884">
        <v>0.45</v>
      </c>
      <c r="M884">
        <v>0</v>
      </c>
      <c r="N884">
        <v>0</v>
      </c>
      <c r="O884">
        <v>43</v>
      </c>
      <c r="P884">
        <v>43</v>
      </c>
    </row>
    <row r="885" spans="1:16" x14ac:dyDescent="0.3">
      <c r="A885">
        <v>884</v>
      </c>
      <c r="B885" s="4">
        <v>40583</v>
      </c>
      <c r="C885">
        <v>1</v>
      </c>
      <c r="D885">
        <v>0</v>
      </c>
      <c r="E885">
        <v>2</v>
      </c>
      <c r="F885">
        <v>7</v>
      </c>
      <c r="G885" t="b">
        <v>0</v>
      </c>
      <c r="H885">
        <v>3</v>
      </c>
      <c r="I885">
        <v>1</v>
      </c>
      <c r="J885">
        <v>0.06</v>
      </c>
      <c r="K885">
        <v>0.1061</v>
      </c>
      <c r="L885">
        <v>0.49</v>
      </c>
      <c r="M885">
        <v>0.1045</v>
      </c>
      <c r="N885">
        <v>4</v>
      </c>
      <c r="O885">
        <v>95</v>
      </c>
      <c r="P885">
        <v>99</v>
      </c>
    </row>
    <row r="886" spans="1:16" x14ac:dyDescent="0.3">
      <c r="A886">
        <v>885</v>
      </c>
      <c r="B886" s="4">
        <v>40583</v>
      </c>
      <c r="C886">
        <v>1</v>
      </c>
      <c r="D886">
        <v>0</v>
      </c>
      <c r="E886">
        <v>2</v>
      </c>
      <c r="F886">
        <v>8</v>
      </c>
      <c r="G886" t="b">
        <v>0</v>
      </c>
      <c r="H886">
        <v>3</v>
      </c>
      <c r="I886">
        <v>1</v>
      </c>
      <c r="J886">
        <v>0.1</v>
      </c>
      <c r="K886">
        <v>0.13639999999999999</v>
      </c>
      <c r="L886">
        <v>0.42</v>
      </c>
      <c r="M886">
        <v>0</v>
      </c>
      <c r="N886">
        <v>1</v>
      </c>
      <c r="O886">
        <v>198</v>
      </c>
      <c r="P886">
        <v>199</v>
      </c>
    </row>
    <row r="887" spans="1:16" x14ac:dyDescent="0.3">
      <c r="A887">
        <v>886</v>
      </c>
      <c r="B887" s="4">
        <v>40583</v>
      </c>
      <c r="C887">
        <v>1</v>
      </c>
      <c r="D887">
        <v>0</v>
      </c>
      <c r="E887">
        <v>2</v>
      </c>
      <c r="F887">
        <v>9</v>
      </c>
      <c r="G887" t="b">
        <v>0</v>
      </c>
      <c r="H887">
        <v>3</v>
      </c>
      <c r="I887">
        <v>1</v>
      </c>
      <c r="J887">
        <v>0.12</v>
      </c>
      <c r="K887">
        <v>0.13639999999999999</v>
      </c>
      <c r="L887">
        <v>0.39</v>
      </c>
      <c r="M887">
        <v>0.16420000000000001</v>
      </c>
      <c r="N887">
        <v>4</v>
      </c>
      <c r="O887">
        <v>119</v>
      </c>
      <c r="P887">
        <v>123</v>
      </c>
    </row>
    <row r="888" spans="1:16" x14ac:dyDescent="0.3">
      <c r="A888">
        <v>887</v>
      </c>
      <c r="B888" s="4">
        <v>40583</v>
      </c>
      <c r="C888">
        <v>1</v>
      </c>
      <c r="D888">
        <v>0</v>
      </c>
      <c r="E888">
        <v>2</v>
      </c>
      <c r="F888">
        <v>10</v>
      </c>
      <c r="G888" t="b">
        <v>0</v>
      </c>
      <c r="H888">
        <v>3</v>
      </c>
      <c r="I888">
        <v>1</v>
      </c>
      <c r="J888">
        <v>0.14000000000000001</v>
      </c>
      <c r="K888">
        <v>0.18179999999999999</v>
      </c>
      <c r="L888">
        <v>0.36</v>
      </c>
      <c r="M888">
        <v>0</v>
      </c>
      <c r="N888">
        <v>8</v>
      </c>
      <c r="O888">
        <v>51</v>
      </c>
      <c r="P888">
        <v>59</v>
      </c>
    </row>
    <row r="889" spans="1:16" x14ac:dyDescent="0.3">
      <c r="A889">
        <v>888</v>
      </c>
      <c r="B889" s="4">
        <v>40583</v>
      </c>
      <c r="C889">
        <v>1</v>
      </c>
      <c r="D889">
        <v>0</v>
      </c>
      <c r="E889">
        <v>2</v>
      </c>
      <c r="F889">
        <v>11</v>
      </c>
      <c r="G889" t="b">
        <v>0</v>
      </c>
      <c r="H889">
        <v>3</v>
      </c>
      <c r="I889">
        <v>2</v>
      </c>
      <c r="J889">
        <v>0.14000000000000001</v>
      </c>
      <c r="K889">
        <v>0.1515</v>
      </c>
      <c r="L889">
        <v>0.43</v>
      </c>
      <c r="M889">
        <v>0.16420000000000001</v>
      </c>
      <c r="N889">
        <v>1</v>
      </c>
      <c r="O889">
        <v>40</v>
      </c>
      <c r="P889">
        <v>41</v>
      </c>
    </row>
    <row r="890" spans="1:16" x14ac:dyDescent="0.3">
      <c r="A890">
        <v>889</v>
      </c>
      <c r="B890" s="4">
        <v>40583</v>
      </c>
      <c r="C890">
        <v>1</v>
      </c>
      <c r="D890">
        <v>0</v>
      </c>
      <c r="E890">
        <v>2</v>
      </c>
      <c r="F890">
        <v>12</v>
      </c>
      <c r="G890" t="b">
        <v>0</v>
      </c>
      <c r="H890">
        <v>3</v>
      </c>
      <c r="I890">
        <v>2</v>
      </c>
      <c r="J890">
        <v>0.18</v>
      </c>
      <c r="K890">
        <v>0.18179999999999999</v>
      </c>
      <c r="L890">
        <v>0.4</v>
      </c>
      <c r="M890">
        <v>0.22389999999999999</v>
      </c>
      <c r="N890">
        <v>4</v>
      </c>
      <c r="O890">
        <v>57</v>
      </c>
      <c r="P890">
        <v>61</v>
      </c>
    </row>
    <row r="891" spans="1:16" x14ac:dyDescent="0.3">
      <c r="A891">
        <v>890</v>
      </c>
      <c r="B891" s="4">
        <v>40583</v>
      </c>
      <c r="C891">
        <v>1</v>
      </c>
      <c r="D891">
        <v>0</v>
      </c>
      <c r="E891">
        <v>2</v>
      </c>
      <c r="F891">
        <v>13</v>
      </c>
      <c r="G891" t="b">
        <v>0</v>
      </c>
      <c r="H891">
        <v>3</v>
      </c>
      <c r="I891">
        <v>1</v>
      </c>
      <c r="J891">
        <v>0.18</v>
      </c>
      <c r="K891">
        <v>0.16669999999999999</v>
      </c>
      <c r="L891">
        <v>0.4</v>
      </c>
      <c r="M891">
        <v>0.25369999999999998</v>
      </c>
      <c r="N891">
        <v>2</v>
      </c>
      <c r="O891">
        <v>67</v>
      </c>
      <c r="P891">
        <v>69</v>
      </c>
    </row>
    <row r="892" spans="1:16" x14ac:dyDescent="0.3">
      <c r="A892">
        <v>891</v>
      </c>
      <c r="B892" s="4">
        <v>40583</v>
      </c>
      <c r="C892">
        <v>1</v>
      </c>
      <c r="D892">
        <v>0</v>
      </c>
      <c r="E892">
        <v>2</v>
      </c>
      <c r="F892">
        <v>14</v>
      </c>
      <c r="G892" t="b">
        <v>0</v>
      </c>
      <c r="H892">
        <v>3</v>
      </c>
      <c r="I892">
        <v>1</v>
      </c>
      <c r="J892">
        <v>0.2</v>
      </c>
      <c r="K892">
        <v>0.18179999999999999</v>
      </c>
      <c r="L892">
        <v>0.34</v>
      </c>
      <c r="M892">
        <v>0.29849999999999999</v>
      </c>
      <c r="N892">
        <v>2</v>
      </c>
      <c r="O892">
        <v>56</v>
      </c>
      <c r="P892">
        <v>58</v>
      </c>
    </row>
    <row r="893" spans="1:16" x14ac:dyDescent="0.3">
      <c r="A893">
        <v>892</v>
      </c>
      <c r="B893" s="4">
        <v>40583</v>
      </c>
      <c r="C893">
        <v>1</v>
      </c>
      <c r="D893">
        <v>0</v>
      </c>
      <c r="E893">
        <v>2</v>
      </c>
      <c r="F893">
        <v>15</v>
      </c>
      <c r="G893" t="b">
        <v>0</v>
      </c>
      <c r="H893">
        <v>3</v>
      </c>
      <c r="I893">
        <v>2</v>
      </c>
      <c r="J893">
        <v>0.2</v>
      </c>
      <c r="K893">
        <v>0.18179999999999999</v>
      </c>
      <c r="L893">
        <v>0.34</v>
      </c>
      <c r="M893">
        <v>0.28360000000000002</v>
      </c>
      <c r="N893">
        <v>3</v>
      </c>
      <c r="O893">
        <v>61</v>
      </c>
      <c r="P893">
        <v>64</v>
      </c>
    </row>
    <row r="894" spans="1:16" x14ac:dyDescent="0.3">
      <c r="A894">
        <v>893</v>
      </c>
      <c r="B894" s="4">
        <v>40583</v>
      </c>
      <c r="C894">
        <v>1</v>
      </c>
      <c r="D894">
        <v>0</v>
      </c>
      <c r="E894">
        <v>2</v>
      </c>
      <c r="F894">
        <v>16</v>
      </c>
      <c r="G894" t="b">
        <v>0</v>
      </c>
      <c r="H894">
        <v>3</v>
      </c>
      <c r="I894">
        <v>2</v>
      </c>
      <c r="J894">
        <v>0.2</v>
      </c>
      <c r="K894">
        <v>0.19700000000000001</v>
      </c>
      <c r="L894">
        <v>0.37</v>
      </c>
      <c r="M894">
        <v>0.25369999999999998</v>
      </c>
      <c r="N894">
        <v>7</v>
      </c>
      <c r="O894">
        <v>72</v>
      </c>
      <c r="P894">
        <v>79</v>
      </c>
    </row>
    <row r="895" spans="1:16" x14ac:dyDescent="0.3">
      <c r="A895">
        <v>894</v>
      </c>
      <c r="B895" s="4">
        <v>40583</v>
      </c>
      <c r="C895">
        <v>1</v>
      </c>
      <c r="D895">
        <v>0</v>
      </c>
      <c r="E895">
        <v>2</v>
      </c>
      <c r="F895">
        <v>17</v>
      </c>
      <c r="G895" t="b">
        <v>0</v>
      </c>
      <c r="H895">
        <v>3</v>
      </c>
      <c r="I895">
        <v>2</v>
      </c>
      <c r="J895">
        <v>0.2</v>
      </c>
      <c r="K895">
        <v>0.19700000000000001</v>
      </c>
      <c r="L895">
        <v>0.34</v>
      </c>
      <c r="M895">
        <v>0.25369999999999998</v>
      </c>
      <c r="N895">
        <v>9</v>
      </c>
      <c r="O895">
        <v>157</v>
      </c>
      <c r="P895">
        <v>166</v>
      </c>
    </row>
    <row r="896" spans="1:16" x14ac:dyDescent="0.3">
      <c r="A896">
        <v>895</v>
      </c>
      <c r="B896" s="4">
        <v>40583</v>
      </c>
      <c r="C896">
        <v>1</v>
      </c>
      <c r="D896">
        <v>0</v>
      </c>
      <c r="E896">
        <v>2</v>
      </c>
      <c r="F896">
        <v>18</v>
      </c>
      <c r="G896" t="b">
        <v>0</v>
      </c>
      <c r="H896">
        <v>3</v>
      </c>
      <c r="I896">
        <v>2</v>
      </c>
      <c r="J896">
        <v>0.18</v>
      </c>
      <c r="K896">
        <v>0.16669999999999999</v>
      </c>
      <c r="L896">
        <v>0.47</v>
      </c>
      <c r="M896">
        <v>0.29849999999999999</v>
      </c>
      <c r="N896">
        <v>2</v>
      </c>
      <c r="O896">
        <v>168</v>
      </c>
      <c r="P896">
        <v>170</v>
      </c>
    </row>
    <row r="897" spans="1:16" x14ac:dyDescent="0.3">
      <c r="A897">
        <v>896</v>
      </c>
      <c r="B897" s="4">
        <v>40583</v>
      </c>
      <c r="C897">
        <v>1</v>
      </c>
      <c r="D897">
        <v>0</v>
      </c>
      <c r="E897">
        <v>2</v>
      </c>
      <c r="F897">
        <v>19</v>
      </c>
      <c r="G897" t="b">
        <v>0</v>
      </c>
      <c r="H897">
        <v>3</v>
      </c>
      <c r="I897">
        <v>3</v>
      </c>
      <c r="J897">
        <v>0.14000000000000001</v>
      </c>
      <c r="K897">
        <v>0.1212</v>
      </c>
      <c r="L897">
        <v>0.86</v>
      </c>
      <c r="M897">
        <v>0.25369999999999998</v>
      </c>
      <c r="N897">
        <v>1</v>
      </c>
      <c r="O897">
        <v>87</v>
      </c>
      <c r="P897">
        <v>88</v>
      </c>
    </row>
    <row r="898" spans="1:16" x14ac:dyDescent="0.3">
      <c r="A898">
        <v>897</v>
      </c>
      <c r="B898" s="4">
        <v>40583</v>
      </c>
      <c r="C898">
        <v>1</v>
      </c>
      <c r="D898">
        <v>0</v>
      </c>
      <c r="E898">
        <v>2</v>
      </c>
      <c r="F898">
        <v>20</v>
      </c>
      <c r="G898" t="b">
        <v>0</v>
      </c>
      <c r="H898">
        <v>3</v>
      </c>
      <c r="I898">
        <v>3</v>
      </c>
      <c r="J898">
        <v>0.14000000000000001</v>
      </c>
      <c r="K898">
        <v>0.1515</v>
      </c>
      <c r="L898">
        <v>0.86</v>
      </c>
      <c r="M898">
        <v>0.16420000000000001</v>
      </c>
      <c r="N898">
        <v>0</v>
      </c>
      <c r="O898">
        <v>84</v>
      </c>
      <c r="P898">
        <v>84</v>
      </c>
    </row>
    <row r="899" spans="1:16" x14ac:dyDescent="0.3">
      <c r="A899">
        <v>898</v>
      </c>
      <c r="B899" s="4">
        <v>40583</v>
      </c>
      <c r="C899">
        <v>1</v>
      </c>
      <c r="D899">
        <v>0</v>
      </c>
      <c r="E899">
        <v>2</v>
      </c>
      <c r="F899">
        <v>21</v>
      </c>
      <c r="G899" t="b">
        <v>0</v>
      </c>
      <c r="H899">
        <v>3</v>
      </c>
      <c r="I899">
        <v>2</v>
      </c>
      <c r="J899">
        <v>0.14000000000000001</v>
      </c>
      <c r="K899">
        <v>0.1515</v>
      </c>
      <c r="L899">
        <v>0.86</v>
      </c>
      <c r="M899">
        <v>0.16420000000000001</v>
      </c>
      <c r="N899">
        <v>0</v>
      </c>
      <c r="O899">
        <v>83</v>
      </c>
      <c r="P899">
        <v>83</v>
      </c>
    </row>
    <row r="900" spans="1:16" x14ac:dyDescent="0.3">
      <c r="A900">
        <v>899</v>
      </c>
      <c r="B900" s="4">
        <v>40583</v>
      </c>
      <c r="C900">
        <v>1</v>
      </c>
      <c r="D900">
        <v>0</v>
      </c>
      <c r="E900">
        <v>2</v>
      </c>
      <c r="F900">
        <v>22</v>
      </c>
      <c r="G900" t="b">
        <v>0</v>
      </c>
      <c r="H900">
        <v>3</v>
      </c>
      <c r="I900">
        <v>3</v>
      </c>
      <c r="J900">
        <v>0.16</v>
      </c>
      <c r="K900">
        <v>0.16669999999999999</v>
      </c>
      <c r="L900">
        <v>0.8</v>
      </c>
      <c r="M900">
        <v>0.16420000000000001</v>
      </c>
      <c r="N900">
        <v>4</v>
      </c>
      <c r="O900">
        <v>42</v>
      </c>
      <c r="P900">
        <v>46</v>
      </c>
    </row>
    <row r="901" spans="1:16" x14ac:dyDescent="0.3">
      <c r="A901">
        <v>900</v>
      </c>
      <c r="B901" s="4">
        <v>40583</v>
      </c>
      <c r="C901">
        <v>1</v>
      </c>
      <c r="D901">
        <v>0</v>
      </c>
      <c r="E901">
        <v>2</v>
      </c>
      <c r="F901">
        <v>23</v>
      </c>
      <c r="G901" t="b">
        <v>0</v>
      </c>
      <c r="H901">
        <v>3</v>
      </c>
      <c r="I901">
        <v>3</v>
      </c>
      <c r="J901">
        <v>0.16</v>
      </c>
      <c r="K901">
        <v>0.1515</v>
      </c>
      <c r="L901">
        <v>0.8</v>
      </c>
      <c r="M901">
        <v>0.19400000000000001</v>
      </c>
      <c r="N901">
        <v>0</v>
      </c>
      <c r="O901">
        <v>37</v>
      </c>
      <c r="P901">
        <v>37</v>
      </c>
    </row>
    <row r="902" spans="1:16" x14ac:dyDescent="0.3">
      <c r="A902">
        <v>901</v>
      </c>
      <c r="B902" s="4">
        <v>40584</v>
      </c>
      <c r="C902">
        <v>1</v>
      </c>
      <c r="D902">
        <v>0</v>
      </c>
      <c r="E902">
        <v>2</v>
      </c>
      <c r="F902">
        <v>0</v>
      </c>
      <c r="G902" t="b">
        <v>0</v>
      </c>
      <c r="H902">
        <v>4</v>
      </c>
      <c r="I902">
        <v>3</v>
      </c>
      <c r="J902">
        <v>0.14000000000000001</v>
      </c>
      <c r="K902">
        <v>0.13639999999999999</v>
      </c>
      <c r="L902">
        <v>0.86</v>
      </c>
      <c r="M902">
        <v>0.19400000000000001</v>
      </c>
      <c r="N902">
        <v>0</v>
      </c>
      <c r="O902">
        <v>16</v>
      </c>
      <c r="P902">
        <v>16</v>
      </c>
    </row>
    <row r="903" spans="1:16" x14ac:dyDescent="0.3">
      <c r="A903">
        <v>902</v>
      </c>
      <c r="B903" s="4">
        <v>40584</v>
      </c>
      <c r="C903">
        <v>1</v>
      </c>
      <c r="D903">
        <v>0</v>
      </c>
      <c r="E903">
        <v>2</v>
      </c>
      <c r="F903">
        <v>1</v>
      </c>
      <c r="G903" t="b">
        <v>0</v>
      </c>
      <c r="H903">
        <v>4</v>
      </c>
      <c r="I903">
        <v>3</v>
      </c>
      <c r="J903">
        <v>0.14000000000000001</v>
      </c>
      <c r="K903">
        <v>0.1515</v>
      </c>
      <c r="L903">
        <v>0.8</v>
      </c>
      <c r="M903">
        <v>0.1343</v>
      </c>
      <c r="N903">
        <v>0</v>
      </c>
      <c r="O903">
        <v>7</v>
      </c>
      <c r="P903">
        <v>7</v>
      </c>
    </row>
    <row r="904" spans="1:16" x14ac:dyDescent="0.3">
      <c r="A904">
        <v>903</v>
      </c>
      <c r="B904" s="4">
        <v>40584</v>
      </c>
      <c r="C904">
        <v>1</v>
      </c>
      <c r="D904">
        <v>0</v>
      </c>
      <c r="E904">
        <v>2</v>
      </c>
      <c r="F904">
        <v>2</v>
      </c>
      <c r="G904" t="b">
        <v>0</v>
      </c>
      <c r="H904">
        <v>4</v>
      </c>
      <c r="I904">
        <v>3</v>
      </c>
      <c r="J904">
        <v>0.14000000000000001</v>
      </c>
      <c r="K904">
        <v>0.1515</v>
      </c>
      <c r="L904">
        <v>0.8</v>
      </c>
      <c r="M904">
        <v>0.1343</v>
      </c>
      <c r="N904">
        <v>0</v>
      </c>
      <c r="O904">
        <v>3</v>
      </c>
      <c r="P904">
        <v>3</v>
      </c>
    </row>
    <row r="905" spans="1:16" x14ac:dyDescent="0.3">
      <c r="A905">
        <v>904</v>
      </c>
      <c r="B905" s="4">
        <v>40584</v>
      </c>
      <c r="C905">
        <v>1</v>
      </c>
      <c r="D905">
        <v>0</v>
      </c>
      <c r="E905">
        <v>2</v>
      </c>
      <c r="F905">
        <v>4</v>
      </c>
      <c r="G905" t="b">
        <v>0</v>
      </c>
      <c r="H905">
        <v>4</v>
      </c>
      <c r="I905">
        <v>2</v>
      </c>
      <c r="J905">
        <v>0.14000000000000001</v>
      </c>
      <c r="K905">
        <v>0.13639999999999999</v>
      </c>
      <c r="L905">
        <v>0.59</v>
      </c>
      <c r="M905">
        <v>0.22389999999999999</v>
      </c>
      <c r="N905">
        <v>0</v>
      </c>
      <c r="O905">
        <v>1</v>
      </c>
      <c r="P905">
        <v>1</v>
      </c>
    </row>
    <row r="906" spans="1:16" x14ac:dyDescent="0.3">
      <c r="A906">
        <v>905</v>
      </c>
      <c r="B906" s="4">
        <v>40584</v>
      </c>
      <c r="C906">
        <v>1</v>
      </c>
      <c r="D906">
        <v>0</v>
      </c>
      <c r="E906">
        <v>2</v>
      </c>
      <c r="F906">
        <v>5</v>
      </c>
      <c r="G906" t="b">
        <v>0</v>
      </c>
      <c r="H906">
        <v>4</v>
      </c>
      <c r="I906">
        <v>2</v>
      </c>
      <c r="J906">
        <v>0.12</v>
      </c>
      <c r="K906">
        <v>0.1212</v>
      </c>
      <c r="L906">
        <v>0.5</v>
      </c>
      <c r="M906">
        <v>0.22389999999999999</v>
      </c>
      <c r="N906">
        <v>0</v>
      </c>
      <c r="O906">
        <v>6</v>
      </c>
      <c r="P906">
        <v>6</v>
      </c>
    </row>
    <row r="907" spans="1:16" x14ac:dyDescent="0.3">
      <c r="A907">
        <v>906</v>
      </c>
      <c r="B907" s="4">
        <v>40584</v>
      </c>
      <c r="C907">
        <v>1</v>
      </c>
      <c r="D907">
        <v>0</v>
      </c>
      <c r="E907">
        <v>2</v>
      </c>
      <c r="F907">
        <v>6</v>
      </c>
      <c r="G907" t="b">
        <v>0</v>
      </c>
      <c r="H907">
        <v>4</v>
      </c>
      <c r="I907">
        <v>2</v>
      </c>
      <c r="J907">
        <v>0.12</v>
      </c>
      <c r="K907">
        <v>0.1212</v>
      </c>
      <c r="L907">
        <v>0.54</v>
      </c>
      <c r="M907">
        <v>0.28360000000000002</v>
      </c>
      <c r="N907">
        <v>0</v>
      </c>
      <c r="O907">
        <v>26</v>
      </c>
      <c r="P907">
        <v>26</v>
      </c>
    </row>
    <row r="908" spans="1:16" x14ac:dyDescent="0.3">
      <c r="A908">
        <v>907</v>
      </c>
      <c r="B908" s="4">
        <v>40584</v>
      </c>
      <c r="C908">
        <v>1</v>
      </c>
      <c r="D908">
        <v>0</v>
      </c>
      <c r="E908">
        <v>2</v>
      </c>
      <c r="F908">
        <v>7</v>
      </c>
      <c r="G908" t="b">
        <v>0</v>
      </c>
      <c r="H908">
        <v>4</v>
      </c>
      <c r="I908">
        <v>1</v>
      </c>
      <c r="J908">
        <v>0.1</v>
      </c>
      <c r="K908">
        <v>7.5800000000000006E-2</v>
      </c>
      <c r="L908">
        <v>0.5</v>
      </c>
      <c r="M908">
        <v>0.41789999999999999</v>
      </c>
      <c r="N908">
        <v>0</v>
      </c>
      <c r="O908">
        <v>99</v>
      </c>
      <c r="P908">
        <v>99</v>
      </c>
    </row>
    <row r="909" spans="1:16" x14ac:dyDescent="0.3">
      <c r="A909">
        <v>908</v>
      </c>
      <c r="B909" s="4">
        <v>40584</v>
      </c>
      <c r="C909">
        <v>1</v>
      </c>
      <c r="D909">
        <v>0</v>
      </c>
      <c r="E909">
        <v>2</v>
      </c>
      <c r="F909">
        <v>8</v>
      </c>
      <c r="G909" t="b">
        <v>0</v>
      </c>
      <c r="H909">
        <v>4</v>
      </c>
      <c r="I909">
        <v>1</v>
      </c>
      <c r="J909">
        <v>0.1</v>
      </c>
      <c r="K909">
        <v>7.5800000000000006E-2</v>
      </c>
      <c r="L909">
        <v>0.49</v>
      </c>
      <c r="M909">
        <v>0.32840000000000003</v>
      </c>
      <c r="N909">
        <v>5</v>
      </c>
      <c r="O909">
        <v>173</v>
      </c>
      <c r="P909">
        <v>178</v>
      </c>
    </row>
    <row r="910" spans="1:16" x14ac:dyDescent="0.3">
      <c r="A910">
        <v>909</v>
      </c>
      <c r="B910" s="4">
        <v>40584</v>
      </c>
      <c r="C910">
        <v>1</v>
      </c>
      <c r="D910">
        <v>0</v>
      </c>
      <c r="E910">
        <v>2</v>
      </c>
      <c r="F910">
        <v>9</v>
      </c>
      <c r="G910" t="b">
        <v>0</v>
      </c>
      <c r="H910">
        <v>4</v>
      </c>
      <c r="I910">
        <v>1</v>
      </c>
      <c r="J910">
        <v>0.12</v>
      </c>
      <c r="K910">
        <v>0.1061</v>
      </c>
      <c r="L910">
        <v>0.42</v>
      </c>
      <c r="M910">
        <v>0.35820000000000002</v>
      </c>
      <c r="N910">
        <v>1</v>
      </c>
      <c r="O910">
        <v>121</v>
      </c>
      <c r="P910">
        <v>122</v>
      </c>
    </row>
    <row r="911" spans="1:16" x14ac:dyDescent="0.3">
      <c r="A911">
        <v>910</v>
      </c>
      <c r="B911" s="4">
        <v>40584</v>
      </c>
      <c r="C911">
        <v>1</v>
      </c>
      <c r="D911">
        <v>0</v>
      </c>
      <c r="E911">
        <v>2</v>
      </c>
      <c r="F911">
        <v>10</v>
      </c>
      <c r="G911" t="b">
        <v>0</v>
      </c>
      <c r="H911">
        <v>4</v>
      </c>
      <c r="I911">
        <v>1</v>
      </c>
      <c r="J911">
        <v>0.12</v>
      </c>
      <c r="K911">
        <v>0.1061</v>
      </c>
      <c r="L911">
        <v>0.42</v>
      </c>
      <c r="M911">
        <v>0.29849999999999999</v>
      </c>
      <c r="N911">
        <v>1</v>
      </c>
      <c r="O911">
        <v>34</v>
      </c>
      <c r="P911">
        <v>35</v>
      </c>
    </row>
    <row r="912" spans="1:16" x14ac:dyDescent="0.3">
      <c r="A912">
        <v>911</v>
      </c>
      <c r="B912" s="4">
        <v>40584</v>
      </c>
      <c r="C912">
        <v>1</v>
      </c>
      <c r="D912">
        <v>0</v>
      </c>
      <c r="E912">
        <v>2</v>
      </c>
      <c r="F912">
        <v>11</v>
      </c>
      <c r="G912" t="b">
        <v>0</v>
      </c>
      <c r="H912">
        <v>4</v>
      </c>
      <c r="I912">
        <v>1</v>
      </c>
      <c r="J912">
        <v>0.14000000000000001</v>
      </c>
      <c r="K912">
        <v>0.1212</v>
      </c>
      <c r="L912">
        <v>0.39</v>
      </c>
      <c r="M912">
        <v>0.35820000000000002</v>
      </c>
      <c r="N912">
        <v>1</v>
      </c>
      <c r="O912">
        <v>44</v>
      </c>
      <c r="P912">
        <v>45</v>
      </c>
    </row>
    <row r="913" spans="1:16" x14ac:dyDescent="0.3">
      <c r="A913">
        <v>912</v>
      </c>
      <c r="B913" s="4">
        <v>40584</v>
      </c>
      <c r="C913">
        <v>1</v>
      </c>
      <c r="D913">
        <v>0</v>
      </c>
      <c r="E913">
        <v>2</v>
      </c>
      <c r="F913">
        <v>12</v>
      </c>
      <c r="G913" t="b">
        <v>0</v>
      </c>
      <c r="H913">
        <v>4</v>
      </c>
      <c r="I913">
        <v>1</v>
      </c>
      <c r="J913">
        <v>0.16</v>
      </c>
      <c r="K913">
        <v>0.13639999999999999</v>
      </c>
      <c r="L913">
        <v>0.34</v>
      </c>
      <c r="M913">
        <v>0.3881</v>
      </c>
      <c r="N913">
        <v>4</v>
      </c>
      <c r="O913">
        <v>65</v>
      </c>
      <c r="P913">
        <v>69</v>
      </c>
    </row>
    <row r="914" spans="1:16" x14ac:dyDescent="0.3">
      <c r="A914">
        <v>913</v>
      </c>
      <c r="B914" s="4">
        <v>40584</v>
      </c>
      <c r="C914">
        <v>1</v>
      </c>
      <c r="D914">
        <v>0</v>
      </c>
      <c r="E914">
        <v>2</v>
      </c>
      <c r="F914">
        <v>13</v>
      </c>
      <c r="G914" t="b">
        <v>0</v>
      </c>
      <c r="H914">
        <v>4</v>
      </c>
      <c r="I914">
        <v>1</v>
      </c>
      <c r="J914">
        <v>0.18</v>
      </c>
      <c r="K914">
        <v>0.16669999999999999</v>
      </c>
      <c r="L914">
        <v>0.28999999999999998</v>
      </c>
      <c r="M914">
        <v>0.29849999999999999</v>
      </c>
      <c r="N914">
        <v>3</v>
      </c>
      <c r="O914">
        <v>59</v>
      </c>
      <c r="P914">
        <v>62</v>
      </c>
    </row>
    <row r="915" spans="1:16" x14ac:dyDescent="0.3">
      <c r="A915">
        <v>914</v>
      </c>
      <c r="B915" s="4">
        <v>40584</v>
      </c>
      <c r="C915">
        <v>1</v>
      </c>
      <c r="D915">
        <v>0</v>
      </c>
      <c r="E915">
        <v>2</v>
      </c>
      <c r="F915">
        <v>14</v>
      </c>
      <c r="G915" t="b">
        <v>0</v>
      </c>
      <c r="H915">
        <v>4</v>
      </c>
      <c r="I915">
        <v>1</v>
      </c>
      <c r="J915">
        <v>0.2</v>
      </c>
      <c r="K915">
        <v>0.18179999999999999</v>
      </c>
      <c r="L915">
        <v>0.27</v>
      </c>
      <c r="M915">
        <v>0.28360000000000002</v>
      </c>
      <c r="N915">
        <v>6</v>
      </c>
      <c r="O915">
        <v>42</v>
      </c>
      <c r="P915">
        <v>48</v>
      </c>
    </row>
    <row r="916" spans="1:16" x14ac:dyDescent="0.3">
      <c r="A916">
        <v>915</v>
      </c>
      <c r="B916" s="4">
        <v>40584</v>
      </c>
      <c r="C916">
        <v>1</v>
      </c>
      <c r="D916">
        <v>0</v>
      </c>
      <c r="E916">
        <v>2</v>
      </c>
      <c r="F916">
        <v>15</v>
      </c>
      <c r="G916" t="b">
        <v>0</v>
      </c>
      <c r="H916">
        <v>4</v>
      </c>
      <c r="I916">
        <v>1</v>
      </c>
      <c r="J916">
        <v>0.2</v>
      </c>
      <c r="K916">
        <v>0.19700000000000001</v>
      </c>
      <c r="L916">
        <v>0.25</v>
      </c>
      <c r="M916">
        <v>0.25369999999999998</v>
      </c>
      <c r="N916">
        <v>0</v>
      </c>
      <c r="O916">
        <v>50</v>
      </c>
      <c r="P916">
        <v>50</v>
      </c>
    </row>
    <row r="917" spans="1:16" x14ac:dyDescent="0.3">
      <c r="A917">
        <v>916</v>
      </c>
      <c r="B917" s="4">
        <v>40584</v>
      </c>
      <c r="C917">
        <v>1</v>
      </c>
      <c r="D917">
        <v>0</v>
      </c>
      <c r="E917">
        <v>2</v>
      </c>
      <c r="F917">
        <v>16</v>
      </c>
      <c r="G917" t="b">
        <v>0</v>
      </c>
      <c r="H917">
        <v>4</v>
      </c>
      <c r="I917">
        <v>1</v>
      </c>
      <c r="J917">
        <v>0.2</v>
      </c>
      <c r="K917">
        <v>0.18179999999999999</v>
      </c>
      <c r="L917">
        <v>0.27</v>
      </c>
      <c r="M917">
        <v>0.29849999999999999</v>
      </c>
      <c r="N917">
        <v>4</v>
      </c>
      <c r="O917">
        <v>76</v>
      </c>
      <c r="P917">
        <v>80</v>
      </c>
    </row>
    <row r="918" spans="1:16" x14ac:dyDescent="0.3">
      <c r="A918">
        <v>917</v>
      </c>
      <c r="B918" s="4">
        <v>40584</v>
      </c>
      <c r="C918">
        <v>1</v>
      </c>
      <c r="D918">
        <v>0</v>
      </c>
      <c r="E918">
        <v>2</v>
      </c>
      <c r="F918">
        <v>17</v>
      </c>
      <c r="G918" t="b">
        <v>0</v>
      </c>
      <c r="H918">
        <v>4</v>
      </c>
      <c r="I918">
        <v>1</v>
      </c>
      <c r="J918">
        <v>0.18</v>
      </c>
      <c r="K918">
        <v>0.18179999999999999</v>
      </c>
      <c r="L918">
        <v>0.26</v>
      </c>
      <c r="M918">
        <v>0.19400000000000001</v>
      </c>
      <c r="N918">
        <v>6</v>
      </c>
      <c r="O918">
        <v>159</v>
      </c>
      <c r="P918">
        <v>165</v>
      </c>
    </row>
    <row r="919" spans="1:16" x14ac:dyDescent="0.3">
      <c r="A919">
        <v>918</v>
      </c>
      <c r="B919" s="4">
        <v>40584</v>
      </c>
      <c r="C919">
        <v>1</v>
      </c>
      <c r="D919">
        <v>0</v>
      </c>
      <c r="E919">
        <v>2</v>
      </c>
      <c r="F919">
        <v>18</v>
      </c>
      <c r="G919" t="b">
        <v>0</v>
      </c>
      <c r="H919">
        <v>4</v>
      </c>
      <c r="I919">
        <v>1</v>
      </c>
      <c r="J919">
        <v>0.16</v>
      </c>
      <c r="K919">
        <v>0.18179999999999999</v>
      </c>
      <c r="L919">
        <v>0.28000000000000003</v>
      </c>
      <c r="M919">
        <v>0.1343</v>
      </c>
      <c r="N919">
        <v>3</v>
      </c>
      <c r="O919">
        <v>157</v>
      </c>
      <c r="P919">
        <v>160</v>
      </c>
    </row>
    <row r="920" spans="1:16" x14ac:dyDescent="0.3">
      <c r="A920">
        <v>919</v>
      </c>
      <c r="B920" s="4">
        <v>40584</v>
      </c>
      <c r="C920">
        <v>1</v>
      </c>
      <c r="D920">
        <v>0</v>
      </c>
      <c r="E920">
        <v>2</v>
      </c>
      <c r="F920">
        <v>19</v>
      </c>
      <c r="G920" t="b">
        <v>0</v>
      </c>
      <c r="H920">
        <v>4</v>
      </c>
      <c r="I920">
        <v>1</v>
      </c>
      <c r="J920">
        <v>0.14000000000000001</v>
      </c>
      <c r="K920">
        <v>0.16669999999999999</v>
      </c>
      <c r="L920">
        <v>0.28000000000000003</v>
      </c>
      <c r="M920">
        <v>0.1045</v>
      </c>
      <c r="N920">
        <v>2</v>
      </c>
      <c r="O920">
        <v>110</v>
      </c>
      <c r="P920">
        <v>112</v>
      </c>
    </row>
    <row r="921" spans="1:16" x14ac:dyDescent="0.3">
      <c r="A921">
        <v>920</v>
      </c>
      <c r="B921" s="4">
        <v>40584</v>
      </c>
      <c r="C921">
        <v>1</v>
      </c>
      <c r="D921">
        <v>0</v>
      </c>
      <c r="E921">
        <v>2</v>
      </c>
      <c r="F921">
        <v>20</v>
      </c>
      <c r="G921" t="b">
        <v>0</v>
      </c>
      <c r="H921">
        <v>4</v>
      </c>
      <c r="I921">
        <v>1</v>
      </c>
      <c r="J921">
        <v>0.14000000000000001</v>
      </c>
      <c r="K921">
        <v>0.18179999999999999</v>
      </c>
      <c r="L921">
        <v>0.31</v>
      </c>
      <c r="M921">
        <v>8.9599999999999999E-2</v>
      </c>
      <c r="N921">
        <v>4</v>
      </c>
      <c r="O921">
        <v>93</v>
      </c>
      <c r="P921">
        <v>97</v>
      </c>
    </row>
    <row r="922" spans="1:16" x14ac:dyDescent="0.3">
      <c r="A922">
        <v>921</v>
      </c>
      <c r="B922" s="4">
        <v>40584</v>
      </c>
      <c r="C922">
        <v>1</v>
      </c>
      <c r="D922">
        <v>0</v>
      </c>
      <c r="E922">
        <v>2</v>
      </c>
      <c r="F922">
        <v>21</v>
      </c>
      <c r="G922" t="b">
        <v>0</v>
      </c>
      <c r="H922">
        <v>4</v>
      </c>
      <c r="I922">
        <v>1</v>
      </c>
      <c r="J922">
        <v>0.14000000000000001</v>
      </c>
      <c r="K922">
        <v>0.21210000000000001</v>
      </c>
      <c r="L922">
        <v>0.39</v>
      </c>
      <c r="M922">
        <v>0</v>
      </c>
      <c r="N922">
        <v>2</v>
      </c>
      <c r="O922">
        <v>70</v>
      </c>
      <c r="P922">
        <v>72</v>
      </c>
    </row>
    <row r="923" spans="1:16" x14ac:dyDescent="0.3">
      <c r="A923">
        <v>922</v>
      </c>
      <c r="B923" s="4">
        <v>40584</v>
      </c>
      <c r="C923">
        <v>1</v>
      </c>
      <c r="D923">
        <v>0</v>
      </c>
      <c r="E923">
        <v>2</v>
      </c>
      <c r="F923">
        <v>22</v>
      </c>
      <c r="G923" t="b">
        <v>0</v>
      </c>
      <c r="H923">
        <v>4</v>
      </c>
      <c r="I923">
        <v>1</v>
      </c>
      <c r="J923">
        <v>0.12</v>
      </c>
      <c r="K923">
        <v>0.19700000000000001</v>
      </c>
      <c r="L923">
        <v>0.39</v>
      </c>
      <c r="M923">
        <v>0</v>
      </c>
      <c r="N923">
        <v>4</v>
      </c>
      <c r="O923">
        <v>47</v>
      </c>
      <c r="P923">
        <v>51</v>
      </c>
    </row>
    <row r="924" spans="1:16" x14ac:dyDescent="0.3">
      <c r="A924">
        <v>923</v>
      </c>
      <c r="B924" s="4">
        <v>40584</v>
      </c>
      <c r="C924">
        <v>1</v>
      </c>
      <c r="D924">
        <v>0</v>
      </c>
      <c r="E924">
        <v>2</v>
      </c>
      <c r="F924">
        <v>23</v>
      </c>
      <c r="G924" t="b">
        <v>0</v>
      </c>
      <c r="H924">
        <v>4</v>
      </c>
      <c r="I924">
        <v>1</v>
      </c>
      <c r="J924">
        <v>0.12</v>
      </c>
      <c r="K924">
        <v>0.1515</v>
      </c>
      <c r="L924">
        <v>0.42</v>
      </c>
      <c r="M924">
        <v>0.1045</v>
      </c>
      <c r="N924">
        <v>1</v>
      </c>
      <c r="O924">
        <v>33</v>
      </c>
      <c r="P924">
        <v>34</v>
      </c>
    </row>
    <row r="925" spans="1:16" x14ac:dyDescent="0.3">
      <c r="A925">
        <v>924</v>
      </c>
      <c r="B925" s="4">
        <v>40585</v>
      </c>
      <c r="C925">
        <v>1</v>
      </c>
      <c r="D925">
        <v>0</v>
      </c>
      <c r="E925">
        <v>2</v>
      </c>
      <c r="F925">
        <v>0</v>
      </c>
      <c r="G925" t="b">
        <v>0</v>
      </c>
      <c r="H925">
        <v>5</v>
      </c>
      <c r="I925">
        <v>1</v>
      </c>
      <c r="J925">
        <v>0.1</v>
      </c>
      <c r="K925">
        <v>0.13639999999999999</v>
      </c>
      <c r="L925">
        <v>0.49</v>
      </c>
      <c r="M925">
        <v>0.1045</v>
      </c>
      <c r="N925">
        <v>2</v>
      </c>
      <c r="O925">
        <v>12</v>
      </c>
      <c r="P925">
        <v>14</v>
      </c>
    </row>
    <row r="926" spans="1:16" x14ac:dyDescent="0.3">
      <c r="A926">
        <v>925</v>
      </c>
      <c r="B926" s="4">
        <v>40585</v>
      </c>
      <c r="C926">
        <v>1</v>
      </c>
      <c r="D926">
        <v>0</v>
      </c>
      <c r="E926">
        <v>2</v>
      </c>
      <c r="F926">
        <v>1</v>
      </c>
      <c r="G926" t="b">
        <v>0</v>
      </c>
      <c r="H926">
        <v>5</v>
      </c>
      <c r="I926">
        <v>1</v>
      </c>
      <c r="J926">
        <v>0.1</v>
      </c>
      <c r="K926">
        <v>0.13639999999999999</v>
      </c>
      <c r="L926">
        <v>0.54</v>
      </c>
      <c r="M926">
        <v>8.9599999999999999E-2</v>
      </c>
      <c r="N926">
        <v>1</v>
      </c>
      <c r="O926">
        <v>6</v>
      </c>
      <c r="P926">
        <v>7</v>
      </c>
    </row>
    <row r="927" spans="1:16" x14ac:dyDescent="0.3">
      <c r="A927">
        <v>926</v>
      </c>
      <c r="B927" s="4">
        <v>40585</v>
      </c>
      <c r="C927">
        <v>1</v>
      </c>
      <c r="D927">
        <v>0</v>
      </c>
      <c r="E927">
        <v>2</v>
      </c>
      <c r="F927">
        <v>2</v>
      </c>
      <c r="G927" t="b">
        <v>0</v>
      </c>
      <c r="H927">
        <v>5</v>
      </c>
      <c r="I927">
        <v>1</v>
      </c>
      <c r="J927">
        <v>0.1</v>
      </c>
      <c r="K927">
        <v>0.13639999999999999</v>
      </c>
      <c r="L927">
        <v>0.54</v>
      </c>
      <c r="M927">
        <v>8.9599999999999999E-2</v>
      </c>
      <c r="N927">
        <v>0</v>
      </c>
      <c r="O927">
        <v>3</v>
      </c>
      <c r="P927">
        <v>3</v>
      </c>
    </row>
    <row r="928" spans="1:16" x14ac:dyDescent="0.3">
      <c r="A928">
        <v>927</v>
      </c>
      <c r="B928" s="4">
        <v>40585</v>
      </c>
      <c r="C928">
        <v>1</v>
      </c>
      <c r="D928">
        <v>0</v>
      </c>
      <c r="E928">
        <v>2</v>
      </c>
      <c r="F928">
        <v>5</v>
      </c>
      <c r="G928" t="b">
        <v>0</v>
      </c>
      <c r="H928">
        <v>5</v>
      </c>
      <c r="I928">
        <v>1</v>
      </c>
      <c r="J928">
        <v>0.08</v>
      </c>
      <c r="K928">
        <v>0.1212</v>
      </c>
      <c r="L928">
        <v>0.63</v>
      </c>
      <c r="M928">
        <v>8.9599999999999999E-2</v>
      </c>
      <c r="N928">
        <v>0</v>
      </c>
      <c r="O928">
        <v>4</v>
      </c>
      <c r="P928">
        <v>4</v>
      </c>
    </row>
    <row r="929" spans="1:16" x14ac:dyDescent="0.3">
      <c r="A929">
        <v>928</v>
      </c>
      <c r="B929" s="4">
        <v>40585</v>
      </c>
      <c r="C929">
        <v>1</v>
      </c>
      <c r="D929">
        <v>0</v>
      </c>
      <c r="E929">
        <v>2</v>
      </c>
      <c r="F929">
        <v>6</v>
      </c>
      <c r="G929" t="b">
        <v>0</v>
      </c>
      <c r="H929">
        <v>5</v>
      </c>
      <c r="I929">
        <v>1</v>
      </c>
      <c r="J929">
        <v>0.1</v>
      </c>
      <c r="K929">
        <v>0.18179999999999999</v>
      </c>
      <c r="L929">
        <v>0.68</v>
      </c>
      <c r="M929">
        <v>0</v>
      </c>
      <c r="N929">
        <v>1</v>
      </c>
      <c r="O929">
        <v>23</v>
      </c>
      <c r="P929">
        <v>24</v>
      </c>
    </row>
    <row r="930" spans="1:16" x14ac:dyDescent="0.3">
      <c r="A930">
        <v>929</v>
      </c>
      <c r="B930" s="4">
        <v>40585</v>
      </c>
      <c r="C930">
        <v>1</v>
      </c>
      <c r="D930">
        <v>0</v>
      </c>
      <c r="E930">
        <v>2</v>
      </c>
      <c r="F930">
        <v>7</v>
      </c>
      <c r="G930" t="b">
        <v>0</v>
      </c>
      <c r="H930">
        <v>5</v>
      </c>
      <c r="I930">
        <v>1</v>
      </c>
      <c r="J930">
        <v>0.08</v>
      </c>
      <c r="K930">
        <v>0.16669999999999999</v>
      </c>
      <c r="L930">
        <v>0.73</v>
      </c>
      <c r="M930">
        <v>0</v>
      </c>
      <c r="N930">
        <v>1</v>
      </c>
      <c r="O930">
        <v>73</v>
      </c>
      <c r="P930">
        <v>74</v>
      </c>
    </row>
    <row r="931" spans="1:16" x14ac:dyDescent="0.3">
      <c r="A931">
        <v>930</v>
      </c>
      <c r="B931" s="4">
        <v>40585</v>
      </c>
      <c r="C931">
        <v>1</v>
      </c>
      <c r="D931">
        <v>0</v>
      </c>
      <c r="E931">
        <v>2</v>
      </c>
      <c r="F931">
        <v>8</v>
      </c>
      <c r="G931" t="b">
        <v>0</v>
      </c>
      <c r="H931">
        <v>5</v>
      </c>
      <c r="I931">
        <v>1</v>
      </c>
      <c r="J931">
        <v>0.1</v>
      </c>
      <c r="K931">
        <v>0.1212</v>
      </c>
      <c r="L931">
        <v>0.74</v>
      </c>
      <c r="M931">
        <v>0.16420000000000001</v>
      </c>
      <c r="N931">
        <v>4</v>
      </c>
      <c r="O931">
        <v>212</v>
      </c>
      <c r="P931">
        <v>216</v>
      </c>
    </row>
    <row r="932" spans="1:16" x14ac:dyDescent="0.3">
      <c r="A932">
        <v>931</v>
      </c>
      <c r="B932" s="4">
        <v>40585</v>
      </c>
      <c r="C932">
        <v>1</v>
      </c>
      <c r="D932">
        <v>0</v>
      </c>
      <c r="E932">
        <v>2</v>
      </c>
      <c r="F932">
        <v>9</v>
      </c>
      <c r="G932" t="b">
        <v>0</v>
      </c>
      <c r="H932">
        <v>5</v>
      </c>
      <c r="I932">
        <v>1</v>
      </c>
      <c r="J932">
        <v>0.12</v>
      </c>
      <c r="K932">
        <v>0.1212</v>
      </c>
      <c r="L932">
        <v>0.74</v>
      </c>
      <c r="M932">
        <v>0.22389999999999999</v>
      </c>
      <c r="N932">
        <v>8</v>
      </c>
      <c r="O932">
        <v>132</v>
      </c>
      <c r="P932">
        <v>140</v>
      </c>
    </row>
    <row r="933" spans="1:16" x14ac:dyDescent="0.3">
      <c r="A933">
        <v>932</v>
      </c>
      <c r="B933" s="4">
        <v>40585</v>
      </c>
      <c r="C933">
        <v>1</v>
      </c>
      <c r="D933">
        <v>0</v>
      </c>
      <c r="E933">
        <v>2</v>
      </c>
      <c r="F933">
        <v>10</v>
      </c>
      <c r="G933" t="b">
        <v>0</v>
      </c>
      <c r="H933">
        <v>5</v>
      </c>
      <c r="I933">
        <v>1</v>
      </c>
      <c r="J933">
        <v>0.14000000000000001</v>
      </c>
      <c r="K933">
        <v>0.13639999999999999</v>
      </c>
      <c r="L933">
        <v>0.69</v>
      </c>
      <c r="M933">
        <v>0.19400000000000001</v>
      </c>
      <c r="N933">
        <v>5</v>
      </c>
      <c r="O933">
        <v>39</v>
      </c>
      <c r="P933">
        <v>44</v>
      </c>
    </row>
    <row r="934" spans="1:16" x14ac:dyDescent="0.3">
      <c r="A934">
        <v>933</v>
      </c>
      <c r="B934" s="4">
        <v>40585</v>
      </c>
      <c r="C934">
        <v>1</v>
      </c>
      <c r="D934">
        <v>0</v>
      </c>
      <c r="E934">
        <v>2</v>
      </c>
      <c r="F934">
        <v>11</v>
      </c>
      <c r="G934" t="b">
        <v>0</v>
      </c>
      <c r="H934">
        <v>5</v>
      </c>
      <c r="I934">
        <v>1</v>
      </c>
      <c r="J934">
        <v>0.22</v>
      </c>
      <c r="K934">
        <v>0.2273</v>
      </c>
      <c r="L934">
        <v>0.47</v>
      </c>
      <c r="M934">
        <v>0.1343</v>
      </c>
      <c r="N934">
        <v>12</v>
      </c>
      <c r="O934">
        <v>52</v>
      </c>
      <c r="P934">
        <v>64</v>
      </c>
    </row>
    <row r="935" spans="1:16" x14ac:dyDescent="0.3">
      <c r="A935">
        <v>934</v>
      </c>
      <c r="B935" s="4">
        <v>40585</v>
      </c>
      <c r="C935">
        <v>1</v>
      </c>
      <c r="D935">
        <v>0</v>
      </c>
      <c r="E935">
        <v>2</v>
      </c>
      <c r="F935">
        <v>12</v>
      </c>
      <c r="G935" t="b">
        <v>0</v>
      </c>
      <c r="H935">
        <v>5</v>
      </c>
      <c r="I935">
        <v>1</v>
      </c>
      <c r="J935">
        <v>0.22</v>
      </c>
      <c r="K935">
        <v>0.2273</v>
      </c>
      <c r="L935">
        <v>0.47</v>
      </c>
      <c r="M935">
        <v>0.1343</v>
      </c>
      <c r="N935">
        <v>7</v>
      </c>
      <c r="O935">
        <v>64</v>
      </c>
      <c r="P935">
        <v>71</v>
      </c>
    </row>
    <row r="936" spans="1:16" x14ac:dyDescent="0.3">
      <c r="A936">
        <v>935</v>
      </c>
      <c r="B936" s="4">
        <v>40585</v>
      </c>
      <c r="C936">
        <v>1</v>
      </c>
      <c r="D936">
        <v>0</v>
      </c>
      <c r="E936">
        <v>2</v>
      </c>
      <c r="F936">
        <v>13</v>
      </c>
      <c r="G936" t="b">
        <v>0</v>
      </c>
      <c r="H936">
        <v>5</v>
      </c>
      <c r="I936">
        <v>1</v>
      </c>
      <c r="J936">
        <v>0.24</v>
      </c>
      <c r="K936">
        <v>0.2273</v>
      </c>
      <c r="L936">
        <v>0.35</v>
      </c>
      <c r="M936">
        <v>0.19400000000000001</v>
      </c>
      <c r="N936">
        <v>21</v>
      </c>
      <c r="O936">
        <v>89</v>
      </c>
      <c r="P936">
        <v>110</v>
      </c>
    </row>
    <row r="937" spans="1:16" x14ac:dyDescent="0.3">
      <c r="A937">
        <v>936</v>
      </c>
      <c r="B937" s="4">
        <v>40585</v>
      </c>
      <c r="C937">
        <v>1</v>
      </c>
      <c r="D937">
        <v>0</v>
      </c>
      <c r="E937">
        <v>2</v>
      </c>
      <c r="F937">
        <v>14</v>
      </c>
      <c r="G937" t="b">
        <v>0</v>
      </c>
      <c r="H937">
        <v>5</v>
      </c>
      <c r="I937">
        <v>1</v>
      </c>
      <c r="J937">
        <v>0.3</v>
      </c>
      <c r="K937">
        <v>0.28789999999999999</v>
      </c>
      <c r="L937">
        <v>0.26</v>
      </c>
      <c r="M937">
        <v>0.25369999999999998</v>
      </c>
      <c r="N937">
        <v>17</v>
      </c>
      <c r="O937">
        <v>67</v>
      </c>
      <c r="P937">
        <v>84</v>
      </c>
    </row>
    <row r="938" spans="1:16" x14ac:dyDescent="0.3">
      <c r="A938">
        <v>937</v>
      </c>
      <c r="B938" s="4">
        <v>40585</v>
      </c>
      <c r="C938">
        <v>1</v>
      </c>
      <c r="D938">
        <v>0</v>
      </c>
      <c r="E938">
        <v>2</v>
      </c>
      <c r="F938">
        <v>15</v>
      </c>
      <c r="G938" t="b">
        <v>0</v>
      </c>
      <c r="H938">
        <v>5</v>
      </c>
      <c r="I938">
        <v>1</v>
      </c>
      <c r="J938">
        <v>0.32</v>
      </c>
      <c r="K938">
        <v>0.31819999999999998</v>
      </c>
      <c r="L938">
        <v>0.21</v>
      </c>
      <c r="M938">
        <v>0.16420000000000001</v>
      </c>
      <c r="N938">
        <v>12</v>
      </c>
      <c r="O938">
        <v>62</v>
      </c>
      <c r="P938">
        <v>74</v>
      </c>
    </row>
    <row r="939" spans="1:16" x14ac:dyDescent="0.3">
      <c r="A939">
        <v>938</v>
      </c>
      <c r="B939" s="4">
        <v>40585</v>
      </c>
      <c r="C939">
        <v>1</v>
      </c>
      <c r="D939">
        <v>0</v>
      </c>
      <c r="E939">
        <v>2</v>
      </c>
      <c r="F939">
        <v>16</v>
      </c>
      <c r="G939" t="b">
        <v>0</v>
      </c>
      <c r="H939">
        <v>5</v>
      </c>
      <c r="I939">
        <v>1</v>
      </c>
      <c r="J939">
        <v>0.3</v>
      </c>
      <c r="K939">
        <v>0.28789999999999999</v>
      </c>
      <c r="L939">
        <v>0.28000000000000003</v>
      </c>
      <c r="M939">
        <v>0.19400000000000001</v>
      </c>
      <c r="N939">
        <v>14</v>
      </c>
      <c r="O939">
        <v>111</v>
      </c>
      <c r="P939">
        <v>125</v>
      </c>
    </row>
    <row r="940" spans="1:16" x14ac:dyDescent="0.3">
      <c r="A940">
        <v>939</v>
      </c>
      <c r="B940" s="4">
        <v>40585</v>
      </c>
      <c r="C940">
        <v>1</v>
      </c>
      <c r="D940">
        <v>0</v>
      </c>
      <c r="E940">
        <v>2</v>
      </c>
      <c r="F940">
        <v>17</v>
      </c>
      <c r="G940" t="b">
        <v>0</v>
      </c>
      <c r="H940">
        <v>5</v>
      </c>
      <c r="I940">
        <v>1</v>
      </c>
      <c r="J940">
        <v>0.3</v>
      </c>
      <c r="K940">
        <v>0.33329999999999999</v>
      </c>
      <c r="L940">
        <v>0.24</v>
      </c>
      <c r="M940">
        <v>0</v>
      </c>
      <c r="N940">
        <v>18</v>
      </c>
      <c r="O940">
        <v>193</v>
      </c>
      <c r="P940">
        <v>211</v>
      </c>
    </row>
    <row r="941" spans="1:16" x14ac:dyDescent="0.3">
      <c r="A941">
        <v>940</v>
      </c>
      <c r="B941" s="4">
        <v>40585</v>
      </c>
      <c r="C941">
        <v>1</v>
      </c>
      <c r="D941">
        <v>0</v>
      </c>
      <c r="E941">
        <v>2</v>
      </c>
      <c r="F941">
        <v>18</v>
      </c>
      <c r="G941" t="b">
        <v>0</v>
      </c>
      <c r="H941">
        <v>5</v>
      </c>
      <c r="I941">
        <v>1</v>
      </c>
      <c r="J941">
        <v>0.28000000000000003</v>
      </c>
      <c r="K941">
        <v>0.31819999999999998</v>
      </c>
      <c r="L941">
        <v>0.28000000000000003</v>
      </c>
      <c r="M941">
        <v>0</v>
      </c>
      <c r="N941">
        <v>9</v>
      </c>
      <c r="O941">
        <v>165</v>
      </c>
      <c r="P941">
        <v>174</v>
      </c>
    </row>
    <row r="942" spans="1:16" x14ac:dyDescent="0.3">
      <c r="A942">
        <v>941</v>
      </c>
      <c r="B942" s="4">
        <v>40585</v>
      </c>
      <c r="C942">
        <v>1</v>
      </c>
      <c r="D942">
        <v>0</v>
      </c>
      <c r="E942">
        <v>2</v>
      </c>
      <c r="F942">
        <v>19</v>
      </c>
      <c r="G942" t="b">
        <v>0</v>
      </c>
      <c r="H942">
        <v>5</v>
      </c>
      <c r="I942">
        <v>1</v>
      </c>
      <c r="J942">
        <v>0.26</v>
      </c>
      <c r="K942">
        <v>0.30299999999999999</v>
      </c>
      <c r="L942">
        <v>0.33</v>
      </c>
      <c r="M942">
        <v>0</v>
      </c>
      <c r="N942">
        <v>7</v>
      </c>
      <c r="O942">
        <v>94</v>
      </c>
      <c r="P942">
        <v>101</v>
      </c>
    </row>
    <row r="943" spans="1:16" x14ac:dyDescent="0.3">
      <c r="A943">
        <v>942</v>
      </c>
      <c r="B943" s="4">
        <v>40585</v>
      </c>
      <c r="C943">
        <v>1</v>
      </c>
      <c r="D943">
        <v>0</v>
      </c>
      <c r="E943">
        <v>2</v>
      </c>
      <c r="F943">
        <v>20</v>
      </c>
      <c r="G943" t="b">
        <v>0</v>
      </c>
      <c r="H943">
        <v>5</v>
      </c>
      <c r="I943">
        <v>1</v>
      </c>
      <c r="J943">
        <v>0.22</v>
      </c>
      <c r="K943">
        <v>0.2273</v>
      </c>
      <c r="L943">
        <v>0.55000000000000004</v>
      </c>
      <c r="M943">
        <v>0.1343</v>
      </c>
      <c r="N943">
        <v>2</v>
      </c>
      <c r="O943">
        <v>61</v>
      </c>
      <c r="P943">
        <v>63</v>
      </c>
    </row>
    <row r="944" spans="1:16" x14ac:dyDescent="0.3">
      <c r="A944">
        <v>943</v>
      </c>
      <c r="B944" s="4">
        <v>40585</v>
      </c>
      <c r="C944">
        <v>1</v>
      </c>
      <c r="D944">
        <v>0</v>
      </c>
      <c r="E944">
        <v>2</v>
      </c>
      <c r="F944">
        <v>21</v>
      </c>
      <c r="G944" t="b">
        <v>0</v>
      </c>
      <c r="H944">
        <v>5</v>
      </c>
      <c r="I944">
        <v>1</v>
      </c>
      <c r="J944">
        <v>0.2</v>
      </c>
      <c r="K944">
        <v>0.21210000000000001</v>
      </c>
      <c r="L944">
        <v>0.59</v>
      </c>
      <c r="M944">
        <v>0.1343</v>
      </c>
      <c r="N944">
        <v>1</v>
      </c>
      <c r="O944">
        <v>46</v>
      </c>
      <c r="P944">
        <v>47</v>
      </c>
    </row>
    <row r="945" spans="1:16" x14ac:dyDescent="0.3">
      <c r="A945">
        <v>944</v>
      </c>
      <c r="B945" s="4">
        <v>40585</v>
      </c>
      <c r="C945">
        <v>1</v>
      </c>
      <c r="D945">
        <v>0</v>
      </c>
      <c r="E945">
        <v>2</v>
      </c>
      <c r="F945">
        <v>22</v>
      </c>
      <c r="G945" t="b">
        <v>0</v>
      </c>
      <c r="H945">
        <v>5</v>
      </c>
      <c r="I945">
        <v>1</v>
      </c>
      <c r="J945">
        <v>0.2</v>
      </c>
      <c r="K945">
        <v>0.2273</v>
      </c>
      <c r="L945">
        <v>0.64</v>
      </c>
      <c r="M945">
        <v>8.9599999999999999E-2</v>
      </c>
      <c r="N945">
        <v>2</v>
      </c>
      <c r="O945">
        <v>41</v>
      </c>
      <c r="P945">
        <v>43</v>
      </c>
    </row>
    <row r="946" spans="1:16" x14ac:dyDescent="0.3">
      <c r="A946">
        <v>945</v>
      </c>
      <c r="B946" s="4">
        <v>40585</v>
      </c>
      <c r="C946">
        <v>1</v>
      </c>
      <c r="D946">
        <v>0</v>
      </c>
      <c r="E946">
        <v>2</v>
      </c>
      <c r="F946">
        <v>23</v>
      </c>
      <c r="G946" t="b">
        <v>0</v>
      </c>
      <c r="H946">
        <v>5</v>
      </c>
      <c r="I946">
        <v>1</v>
      </c>
      <c r="J946">
        <v>0.18</v>
      </c>
      <c r="K946">
        <v>0.2424</v>
      </c>
      <c r="L946">
        <v>0.69</v>
      </c>
      <c r="M946">
        <v>0</v>
      </c>
      <c r="N946">
        <v>5</v>
      </c>
      <c r="O946">
        <v>48</v>
      </c>
      <c r="P946">
        <v>53</v>
      </c>
    </row>
    <row r="947" spans="1:16" x14ac:dyDescent="0.3">
      <c r="A947">
        <v>946</v>
      </c>
      <c r="B947" s="4">
        <v>40586</v>
      </c>
      <c r="C947">
        <v>1</v>
      </c>
      <c r="D947">
        <v>0</v>
      </c>
      <c r="E947">
        <v>2</v>
      </c>
      <c r="F947">
        <v>0</v>
      </c>
      <c r="G947" t="b">
        <v>0</v>
      </c>
      <c r="H947">
        <v>6</v>
      </c>
      <c r="I947">
        <v>1</v>
      </c>
      <c r="J947">
        <v>0.16</v>
      </c>
      <c r="K947">
        <v>0.19700000000000001</v>
      </c>
      <c r="L947">
        <v>0.69</v>
      </c>
      <c r="M947">
        <v>8.9599999999999999E-2</v>
      </c>
      <c r="N947">
        <v>3</v>
      </c>
      <c r="O947">
        <v>27</v>
      </c>
      <c r="P947">
        <v>30</v>
      </c>
    </row>
    <row r="948" spans="1:16" x14ac:dyDescent="0.3">
      <c r="A948">
        <v>947</v>
      </c>
      <c r="B948" s="4">
        <v>40586</v>
      </c>
      <c r="C948">
        <v>1</v>
      </c>
      <c r="D948">
        <v>0</v>
      </c>
      <c r="E948">
        <v>2</v>
      </c>
      <c r="F948">
        <v>1</v>
      </c>
      <c r="G948" t="b">
        <v>0</v>
      </c>
      <c r="H948">
        <v>6</v>
      </c>
      <c r="I948">
        <v>1</v>
      </c>
      <c r="J948">
        <v>0.14000000000000001</v>
      </c>
      <c r="K948">
        <v>0.21210000000000001</v>
      </c>
      <c r="L948">
        <v>0.86</v>
      </c>
      <c r="M948">
        <v>0</v>
      </c>
      <c r="N948">
        <v>2</v>
      </c>
      <c r="O948">
        <v>22</v>
      </c>
      <c r="P948">
        <v>24</v>
      </c>
    </row>
    <row r="949" spans="1:16" x14ac:dyDescent="0.3">
      <c r="A949">
        <v>948</v>
      </c>
      <c r="B949" s="4">
        <v>40586</v>
      </c>
      <c r="C949">
        <v>1</v>
      </c>
      <c r="D949">
        <v>0</v>
      </c>
      <c r="E949">
        <v>2</v>
      </c>
      <c r="F949">
        <v>2</v>
      </c>
      <c r="G949" t="b">
        <v>0</v>
      </c>
      <c r="H949">
        <v>6</v>
      </c>
      <c r="I949">
        <v>1</v>
      </c>
      <c r="J949">
        <v>0.14000000000000001</v>
      </c>
      <c r="K949">
        <v>0.21210000000000001</v>
      </c>
      <c r="L949">
        <v>0.8</v>
      </c>
      <c r="M949">
        <v>0</v>
      </c>
      <c r="N949">
        <v>2</v>
      </c>
      <c r="O949">
        <v>13</v>
      </c>
      <c r="P949">
        <v>15</v>
      </c>
    </row>
    <row r="950" spans="1:16" x14ac:dyDescent="0.3">
      <c r="A950">
        <v>949</v>
      </c>
      <c r="B950" s="4">
        <v>40586</v>
      </c>
      <c r="C950">
        <v>1</v>
      </c>
      <c r="D950">
        <v>0</v>
      </c>
      <c r="E950">
        <v>2</v>
      </c>
      <c r="F950">
        <v>3</v>
      </c>
      <c r="G950" t="b">
        <v>0</v>
      </c>
      <c r="H950">
        <v>6</v>
      </c>
      <c r="I950">
        <v>1</v>
      </c>
      <c r="J950">
        <v>0.12</v>
      </c>
      <c r="K950">
        <v>0.19700000000000001</v>
      </c>
      <c r="L950">
        <v>0.8</v>
      </c>
      <c r="M950">
        <v>0</v>
      </c>
      <c r="N950">
        <v>3</v>
      </c>
      <c r="O950">
        <v>7</v>
      </c>
      <c r="P950">
        <v>10</v>
      </c>
    </row>
    <row r="951" spans="1:16" x14ac:dyDescent="0.3">
      <c r="A951">
        <v>950</v>
      </c>
      <c r="B951" s="4">
        <v>40586</v>
      </c>
      <c r="C951">
        <v>1</v>
      </c>
      <c r="D951">
        <v>0</v>
      </c>
      <c r="E951">
        <v>2</v>
      </c>
      <c r="F951">
        <v>4</v>
      </c>
      <c r="G951" t="b">
        <v>0</v>
      </c>
      <c r="H951">
        <v>6</v>
      </c>
      <c r="I951">
        <v>1</v>
      </c>
      <c r="J951">
        <v>0.12</v>
      </c>
      <c r="K951">
        <v>0.16669999999999999</v>
      </c>
      <c r="L951">
        <v>0.74</v>
      </c>
      <c r="M951">
        <v>8.9599999999999999E-2</v>
      </c>
      <c r="N951">
        <v>0</v>
      </c>
      <c r="O951">
        <v>4</v>
      </c>
      <c r="P951">
        <v>4</v>
      </c>
    </row>
    <row r="952" spans="1:16" x14ac:dyDescent="0.3">
      <c r="A952">
        <v>951</v>
      </c>
      <c r="B952" s="4">
        <v>40586</v>
      </c>
      <c r="C952">
        <v>1</v>
      </c>
      <c r="D952">
        <v>0</v>
      </c>
      <c r="E952">
        <v>2</v>
      </c>
      <c r="F952">
        <v>5</v>
      </c>
      <c r="G952" t="b">
        <v>0</v>
      </c>
      <c r="H952">
        <v>6</v>
      </c>
      <c r="I952">
        <v>1</v>
      </c>
      <c r="J952">
        <v>0.12</v>
      </c>
      <c r="K952">
        <v>0.16669999999999999</v>
      </c>
      <c r="L952">
        <v>0.74</v>
      </c>
      <c r="M952">
        <v>8.9599999999999999E-2</v>
      </c>
      <c r="N952">
        <v>0</v>
      </c>
      <c r="O952">
        <v>1</v>
      </c>
      <c r="P952">
        <v>1</v>
      </c>
    </row>
    <row r="953" spans="1:16" x14ac:dyDescent="0.3">
      <c r="A953">
        <v>952</v>
      </c>
      <c r="B953" s="4">
        <v>40586</v>
      </c>
      <c r="C953">
        <v>1</v>
      </c>
      <c r="D953">
        <v>0</v>
      </c>
      <c r="E953">
        <v>2</v>
      </c>
      <c r="F953">
        <v>6</v>
      </c>
      <c r="G953" t="b">
        <v>0</v>
      </c>
      <c r="H953">
        <v>6</v>
      </c>
      <c r="I953">
        <v>1</v>
      </c>
      <c r="J953">
        <v>0.12</v>
      </c>
      <c r="K953">
        <v>0.13639999999999999</v>
      </c>
      <c r="L953">
        <v>0.93</v>
      </c>
      <c r="M953">
        <v>0.19400000000000001</v>
      </c>
      <c r="N953">
        <v>1</v>
      </c>
      <c r="O953">
        <v>1</v>
      </c>
      <c r="P953">
        <v>2</v>
      </c>
    </row>
    <row r="954" spans="1:16" x14ac:dyDescent="0.3">
      <c r="A954">
        <v>953</v>
      </c>
      <c r="B954" s="4">
        <v>40586</v>
      </c>
      <c r="C954">
        <v>1</v>
      </c>
      <c r="D954">
        <v>0</v>
      </c>
      <c r="E954">
        <v>2</v>
      </c>
      <c r="F954">
        <v>7</v>
      </c>
      <c r="G954" t="b">
        <v>0</v>
      </c>
      <c r="H954">
        <v>6</v>
      </c>
      <c r="I954">
        <v>1</v>
      </c>
      <c r="J954">
        <v>0.12</v>
      </c>
      <c r="K954">
        <v>0.1515</v>
      </c>
      <c r="L954">
        <v>0.8</v>
      </c>
      <c r="M954">
        <v>0.1045</v>
      </c>
      <c r="N954">
        <v>2</v>
      </c>
      <c r="O954">
        <v>9</v>
      </c>
      <c r="P954">
        <v>11</v>
      </c>
    </row>
    <row r="955" spans="1:16" x14ac:dyDescent="0.3">
      <c r="A955">
        <v>954</v>
      </c>
      <c r="B955" s="4">
        <v>40586</v>
      </c>
      <c r="C955">
        <v>1</v>
      </c>
      <c r="D955">
        <v>0</v>
      </c>
      <c r="E955">
        <v>2</v>
      </c>
      <c r="F955">
        <v>8</v>
      </c>
      <c r="G955" t="b">
        <v>0</v>
      </c>
      <c r="H955">
        <v>6</v>
      </c>
      <c r="I955">
        <v>1</v>
      </c>
      <c r="J955">
        <v>0.14000000000000001</v>
      </c>
      <c r="K955">
        <v>0.1515</v>
      </c>
      <c r="L955">
        <v>0.86</v>
      </c>
      <c r="M955">
        <v>0.1343</v>
      </c>
      <c r="N955">
        <v>2</v>
      </c>
      <c r="O955">
        <v>28</v>
      </c>
      <c r="P955">
        <v>30</v>
      </c>
    </row>
    <row r="956" spans="1:16" x14ac:dyDescent="0.3">
      <c r="A956">
        <v>955</v>
      </c>
      <c r="B956" s="4">
        <v>40586</v>
      </c>
      <c r="C956">
        <v>1</v>
      </c>
      <c r="D956">
        <v>0</v>
      </c>
      <c r="E956">
        <v>2</v>
      </c>
      <c r="F956">
        <v>9</v>
      </c>
      <c r="G956" t="b">
        <v>0</v>
      </c>
      <c r="H956">
        <v>6</v>
      </c>
      <c r="I956">
        <v>1</v>
      </c>
      <c r="J956">
        <v>0.16</v>
      </c>
      <c r="K956">
        <v>0.18179999999999999</v>
      </c>
      <c r="L956">
        <v>0.64</v>
      </c>
      <c r="M956">
        <v>0.1343</v>
      </c>
      <c r="N956">
        <v>5</v>
      </c>
      <c r="O956">
        <v>38</v>
      </c>
      <c r="P956">
        <v>43</v>
      </c>
    </row>
    <row r="957" spans="1:16" x14ac:dyDescent="0.3">
      <c r="A957">
        <v>956</v>
      </c>
      <c r="B957" s="4">
        <v>40586</v>
      </c>
      <c r="C957">
        <v>1</v>
      </c>
      <c r="D957">
        <v>0</v>
      </c>
      <c r="E957">
        <v>2</v>
      </c>
      <c r="F957">
        <v>10</v>
      </c>
      <c r="G957" t="b">
        <v>0</v>
      </c>
      <c r="H957">
        <v>6</v>
      </c>
      <c r="I957">
        <v>1</v>
      </c>
      <c r="J957">
        <v>0.22</v>
      </c>
      <c r="K957">
        <v>0.21210000000000001</v>
      </c>
      <c r="L957">
        <v>0.41</v>
      </c>
      <c r="M957">
        <v>0.25369999999999998</v>
      </c>
      <c r="N957">
        <v>13</v>
      </c>
      <c r="O957">
        <v>71</v>
      </c>
      <c r="P957">
        <v>84</v>
      </c>
    </row>
    <row r="958" spans="1:16" x14ac:dyDescent="0.3">
      <c r="A958">
        <v>957</v>
      </c>
      <c r="B958" s="4">
        <v>40586</v>
      </c>
      <c r="C958">
        <v>1</v>
      </c>
      <c r="D958">
        <v>0</v>
      </c>
      <c r="E958">
        <v>2</v>
      </c>
      <c r="F958">
        <v>11</v>
      </c>
      <c r="G958" t="b">
        <v>0</v>
      </c>
      <c r="H958">
        <v>6</v>
      </c>
      <c r="I958">
        <v>1</v>
      </c>
      <c r="J958">
        <v>0.3</v>
      </c>
      <c r="K958">
        <v>0.2727</v>
      </c>
      <c r="L958">
        <v>0.28000000000000003</v>
      </c>
      <c r="M958">
        <v>0.32840000000000003</v>
      </c>
      <c r="N958">
        <v>30</v>
      </c>
      <c r="O958">
        <v>84</v>
      </c>
      <c r="P958">
        <v>114</v>
      </c>
    </row>
    <row r="959" spans="1:16" x14ac:dyDescent="0.3">
      <c r="A959">
        <v>958</v>
      </c>
      <c r="B959" s="4">
        <v>40586</v>
      </c>
      <c r="C959">
        <v>1</v>
      </c>
      <c r="D959">
        <v>0</v>
      </c>
      <c r="E959">
        <v>2</v>
      </c>
      <c r="F959">
        <v>12</v>
      </c>
      <c r="G959" t="b">
        <v>0</v>
      </c>
      <c r="H959">
        <v>6</v>
      </c>
      <c r="I959">
        <v>1</v>
      </c>
      <c r="J959">
        <v>0.3</v>
      </c>
      <c r="K959">
        <v>0.2727</v>
      </c>
      <c r="L959">
        <v>0.39</v>
      </c>
      <c r="M959">
        <v>0.4627</v>
      </c>
      <c r="N959">
        <v>27</v>
      </c>
      <c r="O959">
        <v>93</v>
      </c>
      <c r="P959">
        <v>120</v>
      </c>
    </row>
    <row r="960" spans="1:16" x14ac:dyDescent="0.3">
      <c r="A960">
        <v>959</v>
      </c>
      <c r="B960" s="4">
        <v>40586</v>
      </c>
      <c r="C960">
        <v>1</v>
      </c>
      <c r="D960">
        <v>0</v>
      </c>
      <c r="E960">
        <v>2</v>
      </c>
      <c r="F960">
        <v>13</v>
      </c>
      <c r="G960" t="b">
        <v>0</v>
      </c>
      <c r="H960">
        <v>6</v>
      </c>
      <c r="I960">
        <v>1</v>
      </c>
      <c r="J960">
        <v>0.3</v>
      </c>
      <c r="K960">
        <v>0.2727</v>
      </c>
      <c r="L960">
        <v>0.39</v>
      </c>
      <c r="M960">
        <v>0.41789999999999999</v>
      </c>
      <c r="N960">
        <v>32</v>
      </c>
      <c r="O960">
        <v>103</v>
      </c>
      <c r="P960">
        <v>135</v>
      </c>
    </row>
    <row r="961" spans="1:16" x14ac:dyDescent="0.3">
      <c r="A961">
        <v>960</v>
      </c>
      <c r="B961" s="4">
        <v>40586</v>
      </c>
      <c r="C961">
        <v>1</v>
      </c>
      <c r="D961">
        <v>0</v>
      </c>
      <c r="E961">
        <v>2</v>
      </c>
      <c r="F961">
        <v>14</v>
      </c>
      <c r="G961" t="b">
        <v>0</v>
      </c>
      <c r="H961">
        <v>6</v>
      </c>
      <c r="I961">
        <v>1</v>
      </c>
      <c r="J961">
        <v>0.34</v>
      </c>
      <c r="K961">
        <v>0.31819999999999998</v>
      </c>
      <c r="L961">
        <v>0.31</v>
      </c>
      <c r="M961">
        <v>0.28360000000000002</v>
      </c>
      <c r="N961">
        <v>30</v>
      </c>
      <c r="O961">
        <v>90</v>
      </c>
      <c r="P961">
        <v>120</v>
      </c>
    </row>
    <row r="962" spans="1:16" x14ac:dyDescent="0.3">
      <c r="A962">
        <v>961</v>
      </c>
      <c r="B962" s="4">
        <v>40586</v>
      </c>
      <c r="C962">
        <v>1</v>
      </c>
      <c r="D962">
        <v>0</v>
      </c>
      <c r="E962">
        <v>2</v>
      </c>
      <c r="F962">
        <v>15</v>
      </c>
      <c r="G962" t="b">
        <v>0</v>
      </c>
      <c r="H962">
        <v>6</v>
      </c>
      <c r="I962">
        <v>1</v>
      </c>
      <c r="J962">
        <v>0.34</v>
      </c>
      <c r="K962">
        <v>0.30299999999999999</v>
      </c>
      <c r="L962">
        <v>0.28999999999999998</v>
      </c>
      <c r="M962">
        <v>0.41789999999999999</v>
      </c>
      <c r="N962">
        <v>47</v>
      </c>
      <c r="O962">
        <v>127</v>
      </c>
      <c r="P962">
        <v>174</v>
      </c>
    </row>
    <row r="963" spans="1:16" x14ac:dyDescent="0.3">
      <c r="A963">
        <v>962</v>
      </c>
      <c r="B963" s="4">
        <v>40586</v>
      </c>
      <c r="C963">
        <v>1</v>
      </c>
      <c r="D963">
        <v>0</v>
      </c>
      <c r="E963">
        <v>2</v>
      </c>
      <c r="F963">
        <v>16</v>
      </c>
      <c r="G963" t="b">
        <v>0</v>
      </c>
      <c r="H963">
        <v>6</v>
      </c>
      <c r="I963">
        <v>1</v>
      </c>
      <c r="J963">
        <v>0.34</v>
      </c>
      <c r="K963">
        <v>0.30299999999999999</v>
      </c>
      <c r="L963">
        <v>0.28999999999999998</v>
      </c>
      <c r="M963">
        <v>0.41789999999999999</v>
      </c>
      <c r="N963">
        <v>42</v>
      </c>
      <c r="O963">
        <v>103</v>
      </c>
      <c r="P963">
        <v>145</v>
      </c>
    </row>
    <row r="964" spans="1:16" x14ac:dyDescent="0.3">
      <c r="A964">
        <v>963</v>
      </c>
      <c r="B964" s="4">
        <v>40586</v>
      </c>
      <c r="C964">
        <v>1</v>
      </c>
      <c r="D964">
        <v>0</v>
      </c>
      <c r="E964">
        <v>2</v>
      </c>
      <c r="F964">
        <v>17</v>
      </c>
      <c r="G964" t="b">
        <v>0</v>
      </c>
      <c r="H964">
        <v>6</v>
      </c>
      <c r="I964">
        <v>1</v>
      </c>
      <c r="J964">
        <v>0.32</v>
      </c>
      <c r="K964">
        <v>0.28789999999999999</v>
      </c>
      <c r="L964">
        <v>0.31</v>
      </c>
      <c r="M964">
        <v>0.52239999999999998</v>
      </c>
      <c r="N964">
        <v>24</v>
      </c>
      <c r="O964">
        <v>113</v>
      </c>
      <c r="P964">
        <v>137</v>
      </c>
    </row>
    <row r="965" spans="1:16" x14ac:dyDescent="0.3">
      <c r="A965">
        <v>964</v>
      </c>
      <c r="B965" s="4">
        <v>40586</v>
      </c>
      <c r="C965">
        <v>1</v>
      </c>
      <c r="D965">
        <v>0</v>
      </c>
      <c r="E965">
        <v>2</v>
      </c>
      <c r="F965">
        <v>18</v>
      </c>
      <c r="G965" t="b">
        <v>0</v>
      </c>
      <c r="H965">
        <v>6</v>
      </c>
      <c r="I965">
        <v>1</v>
      </c>
      <c r="J965">
        <v>0.28000000000000003</v>
      </c>
      <c r="K965">
        <v>0.2576</v>
      </c>
      <c r="L965">
        <v>0.38</v>
      </c>
      <c r="M965">
        <v>0.32840000000000003</v>
      </c>
      <c r="N965">
        <v>4</v>
      </c>
      <c r="O965">
        <v>60</v>
      </c>
      <c r="P965">
        <v>64</v>
      </c>
    </row>
    <row r="966" spans="1:16" x14ac:dyDescent="0.3">
      <c r="A966">
        <v>965</v>
      </c>
      <c r="B966" s="4">
        <v>40586</v>
      </c>
      <c r="C966">
        <v>1</v>
      </c>
      <c r="D966">
        <v>0</v>
      </c>
      <c r="E966">
        <v>2</v>
      </c>
      <c r="F966">
        <v>19</v>
      </c>
      <c r="G966" t="b">
        <v>0</v>
      </c>
      <c r="H966">
        <v>6</v>
      </c>
      <c r="I966">
        <v>1</v>
      </c>
      <c r="J966">
        <v>0.28000000000000003</v>
      </c>
      <c r="K966">
        <v>0.2727</v>
      </c>
      <c r="L966">
        <v>0.38</v>
      </c>
      <c r="M966">
        <v>0.16420000000000001</v>
      </c>
      <c r="N966">
        <v>2</v>
      </c>
      <c r="O966">
        <v>39</v>
      </c>
      <c r="P966">
        <v>41</v>
      </c>
    </row>
    <row r="967" spans="1:16" x14ac:dyDescent="0.3">
      <c r="A967">
        <v>966</v>
      </c>
      <c r="B967" s="4">
        <v>40586</v>
      </c>
      <c r="C967">
        <v>1</v>
      </c>
      <c r="D967">
        <v>0</v>
      </c>
      <c r="E967">
        <v>2</v>
      </c>
      <c r="F967">
        <v>20</v>
      </c>
      <c r="G967" t="b">
        <v>0</v>
      </c>
      <c r="H967">
        <v>6</v>
      </c>
      <c r="I967">
        <v>1</v>
      </c>
      <c r="J967">
        <v>0.26</v>
      </c>
      <c r="K967">
        <v>0.2576</v>
      </c>
      <c r="L967">
        <v>0.41</v>
      </c>
      <c r="M967">
        <v>0.22389999999999999</v>
      </c>
      <c r="N967">
        <v>1</v>
      </c>
      <c r="O967">
        <v>39</v>
      </c>
      <c r="P967">
        <v>40</v>
      </c>
    </row>
    <row r="968" spans="1:16" x14ac:dyDescent="0.3">
      <c r="A968">
        <v>967</v>
      </c>
      <c r="B968" s="4">
        <v>40586</v>
      </c>
      <c r="C968">
        <v>1</v>
      </c>
      <c r="D968">
        <v>0</v>
      </c>
      <c r="E968">
        <v>2</v>
      </c>
      <c r="F968">
        <v>21</v>
      </c>
      <c r="G968" t="b">
        <v>0</v>
      </c>
      <c r="H968">
        <v>6</v>
      </c>
      <c r="I968">
        <v>1</v>
      </c>
      <c r="J968">
        <v>0.26</v>
      </c>
      <c r="K968">
        <v>0.30299999999999999</v>
      </c>
      <c r="L968">
        <v>0.41</v>
      </c>
      <c r="M968">
        <v>0</v>
      </c>
      <c r="N968">
        <v>9</v>
      </c>
      <c r="O968">
        <v>42</v>
      </c>
      <c r="P968">
        <v>51</v>
      </c>
    </row>
    <row r="969" spans="1:16" x14ac:dyDescent="0.3">
      <c r="A969">
        <v>968</v>
      </c>
      <c r="B969" s="4">
        <v>40586</v>
      </c>
      <c r="C969">
        <v>1</v>
      </c>
      <c r="D969">
        <v>0</v>
      </c>
      <c r="E969">
        <v>2</v>
      </c>
      <c r="F969">
        <v>22</v>
      </c>
      <c r="G969" t="b">
        <v>0</v>
      </c>
      <c r="H969">
        <v>6</v>
      </c>
      <c r="I969">
        <v>1</v>
      </c>
      <c r="J969">
        <v>0.24</v>
      </c>
      <c r="K969">
        <v>0.2576</v>
      </c>
      <c r="L969">
        <v>0.44</v>
      </c>
      <c r="M969">
        <v>8.9599999999999999E-2</v>
      </c>
      <c r="N969">
        <v>6</v>
      </c>
      <c r="O969">
        <v>39</v>
      </c>
      <c r="P969">
        <v>45</v>
      </c>
    </row>
    <row r="970" spans="1:16" x14ac:dyDescent="0.3">
      <c r="A970">
        <v>969</v>
      </c>
      <c r="B970" s="4">
        <v>40586</v>
      </c>
      <c r="C970">
        <v>1</v>
      </c>
      <c r="D970">
        <v>0</v>
      </c>
      <c r="E970">
        <v>2</v>
      </c>
      <c r="F970">
        <v>23</v>
      </c>
      <c r="G970" t="b">
        <v>0</v>
      </c>
      <c r="H970">
        <v>6</v>
      </c>
      <c r="I970">
        <v>1</v>
      </c>
      <c r="J970">
        <v>0.22</v>
      </c>
      <c r="K970">
        <v>0.2273</v>
      </c>
      <c r="L970">
        <v>0.51</v>
      </c>
      <c r="M970">
        <v>0.1343</v>
      </c>
      <c r="N970">
        <v>1</v>
      </c>
      <c r="O970">
        <v>31</v>
      </c>
      <c r="P970">
        <v>32</v>
      </c>
    </row>
    <row r="971" spans="1:16" x14ac:dyDescent="0.3">
      <c r="A971">
        <v>970</v>
      </c>
      <c r="B971" s="4">
        <v>40587</v>
      </c>
      <c r="C971">
        <v>1</v>
      </c>
      <c r="D971">
        <v>0</v>
      </c>
      <c r="E971">
        <v>2</v>
      </c>
      <c r="F971">
        <v>0</v>
      </c>
      <c r="G971" t="b">
        <v>0</v>
      </c>
      <c r="H971">
        <v>0</v>
      </c>
      <c r="I971">
        <v>1</v>
      </c>
      <c r="J971">
        <v>0.2</v>
      </c>
      <c r="K971">
        <v>0.2273</v>
      </c>
      <c r="L971">
        <v>0.64</v>
      </c>
      <c r="M971">
        <v>0.1045</v>
      </c>
      <c r="N971">
        <v>5</v>
      </c>
      <c r="O971">
        <v>34</v>
      </c>
      <c r="P971">
        <v>39</v>
      </c>
    </row>
    <row r="972" spans="1:16" x14ac:dyDescent="0.3">
      <c r="A972">
        <v>971</v>
      </c>
      <c r="B972" s="4">
        <v>40587</v>
      </c>
      <c r="C972">
        <v>1</v>
      </c>
      <c r="D972">
        <v>0</v>
      </c>
      <c r="E972">
        <v>2</v>
      </c>
      <c r="F972">
        <v>1</v>
      </c>
      <c r="G972" t="b">
        <v>0</v>
      </c>
      <c r="H972">
        <v>0</v>
      </c>
      <c r="I972">
        <v>1</v>
      </c>
      <c r="J972">
        <v>0.2</v>
      </c>
      <c r="K972">
        <v>0.2273</v>
      </c>
      <c r="L972">
        <v>0.59</v>
      </c>
      <c r="M972">
        <v>8.9599999999999999E-2</v>
      </c>
      <c r="N972">
        <v>1</v>
      </c>
      <c r="O972">
        <v>23</v>
      </c>
      <c r="P972">
        <v>24</v>
      </c>
    </row>
    <row r="973" spans="1:16" x14ac:dyDescent="0.3">
      <c r="A973">
        <v>972</v>
      </c>
      <c r="B973" s="4">
        <v>40587</v>
      </c>
      <c r="C973">
        <v>1</v>
      </c>
      <c r="D973">
        <v>0</v>
      </c>
      <c r="E973">
        <v>2</v>
      </c>
      <c r="F973">
        <v>2</v>
      </c>
      <c r="G973" t="b">
        <v>0</v>
      </c>
      <c r="H973">
        <v>0</v>
      </c>
      <c r="I973">
        <v>2</v>
      </c>
      <c r="J973">
        <v>0.2</v>
      </c>
      <c r="K973">
        <v>0.2273</v>
      </c>
      <c r="L973">
        <v>0.75</v>
      </c>
      <c r="M973">
        <v>8.9599999999999999E-2</v>
      </c>
      <c r="N973">
        <v>1</v>
      </c>
      <c r="O973">
        <v>19</v>
      </c>
      <c r="P973">
        <v>20</v>
      </c>
    </row>
    <row r="974" spans="1:16" x14ac:dyDescent="0.3">
      <c r="A974">
        <v>973</v>
      </c>
      <c r="B974" s="4">
        <v>40587</v>
      </c>
      <c r="C974">
        <v>1</v>
      </c>
      <c r="D974">
        <v>0</v>
      </c>
      <c r="E974">
        <v>2</v>
      </c>
      <c r="F974">
        <v>3</v>
      </c>
      <c r="G974" t="b">
        <v>0</v>
      </c>
      <c r="H974">
        <v>0</v>
      </c>
      <c r="I974">
        <v>2</v>
      </c>
      <c r="J974">
        <v>0.2</v>
      </c>
      <c r="K974">
        <v>0.2273</v>
      </c>
      <c r="L974">
        <v>0.69</v>
      </c>
      <c r="M974">
        <v>0.1045</v>
      </c>
      <c r="N974">
        <v>4</v>
      </c>
      <c r="O974">
        <v>8</v>
      </c>
      <c r="P974">
        <v>12</v>
      </c>
    </row>
    <row r="975" spans="1:16" x14ac:dyDescent="0.3">
      <c r="A975">
        <v>974</v>
      </c>
      <c r="B975" s="4">
        <v>40587</v>
      </c>
      <c r="C975">
        <v>1</v>
      </c>
      <c r="D975">
        <v>0</v>
      </c>
      <c r="E975">
        <v>2</v>
      </c>
      <c r="F975">
        <v>4</v>
      </c>
      <c r="G975" t="b">
        <v>0</v>
      </c>
      <c r="H975">
        <v>0</v>
      </c>
      <c r="I975">
        <v>2</v>
      </c>
      <c r="J975">
        <v>0.2</v>
      </c>
      <c r="K975">
        <v>0.21210000000000001</v>
      </c>
      <c r="L975">
        <v>0.69</v>
      </c>
      <c r="M975">
        <v>0.16420000000000001</v>
      </c>
      <c r="N975">
        <v>0</v>
      </c>
      <c r="O975">
        <v>2</v>
      </c>
      <c r="P975">
        <v>2</v>
      </c>
    </row>
    <row r="976" spans="1:16" x14ac:dyDescent="0.3">
      <c r="A976">
        <v>975</v>
      </c>
      <c r="B976" s="4">
        <v>40587</v>
      </c>
      <c r="C976">
        <v>1</v>
      </c>
      <c r="D976">
        <v>0</v>
      </c>
      <c r="E976">
        <v>2</v>
      </c>
      <c r="F976">
        <v>6</v>
      </c>
      <c r="G976" t="b">
        <v>0</v>
      </c>
      <c r="H976">
        <v>0</v>
      </c>
      <c r="I976">
        <v>2</v>
      </c>
      <c r="J976">
        <v>0.2</v>
      </c>
      <c r="K976">
        <v>0.21210000000000001</v>
      </c>
      <c r="L976">
        <v>0.69</v>
      </c>
      <c r="M976">
        <v>0.1343</v>
      </c>
      <c r="N976">
        <v>2</v>
      </c>
      <c r="O976">
        <v>3</v>
      </c>
      <c r="P976">
        <v>5</v>
      </c>
    </row>
    <row r="977" spans="1:16" x14ac:dyDescent="0.3">
      <c r="A977">
        <v>976</v>
      </c>
      <c r="B977" s="4">
        <v>40587</v>
      </c>
      <c r="C977">
        <v>1</v>
      </c>
      <c r="D977">
        <v>0</v>
      </c>
      <c r="E977">
        <v>2</v>
      </c>
      <c r="F977">
        <v>7</v>
      </c>
      <c r="G977" t="b">
        <v>0</v>
      </c>
      <c r="H977">
        <v>0</v>
      </c>
      <c r="I977">
        <v>2</v>
      </c>
      <c r="J977">
        <v>0.22</v>
      </c>
      <c r="K977">
        <v>0.2727</v>
      </c>
      <c r="L977">
        <v>0.55000000000000004</v>
      </c>
      <c r="M977">
        <v>0</v>
      </c>
      <c r="N977">
        <v>0</v>
      </c>
      <c r="O977">
        <v>3</v>
      </c>
      <c r="P977">
        <v>3</v>
      </c>
    </row>
    <row r="978" spans="1:16" x14ac:dyDescent="0.3">
      <c r="A978">
        <v>977</v>
      </c>
      <c r="B978" s="4">
        <v>40587</v>
      </c>
      <c r="C978">
        <v>1</v>
      </c>
      <c r="D978">
        <v>0</v>
      </c>
      <c r="E978">
        <v>2</v>
      </c>
      <c r="F978">
        <v>8</v>
      </c>
      <c r="G978" t="b">
        <v>0</v>
      </c>
      <c r="H978">
        <v>0</v>
      </c>
      <c r="I978">
        <v>2</v>
      </c>
      <c r="J978">
        <v>0.22</v>
      </c>
      <c r="K978">
        <v>0.2273</v>
      </c>
      <c r="L978">
        <v>0.64</v>
      </c>
      <c r="M978">
        <v>0.19400000000000001</v>
      </c>
      <c r="N978">
        <v>1</v>
      </c>
      <c r="O978">
        <v>11</v>
      </c>
      <c r="P978">
        <v>12</v>
      </c>
    </row>
    <row r="979" spans="1:16" x14ac:dyDescent="0.3">
      <c r="A979">
        <v>978</v>
      </c>
      <c r="B979" s="4">
        <v>40587</v>
      </c>
      <c r="C979">
        <v>1</v>
      </c>
      <c r="D979">
        <v>0</v>
      </c>
      <c r="E979">
        <v>2</v>
      </c>
      <c r="F979">
        <v>9</v>
      </c>
      <c r="G979" t="b">
        <v>0</v>
      </c>
      <c r="H979">
        <v>0</v>
      </c>
      <c r="I979">
        <v>2</v>
      </c>
      <c r="J979">
        <v>0.24</v>
      </c>
      <c r="K979">
        <v>0.2273</v>
      </c>
      <c r="L979">
        <v>0.6</v>
      </c>
      <c r="M979">
        <v>0.22389999999999999</v>
      </c>
      <c r="N979">
        <v>12</v>
      </c>
      <c r="O979">
        <v>35</v>
      </c>
      <c r="P979">
        <v>47</v>
      </c>
    </row>
    <row r="980" spans="1:16" x14ac:dyDescent="0.3">
      <c r="A980">
        <v>979</v>
      </c>
      <c r="B980" s="4">
        <v>40587</v>
      </c>
      <c r="C980">
        <v>1</v>
      </c>
      <c r="D980">
        <v>0</v>
      </c>
      <c r="E980">
        <v>2</v>
      </c>
      <c r="F980">
        <v>10</v>
      </c>
      <c r="G980" t="b">
        <v>0</v>
      </c>
      <c r="H980">
        <v>0</v>
      </c>
      <c r="I980">
        <v>1</v>
      </c>
      <c r="J980">
        <v>0.3</v>
      </c>
      <c r="K980">
        <v>0.2727</v>
      </c>
      <c r="L980">
        <v>0.45</v>
      </c>
      <c r="M980">
        <v>0.32840000000000003</v>
      </c>
      <c r="N980">
        <v>19</v>
      </c>
      <c r="O980">
        <v>86</v>
      </c>
      <c r="P980">
        <v>105</v>
      </c>
    </row>
    <row r="981" spans="1:16" x14ac:dyDescent="0.3">
      <c r="A981">
        <v>980</v>
      </c>
      <c r="B981" s="4">
        <v>40587</v>
      </c>
      <c r="C981">
        <v>1</v>
      </c>
      <c r="D981">
        <v>0</v>
      </c>
      <c r="E981">
        <v>2</v>
      </c>
      <c r="F981">
        <v>11</v>
      </c>
      <c r="G981" t="b">
        <v>0</v>
      </c>
      <c r="H981">
        <v>0</v>
      </c>
      <c r="I981">
        <v>1</v>
      </c>
      <c r="J981">
        <v>0.32</v>
      </c>
      <c r="K981">
        <v>0.28789999999999999</v>
      </c>
      <c r="L981">
        <v>0.39</v>
      </c>
      <c r="M981">
        <v>0.44779999999999998</v>
      </c>
      <c r="N981">
        <v>26</v>
      </c>
      <c r="O981">
        <v>86</v>
      </c>
      <c r="P981">
        <v>112</v>
      </c>
    </row>
    <row r="982" spans="1:16" x14ac:dyDescent="0.3">
      <c r="A982">
        <v>981</v>
      </c>
      <c r="B982" s="4">
        <v>40587</v>
      </c>
      <c r="C982">
        <v>1</v>
      </c>
      <c r="D982">
        <v>0</v>
      </c>
      <c r="E982">
        <v>2</v>
      </c>
      <c r="F982">
        <v>12</v>
      </c>
      <c r="G982" t="b">
        <v>0</v>
      </c>
      <c r="H982">
        <v>0</v>
      </c>
      <c r="I982">
        <v>1</v>
      </c>
      <c r="J982">
        <v>0.36</v>
      </c>
      <c r="K982">
        <v>0.31819999999999998</v>
      </c>
      <c r="L982">
        <v>0.32</v>
      </c>
      <c r="M982">
        <v>0.4627</v>
      </c>
      <c r="N982">
        <v>58</v>
      </c>
      <c r="O982">
        <v>94</v>
      </c>
      <c r="P982">
        <v>152</v>
      </c>
    </row>
    <row r="983" spans="1:16" x14ac:dyDescent="0.3">
      <c r="A983">
        <v>982</v>
      </c>
      <c r="B983" s="4">
        <v>40587</v>
      </c>
      <c r="C983">
        <v>1</v>
      </c>
      <c r="D983">
        <v>0</v>
      </c>
      <c r="E983">
        <v>2</v>
      </c>
      <c r="F983">
        <v>13</v>
      </c>
      <c r="G983" t="b">
        <v>0</v>
      </c>
      <c r="H983">
        <v>0</v>
      </c>
      <c r="I983">
        <v>1</v>
      </c>
      <c r="J983">
        <v>0.38</v>
      </c>
      <c r="K983">
        <v>0.39389999999999997</v>
      </c>
      <c r="L983">
        <v>0.28999999999999998</v>
      </c>
      <c r="M983">
        <v>0.35820000000000002</v>
      </c>
      <c r="N983">
        <v>62</v>
      </c>
      <c r="O983">
        <v>92</v>
      </c>
      <c r="P983">
        <v>154</v>
      </c>
    </row>
    <row r="984" spans="1:16" x14ac:dyDescent="0.3">
      <c r="A984">
        <v>983</v>
      </c>
      <c r="B984" s="4">
        <v>40587</v>
      </c>
      <c r="C984">
        <v>1</v>
      </c>
      <c r="D984">
        <v>0</v>
      </c>
      <c r="E984">
        <v>2</v>
      </c>
      <c r="F984">
        <v>14</v>
      </c>
      <c r="G984" t="b">
        <v>0</v>
      </c>
      <c r="H984">
        <v>0</v>
      </c>
      <c r="I984">
        <v>2</v>
      </c>
      <c r="J984">
        <v>0.4</v>
      </c>
      <c r="K984">
        <v>0.40910000000000002</v>
      </c>
      <c r="L984">
        <v>0.3</v>
      </c>
      <c r="M984">
        <v>0.41789999999999999</v>
      </c>
      <c r="N984">
        <v>51</v>
      </c>
      <c r="O984">
        <v>110</v>
      </c>
      <c r="P984">
        <v>161</v>
      </c>
    </row>
    <row r="985" spans="1:16" x14ac:dyDescent="0.3">
      <c r="A985">
        <v>984</v>
      </c>
      <c r="B985" s="4">
        <v>40587</v>
      </c>
      <c r="C985">
        <v>1</v>
      </c>
      <c r="D985">
        <v>0</v>
      </c>
      <c r="E985">
        <v>2</v>
      </c>
      <c r="F985">
        <v>15</v>
      </c>
      <c r="G985" t="b">
        <v>0</v>
      </c>
      <c r="H985">
        <v>0</v>
      </c>
      <c r="I985">
        <v>2</v>
      </c>
      <c r="J985">
        <v>0.4</v>
      </c>
      <c r="K985">
        <v>0.40910000000000002</v>
      </c>
      <c r="L985">
        <v>0.3</v>
      </c>
      <c r="M985">
        <v>0.29849999999999999</v>
      </c>
      <c r="N985">
        <v>40</v>
      </c>
      <c r="O985">
        <v>122</v>
      </c>
      <c r="P985">
        <v>162</v>
      </c>
    </row>
    <row r="986" spans="1:16" x14ac:dyDescent="0.3">
      <c r="A986">
        <v>985</v>
      </c>
      <c r="B986" s="4">
        <v>40587</v>
      </c>
      <c r="C986">
        <v>1</v>
      </c>
      <c r="D986">
        <v>0</v>
      </c>
      <c r="E986">
        <v>2</v>
      </c>
      <c r="F986">
        <v>16</v>
      </c>
      <c r="G986" t="b">
        <v>0</v>
      </c>
      <c r="H986">
        <v>0</v>
      </c>
      <c r="I986">
        <v>2</v>
      </c>
      <c r="J986">
        <v>0.42</v>
      </c>
      <c r="K986">
        <v>0.42420000000000002</v>
      </c>
      <c r="L986">
        <v>0.28000000000000003</v>
      </c>
      <c r="M986">
        <v>0.32840000000000003</v>
      </c>
      <c r="N986">
        <v>28</v>
      </c>
      <c r="O986">
        <v>106</v>
      </c>
      <c r="P986">
        <v>134</v>
      </c>
    </row>
    <row r="987" spans="1:16" x14ac:dyDescent="0.3">
      <c r="A987">
        <v>986</v>
      </c>
      <c r="B987" s="4">
        <v>40587</v>
      </c>
      <c r="C987">
        <v>1</v>
      </c>
      <c r="D987">
        <v>0</v>
      </c>
      <c r="E987">
        <v>2</v>
      </c>
      <c r="F987">
        <v>17</v>
      </c>
      <c r="G987" t="b">
        <v>0</v>
      </c>
      <c r="H987">
        <v>0</v>
      </c>
      <c r="I987">
        <v>1</v>
      </c>
      <c r="J987">
        <v>0.42</v>
      </c>
      <c r="K987">
        <v>0.42420000000000002</v>
      </c>
      <c r="L987">
        <v>0.28000000000000003</v>
      </c>
      <c r="M987">
        <v>0.32840000000000003</v>
      </c>
      <c r="N987">
        <v>30</v>
      </c>
      <c r="O987">
        <v>95</v>
      </c>
      <c r="P987">
        <v>125</v>
      </c>
    </row>
    <row r="988" spans="1:16" x14ac:dyDescent="0.3">
      <c r="A988">
        <v>987</v>
      </c>
      <c r="B988" s="4">
        <v>40587</v>
      </c>
      <c r="C988">
        <v>1</v>
      </c>
      <c r="D988">
        <v>0</v>
      </c>
      <c r="E988">
        <v>2</v>
      </c>
      <c r="F988">
        <v>18</v>
      </c>
      <c r="G988" t="b">
        <v>0</v>
      </c>
      <c r="H988">
        <v>0</v>
      </c>
      <c r="I988">
        <v>1</v>
      </c>
      <c r="J988">
        <v>0.4</v>
      </c>
      <c r="K988">
        <v>0.40910000000000002</v>
      </c>
      <c r="L988">
        <v>0.32</v>
      </c>
      <c r="M988">
        <v>0.29849999999999999</v>
      </c>
      <c r="N988">
        <v>17</v>
      </c>
      <c r="O988">
        <v>78</v>
      </c>
      <c r="P988">
        <v>95</v>
      </c>
    </row>
    <row r="989" spans="1:16" x14ac:dyDescent="0.3">
      <c r="A989">
        <v>988</v>
      </c>
      <c r="B989" s="4">
        <v>40587</v>
      </c>
      <c r="C989">
        <v>1</v>
      </c>
      <c r="D989">
        <v>0</v>
      </c>
      <c r="E989">
        <v>2</v>
      </c>
      <c r="F989">
        <v>19</v>
      </c>
      <c r="G989" t="b">
        <v>0</v>
      </c>
      <c r="H989">
        <v>0</v>
      </c>
      <c r="I989">
        <v>1</v>
      </c>
      <c r="J989">
        <v>0.4</v>
      </c>
      <c r="K989">
        <v>0.40910000000000002</v>
      </c>
      <c r="L989">
        <v>0.35</v>
      </c>
      <c r="M989">
        <v>0.28360000000000002</v>
      </c>
      <c r="N989">
        <v>11</v>
      </c>
      <c r="O989">
        <v>50</v>
      </c>
      <c r="P989">
        <v>61</v>
      </c>
    </row>
    <row r="990" spans="1:16" x14ac:dyDescent="0.3">
      <c r="A990">
        <v>989</v>
      </c>
      <c r="B990" s="4">
        <v>40587</v>
      </c>
      <c r="C990">
        <v>1</v>
      </c>
      <c r="D990">
        <v>0</v>
      </c>
      <c r="E990">
        <v>2</v>
      </c>
      <c r="F990">
        <v>20</v>
      </c>
      <c r="G990" t="b">
        <v>0</v>
      </c>
      <c r="H990">
        <v>0</v>
      </c>
      <c r="I990">
        <v>1</v>
      </c>
      <c r="J990">
        <v>0.4</v>
      </c>
      <c r="K990">
        <v>0.40910000000000002</v>
      </c>
      <c r="L990">
        <v>0.35</v>
      </c>
      <c r="M990">
        <v>0.32840000000000003</v>
      </c>
      <c r="N990">
        <v>15</v>
      </c>
      <c r="O990">
        <v>32</v>
      </c>
      <c r="P990">
        <v>47</v>
      </c>
    </row>
    <row r="991" spans="1:16" x14ac:dyDescent="0.3">
      <c r="A991">
        <v>990</v>
      </c>
      <c r="B991" s="4">
        <v>40587</v>
      </c>
      <c r="C991">
        <v>1</v>
      </c>
      <c r="D991">
        <v>0</v>
      </c>
      <c r="E991">
        <v>2</v>
      </c>
      <c r="F991">
        <v>21</v>
      </c>
      <c r="G991" t="b">
        <v>0</v>
      </c>
      <c r="H991">
        <v>0</v>
      </c>
      <c r="I991">
        <v>1</v>
      </c>
      <c r="J991">
        <v>0.4</v>
      </c>
      <c r="K991">
        <v>0.40910000000000002</v>
      </c>
      <c r="L991">
        <v>0.35</v>
      </c>
      <c r="M991">
        <v>0.35820000000000002</v>
      </c>
      <c r="N991">
        <v>6</v>
      </c>
      <c r="O991">
        <v>45</v>
      </c>
      <c r="P991">
        <v>51</v>
      </c>
    </row>
    <row r="992" spans="1:16" x14ac:dyDescent="0.3">
      <c r="A992">
        <v>991</v>
      </c>
      <c r="B992" s="4">
        <v>40587</v>
      </c>
      <c r="C992">
        <v>1</v>
      </c>
      <c r="D992">
        <v>0</v>
      </c>
      <c r="E992">
        <v>2</v>
      </c>
      <c r="F992">
        <v>22</v>
      </c>
      <c r="G992" t="b">
        <v>0</v>
      </c>
      <c r="H992">
        <v>0</v>
      </c>
      <c r="I992">
        <v>1</v>
      </c>
      <c r="J992">
        <v>0.4</v>
      </c>
      <c r="K992">
        <v>0.40910000000000002</v>
      </c>
      <c r="L992">
        <v>0.35</v>
      </c>
      <c r="M992">
        <v>0.29849999999999999</v>
      </c>
      <c r="N992">
        <v>5</v>
      </c>
      <c r="O992">
        <v>31</v>
      </c>
      <c r="P992">
        <v>36</v>
      </c>
    </row>
    <row r="993" spans="1:16" x14ac:dyDescent="0.3">
      <c r="A993">
        <v>992</v>
      </c>
      <c r="B993" s="4">
        <v>40587</v>
      </c>
      <c r="C993">
        <v>1</v>
      </c>
      <c r="D993">
        <v>0</v>
      </c>
      <c r="E993">
        <v>2</v>
      </c>
      <c r="F993">
        <v>23</v>
      </c>
      <c r="G993" t="b">
        <v>0</v>
      </c>
      <c r="H993">
        <v>0</v>
      </c>
      <c r="I993">
        <v>1</v>
      </c>
      <c r="J993">
        <v>0.4</v>
      </c>
      <c r="K993">
        <v>0.40910000000000002</v>
      </c>
      <c r="L993">
        <v>0.35</v>
      </c>
      <c r="M993">
        <v>0.35820000000000002</v>
      </c>
      <c r="N993">
        <v>3</v>
      </c>
      <c r="O993">
        <v>27</v>
      </c>
      <c r="P993">
        <v>30</v>
      </c>
    </row>
    <row r="994" spans="1:16" x14ac:dyDescent="0.3">
      <c r="A994">
        <v>993</v>
      </c>
      <c r="B994" s="4">
        <v>40588</v>
      </c>
      <c r="C994">
        <v>1</v>
      </c>
      <c r="D994">
        <v>0</v>
      </c>
      <c r="E994">
        <v>2</v>
      </c>
      <c r="F994">
        <v>0</v>
      </c>
      <c r="G994" t="b">
        <v>0</v>
      </c>
      <c r="H994">
        <v>1</v>
      </c>
      <c r="I994">
        <v>1</v>
      </c>
      <c r="J994">
        <v>0.38</v>
      </c>
      <c r="K994">
        <v>0.39389999999999997</v>
      </c>
      <c r="L994">
        <v>0.37</v>
      </c>
      <c r="M994">
        <v>0.35820000000000002</v>
      </c>
      <c r="N994">
        <v>3</v>
      </c>
      <c r="O994">
        <v>8</v>
      </c>
      <c r="P994">
        <v>11</v>
      </c>
    </row>
    <row r="995" spans="1:16" x14ac:dyDescent="0.3">
      <c r="A995">
        <v>994</v>
      </c>
      <c r="B995" s="4">
        <v>40588</v>
      </c>
      <c r="C995">
        <v>1</v>
      </c>
      <c r="D995">
        <v>0</v>
      </c>
      <c r="E995">
        <v>2</v>
      </c>
      <c r="F995">
        <v>1</v>
      </c>
      <c r="G995" t="b">
        <v>0</v>
      </c>
      <c r="H995">
        <v>1</v>
      </c>
      <c r="I995">
        <v>1</v>
      </c>
      <c r="J995">
        <v>0.38</v>
      </c>
      <c r="K995">
        <v>0.39389999999999997</v>
      </c>
      <c r="L995">
        <v>0.37</v>
      </c>
      <c r="M995">
        <v>0.35820000000000002</v>
      </c>
      <c r="N995">
        <v>1</v>
      </c>
      <c r="O995">
        <v>6</v>
      </c>
      <c r="P995">
        <v>7</v>
      </c>
    </row>
    <row r="996" spans="1:16" x14ac:dyDescent="0.3">
      <c r="A996">
        <v>995</v>
      </c>
      <c r="B996" s="4">
        <v>40588</v>
      </c>
      <c r="C996">
        <v>1</v>
      </c>
      <c r="D996">
        <v>0</v>
      </c>
      <c r="E996">
        <v>2</v>
      </c>
      <c r="F996">
        <v>2</v>
      </c>
      <c r="G996" t="b">
        <v>0</v>
      </c>
      <c r="H996">
        <v>1</v>
      </c>
      <c r="I996">
        <v>1</v>
      </c>
      <c r="J996">
        <v>0.36</v>
      </c>
      <c r="K996">
        <v>0.33329999999999999</v>
      </c>
      <c r="L996">
        <v>0.4</v>
      </c>
      <c r="M996">
        <v>0.29849999999999999</v>
      </c>
      <c r="N996">
        <v>0</v>
      </c>
      <c r="O996">
        <v>2</v>
      </c>
      <c r="P996">
        <v>2</v>
      </c>
    </row>
    <row r="997" spans="1:16" x14ac:dyDescent="0.3">
      <c r="A997">
        <v>996</v>
      </c>
      <c r="B997" s="4">
        <v>40588</v>
      </c>
      <c r="C997">
        <v>1</v>
      </c>
      <c r="D997">
        <v>0</v>
      </c>
      <c r="E997">
        <v>2</v>
      </c>
      <c r="F997">
        <v>3</v>
      </c>
      <c r="G997" t="b">
        <v>0</v>
      </c>
      <c r="H997">
        <v>1</v>
      </c>
      <c r="I997">
        <v>1</v>
      </c>
      <c r="J997">
        <v>0.34</v>
      </c>
      <c r="K997">
        <v>0.31819999999999998</v>
      </c>
      <c r="L997">
        <v>0.46</v>
      </c>
      <c r="M997">
        <v>0.22389999999999999</v>
      </c>
      <c r="N997">
        <v>1</v>
      </c>
      <c r="O997">
        <v>1</v>
      </c>
      <c r="P997">
        <v>2</v>
      </c>
    </row>
    <row r="998" spans="1:16" x14ac:dyDescent="0.3">
      <c r="A998">
        <v>997</v>
      </c>
      <c r="B998" s="4">
        <v>40588</v>
      </c>
      <c r="C998">
        <v>1</v>
      </c>
      <c r="D998">
        <v>0</v>
      </c>
      <c r="E998">
        <v>2</v>
      </c>
      <c r="F998">
        <v>4</v>
      </c>
      <c r="G998" t="b">
        <v>0</v>
      </c>
      <c r="H998">
        <v>1</v>
      </c>
      <c r="I998">
        <v>1</v>
      </c>
      <c r="J998">
        <v>0.32</v>
      </c>
      <c r="K998">
        <v>0.30299999999999999</v>
      </c>
      <c r="L998">
        <v>0.53</v>
      </c>
      <c r="M998">
        <v>0.28360000000000002</v>
      </c>
      <c r="N998">
        <v>0</v>
      </c>
      <c r="O998">
        <v>2</v>
      </c>
      <c r="P998">
        <v>2</v>
      </c>
    </row>
    <row r="999" spans="1:16" x14ac:dyDescent="0.3">
      <c r="A999">
        <v>998</v>
      </c>
      <c r="B999" s="4">
        <v>40588</v>
      </c>
      <c r="C999">
        <v>1</v>
      </c>
      <c r="D999">
        <v>0</v>
      </c>
      <c r="E999">
        <v>2</v>
      </c>
      <c r="F999">
        <v>5</v>
      </c>
      <c r="G999" t="b">
        <v>0</v>
      </c>
      <c r="H999">
        <v>1</v>
      </c>
      <c r="I999">
        <v>1</v>
      </c>
      <c r="J999">
        <v>0.32</v>
      </c>
      <c r="K999">
        <v>0.30299999999999999</v>
      </c>
      <c r="L999">
        <v>0.53</v>
      </c>
      <c r="M999">
        <v>0.28360000000000002</v>
      </c>
      <c r="N999">
        <v>0</v>
      </c>
      <c r="O999">
        <v>3</v>
      </c>
      <c r="P999">
        <v>3</v>
      </c>
    </row>
    <row r="1000" spans="1:16" x14ac:dyDescent="0.3">
      <c r="A1000">
        <v>999</v>
      </c>
      <c r="B1000" s="4">
        <v>40588</v>
      </c>
      <c r="C1000">
        <v>1</v>
      </c>
      <c r="D1000">
        <v>0</v>
      </c>
      <c r="E1000">
        <v>2</v>
      </c>
      <c r="F1000">
        <v>6</v>
      </c>
      <c r="G1000" t="b">
        <v>0</v>
      </c>
      <c r="H1000">
        <v>1</v>
      </c>
      <c r="I1000">
        <v>1</v>
      </c>
      <c r="J1000">
        <v>0.34</v>
      </c>
      <c r="K1000">
        <v>0.30299999999999999</v>
      </c>
      <c r="L1000">
        <v>0.46</v>
      </c>
      <c r="M1000">
        <v>0.29849999999999999</v>
      </c>
      <c r="N1000">
        <v>1</v>
      </c>
      <c r="O1000">
        <v>25</v>
      </c>
      <c r="P1000">
        <v>26</v>
      </c>
    </row>
    <row r="1001" spans="1:16" x14ac:dyDescent="0.3">
      <c r="A1001">
        <v>1000</v>
      </c>
      <c r="B1001" s="4">
        <v>40588</v>
      </c>
      <c r="C1001">
        <v>1</v>
      </c>
      <c r="D1001">
        <v>0</v>
      </c>
      <c r="E1001">
        <v>2</v>
      </c>
      <c r="F1001">
        <v>7</v>
      </c>
      <c r="G1001" t="b">
        <v>0</v>
      </c>
      <c r="H1001">
        <v>1</v>
      </c>
      <c r="I1001">
        <v>1</v>
      </c>
      <c r="J1001">
        <v>0.34</v>
      </c>
      <c r="K1001">
        <v>0.30299999999999999</v>
      </c>
      <c r="L1001">
        <v>0.46</v>
      </c>
      <c r="M1001">
        <v>0.29849999999999999</v>
      </c>
      <c r="N1001">
        <v>2</v>
      </c>
      <c r="O1001">
        <v>96</v>
      </c>
      <c r="P1001">
        <v>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469AE-34F9-4CED-9BB8-886269A58CA5}">
  <dimension ref="B1:F9"/>
  <sheetViews>
    <sheetView workbookViewId="0">
      <selection activeCell="I11" sqref="I11"/>
    </sheetView>
  </sheetViews>
  <sheetFormatPr defaultRowHeight="14.4" x14ac:dyDescent="0.3"/>
  <cols>
    <col min="3" max="3" width="10.44140625" bestFit="1" customWidth="1"/>
    <col min="5" max="5" width="15.88671875" bestFit="1" customWidth="1"/>
    <col min="6" max="6" width="15.33203125" bestFit="1" customWidth="1"/>
  </cols>
  <sheetData>
    <row r="1" spans="2:6" ht="15" thickBot="1" x14ac:dyDescent="0.35"/>
    <row r="2" spans="2:6" x14ac:dyDescent="0.3">
      <c r="B2" s="12" t="s">
        <v>22</v>
      </c>
      <c r="C2" s="13" t="s">
        <v>24</v>
      </c>
      <c r="E2" s="12" t="s">
        <v>23</v>
      </c>
      <c r="F2" s="13" t="s">
        <v>25</v>
      </c>
    </row>
    <row r="3" spans="2:6" x14ac:dyDescent="0.3">
      <c r="B3" s="6">
        <v>0</v>
      </c>
      <c r="C3" s="7" t="s">
        <v>30</v>
      </c>
      <c r="E3" s="6">
        <v>1</v>
      </c>
      <c r="F3" s="7" t="s">
        <v>26</v>
      </c>
    </row>
    <row r="4" spans="2:6" x14ac:dyDescent="0.3">
      <c r="B4" s="6">
        <v>1</v>
      </c>
      <c r="C4" s="7" t="s">
        <v>31</v>
      </c>
      <c r="E4" s="6">
        <v>2</v>
      </c>
      <c r="F4" s="7" t="s">
        <v>27</v>
      </c>
    </row>
    <row r="5" spans="2:6" x14ac:dyDescent="0.3">
      <c r="B5" s="6">
        <v>2</v>
      </c>
      <c r="C5" s="7" t="s">
        <v>32</v>
      </c>
      <c r="E5" s="6">
        <v>3</v>
      </c>
      <c r="F5" s="7" t="s">
        <v>29</v>
      </c>
    </row>
    <row r="6" spans="2:6" ht="15" thickBot="1" x14ac:dyDescent="0.35">
      <c r="B6" s="6">
        <v>3</v>
      </c>
      <c r="C6" s="7" t="s">
        <v>33</v>
      </c>
      <c r="E6" s="8">
        <v>4</v>
      </c>
      <c r="F6" s="9" t="s">
        <v>28</v>
      </c>
    </row>
    <row r="7" spans="2:6" x14ac:dyDescent="0.3">
      <c r="B7" s="6">
        <v>4</v>
      </c>
      <c r="C7" s="7" t="s">
        <v>34</v>
      </c>
    </row>
    <row r="8" spans="2:6" x14ac:dyDescent="0.3">
      <c r="B8" s="6">
        <v>5</v>
      </c>
      <c r="C8" s="7" t="s">
        <v>35</v>
      </c>
    </row>
    <row r="9" spans="2:6" ht="15" thickBot="1" x14ac:dyDescent="0.35">
      <c r="B9" s="8">
        <v>6</v>
      </c>
      <c r="C9" s="9" t="s">
        <v>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06479-5748-4A50-BA85-33832094FBE7}">
  <sheetPr>
    <tabColor rgb="FF0070C0"/>
  </sheetPr>
  <dimension ref="A1:S1001"/>
  <sheetViews>
    <sheetView workbookViewId="0">
      <selection activeCell="E2" sqref="E2:E1001"/>
    </sheetView>
  </sheetViews>
  <sheetFormatPr defaultRowHeight="14.4" x14ac:dyDescent="0.3"/>
  <cols>
    <col min="1" max="1" width="9.21875" bestFit="1" customWidth="1"/>
    <col min="2" max="2" width="10.33203125" bestFit="1" customWidth="1"/>
    <col min="3" max="3" width="8.6640625" bestFit="1" customWidth="1"/>
    <col min="4" max="4" width="7.5546875" bestFit="1" customWidth="1"/>
    <col min="5" max="5" width="7.33203125" bestFit="1" customWidth="1"/>
    <col min="6" max="6" width="11.77734375" bestFit="1" customWidth="1"/>
    <col min="7" max="7" width="11.21875" bestFit="1" customWidth="1"/>
    <col min="8" max="8" width="10.44140625" bestFit="1" customWidth="1"/>
    <col min="9" max="9" width="10.44140625" customWidth="1"/>
    <col min="10" max="10" width="18.5546875" bestFit="1" customWidth="1"/>
    <col min="11" max="11" width="16" bestFit="1" customWidth="1"/>
    <col min="12" max="12" width="8" bestFit="1" customWidth="1"/>
    <col min="13" max="13" width="9.21875" bestFit="1" customWidth="1"/>
    <col min="14" max="14" width="10.88671875" bestFit="1" customWidth="1"/>
    <col min="15" max="15" width="13.21875" bestFit="1" customWidth="1"/>
    <col min="16" max="16" width="10.109375" bestFit="1" customWidth="1"/>
    <col min="17" max="17" width="12.6640625" bestFit="1" customWidth="1"/>
    <col min="18" max="19" width="15.109375" bestFit="1" customWidth="1"/>
  </cols>
  <sheetData>
    <row r="1" spans="1:19" x14ac:dyDescent="0.3">
      <c r="A1" s="1" t="s">
        <v>17</v>
      </c>
      <c r="B1" s="2" t="s">
        <v>18</v>
      </c>
      <c r="C1" s="2" t="s">
        <v>19</v>
      </c>
      <c r="D1" s="2" t="s">
        <v>20</v>
      </c>
      <c r="E1" s="2" t="s">
        <v>70</v>
      </c>
      <c r="F1" s="2" t="s">
        <v>48</v>
      </c>
      <c r="G1" s="2" t="s">
        <v>21</v>
      </c>
      <c r="H1" s="2" t="s">
        <v>60</v>
      </c>
      <c r="I1" s="2" t="s">
        <v>24</v>
      </c>
      <c r="J1" s="2" t="s">
        <v>61</v>
      </c>
      <c r="K1" s="2" t="s">
        <v>23</v>
      </c>
      <c r="L1" s="2" t="s">
        <v>25</v>
      </c>
      <c r="M1" s="2" t="s">
        <v>37</v>
      </c>
      <c r="N1" s="2" t="s">
        <v>38</v>
      </c>
      <c r="O1" s="2" t="s">
        <v>39</v>
      </c>
      <c r="P1" s="2" t="s">
        <v>40</v>
      </c>
      <c r="Q1" s="2" t="s">
        <v>41</v>
      </c>
      <c r="R1" s="2" t="s">
        <v>42</v>
      </c>
      <c r="S1" s="3" t="s">
        <v>43</v>
      </c>
    </row>
    <row r="2" spans="1:19" x14ac:dyDescent="0.3">
      <c r="A2">
        <v>1</v>
      </c>
      <c r="B2" s="4">
        <v>40544</v>
      </c>
      <c r="C2">
        <v>1</v>
      </c>
      <c r="D2">
        <v>0</v>
      </c>
      <c r="E2" t="str">
        <f t="shared" ref="E2:E65" si="0">TEXT(D2/24,"h AM/PM")</f>
        <v>12 AM</v>
      </c>
      <c r="F2" t="str">
        <f t="shared" ref="F2:F65" si="1">IF(D2&lt;5,"Night",
IF(D2&lt;=11,"Morning",
IF(D2&lt;16,"AfterNoon",
IF(D2&lt;20,"Evening","Night"))))</f>
        <v>Night</v>
      </c>
      <c r="G2" t="b">
        <v>0</v>
      </c>
      <c r="H2">
        <v>6</v>
      </c>
      <c r="I2" t="str">
        <f>_xlfn.XLOOKUP(Append15[[#This Row],[Week day]],Mappings!$B$3:$B$9,Mappings!$C$3:$C$9)</f>
        <v>Saturday</v>
      </c>
      <c r="J2" t="str">
        <f t="shared" ref="J2:J65" si="2">IF(OR(H2=0,H2=6),"Weekend","Weekday")</f>
        <v>Weekend</v>
      </c>
      <c r="K2">
        <v>1</v>
      </c>
      <c r="L2" t="str">
        <f>_xlfn.XLOOKUP(Append15[[#This Row],[WeatherSituation]],Mappings!$E$3:$E$6,Mappings!$F$3:$F$6)</f>
        <v>Clear Sky</v>
      </c>
      <c r="M2">
        <v>0.24</v>
      </c>
      <c r="N2">
        <v>0.28789999999999999</v>
      </c>
      <c r="O2">
        <v>0.81</v>
      </c>
      <c r="P2">
        <v>0</v>
      </c>
      <c r="Q2">
        <v>3</v>
      </c>
      <c r="R2">
        <v>13</v>
      </c>
      <c r="S2">
        <v>16</v>
      </c>
    </row>
    <row r="3" spans="1:19" x14ac:dyDescent="0.3">
      <c r="A3">
        <v>2</v>
      </c>
      <c r="B3" s="4">
        <v>40544</v>
      </c>
      <c r="C3">
        <v>1</v>
      </c>
      <c r="D3">
        <v>1</v>
      </c>
      <c r="E3" t="str">
        <f t="shared" si="0"/>
        <v>1 AM</v>
      </c>
      <c r="F3" t="str">
        <f t="shared" si="1"/>
        <v>Night</v>
      </c>
      <c r="G3" t="b">
        <v>0</v>
      </c>
      <c r="H3">
        <v>6</v>
      </c>
      <c r="I3" t="str">
        <f>_xlfn.XLOOKUP(Append15[[#This Row],[Week day]],Mappings!$B$3:$B$9,Mappings!$C$3:$C$9)</f>
        <v>Saturday</v>
      </c>
      <c r="J3" t="str">
        <f t="shared" si="2"/>
        <v>Weekend</v>
      </c>
      <c r="K3">
        <v>1</v>
      </c>
      <c r="L3" t="str">
        <f>_xlfn.XLOOKUP(Append15[[#This Row],[WeatherSituation]],Mappings!$E$3:$E$6,Mappings!$F$3:$F$6)</f>
        <v>Clear Sky</v>
      </c>
      <c r="M3">
        <v>0.22</v>
      </c>
      <c r="N3">
        <v>0.2727</v>
      </c>
      <c r="O3">
        <v>0.8</v>
      </c>
      <c r="P3">
        <v>0</v>
      </c>
      <c r="Q3">
        <v>8</v>
      </c>
      <c r="R3">
        <v>32</v>
      </c>
      <c r="S3">
        <v>40</v>
      </c>
    </row>
    <row r="4" spans="1:19" x14ac:dyDescent="0.3">
      <c r="A4">
        <v>3</v>
      </c>
      <c r="B4" s="4">
        <v>40544</v>
      </c>
      <c r="C4">
        <v>1</v>
      </c>
      <c r="D4">
        <v>2</v>
      </c>
      <c r="E4" t="str">
        <f t="shared" si="0"/>
        <v>2 AM</v>
      </c>
      <c r="F4" t="str">
        <f t="shared" si="1"/>
        <v>Night</v>
      </c>
      <c r="G4" t="b">
        <v>0</v>
      </c>
      <c r="H4">
        <v>6</v>
      </c>
      <c r="I4" t="str">
        <f>_xlfn.XLOOKUP(Append15[[#This Row],[Week day]],Mappings!$B$3:$B$9,Mappings!$C$3:$C$9)</f>
        <v>Saturday</v>
      </c>
      <c r="J4" t="str">
        <f t="shared" si="2"/>
        <v>Weekend</v>
      </c>
      <c r="K4">
        <v>1</v>
      </c>
      <c r="L4" t="str">
        <f>_xlfn.XLOOKUP(Append15[[#This Row],[WeatherSituation]],Mappings!$E$3:$E$6,Mappings!$F$3:$F$6)</f>
        <v>Clear Sky</v>
      </c>
      <c r="M4">
        <v>0.22</v>
      </c>
      <c r="N4">
        <v>0.2727</v>
      </c>
      <c r="O4">
        <v>0.8</v>
      </c>
      <c r="P4">
        <v>0</v>
      </c>
      <c r="Q4">
        <v>5</v>
      </c>
      <c r="R4">
        <v>27</v>
      </c>
      <c r="S4">
        <v>32</v>
      </c>
    </row>
    <row r="5" spans="1:19" x14ac:dyDescent="0.3">
      <c r="A5">
        <v>4</v>
      </c>
      <c r="B5" s="4">
        <v>40544</v>
      </c>
      <c r="C5">
        <v>1</v>
      </c>
      <c r="D5">
        <v>3</v>
      </c>
      <c r="E5" t="str">
        <f t="shared" si="0"/>
        <v>3 AM</v>
      </c>
      <c r="F5" t="str">
        <f t="shared" si="1"/>
        <v>Night</v>
      </c>
      <c r="G5" t="b">
        <v>0</v>
      </c>
      <c r="H5">
        <v>6</v>
      </c>
      <c r="I5" t="str">
        <f>_xlfn.XLOOKUP(Append15[[#This Row],[Week day]],Mappings!$B$3:$B$9,Mappings!$C$3:$C$9)</f>
        <v>Saturday</v>
      </c>
      <c r="J5" t="str">
        <f t="shared" si="2"/>
        <v>Weekend</v>
      </c>
      <c r="K5">
        <v>1</v>
      </c>
      <c r="L5" t="str">
        <f>_xlfn.XLOOKUP(Append15[[#This Row],[WeatherSituation]],Mappings!$E$3:$E$6,Mappings!$F$3:$F$6)</f>
        <v>Clear Sky</v>
      </c>
      <c r="M5">
        <v>0.24</v>
      </c>
      <c r="N5">
        <v>0.28789999999999999</v>
      </c>
      <c r="O5">
        <v>0.75</v>
      </c>
      <c r="P5">
        <v>0</v>
      </c>
      <c r="Q5">
        <v>3</v>
      </c>
      <c r="R5">
        <v>10</v>
      </c>
      <c r="S5">
        <v>13</v>
      </c>
    </row>
    <row r="6" spans="1:19" x14ac:dyDescent="0.3">
      <c r="A6">
        <v>5</v>
      </c>
      <c r="B6" s="4">
        <v>40544</v>
      </c>
      <c r="C6">
        <v>1</v>
      </c>
      <c r="D6">
        <v>4</v>
      </c>
      <c r="E6" t="str">
        <f t="shared" si="0"/>
        <v>4 AM</v>
      </c>
      <c r="F6" t="str">
        <f t="shared" si="1"/>
        <v>Night</v>
      </c>
      <c r="G6" t="b">
        <v>0</v>
      </c>
      <c r="H6">
        <v>6</v>
      </c>
      <c r="I6" t="str">
        <f>_xlfn.XLOOKUP(Append15[[#This Row],[Week day]],Mappings!$B$3:$B$9,Mappings!$C$3:$C$9)</f>
        <v>Saturday</v>
      </c>
      <c r="J6" t="str">
        <f t="shared" si="2"/>
        <v>Weekend</v>
      </c>
      <c r="K6">
        <v>1</v>
      </c>
      <c r="L6" t="str">
        <f>_xlfn.XLOOKUP(Append15[[#This Row],[WeatherSituation]],Mappings!$E$3:$E$6,Mappings!$F$3:$F$6)</f>
        <v>Clear Sky</v>
      </c>
      <c r="M6">
        <v>0.24</v>
      </c>
      <c r="N6">
        <v>0.28789999999999999</v>
      </c>
      <c r="O6">
        <v>0.75</v>
      </c>
      <c r="P6">
        <v>0</v>
      </c>
      <c r="Q6">
        <v>0</v>
      </c>
      <c r="R6">
        <v>1</v>
      </c>
      <c r="S6">
        <v>1</v>
      </c>
    </row>
    <row r="7" spans="1:19" x14ac:dyDescent="0.3">
      <c r="A7">
        <v>6</v>
      </c>
      <c r="B7" s="4">
        <v>40544</v>
      </c>
      <c r="C7">
        <v>1</v>
      </c>
      <c r="D7">
        <v>5</v>
      </c>
      <c r="E7" t="str">
        <f t="shared" si="0"/>
        <v>5 AM</v>
      </c>
      <c r="F7" t="str">
        <f t="shared" si="1"/>
        <v>Morning</v>
      </c>
      <c r="G7" t="b">
        <v>0</v>
      </c>
      <c r="H7">
        <v>6</v>
      </c>
      <c r="I7" t="str">
        <f>_xlfn.XLOOKUP(Append15[[#This Row],[Week day]],Mappings!$B$3:$B$9,Mappings!$C$3:$C$9)</f>
        <v>Saturday</v>
      </c>
      <c r="J7" t="str">
        <f t="shared" si="2"/>
        <v>Weekend</v>
      </c>
      <c r="K7">
        <v>2</v>
      </c>
      <c r="L7" t="str">
        <f>_xlfn.XLOOKUP(Append15[[#This Row],[WeatherSituation]],Mappings!$E$3:$E$6,Mappings!$F$3:$F$6)</f>
        <v>Mist/Cloudy</v>
      </c>
      <c r="M7">
        <v>0.24</v>
      </c>
      <c r="N7">
        <v>0.2576</v>
      </c>
      <c r="O7">
        <v>0.75</v>
      </c>
      <c r="P7">
        <v>8.9599999999999999E-2</v>
      </c>
      <c r="Q7">
        <v>0</v>
      </c>
      <c r="R7">
        <v>1</v>
      </c>
      <c r="S7">
        <v>1</v>
      </c>
    </row>
    <row r="8" spans="1:19" x14ac:dyDescent="0.3">
      <c r="A8">
        <v>7</v>
      </c>
      <c r="B8" s="4">
        <v>40544</v>
      </c>
      <c r="C8">
        <v>1</v>
      </c>
      <c r="D8">
        <v>6</v>
      </c>
      <c r="E8" t="str">
        <f t="shared" si="0"/>
        <v>6 AM</v>
      </c>
      <c r="F8" t="str">
        <f t="shared" si="1"/>
        <v>Morning</v>
      </c>
      <c r="G8" t="b">
        <v>0</v>
      </c>
      <c r="H8">
        <v>6</v>
      </c>
      <c r="I8" t="str">
        <f>_xlfn.XLOOKUP(Append15[[#This Row],[Week day]],Mappings!$B$3:$B$9,Mappings!$C$3:$C$9)</f>
        <v>Saturday</v>
      </c>
      <c r="J8" t="str">
        <f t="shared" si="2"/>
        <v>Weekend</v>
      </c>
      <c r="K8">
        <v>1</v>
      </c>
      <c r="L8" t="str">
        <f>_xlfn.XLOOKUP(Append15[[#This Row],[WeatherSituation]],Mappings!$E$3:$E$6,Mappings!$F$3:$F$6)</f>
        <v>Clear Sky</v>
      </c>
      <c r="M8">
        <v>0.22</v>
      </c>
      <c r="N8">
        <v>0.2727</v>
      </c>
      <c r="O8">
        <v>0.8</v>
      </c>
      <c r="P8">
        <v>0</v>
      </c>
      <c r="Q8">
        <v>2</v>
      </c>
      <c r="R8">
        <v>0</v>
      </c>
      <c r="S8">
        <v>2</v>
      </c>
    </row>
    <row r="9" spans="1:19" x14ac:dyDescent="0.3">
      <c r="A9">
        <v>8</v>
      </c>
      <c r="B9" s="4">
        <v>40544</v>
      </c>
      <c r="C9">
        <v>1</v>
      </c>
      <c r="D9">
        <v>7</v>
      </c>
      <c r="E9" t="str">
        <f t="shared" si="0"/>
        <v>7 AM</v>
      </c>
      <c r="F9" t="str">
        <f t="shared" si="1"/>
        <v>Morning</v>
      </c>
      <c r="G9" t="b">
        <v>0</v>
      </c>
      <c r="H9">
        <v>6</v>
      </c>
      <c r="I9" t="str">
        <f>_xlfn.XLOOKUP(Append15[[#This Row],[Week day]],Mappings!$B$3:$B$9,Mappings!$C$3:$C$9)</f>
        <v>Saturday</v>
      </c>
      <c r="J9" t="str">
        <f t="shared" si="2"/>
        <v>Weekend</v>
      </c>
      <c r="K9">
        <v>1</v>
      </c>
      <c r="L9" t="str">
        <f>_xlfn.XLOOKUP(Append15[[#This Row],[WeatherSituation]],Mappings!$E$3:$E$6,Mappings!$F$3:$F$6)</f>
        <v>Clear Sky</v>
      </c>
      <c r="M9">
        <v>0.2</v>
      </c>
      <c r="N9">
        <v>0.2576</v>
      </c>
      <c r="O9">
        <v>0.86</v>
      </c>
      <c r="P9">
        <v>0</v>
      </c>
      <c r="Q9">
        <v>1</v>
      </c>
      <c r="R9">
        <v>2</v>
      </c>
      <c r="S9">
        <v>3</v>
      </c>
    </row>
    <row r="10" spans="1:19" x14ac:dyDescent="0.3">
      <c r="A10">
        <v>9</v>
      </c>
      <c r="B10" s="4">
        <v>40544</v>
      </c>
      <c r="C10">
        <v>1</v>
      </c>
      <c r="D10">
        <v>8</v>
      </c>
      <c r="E10" t="str">
        <f t="shared" si="0"/>
        <v>8 AM</v>
      </c>
      <c r="F10" t="str">
        <f t="shared" si="1"/>
        <v>Morning</v>
      </c>
      <c r="G10" t="b">
        <v>0</v>
      </c>
      <c r="H10">
        <v>6</v>
      </c>
      <c r="I10" t="str">
        <f>_xlfn.XLOOKUP(Append15[[#This Row],[Week day]],Mappings!$B$3:$B$9,Mappings!$C$3:$C$9)</f>
        <v>Saturday</v>
      </c>
      <c r="J10" t="str">
        <f t="shared" si="2"/>
        <v>Weekend</v>
      </c>
      <c r="K10">
        <v>1</v>
      </c>
      <c r="L10" t="str">
        <f>_xlfn.XLOOKUP(Append15[[#This Row],[WeatherSituation]],Mappings!$E$3:$E$6,Mappings!$F$3:$F$6)</f>
        <v>Clear Sky</v>
      </c>
      <c r="M10">
        <v>0.24</v>
      </c>
      <c r="N10">
        <v>0.19989999999999999</v>
      </c>
      <c r="O10">
        <v>0.75</v>
      </c>
      <c r="P10">
        <v>0</v>
      </c>
      <c r="Q10">
        <v>1</v>
      </c>
      <c r="R10">
        <v>7</v>
      </c>
      <c r="S10">
        <v>8</v>
      </c>
    </row>
    <row r="11" spans="1:19" x14ac:dyDescent="0.3">
      <c r="A11">
        <v>10</v>
      </c>
      <c r="B11" s="4">
        <v>40544</v>
      </c>
      <c r="C11">
        <v>1</v>
      </c>
      <c r="D11">
        <v>9</v>
      </c>
      <c r="E11" t="str">
        <f t="shared" si="0"/>
        <v>9 AM</v>
      </c>
      <c r="F11" t="str">
        <f t="shared" si="1"/>
        <v>Morning</v>
      </c>
      <c r="G11" t="b">
        <v>0</v>
      </c>
      <c r="H11">
        <v>6</v>
      </c>
      <c r="I11" t="str">
        <f>_xlfn.XLOOKUP(Append15[[#This Row],[Week day]],Mappings!$B$3:$B$9,Mappings!$C$3:$C$9)</f>
        <v>Saturday</v>
      </c>
      <c r="J11" t="str">
        <f t="shared" si="2"/>
        <v>Weekend</v>
      </c>
      <c r="K11">
        <v>1</v>
      </c>
      <c r="L11" t="str">
        <f>_xlfn.XLOOKUP(Append15[[#This Row],[WeatherSituation]],Mappings!$E$3:$E$6,Mappings!$F$3:$F$6)</f>
        <v>Clear Sky</v>
      </c>
      <c r="M11">
        <v>0.32</v>
      </c>
      <c r="N11">
        <v>0.34849999999999998</v>
      </c>
      <c r="O11">
        <v>0.76</v>
      </c>
      <c r="P11">
        <v>0</v>
      </c>
      <c r="Q11">
        <v>8</v>
      </c>
      <c r="R11">
        <v>6</v>
      </c>
      <c r="S11">
        <v>14</v>
      </c>
    </row>
    <row r="12" spans="1:19" x14ac:dyDescent="0.3">
      <c r="A12">
        <v>11</v>
      </c>
      <c r="B12" s="4">
        <v>40544</v>
      </c>
      <c r="C12">
        <v>1</v>
      </c>
      <c r="D12">
        <v>10</v>
      </c>
      <c r="E12" t="str">
        <f t="shared" si="0"/>
        <v>10 AM</v>
      </c>
      <c r="F12" t="str">
        <f t="shared" si="1"/>
        <v>Morning</v>
      </c>
      <c r="G12" t="b">
        <v>0</v>
      </c>
      <c r="H12">
        <v>6</v>
      </c>
      <c r="I12" t="str">
        <f>_xlfn.XLOOKUP(Append15[[#This Row],[Week day]],Mappings!$B$3:$B$9,Mappings!$C$3:$C$9)</f>
        <v>Saturday</v>
      </c>
      <c r="J12" t="str">
        <f t="shared" si="2"/>
        <v>Weekend</v>
      </c>
      <c r="K12">
        <v>1</v>
      </c>
      <c r="L12" t="str">
        <f>_xlfn.XLOOKUP(Append15[[#This Row],[WeatherSituation]],Mappings!$E$3:$E$6,Mappings!$F$3:$F$6)</f>
        <v>Clear Sky</v>
      </c>
      <c r="M12">
        <v>0.38</v>
      </c>
      <c r="N12">
        <v>0.39389999999999997</v>
      </c>
      <c r="O12">
        <v>0.76</v>
      </c>
      <c r="P12">
        <v>0.25369999999999998</v>
      </c>
      <c r="Q12">
        <v>12</v>
      </c>
      <c r="R12">
        <v>24</v>
      </c>
      <c r="S12">
        <v>36</v>
      </c>
    </row>
    <row r="13" spans="1:19" x14ac:dyDescent="0.3">
      <c r="A13">
        <v>12</v>
      </c>
      <c r="B13" s="4">
        <v>40544</v>
      </c>
      <c r="C13">
        <v>1</v>
      </c>
      <c r="D13">
        <v>11</v>
      </c>
      <c r="E13" t="str">
        <f t="shared" si="0"/>
        <v>11 AM</v>
      </c>
      <c r="F13" t="str">
        <f t="shared" si="1"/>
        <v>Morning</v>
      </c>
      <c r="G13" t="b">
        <v>0</v>
      </c>
      <c r="H13">
        <v>6</v>
      </c>
      <c r="I13" t="str">
        <f>_xlfn.XLOOKUP(Append15[[#This Row],[Week day]],Mappings!$B$3:$B$9,Mappings!$C$3:$C$9)</f>
        <v>Saturday</v>
      </c>
      <c r="J13" t="str">
        <f t="shared" si="2"/>
        <v>Weekend</v>
      </c>
      <c r="K13">
        <v>1</v>
      </c>
      <c r="L13" t="str">
        <f>_xlfn.XLOOKUP(Append15[[#This Row],[WeatherSituation]],Mappings!$E$3:$E$6,Mappings!$F$3:$F$6)</f>
        <v>Clear Sky</v>
      </c>
      <c r="M13">
        <v>0.36</v>
      </c>
      <c r="N13">
        <v>0.33329999999999999</v>
      </c>
      <c r="O13">
        <v>0.81</v>
      </c>
      <c r="P13">
        <v>0.28360000000000002</v>
      </c>
      <c r="Q13">
        <v>26</v>
      </c>
      <c r="R13">
        <v>30</v>
      </c>
      <c r="S13">
        <v>56</v>
      </c>
    </row>
    <row r="14" spans="1:19" x14ac:dyDescent="0.3">
      <c r="A14">
        <v>13</v>
      </c>
      <c r="B14" s="4">
        <v>40544</v>
      </c>
      <c r="C14">
        <v>1</v>
      </c>
      <c r="D14">
        <v>12</v>
      </c>
      <c r="E14" t="str">
        <f t="shared" si="0"/>
        <v>12 PM</v>
      </c>
      <c r="F14" t="str">
        <f t="shared" si="1"/>
        <v>AfterNoon</v>
      </c>
      <c r="G14" t="b">
        <v>0</v>
      </c>
      <c r="H14">
        <v>6</v>
      </c>
      <c r="I14" t="str">
        <f>_xlfn.XLOOKUP(Append15[[#This Row],[Week day]],Mappings!$B$3:$B$9,Mappings!$C$3:$C$9)</f>
        <v>Saturday</v>
      </c>
      <c r="J14" t="str">
        <f t="shared" si="2"/>
        <v>Weekend</v>
      </c>
      <c r="K14">
        <v>1</v>
      </c>
      <c r="L14" t="str">
        <f>_xlfn.XLOOKUP(Append15[[#This Row],[WeatherSituation]],Mappings!$E$3:$E$6,Mappings!$F$3:$F$6)</f>
        <v>Clear Sky</v>
      </c>
      <c r="M14">
        <v>0.42</v>
      </c>
      <c r="N14">
        <v>0.42420000000000002</v>
      </c>
      <c r="O14">
        <v>0.77</v>
      </c>
      <c r="P14">
        <v>0.28360000000000002</v>
      </c>
      <c r="Q14">
        <v>29</v>
      </c>
      <c r="R14">
        <v>55</v>
      </c>
      <c r="S14">
        <v>84</v>
      </c>
    </row>
    <row r="15" spans="1:19" x14ac:dyDescent="0.3">
      <c r="A15">
        <v>14</v>
      </c>
      <c r="B15" s="4">
        <v>40544</v>
      </c>
      <c r="C15">
        <v>1</v>
      </c>
      <c r="D15">
        <v>13</v>
      </c>
      <c r="E15" t="str">
        <f t="shared" si="0"/>
        <v>1 PM</v>
      </c>
      <c r="F15" t="str">
        <f t="shared" si="1"/>
        <v>AfterNoon</v>
      </c>
      <c r="G15" t="b">
        <v>0</v>
      </c>
      <c r="H15">
        <v>6</v>
      </c>
      <c r="I15" t="str">
        <f>_xlfn.XLOOKUP(Append15[[#This Row],[Week day]],Mappings!$B$3:$B$9,Mappings!$C$3:$C$9)</f>
        <v>Saturday</v>
      </c>
      <c r="J15" t="str">
        <f t="shared" si="2"/>
        <v>Weekend</v>
      </c>
      <c r="K15">
        <v>2</v>
      </c>
      <c r="L15" t="str">
        <f>_xlfn.XLOOKUP(Append15[[#This Row],[WeatherSituation]],Mappings!$E$3:$E$6,Mappings!$F$3:$F$6)</f>
        <v>Mist/Cloudy</v>
      </c>
      <c r="M15">
        <v>0.46</v>
      </c>
      <c r="N15">
        <v>0.45450000000000002</v>
      </c>
      <c r="O15">
        <v>0.72</v>
      </c>
      <c r="P15">
        <v>0.29849999999999999</v>
      </c>
      <c r="Q15">
        <v>47</v>
      </c>
      <c r="R15">
        <v>47</v>
      </c>
      <c r="S15">
        <v>94</v>
      </c>
    </row>
    <row r="16" spans="1:19" x14ac:dyDescent="0.3">
      <c r="A16">
        <v>15</v>
      </c>
      <c r="B16" s="4">
        <v>40544</v>
      </c>
      <c r="C16">
        <v>1</v>
      </c>
      <c r="D16">
        <v>14</v>
      </c>
      <c r="E16" t="str">
        <f t="shared" si="0"/>
        <v>2 PM</v>
      </c>
      <c r="F16" t="str">
        <f t="shared" si="1"/>
        <v>AfterNoon</v>
      </c>
      <c r="G16" t="b">
        <v>0</v>
      </c>
      <c r="H16">
        <v>6</v>
      </c>
      <c r="I16" t="str">
        <f>_xlfn.XLOOKUP(Append15[[#This Row],[Week day]],Mappings!$B$3:$B$9,Mappings!$C$3:$C$9)</f>
        <v>Saturday</v>
      </c>
      <c r="J16" t="str">
        <f t="shared" si="2"/>
        <v>Weekend</v>
      </c>
      <c r="K16">
        <v>2</v>
      </c>
      <c r="L16" t="str">
        <f>_xlfn.XLOOKUP(Append15[[#This Row],[WeatherSituation]],Mappings!$E$3:$E$6,Mappings!$F$3:$F$6)</f>
        <v>Mist/Cloudy</v>
      </c>
      <c r="M16">
        <v>0.46</v>
      </c>
      <c r="N16">
        <v>0.45450000000000002</v>
      </c>
      <c r="O16">
        <v>0.72</v>
      </c>
      <c r="P16">
        <v>0.28360000000000002</v>
      </c>
      <c r="Q16">
        <v>35</v>
      </c>
      <c r="R16">
        <v>71</v>
      </c>
      <c r="S16">
        <v>106</v>
      </c>
    </row>
    <row r="17" spans="1:19" x14ac:dyDescent="0.3">
      <c r="A17">
        <v>16</v>
      </c>
      <c r="B17" s="4">
        <v>40544</v>
      </c>
      <c r="C17">
        <v>1</v>
      </c>
      <c r="D17">
        <v>15</v>
      </c>
      <c r="E17" t="str">
        <f t="shared" si="0"/>
        <v>3 PM</v>
      </c>
      <c r="F17" t="str">
        <f t="shared" si="1"/>
        <v>AfterNoon</v>
      </c>
      <c r="G17" t="b">
        <v>0</v>
      </c>
      <c r="H17">
        <v>6</v>
      </c>
      <c r="I17" t="str">
        <f>_xlfn.XLOOKUP(Append15[[#This Row],[Week day]],Mappings!$B$3:$B$9,Mappings!$C$3:$C$9)</f>
        <v>Saturday</v>
      </c>
      <c r="J17" t="str">
        <f t="shared" si="2"/>
        <v>Weekend</v>
      </c>
      <c r="K17">
        <v>2</v>
      </c>
      <c r="L17" t="str">
        <f>_xlfn.XLOOKUP(Append15[[#This Row],[WeatherSituation]],Mappings!$E$3:$E$6,Mappings!$F$3:$F$6)</f>
        <v>Mist/Cloudy</v>
      </c>
      <c r="M17">
        <v>0.44</v>
      </c>
      <c r="N17">
        <v>0.43940000000000001</v>
      </c>
      <c r="O17">
        <v>0.77</v>
      </c>
      <c r="P17">
        <v>0.29849999999999999</v>
      </c>
      <c r="Q17">
        <v>40</v>
      </c>
      <c r="R17">
        <v>70</v>
      </c>
      <c r="S17">
        <v>110</v>
      </c>
    </row>
    <row r="18" spans="1:19" x14ac:dyDescent="0.3">
      <c r="A18">
        <v>17</v>
      </c>
      <c r="B18" s="4">
        <v>40544</v>
      </c>
      <c r="C18">
        <v>1</v>
      </c>
      <c r="D18">
        <v>16</v>
      </c>
      <c r="E18" t="str">
        <f t="shared" si="0"/>
        <v>4 PM</v>
      </c>
      <c r="F18" t="str">
        <f t="shared" si="1"/>
        <v>Evening</v>
      </c>
      <c r="G18" t="b">
        <v>0</v>
      </c>
      <c r="H18">
        <v>6</v>
      </c>
      <c r="I18" t="str">
        <f>_xlfn.XLOOKUP(Append15[[#This Row],[Week day]],Mappings!$B$3:$B$9,Mappings!$C$3:$C$9)</f>
        <v>Saturday</v>
      </c>
      <c r="J18" t="str">
        <f t="shared" si="2"/>
        <v>Weekend</v>
      </c>
      <c r="K18">
        <v>2</v>
      </c>
      <c r="L18" t="str">
        <f>_xlfn.XLOOKUP(Append15[[#This Row],[WeatherSituation]],Mappings!$E$3:$E$6,Mappings!$F$3:$F$6)</f>
        <v>Mist/Cloudy</v>
      </c>
      <c r="M18">
        <v>0.42</v>
      </c>
      <c r="N18">
        <v>0.42420000000000002</v>
      </c>
      <c r="O18">
        <v>0.82</v>
      </c>
      <c r="P18">
        <v>0.29849999999999999</v>
      </c>
      <c r="Q18">
        <v>41</v>
      </c>
      <c r="R18">
        <v>52</v>
      </c>
      <c r="S18">
        <v>93</v>
      </c>
    </row>
    <row r="19" spans="1:19" x14ac:dyDescent="0.3">
      <c r="A19">
        <v>18</v>
      </c>
      <c r="B19" s="4">
        <v>40544</v>
      </c>
      <c r="C19">
        <v>1</v>
      </c>
      <c r="D19">
        <v>17</v>
      </c>
      <c r="E19" t="str">
        <f t="shared" si="0"/>
        <v>5 PM</v>
      </c>
      <c r="F19" t="str">
        <f t="shared" si="1"/>
        <v>Evening</v>
      </c>
      <c r="G19" t="b">
        <v>0</v>
      </c>
      <c r="H19">
        <v>6</v>
      </c>
      <c r="I19" t="str">
        <f>_xlfn.XLOOKUP(Append15[[#This Row],[Week day]],Mappings!$B$3:$B$9,Mappings!$C$3:$C$9)</f>
        <v>Saturday</v>
      </c>
      <c r="J19" t="str">
        <f t="shared" si="2"/>
        <v>Weekend</v>
      </c>
      <c r="K19">
        <v>2</v>
      </c>
      <c r="L19" t="str">
        <f>_xlfn.XLOOKUP(Append15[[#This Row],[WeatherSituation]],Mappings!$E$3:$E$6,Mappings!$F$3:$F$6)</f>
        <v>Mist/Cloudy</v>
      </c>
      <c r="M19">
        <v>0.44</v>
      </c>
      <c r="N19">
        <v>0.19989999999999999</v>
      </c>
      <c r="O19">
        <v>0.82</v>
      </c>
      <c r="P19">
        <v>0.28360000000000002</v>
      </c>
      <c r="Q19">
        <v>15</v>
      </c>
      <c r="R19">
        <v>52</v>
      </c>
      <c r="S19">
        <v>67</v>
      </c>
    </row>
    <row r="20" spans="1:19" x14ac:dyDescent="0.3">
      <c r="A20">
        <v>19</v>
      </c>
      <c r="B20" s="4">
        <v>40544</v>
      </c>
      <c r="C20">
        <v>1</v>
      </c>
      <c r="D20">
        <v>18</v>
      </c>
      <c r="E20" t="str">
        <f t="shared" si="0"/>
        <v>6 PM</v>
      </c>
      <c r="F20" t="str">
        <f t="shared" si="1"/>
        <v>Evening</v>
      </c>
      <c r="G20" t="b">
        <v>0</v>
      </c>
      <c r="H20">
        <v>6</v>
      </c>
      <c r="I20" t="str">
        <f>_xlfn.XLOOKUP(Append15[[#This Row],[Week day]],Mappings!$B$3:$B$9,Mappings!$C$3:$C$9)</f>
        <v>Saturday</v>
      </c>
      <c r="J20" t="str">
        <f t="shared" si="2"/>
        <v>Weekend</v>
      </c>
      <c r="K20">
        <v>3</v>
      </c>
      <c r="L20" t="str">
        <f>_xlfn.XLOOKUP(Append15[[#This Row],[WeatherSituation]],Mappings!$E$3:$E$6,Mappings!$F$3:$F$6)</f>
        <v>Light Rain</v>
      </c>
      <c r="M20">
        <v>0.42</v>
      </c>
      <c r="N20">
        <v>0.42420000000000002</v>
      </c>
      <c r="O20">
        <v>0.88</v>
      </c>
      <c r="P20">
        <v>0.25369999999999998</v>
      </c>
      <c r="Q20">
        <v>9</v>
      </c>
      <c r="R20">
        <v>26</v>
      </c>
      <c r="S20">
        <v>35</v>
      </c>
    </row>
    <row r="21" spans="1:19" x14ac:dyDescent="0.3">
      <c r="A21">
        <v>20</v>
      </c>
      <c r="B21" s="4">
        <v>40544</v>
      </c>
      <c r="C21">
        <v>1</v>
      </c>
      <c r="D21">
        <v>19</v>
      </c>
      <c r="E21" t="str">
        <f t="shared" si="0"/>
        <v>7 PM</v>
      </c>
      <c r="F21" t="str">
        <f t="shared" si="1"/>
        <v>Evening</v>
      </c>
      <c r="G21" t="b">
        <v>0</v>
      </c>
      <c r="H21">
        <v>6</v>
      </c>
      <c r="I21" t="str">
        <f>_xlfn.XLOOKUP(Append15[[#This Row],[Week day]],Mappings!$B$3:$B$9,Mappings!$C$3:$C$9)</f>
        <v>Saturday</v>
      </c>
      <c r="J21" t="str">
        <f t="shared" si="2"/>
        <v>Weekend</v>
      </c>
      <c r="K21">
        <v>3</v>
      </c>
      <c r="L21" t="str">
        <f>_xlfn.XLOOKUP(Append15[[#This Row],[WeatherSituation]],Mappings!$E$3:$E$6,Mappings!$F$3:$F$6)</f>
        <v>Light Rain</v>
      </c>
      <c r="M21">
        <v>0.42</v>
      </c>
      <c r="N21">
        <v>0.42420000000000002</v>
      </c>
      <c r="O21">
        <v>0.88</v>
      </c>
      <c r="P21">
        <v>0.25369999999999998</v>
      </c>
      <c r="Q21">
        <v>6</v>
      </c>
      <c r="R21">
        <v>31</v>
      </c>
      <c r="S21">
        <v>37</v>
      </c>
    </row>
    <row r="22" spans="1:19" x14ac:dyDescent="0.3">
      <c r="A22">
        <v>21</v>
      </c>
      <c r="B22" s="4">
        <v>40544</v>
      </c>
      <c r="C22">
        <v>1</v>
      </c>
      <c r="D22">
        <v>20</v>
      </c>
      <c r="E22" t="str">
        <f t="shared" si="0"/>
        <v>8 PM</v>
      </c>
      <c r="F22" t="str">
        <f t="shared" si="1"/>
        <v>Night</v>
      </c>
      <c r="G22" t="b">
        <v>0</v>
      </c>
      <c r="H22">
        <v>6</v>
      </c>
      <c r="I22" t="str">
        <f>_xlfn.XLOOKUP(Append15[[#This Row],[Week day]],Mappings!$B$3:$B$9,Mappings!$C$3:$C$9)</f>
        <v>Saturday</v>
      </c>
      <c r="J22" t="str">
        <f t="shared" si="2"/>
        <v>Weekend</v>
      </c>
      <c r="K22">
        <v>2</v>
      </c>
      <c r="L22" t="str">
        <f>_xlfn.XLOOKUP(Append15[[#This Row],[WeatherSituation]],Mappings!$E$3:$E$6,Mappings!$F$3:$F$6)</f>
        <v>Mist/Cloudy</v>
      </c>
      <c r="M22">
        <v>0.4</v>
      </c>
      <c r="N22">
        <v>0.40910000000000002</v>
      </c>
      <c r="O22">
        <v>0.87</v>
      </c>
      <c r="P22">
        <v>0.25369999999999998</v>
      </c>
      <c r="Q22">
        <v>11</v>
      </c>
      <c r="R22">
        <v>25</v>
      </c>
      <c r="S22">
        <v>36</v>
      </c>
    </row>
    <row r="23" spans="1:19" x14ac:dyDescent="0.3">
      <c r="A23">
        <v>22</v>
      </c>
      <c r="B23" s="4">
        <v>40544</v>
      </c>
      <c r="C23">
        <v>1</v>
      </c>
      <c r="D23">
        <v>21</v>
      </c>
      <c r="E23" t="str">
        <f t="shared" si="0"/>
        <v>9 PM</v>
      </c>
      <c r="F23" t="str">
        <f t="shared" si="1"/>
        <v>Night</v>
      </c>
      <c r="G23" t="b">
        <v>0</v>
      </c>
      <c r="H23">
        <v>6</v>
      </c>
      <c r="I23" t="str">
        <f>_xlfn.XLOOKUP(Append15[[#This Row],[Week day]],Mappings!$B$3:$B$9,Mappings!$C$3:$C$9)</f>
        <v>Saturday</v>
      </c>
      <c r="J23" t="str">
        <f t="shared" si="2"/>
        <v>Weekend</v>
      </c>
      <c r="K23">
        <v>2</v>
      </c>
      <c r="L23" t="str">
        <f>_xlfn.XLOOKUP(Append15[[#This Row],[WeatherSituation]],Mappings!$E$3:$E$6,Mappings!$F$3:$F$6)</f>
        <v>Mist/Cloudy</v>
      </c>
      <c r="M23">
        <v>0.4</v>
      </c>
      <c r="N23">
        <v>0.40910000000000002</v>
      </c>
      <c r="O23">
        <v>0.87</v>
      </c>
      <c r="P23">
        <v>0.19400000000000001</v>
      </c>
      <c r="Q23">
        <v>3</v>
      </c>
      <c r="R23">
        <v>31</v>
      </c>
      <c r="S23">
        <v>34</v>
      </c>
    </row>
    <row r="24" spans="1:19" x14ac:dyDescent="0.3">
      <c r="A24">
        <v>23</v>
      </c>
      <c r="B24" s="4">
        <v>40544</v>
      </c>
      <c r="C24">
        <v>1</v>
      </c>
      <c r="D24">
        <v>22</v>
      </c>
      <c r="E24" t="str">
        <f t="shared" si="0"/>
        <v>10 PM</v>
      </c>
      <c r="F24" t="str">
        <f t="shared" si="1"/>
        <v>Night</v>
      </c>
      <c r="G24" t="b">
        <v>0</v>
      </c>
      <c r="H24">
        <v>6</v>
      </c>
      <c r="I24" t="str">
        <f>_xlfn.XLOOKUP(Append15[[#This Row],[Week day]],Mappings!$B$3:$B$9,Mappings!$C$3:$C$9)</f>
        <v>Saturday</v>
      </c>
      <c r="J24" t="str">
        <f t="shared" si="2"/>
        <v>Weekend</v>
      </c>
      <c r="K24">
        <v>2</v>
      </c>
      <c r="L24" t="str">
        <f>_xlfn.XLOOKUP(Append15[[#This Row],[WeatherSituation]],Mappings!$E$3:$E$6,Mappings!$F$3:$F$6)</f>
        <v>Mist/Cloudy</v>
      </c>
      <c r="M24">
        <v>0.4</v>
      </c>
      <c r="N24">
        <v>0.40910000000000002</v>
      </c>
      <c r="O24">
        <v>0.94</v>
      </c>
      <c r="P24">
        <v>0.22389999999999999</v>
      </c>
      <c r="Q24">
        <v>11</v>
      </c>
      <c r="R24">
        <v>17</v>
      </c>
      <c r="S24">
        <v>28</v>
      </c>
    </row>
    <row r="25" spans="1:19" x14ac:dyDescent="0.3">
      <c r="A25">
        <v>24</v>
      </c>
      <c r="B25" s="4">
        <v>40544</v>
      </c>
      <c r="C25">
        <v>1</v>
      </c>
      <c r="D25">
        <v>23</v>
      </c>
      <c r="E25" t="str">
        <f t="shared" si="0"/>
        <v>11 PM</v>
      </c>
      <c r="F25" t="str">
        <f t="shared" si="1"/>
        <v>Night</v>
      </c>
      <c r="G25" t="b">
        <v>0</v>
      </c>
      <c r="H25">
        <v>6</v>
      </c>
      <c r="I25" t="str">
        <f>_xlfn.XLOOKUP(Append15[[#This Row],[Week day]],Mappings!$B$3:$B$9,Mappings!$C$3:$C$9)</f>
        <v>Saturday</v>
      </c>
      <c r="J25" t="str">
        <f t="shared" si="2"/>
        <v>Weekend</v>
      </c>
      <c r="K25">
        <v>2</v>
      </c>
      <c r="L25" t="str">
        <f>_xlfn.XLOOKUP(Append15[[#This Row],[WeatherSituation]],Mappings!$E$3:$E$6,Mappings!$F$3:$F$6)</f>
        <v>Mist/Cloudy</v>
      </c>
      <c r="M25">
        <v>0.46</v>
      </c>
      <c r="N25">
        <v>0.19989999999999999</v>
      </c>
      <c r="O25">
        <v>0.88</v>
      </c>
      <c r="P25">
        <v>0.29849999999999999</v>
      </c>
      <c r="Q25">
        <v>15</v>
      </c>
      <c r="R25">
        <v>24</v>
      </c>
      <c r="S25">
        <v>39</v>
      </c>
    </row>
    <row r="26" spans="1:19" x14ac:dyDescent="0.3">
      <c r="A26">
        <v>25</v>
      </c>
      <c r="B26" s="4">
        <v>40545</v>
      </c>
      <c r="C26">
        <v>1</v>
      </c>
      <c r="D26">
        <v>0</v>
      </c>
      <c r="E26" t="str">
        <f t="shared" si="0"/>
        <v>12 AM</v>
      </c>
      <c r="F26" t="str">
        <f t="shared" si="1"/>
        <v>Night</v>
      </c>
      <c r="G26" t="b">
        <v>0</v>
      </c>
      <c r="H26">
        <v>0</v>
      </c>
      <c r="I26" t="str">
        <f>_xlfn.XLOOKUP(Append15[[#This Row],[Week day]],Mappings!$B$3:$B$9,Mappings!$C$3:$C$9)</f>
        <v>Sunday</v>
      </c>
      <c r="J26" t="str">
        <f t="shared" si="2"/>
        <v>Weekend</v>
      </c>
      <c r="K26">
        <v>2</v>
      </c>
      <c r="L26" t="str">
        <f>_xlfn.XLOOKUP(Append15[[#This Row],[WeatherSituation]],Mappings!$E$3:$E$6,Mappings!$F$3:$F$6)</f>
        <v>Mist/Cloudy</v>
      </c>
      <c r="M26">
        <v>0.46</v>
      </c>
      <c r="N26">
        <v>0.45450000000000002</v>
      </c>
      <c r="O26">
        <v>0.88</v>
      </c>
      <c r="P26">
        <v>0.29849999999999999</v>
      </c>
      <c r="Q26">
        <v>4</v>
      </c>
      <c r="R26">
        <v>13</v>
      </c>
      <c r="S26">
        <v>17</v>
      </c>
    </row>
    <row r="27" spans="1:19" x14ac:dyDescent="0.3">
      <c r="A27">
        <v>26</v>
      </c>
      <c r="B27" s="4">
        <v>40545</v>
      </c>
      <c r="C27">
        <v>1</v>
      </c>
      <c r="D27">
        <v>1</v>
      </c>
      <c r="E27" t="str">
        <f t="shared" si="0"/>
        <v>1 AM</v>
      </c>
      <c r="F27" t="str">
        <f t="shared" si="1"/>
        <v>Night</v>
      </c>
      <c r="G27" t="b">
        <v>0</v>
      </c>
      <c r="H27">
        <v>0</v>
      </c>
      <c r="I27" t="str">
        <f>_xlfn.XLOOKUP(Append15[[#This Row],[Week day]],Mappings!$B$3:$B$9,Mappings!$C$3:$C$9)</f>
        <v>Sunday</v>
      </c>
      <c r="J27" t="str">
        <f t="shared" si="2"/>
        <v>Weekend</v>
      </c>
      <c r="K27">
        <v>2</v>
      </c>
      <c r="L27" t="str">
        <f>_xlfn.XLOOKUP(Append15[[#This Row],[WeatherSituation]],Mappings!$E$3:$E$6,Mappings!$F$3:$F$6)</f>
        <v>Mist/Cloudy</v>
      </c>
      <c r="M27">
        <v>0.44</v>
      </c>
      <c r="N27">
        <v>0.43940000000000001</v>
      </c>
      <c r="O27">
        <v>0.94</v>
      </c>
      <c r="P27">
        <v>0.25369999999999998</v>
      </c>
      <c r="Q27">
        <v>1</v>
      </c>
      <c r="R27">
        <v>16</v>
      </c>
      <c r="S27">
        <v>17</v>
      </c>
    </row>
    <row r="28" spans="1:19" x14ac:dyDescent="0.3">
      <c r="A28">
        <v>27</v>
      </c>
      <c r="B28" s="4">
        <v>40545</v>
      </c>
      <c r="C28">
        <v>1</v>
      </c>
      <c r="D28">
        <v>2</v>
      </c>
      <c r="E28" t="str">
        <f t="shared" si="0"/>
        <v>2 AM</v>
      </c>
      <c r="F28" t="str">
        <f t="shared" si="1"/>
        <v>Night</v>
      </c>
      <c r="G28" t="b">
        <v>0</v>
      </c>
      <c r="H28">
        <v>0</v>
      </c>
      <c r="I28" t="str">
        <f>_xlfn.XLOOKUP(Append15[[#This Row],[Week day]],Mappings!$B$3:$B$9,Mappings!$C$3:$C$9)</f>
        <v>Sunday</v>
      </c>
      <c r="J28" t="str">
        <f t="shared" si="2"/>
        <v>Weekend</v>
      </c>
      <c r="K28">
        <v>2</v>
      </c>
      <c r="L28" t="str">
        <f>_xlfn.XLOOKUP(Append15[[#This Row],[WeatherSituation]],Mappings!$E$3:$E$6,Mappings!$F$3:$F$6)</f>
        <v>Mist/Cloudy</v>
      </c>
      <c r="M28">
        <v>0.42</v>
      </c>
      <c r="N28">
        <v>0.42420000000000002</v>
      </c>
      <c r="O28">
        <v>1</v>
      </c>
      <c r="P28">
        <v>0.28360000000000002</v>
      </c>
      <c r="Q28">
        <v>1</v>
      </c>
      <c r="R28">
        <v>8</v>
      </c>
      <c r="S28">
        <v>9</v>
      </c>
    </row>
    <row r="29" spans="1:19" x14ac:dyDescent="0.3">
      <c r="A29">
        <v>28</v>
      </c>
      <c r="B29" s="4">
        <v>40545</v>
      </c>
      <c r="C29">
        <v>1</v>
      </c>
      <c r="D29">
        <v>3</v>
      </c>
      <c r="E29" t="str">
        <f t="shared" si="0"/>
        <v>3 AM</v>
      </c>
      <c r="F29" t="str">
        <f t="shared" si="1"/>
        <v>Night</v>
      </c>
      <c r="G29" t="b">
        <v>0</v>
      </c>
      <c r="H29">
        <v>0</v>
      </c>
      <c r="I29" t="str">
        <f>_xlfn.XLOOKUP(Append15[[#This Row],[Week day]],Mappings!$B$3:$B$9,Mappings!$C$3:$C$9)</f>
        <v>Sunday</v>
      </c>
      <c r="J29" t="str">
        <f t="shared" si="2"/>
        <v>Weekend</v>
      </c>
      <c r="K29">
        <v>2</v>
      </c>
      <c r="L29" t="str">
        <f>_xlfn.XLOOKUP(Append15[[#This Row],[WeatherSituation]],Mappings!$E$3:$E$6,Mappings!$F$3:$F$6)</f>
        <v>Mist/Cloudy</v>
      </c>
      <c r="M29">
        <v>0.46</v>
      </c>
      <c r="N29">
        <v>0.45450000000000002</v>
      </c>
      <c r="O29">
        <v>0.94</v>
      </c>
      <c r="P29">
        <v>0.19400000000000001</v>
      </c>
      <c r="Q29">
        <v>2</v>
      </c>
      <c r="R29">
        <v>4</v>
      </c>
      <c r="S29">
        <v>6</v>
      </c>
    </row>
    <row r="30" spans="1:19" x14ac:dyDescent="0.3">
      <c r="A30">
        <v>29</v>
      </c>
      <c r="B30" s="4">
        <v>40545</v>
      </c>
      <c r="C30">
        <v>1</v>
      </c>
      <c r="D30">
        <v>4</v>
      </c>
      <c r="E30" t="str">
        <f t="shared" si="0"/>
        <v>4 AM</v>
      </c>
      <c r="F30" t="str">
        <f t="shared" si="1"/>
        <v>Night</v>
      </c>
      <c r="G30" t="b">
        <v>0</v>
      </c>
      <c r="H30">
        <v>0</v>
      </c>
      <c r="I30" t="str">
        <f>_xlfn.XLOOKUP(Append15[[#This Row],[Week day]],Mappings!$B$3:$B$9,Mappings!$C$3:$C$9)</f>
        <v>Sunday</v>
      </c>
      <c r="J30" t="str">
        <f t="shared" si="2"/>
        <v>Weekend</v>
      </c>
      <c r="K30">
        <v>2</v>
      </c>
      <c r="L30" t="str">
        <f>_xlfn.XLOOKUP(Append15[[#This Row],[WeatherSituation]],Mappings!$E$3:$E$6,Mappings!$F$3:$F$6)</f>
        <v>Mist/Cloudy</v>
      </c>
      <c r="M30">
        <v>0.46</v>
      </c>
      <c r="N30">
        <v>0.19989999999999999</v>
      </c>
      <c r="O30">
        <v>0.94</v>
      </c>
      <c r="P30">
        <v>0.19400000000000001</v>
      </c>
      <c r="Q30">
        <v>2</v>
      </c>
      <c r="R30">
        <v>1</v>
      </c>
      <c r="S30">
        <v>3</v>
      </c>
    </row>
    <row r="31" spans="1:19" x14ac:dyDescent="0.3">
      <c r="A31">
        <v>30</v>
      </c>
      <c r="B31" s="4">
        <v>40545</v>
      </c>
      <c r="C31">
        <v>1</v>
      </c>
      <c r="D31">
        <v>6</v>
      </c>
      <c r="E31" t="str">
        <f t="shared" si="0"/>
        <v>6 AM</v>
      </c>
      <c r="F31" t="str">
        <f t="shared" si="1"/>
        <v>Morning</v>
      </c>
      <c r="G31" t="b">
        <v>0</v>
      </c>
      <c r="H31">
        <v>0</v>
      </c>
      <c r="I31" t="str">
        <f>_xlfn.XLOOKUP(Append15[[#This Row],[Week day]],Mappings!$B$3:$B$9,Mappings!$C$3:$C$9)</f>
        <v>Sunday</v>
      </c>
      <c r="J31" t="str">
        <f t="shared" si="2"/>
        <v>Weekend</v>
      </c>
      <c r="K31">
        <v>3</v>
      </c>
      <c r="L31" t="str">
        <f>_xlfn.XLOOKUP(Append15[[#This Row],[WeatherSituation]],Mappings!$E$3:$E$6,Mappings!$F$3:$F$6)</f>
        <v>Light Rain</v>
      </c>
      <c r="M31">
        <v>0.42</v>
      </c>
      <c r="N31">
        <v>0.42420000000000002</v>
      </c>
      <c r="O31">
        <v>0.77</v>
      </c>
      <c r="P31">
        <v>0.29849999999999999</v>
      </c>
      <c r="Q31">
        <v>0</v>
      </c>
      <c r="R31">
        <v>2</v>
      </c>
      <c r="S31">
        <v>2</v>
      </c>
    </row>
    <row r="32" spans="1:19" x14ac:dyDescent="0.3">
      <c r="A32">
        <v>31</v>
      </c>
      <c r="B32" s="4">
        <v>40545</v>
      </c>
      <c r="C32">
        <v>1</v>
      </c>
      <c r="D32">
        <v>7</v>
      </c>
      <c r="E32" t="str">
        <f t="shared" si="0"/>
        <v>7 AM</v>
      </c>
      <c r="F32" t="str">
        <f t="shared" si="1"/>
        <v>Morning</v>
      </c>
      <c r="G32" t="b">
        <v>0</v>
      </c>
      <c r="H32">
        <v>0</v>
      </c>
      <c r="I32" t="str">
        <f>_xlfn.XLOOKUP(Append15[[#This Row],[Week day]],Mappings!$B$3:$B$9,Mappings!$C$3:$C$9)</f>
        <v>Sunday</v>
      </c>
      <c r="J32" t="str">
        <f t="shared" si="2"/>
        <v>Weekend</v>
      </c>
      <c r="K32">
        <v>2</v>
      </c>
      <c r="L32" t="str">
        <f>_xlfn.XLOOKUP(Append15[[#This Row],[WeatherSituation]],Mappings!$E$3:$E$6,Mappings!$F$3:$F$6)</f>
        <v>Mist/Cloudy</v>
      </c>
      <c r="M32">
        <v>0.4</v>
      </c>
      <c r="N32">
        <v>0.40910000000000002</v>
      </c>
      <c r="O32">
        <v>0.76</v>
      </c>
      <c r="P32">
        <v>0.19400000000000001</v>
      </c>
      <c r="Q32">
        <v>0</v>
      </c>
      <c r="R32">
        <v>1</v>
      </c>
      <c r="S32">
        <v>1</v>
      </c>
    </row>
    <row r="33" spans="1:19" x14ac:dyDescent="0.3">
      <c r="A33">
        <v>32</v>
      </c>
      <c r="B33" s="4">
        <v>40545</v>
      </c>
      <c r="C33">
        <v>1</v>
      </c>
      <c r="D33">
        <v>8</v>
      </c>
      <c r="E33" t="str">
        <f t="shared" si="0"/>
        <v>8 AM</v>
      </c>
      <c r="F33" t="str">
        <f t="shared" si="1"/>
        <v>Morning</v>
      </c>
      <c r="G33" t="b">
        <v>0</v>
      </c>
      <c r="H33">
        <v>0</v>
      </c>
      <c r="I33" t="str">
        <f>_xlfn.XLOOKUP(Append15[[#This Row],[Week day]],Mappings!$B$3:$B$9,Mappings!$C$3:$C$9)</f>
        <v>Sunday</v>
      </c>
      <c r="J33" t="str">
        <f t="shared" si="2"/>
        <v>Weekend</v>
      </c>
      <c r="K33">
        <v>3</v>
      </c>
      <c r="L33" t="str">
        <f>_xlfn.XLOOKUP(Append15[[#This Row],[WeatherSituation]],Mappings!$E$3:$E$6,Mappings!$F$3:$F$6)</f>
        <v>Light Rain</v>
      </c>
      <c r="M33">
        <v>0.4</v>
      </c>
      <c r="N33">
        <v>0.40910000000000002</v>
      </c>
      <c r="O33">
        <v>0.71</v>
      </c>
      <c r="P33">
        <v>0.22389999999999999</v>
      </c>
      <c r="Q33">
        <v>0</v>
      </c>
      <c r="R33">
        <v>8</v>
      </c>
      <c r="S33">
        <v>8</v>
      </c>
    </row>
    <row r="34" spans="1:19" x14ac:dyDescent="0.3">
      <c r="A34">
        <v>33</v>
      </c>
      <c r="B34" s="4">
        <v>40545</v>
      </c>
      <c r="C34">
        <v>1</v>
      </c>
      <c r="D34">
        <v>9</v>
      </c>
      <c r="E34" t="str">
        <f t="shared" si="0"/>
        <v>9 AM</v>
      </c>
      <c r="F34" t="str">
        <f t="shared" si="1"/>
        <v>Morning</v>
      </c>
      <c r="G34" t="b">
        <v>0</v>
      </c>
      <c r="H34">
        <v>0</v>
      </c>
      <c r="I34" t="str">
        <f>_xlfn.XLOOKUP(Append15[[#This Row],[Week day]],Mappings!$B$3:$B$9,Mappings!$C$3:$C$9)</f>
        <v>Sunday</v>
      </c>
      <c r="J34" t="str">
        <f t="shared" si="2"/>
        <v>Weekend</v>
      </c>
      <c r="K34">
        <v>2</v>
      </c>
      <c r="L34" t="str">
        <f>_xlfn.XLOOKUP(Append15[[#This Row],[WeatherSituation]],Mappings!$E$3:$E$6,Mappings!$F$3:$F$6)</f>
        <v>Mist/Cloudy</v>
      </c>
      <c r="M34">
        <v>0.38</v>
      </c>
      <c r="N34">
        <v>0.19989999999999999</v>
      </c>
      <c r="O34">
        <v>0.76</v>
      </c>
      <c r="P34">
        <v>0.22389999999999999</v>
      </c>
      <c r="Q34">
        <v>1</v>
      </c>
      <c r="R34">
        <v>19</v>
      </c>
      <c r="S34">
        <v>20</v>
      </c>
    </row>
    <row r="35" spans="1:19" x14ac:dyDescent="0.3">
      <c r="A35">
        <v>34</v>
      </c>
      <c r="B35" s="4">
        <v>40545</v>
      </c>
      <c r="C35">
        <v>1</v>
      </c>
      <c r="D35">
        <v>10</v>
      </c>
      <c r="E35" t="str">
        <f t="shared" si="0"/>
        <v>10 AM</v>
      </c>
      <c r="F35" t="str">
        <f t="shared" si="1"/>
        <v>Morning</v>
      </c>
      <c r="G35" t="b">
        <v>0</v>
      </c>
      <c r="H35">
        <v>0</v>
      </c>
      <c r="I35" t="str">
        <f>_xlfn.XLOOKUP(Append15[[#This Row],[Week day]],Mappings!$B$3:$B$9,Mappings!$C$3:$C$9)</f>
        <v>Sunday</v>
      </c>
      <c r="J35" t="str">
        <f t="shared" si="2"/>
        <v>Weekend</v>
      </c>
      <c r="K35">
        <v>2</v>
      </c>
      <c r="L35" t="str">
        <f>_xlfn.XLOOKUP(Append15[[#This Row],[WeatherSituation]],Mappings!$E$3:$E$6,Mappings!$F$3:$F$6)</f>
        <v>Mist/Cloudy</v>
      </c>
      <c r="M35">
        <v>0.36</v>
      </c>
      <c r="N35">
        <v>0.34849999999999998</v>
      </c>
      <c r="O35">
        <v>0.81</v>
      </c>
      <c r="P35">
        <v>0.22389999999999999</v>
      </c>
      <c r="Q35">
        <v>7</v>
      </c>
      <c r="R35">
        <v>46</v>
      </c>
      <c r="S35">
        <v>53</v>
      </c>
    </row>
    <row r="36" spans="1:19" x14ac:dyDescent="0.3">
      <c r="A36">
        <v>35</v>
      </c>
      <c r="B36" s="4">
        <v>40545</v>
      </c>
      <c r="C36">
        <v>1</v>
      </c>
      <c r="D36">
        <v>11</v>
      </c>
      <c r="E36" t="str">
        <f t="shared" si="0"/>
        <v>11 AM</v>
      </c>
      <c r="F36" t="str">
        <f t="shared" si="1"/>
        <v>Morning</v>
      </c>
      <c r="G36" t="b">
        <v>0</v>
      </c>
      <c r="H36">
        <v>0</v>
      </c>
      <c r="I36" t="str">
        <f>_xlfn.XLOOKUP(Append15[[#This Row],[Week day]],Mappings!$B$3:$B$9,Mappings!$C$3:$C$9)</f>
        <v>Sunday</v>
      </c>
      <c r="J36" t="str">
        <f t="shared" si="2"/>
        <v>Weekend</v>
      </c>
      <c r="K36">
        <v>2</v>
      </c>
      <c r="L36" t="str">
        <f>_xlfn.XLOOKUP(Append15[[#This Row],[WeatherSituation]],Mappings!$E$3:$E$6,Mappings!$F$3:$F$6)</f>
        <v>Mist/Cloudy</v>
      </c>
      <c r="M36">
        <v>0.36</v>
      </c>
      <c r="N36">
        <v>0.33329999999999999</v>
      </c>
      <c r="O36">
        <v>0.71</v>
      </c>
      <c r="P36">
        <v>0.25369999999999998</v>
      </c>
      <c r="Q36">
        <v>16</v>
      </c>
      <c r="R36">
        <v>54</v>
      </c>
      <c r="S36">
        <v>70</v>
      </c>
    </row>
    <row r="37" spans="1:19" x14ac:dyDescent="0.3">
      <c r="A37">
        <v>36</v>
      </c>
      <c r="B37" s="4">
        <v>40545</v>
      </c>
      <c r="C37">
        <v>1</v>
      </c>
      <c r="D37">
        <v>12</v>
      </c>
      <c r="E37" t="str">
        <f t="shared" si="0"/>
        <v>12 PM</v>
      </c>
      <c r="F37" t="str">
        <f t="shared" si="1"/>
        <v>AfterNoon</v>
      </c>
      <c r="G37" t="b">
        <v>0</v>
      </c>
      <c r="H37">
        <v>0</v>
      </c>
      <c r="I37" t="str">
        <f>_xlfn.XLOOKUP(Append15[[#This Row],[Week day]],Mappings!$B$3:$B$9,Mappings!$C$3:$C$9)</f>
        <v>Sunday</v>
      </c>
      <c r="J37" t="str">
        <f t="shared" si="2"/>
        <v>Weekend</v>
      </c>
      <c r="K37">
        <v>2</v>
      </c>
      <c r="L37" t="str">
        <f>_xlfn.XLOOKUP(Append15[[#This Row],[WeatherSituation]],Mappings!$E$3:$E$6,Mappings!$F$3:$F$6)</f>
        <v>Mist/Cloudy</v>
      </c>
      <c r="M37">
        <v>0.36</v>
      </c>
      <c r="N37">
        <v>0.33329999999999999</v>
      </c>
      <c r="O37">
        <v>0.66</v>
      </c>
      <c r="P37">
        <v>0.29849999999999999</v>
      </c>
      <c r="Q37">
        <v>20</v>
      </c>
      <c r="R37">
        <v>73</v>
      </c>
      <c r="S37">
        <v>93</v>
      </c>
    </row>
    <row r="38" spans="1:19" x14ac:dyDescent="0.3">
      <c r="A38">
        <v>37</v>
      </c>
      <c r="B38" s="4">
        <v>40545</v>
      </c>
      <c r="C38">
        <v>1</v>
      </c>
      <c r="D38">
        <v>13</v>
      </c>
      <c r="E38" t="str">
        <f t="shared" si="0"/>
        <v>1 PM</v>
      </c>
      <c r="F38" t="str">
        <f t="shared" si="1"/>
        <v>AfterNoon</v>
      </c>
      <c r="G38" t="b">
        <v>0</v>
      </c>
      <c r="H38">
        <v>0</v>
      </c>
      <c r="I38" t="str">
        <f>_xlfn.XLOOKUP(Append15[[#This Row],[Week day]],Mappings!$B$3:$B$9,Mappings!$C$3:$C$9)</f>
        <v>Sunday</v>
      </c>
      <c r="J38" t="str">
        <f t="shared" si="2"/>
        <v>Weekend</v>
      </c>
      <c r="K38">
        <v>2</v>
      </c>
      <c r="L38" t="str">
        <f>_xlfn.XLOOKUP(Append15[[#This Row],[WeatherSituation]],Mappings!$E$3:$E$6,Mappings!$F$3:$F$6)</f>
        <v>Mist/Cloudy</v>
      </c>
      <c r="M38">
        <v>0.36</v>
      </c>
      <c r="N38">
        <v>0.34849999999999998</v>
      </c>
      <c r="O38">
        <v>0.66</v>
      </c>
      <c r="P38">
        <v>0.1343</v>
      </c>
      <c r="Q38">
        <v>11</v>
      </c>
      <c r="R38">
        <v>64</v>
      </c>
      <c r="S38">
        <v>75</v>
      </c>
    </row>
    <row r="39" spans="1:19" x14ac:dyDescent="0.3">
      <c r="A39">
        <v>38</v>
      </c>
      <c r="B39" s="4">
        <v>40545</v>
      </c>
      <c r="C39">
        <v>1</v>
      </c>
      <c r="D39">
        <v>14</v>
      </c>
      <c r="E39" t="str">
        <f t="shared" si="0"/>
        <v>2 PM</v>
      </c>
      <c r="F39" t="str">
        <f t="shared" si="1"/>
        <v>AfterNoon</v>
      </c>
      <c r="G39" t="b">
        <v>0</v>
      </c>
      <c r="H39">
        <v>0</v>
      </c>
      <c r="I39" t="str">
        <f>_xlfn.XLOOKUP(Append15[[#This Row],[Week day]],Mappings!$B$3:$B$9,Mappings!$C$3:$C$9)</f>
        <v>Sunday</v>
      </c>
      <c r="J39" t="str">
        <f t="shared" si="2"/>
        <v>Weekend</v>
      </c>
      <c r="K39">
        <v>3</v>
      </c>
      <c r="L39" t="str">
        <f>_xlfn.XLOOKUP(Append15[[#This Row],[WeatherSituation]],Mappings!$E$3:$E$6,Mappings!$F$3:$F$6)</f>
        <v>Light Rain</v>
      </c>
      <c r="M39">
        <v>0.36</v>
      </c>
      <c r="N39">
        <v>0.19989999999999999</v>
      </c>
      <c r="O39">
        <v>0.76</v>
      </c>
      <c r="P39">
        <v>0.19400000000000001</v>
      </c>
      <c r="Q39">
        <v>4</v>
      </c>
      <c r="R39">
        <v>55</v>
      </c>
      <c r="S39">
        <v>59</v>
      </c>
    </row>
    <row r="40" spans="1:19" x14ac:dyDescent="0.3">
      <c r="A40">
        <v>39</v>
      </c>
      <c r="B40" s="4">
        <v>40545</v>
      </c>
      <c r="C40">
        <v>1</v>
      </c>
      <c r="D40">
        <v>15</v>
      </c>
      <c r="E40" t="str">
        <f t="shared" si="0"/>
        <v>3 PM</v>
      </c>
      <c r="F40" t="str">
        <f t="shared" si="1"/>
        <v>AfterNoon</v>
      </c>
      <c r="G40" t="b">
        <v>0</v>
      </c>
      <c r="H40">
        <v>0</v>
      </c>
      <c r="I40" t="str">
        <f>_xlfn.XLOOKUP(Append15[[#This Row],[Week day]],Mappings!$B$3:$B$9,Mappings!$C$3:$C$9)</f>
        <v>Sunday</v>
      </c>
      <c r="J40" t="str">
        <f t="shared" si="2"/>
        <v>Weekend</v>
      </c>
      <c r="K40">
        <v>3</v>
      </c>
      <c r="L40" t="str">
        <f>_xlfn.XLOOKUP(Append15[[#This Row],[WeatherSituation]],Mappings!$E$3:$E$6,Mappings!$F$3:$F$6)</f>
        <v>Light Rain</v>
      </c>
      <c r="M40">
        <v>0.34</v>
      </c>
      <c r="N40">
        <v>0.33329999999999999</v>
      </c>
      <c r="O40">
        <v>0.81</v>
      </c>
      <c r="P40">
        <v>0.16420000000000001</v>
      </c>
      <c r="Q40">
        <v>19</v>
      </c>
      <c r="R40">
        <v>55</v>
      </c>
      <c r="S40">
        <v>74</v>
      </c>
    </row>
    <row r="41" spans="1:19" x14ac:dyDescent="0.3">
      <c r="A41">
        <v>40</v>
      </c>
      <c r="B41" s="4">
        <v>40545</v>
      </c>
      <c r="C41">
        <v>1</v>
      </c>
      <c r="D41">
        <v>16</v>
      </c>
      <c r="E41" t="str">
        <f t="shared" si="0"/>
        <v>4 PM</v>
      </c>
      <c r="F41" t="str">
        <f t="shared" si="1"/>
        <v>Evening</v>
      </c>
      <c r="G41" t="b">
        <v>0</v>
      </c>
      <c r="H41">
        <v>0</v>
      </c>
      <c r="I41" t="str">
        <f>_xlfn.XLOOKUP(Append15[[#This Row],[Week day]],Mappings!$B$3:$B$9,Mappings!$C$3:$C$9)</f>
        <v>Sunday</v>
      </c>
      <c r="J41" t="str">
        <f t="shared" si="2"/>
        <v>Weekend</v>
      </c>
      <c r="K41">
        <v>3</v>
      </c>
      <c r="L41" t="str">
        <f>_xlfn.XLOOKUP(Append15[[#This Row],[WeatherSituation]],Mappings!$E$3:$E$6,Mappings!$F$3:$F$6)</f>
        <v>Light Rain</v>
      </c>
      <c r="M41">
        <v>0.34</v>
      </c>
      <c r="N41">
        <v>0.33329999999999999</v>
      </c>
      <c r="O41">
        <v>0.71</v>
      </c>
      <c r="P41">
        <v>0.16420000000000001</v>
      </c>
      <c r="Q41">
        <v>9</v>
      </c>
      <c r="R41">
        <v>67</v>
      </c>
      <c r="S41">
        <v>76</v>
      </c>
    </row>
    <row r="42" spans="1:19" x14ac:dyDescent="0.3">
      <c r="A42">
        <v>41</v>
      </c>
      <c r="B42" s="4">
        <v>40545</v>
      </c>
      <c r="C42">
        <v>1</v>
      </c>
      <c r="D42">
        <v>17</v>
      </c>
      <c r="E42" t="str">
        <f t="shared" si="0"/>
        <v>5 PM</v>
      </c>
      <c r="F42" t="str">
        <f t="shared" si="1"/>
        <v>Evening</v>
      </c>
      <c r="G42" t="b">
        <v>0</v>
      </c>
      <c r="H42">
        <v>0</v>
      </c>
      <c r="I42" t="str">
        <f>_xlfn.XLOOKUP(Append15[[#This Row],[Week day]],Mappings!$B$3:$B$9,Mappings!$C$3:$C$9)</f>
        <v>Sunday</v>
      </c>
      <c r="J42" t="str">
        <f t="shared" si="2"/>
        <v>Weekend</v>
      </c>
      <c r="K42">
        <v>1</v>
      </c>
      <c r="L42" t="str">
        <f>_xlfn.XLOOKUP(Append15[[#This Row],[WeatherSituation]],Mappings!$E$3:$E$6,Mappings!$F$3:$F$6)</f>
        <v>Clear Sky</v>
      </c>
      <c r="M42">
        <v>0.34</v>
      </c>
      <c r="N42">
        <v>0.33329999999999999</v>
      </c>
      <c r="O42">
        <v>0.56999999999999995</v>
      </c>
      <c r="P42">
        <v>0.19400000000000001</v>
      </c>
      <c r="Q42">
        <v>7</v>
      </c>
      <c r="R42">
        <v>58</v>
      </c>
      <c r="S42">
        <v>65</v>
      </c>
    </row>
    <row r="43" spans="1:19" x14ac:dyDescent="0.3">
      <c r="A43">
        <v>42</v>
      </c>
      <c r="B43" s="4">
        <v>40545</v>
      </c>
      <c r="C43">
        <v>1</v>
      </c>
      <c r="D43">
        <v>18</v>
      </c>
      <c r="E43" t="str">
        <f t="shared" si="0"/>
        <v>6 PM</v>
      </c>
      <c r="F43" t="str">
        <f t="shared" si="1"/>
        <v>Evening</v>
      </c>
      <c r="G43" t="b">
        <v>0</v>
      </c>
      <c r="H43">
        <v>0</v>
      </c>
      <c r="I43" t="str">
        <f>_xlfn.XLOOKUP(Append15[[#This Row],[Week day]],Mappings!$B$3:$B$9,Mappings!$C$3:$C$9)</f>
        <v>Sunday</v>
      </c>
      <c r="J43" t="str">
        <f t="shared" si="2"/>
        <v>Weekend</v>
      </c>
      <c r="K43">
        <v>2</v>
      </c>
      <c r="L43" t="str">
        <f>_xlfn.XLOOKUP(Append15[[#This Row],[WeatherSituation]],Mappings!$E$3:$E$6,Mappings!$F$3:$F$6)</f>
        <v>Mist/Cloudy</v>
      </c>
      <c r="M43">
        <v>0.36</v>
      </c>
      <c r="N43">
        <v>0.33329999999999999</v>
      </c>
      <c r="O43">
        <v>0.46</v>
      </c>
      <c r="P43">
        <v>0.32840000000000003</v>
      </c>
      <c r="Q43">
        <v>10</v>
      </c>
      <c r="R43">
        <v>43</v>
      </c>
      <c r="S43">
        <v>53</v>
      </c>
    </row>
    <row r="44" spans="1:19" x14ac:dyDescent="0.3">
      <c r="A44">
        <v>43</v>
      </c>
      <c r="B44" s="4">
        <v>40545</v>
      </c>
      <c r="C44">
        <v>1</v>
      </c>
      <c r="D44">
        <v>19</v>
      </c>
      <c r="E44" t="str">
        <f t="shared" si="0"/>
        <v>7 PM</v>
      </c>
      <c r="F44" t="str">
        <f t="shared" si="1"/>
        <v>Evening</v>
      </c>
      <c r="G44" t="b">
        <v>0</v>
      </c>
      <c r="H44">
        <v>0</v>
      </c>
      <c r="I44" t="str">
        <f>_xlfn.XLOOKUP(Append15[[#This Row],[Week day]],Mappings!$B$3:$B$9,Mappings!$C$3:$C$9)</f>
        <v>Sunday</v>
      </c>
      <c r="J44" t="str">
        <f t="shared" si="2"/>
        <v>Weekend</v>
      </c>
      <c r="K44">
        <v>1</v>
      </c>
      <c r="L44" t="str">
        <f>_xlfn.XLOOKUP(Append15[[#This Row],[WeatherSituation]],Mappings!$E$3:$E$6,Mappings!$F$3:$F$6)</f>
        <v>Clear Sky</v>
      </c>
      <c r="M44">
        <v>0.32</v>
      </c>
      <c r="N44">
        <v>0.28789999999999999</v>
      </c>
      <c r="O44">
        <v>0.42</v>
      </c>
      <c r="P44">
        <v>0.44779999999999998</v>
      </c>
      <c r="Q44">
        <v>1</v>
      </c>
      <c r="R44">
        <v>29</v>
      </c>
      <c r="S44">
        <v>30</v>
      </c>
    </row>
    <row r="45" spans="1:19" x14ac:dyDescent="0.3">
      <c r="A45">
        <v>44</v>
      </c>
      <c r="B45" s="4">
        <v>40545</v>
      </c>
      <c r="C45">
        <v>1</v>
      </c>
      <c r="D45">
        <v>20</v>
      </c>
      <c r="E45" t="str">
        <f t="shared" si="0"/>
        <v>8 PM</v>
      </c>
      <c r="F45" t="str">
        <f t="shared" si="1"/>
        <v>Night</v>
      </c>
      <c r="G45" t="b">
        <v>0</v>
      </c>
      <c r="H45">
        <v>0</v>
      </c>
      <c r="I45" t="str">
        <f>_xlfn.XLOOKUP(Append15[[#This Row],[Week day]],Mappings!$B$3:$B$9,Mappings!$C$3:$C$9)</f>
        <v>Sunday</v>
      </c>
      <c r="J45" t="str">
        <f t="shared" si="2"/>
        <v>Weekend</v>
      </c>
      <c r="K45">
        <v>1</v>
      </c>
      <c r="L45" t="str">
        <f>_xlfn.XLOOKUP(Append15[[#This Row],[WeatherSituation]],Mappings!$E$3:$E$6,Mappings!$F$3:$F$6)</f>
        <v>Clear Sky</v>
      </c>
      <c r="M45">
        <v>0.3</v>
      </c>
      <c r="N45">
        <v>0.19989999999999999</v>
      </c>
      <c r="O45">
        <v>0.39</v>
      </c>
      <c r="P45">
        <v>0.35820000000000002</v>
      </c>
      <c r="Q45">
        <v>5</v>
      </c>
      <c r="R45">
        <v>17</v>
      </c>
      <c r="S45">
        <v>22</v>
      </c>
    </row>
    <row r="46" spans="1:19" x14ac:dyDescent="0.3">
      <c r="A46">
        <v>45</v>
      </c>
      <c r="B46" s="4">
        <v>40545</v>
      </c>
      <c r="C46">
        <v>1</v>
      </c>
      <c r="D46">
        <v>21</v>
      </c>
      <c r="E46" t="str">
        <f t="shared" si="0"/>
        <v>9 PM</v>
      </c>
      <c r="F46" t="str">
        <f t="shared" si="1"/>
        <v>Night</v>
      </c>
      <c r="G46" t="b">
        <v>0</v>
      </c>
      <c r="H46">
        <v>0</v>
      </c>
      <c r="I46" t="str">
        <f>_xlfn.XLOOKUP(Append15[[#This Row],[Week day]],Mappings!$B$3:$B$9,Mappings!$C$3:$C$9)</f>
        <v>Sunday</v>
      </c>
      <c r="J46" t="str">
        <f t="shared" si="2"/>
        <v>Weekend</v>
      </c>
      <c r="K46">
        <v>1</v>
      </c>
      <c r="L46" t="str">
        <f>_xlfn.XLOOKUP(Append15[[#This Row],[WeatherSituation]],Mappings!$E$3:$E$6,Mappings!$F$3:$F$6)</f>
        <v>Clear Sky</v>
      </c>
      <c r="M46">
        <v>0.26</v>
      </c>
      <c r="N46">
        <v>0.2273</v>
      </c>
      <c r="O46">
        <v>0.44</v>
      </c>
      <c r="P46">
        <v>0.32840000000000003</v>
      </c>
      <c r="Q46">
        <v>11</v>
      </c>
      <c r="R46">
        <v>20</v>
      </c>
      <c r="S46">
        <v>31</v>
      </c>
    </row>
    <row r="47" spans="1:19" x14ac:dyDescent="0.3">
      <c r="A47">
        <v>46</v>
      </c>
      <c r="B47" s="4">
        <v>40545</v>
      </c>
      <c r="C47">
        <v>1</v>
      </c>
      <c r="D47">
        <v>22</v>
      </c>
      <c r="E47" t="str">
        <f t="shared" si="0"/>
        <v>10 PM</v>
      </c>
      <c r="F47" t="str">
        <f t="shared" si="1"/>
        <v>Night</v>
      </c>
      <c r="G47" t="b">
        <v>0</v>
      </c>
      <c r="H47">
        <v>0</v>
      </c>
      <c r="I47" t="str">
        <f>_xlfn.XLOOKUP(Append15[[#This Row],[Week day]],Mappings!$B$3:$B$9,Mappings!$C$3:$C$9)</f>
        <v>Sunday</v>
      </c>
      <c r="J47" t="str">
        <f t="shared" si="2"/>
        <v>Weekend</v>
      </c>
      <c r="K47">
        <v>1</v>
      </c>
      <c r="L47" t="str">
        <f>_xlfn.XLOOKUP(Append15[[#This Row],[WeatherSituation]],Mappings!$E$3:$E$6,Mappings!$F$3:$F$6)</f>
        <v>Clear Sky</v>
      </c>
      <c r="M47">
        <v>0.24</v>
      </c>
      <c r="N47">
        <v>0.21210000000000001</v>
      </c>
      <c r="O47">
        <v>0.44</v>
      </c>
      <c r="P47">
        <v>0.29849999999999999</v>
      </c>
      <c r="Q47">
        <v>0</v>
      </c>
      <c r="R47">
        <v>9</v>
      </c>
      <c r="S47">
        <v>9</v>
      </c>
    </row>
    <row r="48" spans="1:19" x14ac:dyDescent="0.3">
      <c r="A48">
        <v>47</v>
      </c>
      <c r="B48" s="4">
        <v>40545</v>
      </c>
      <c r="C48">
        <v>1</v>
      </c>
      <c r="D48">
        <v>23</v>
      </c>
      <c r="E48" t="str">
        <f t="shared" si="0"/>
        <v>11 PM</v>
      </c>
      <c r="F48" t="str">
        <f t="shared" si="1"/>
        <v>Night</v>
      </c>
      <c r="G48" t="b">
        <v>0</v>
      </c>
      <c r="H48">
        <v>0</v>
      </c>
      <c r="I48" t="str">
        <f>_xlfn.XLOOKUP(Append15[[#This Row],[Week day]],Mappings!$B$3:$B$9,Mappings!$C$3:$C$9)</f>
        <v>Sunday</v>
      </c>
      <c r="J48" t="str">
        <f t="shared" si="2"/>
        <v>Weekend</v>
      </c>
      <c r="K48">
        <v>1</v>
      </c>
      <c r="L48" t="str">
        <f>_xlfn.XLOOKUP(Append15[[#This Row],[WeatherSituation]],Mappings!$E$3:$E$6,Mappings!$F$3:$F$6)</f>
        <v>Clear Sky</v>
      </c>
      <c r="M48">
        <v>0.22</v>
      </c>
      <c r="N48">
        <v>0.2273</v>
      </c>
      <c r="O48">
        <v>0.47</v>
      </c>
      <c r="P48">
        <v>0.16420000000000001</v>
      </c>
      <c r="Q48">
        <v>0</v>
      </c>
      <c r="R48">
        <v>8</v>
      </c>
      <c r="S48">
        <v>8</v>
      </c>
    </row>
    <row r="49" spans="1:19" x14ac:dyDescent="0.3">
      <c r="A49">
        <v>48</v>
      </c>
      <c r="B49" s="4">
        <v>40546</v>
      </c>
      <c r="C49">
        <v>1</v>
      </c>
      <c r="D49">
        <v>0</v>
      </c>
      <c r="E49" t="str">
        <f t="shared" si="0"/>
        <v>12 AM</v>
      </c>
      <c r="F49" t="str">
        <f t="shared" si="1"/>
        <v>Night</v>
      </c>
      <c r="G49" t="b">
        <v>0</v>
      </c>
      <c r="H49">
        <v>1</v>
      </c>
      <c r="I49" t="str">
        <f>_xlfn.XLOOKUP(Append15[[#This Row],[Week day]],Mappings!$B$3:$B$9,Mappings!$C$3:$C$9)</f>
        <v>Monday</v>
      </c>
      <c r="J49" t="str">
        <f t="shared" si="2"/>
        <v>Weekday</v>
      </c>
      <c r="K49">
        <v>1</v>
      </c>
      <c r="L49" t="str">
        <f>_xlfn.XLOOKUP(Append15[[#This Row],[WeatherSituation]],Mappings!$E$3:$E$6,Mappings!$F$3:$F$6)</f>
        <v>Clear Sky</v>
      </c>
      <c r="M49">
        <v>0.22</v>
      </c>
      <c r="N49">
        <v>0.19700000000000001</v>
      </c>
      <c r="O49">
        <v>0.44</v>
      </c>
      <c r="P49">
        <v>0.35820000000000002</v>
      </c>
      <c r="Q49">
        <v>0</v>
      </c>
      <c r="R49">
        <v>5</v>
      </c>
      <c r="S49">
        <v>5</v>
      </c>
    </row>
    <row r="50" spans="1:19" x14ac:dyDescent="0.3">
      <c r="A50">
        <v>49</v>
      </c>
      <c r="B50" s="4">
        <v>40546</v>
      </c>
      <c r="C50">
        <v>1</v>
      </c>
      <c r="D50">
        <v>1</v>
      </c>
      <c r="E50" t="str">
        <f t="shared" si="0"/>
        <v>1 AM</v>
      </c>
      <c r="F50" t="str">
        <f t="shared" si="1"/>
        <v>Night</v>
      </c>
      <c r="G50" t="b">
        <v>0</v>
      </c>
      <c r="H50">
        <v>1</v>
      </c>
      <c r="I50" t="str">
        <f>_xlfn.XLOOKUP(Append15[[#This Row],[Week day]],Mappings!$B$3:$B$9,Mappings!$C$3:$C$9)</f>
        <v>Monday</v>
      </c>
      <c r="J50" t="str">
        <f t="shared" si="2"/>
        <v>Weekday</v>
      </c>
      <c r="K50">
        <v>1</v>
      </c>
      <c r="L50" t="str">
        <f>_xlfn.XLOOKUP(Append15[[#This Row],[WeatherSituation]],Mappings!$E$3:$E$6,Mappings!$F$3:$F$6)</f>
        <v>Clear Sky</v>
      </c>
      <c r="M50">
        <v>0.2</v>
      </c>
      <c r="N50">
        <v>0.19989999999999999</v>
      </c>
      <c r="O50">
        <v>0.44</v>
      </c>
      <c r="P50">
        <v>0.41789999999999999</v>
      </c>
      <c r="Q50">
        <v>0</v>
      </c>
      <c r="R50">
        <v>2</v>
      </c>
      <c r="S50">
        <v>2</v>
      </c>
    </row>
    <row r="51" spans="1:19" x14ac:dyDescent="0.3">
      <c r="A51">
        <v>50</v>
      </c>
      <c r="B51" s="4">
        <v>40546</v>
      </c>
      <c r="C51">
        <v>1</v>
      </c>
      <c r="D51">
        <v>4</v>
      </c>
      <c r="E51" t="str">
        <f t="shared" si="0"/>
        <v>4 AM</v>
      </c>
      <c r="F51" t="str">
        <f t="shared" si="1"/>
        <v>Night</v>
      </c>
      <c r="G51" t="b">
        <v>0</v>
      </c>
      <c r="H51">
        <v>1</v>
      </c>
      <c r="I51" t="str">
        <f>_xlfn.XLOOKUP(Append15[[#This Row],[Week day]],Mappings!$B$3:$B$9,Mappings!$C$3:$C$9)</f>
        <v>Monday</v>
      </c>
      <c r="J51" t="str">
        <f t="shared" si="2"/>
        <v>Weekday</v>
      </c>
      <c r="K51">
        <v>1</v>
      </c>
      <c r="L51" t="str">
        <f>_xlfn.XLOOKUP(Append15[[#This Row],[WeatherSituation]],Mappings!$E$3:$E$6,Mappings!$F$3:$F$6)</f>
        <v>Clear Sky</v>
      </c>
      <c r="M51">
        <v>0.16</v>
      </c>
      <c r="N51">
        <v>0.13639999999999999</v>
      </c>
      <c r="O51">
        <v>0.47</v>
      </c>
      <c r="P51">
        <v>0.3881</v>
      </c>
      <c r="Q51">
        <v>0</v>
      </c>
      <c r="R51">
        <v>1</v>
      </c>
      <c r="S51">
        <v>1</v>
      </c>
    </row>
    <row r="52" spans="1:19" x14ac:dyDescent="0.3">
      <c r="A52">
        <v>51</v>
      </c>
      <c r="B52" s="4">
        <v>40546</v>
      </c>
      <c r="C52">
        <v>1</v>
      </c>
      <c r="D52">
        <v>5</v>
      </c>
      <c r="E52" t="str">
        <f t="shared" si="0"/>
        <v>5 AM</v>
      </c>
      <c r="F52" t="str">
        <f t="shared" si="1"/>
        <v>Morning</v>
      </c>
      <c r="G52" t="b">
        <v>0</v>
      </c>
      <c r="H52">
        <v>1</v>
      </c>
      <c r="I52" t="str">
        <f>_xlfn.XLOOKUP(Append15[[#This Row],[Week day]],Mappings!$B$3:$B$9,Mappings!$C$3:$C$9)</f>
        <v>Monday</v>
      </c>
      <c r="J52" t="str">
        <f t="shared" si="2"/>
        <v>Weekday</v>
      </c>
      <c r="K52">
        <v>1</v>
      </c>
      <c r="L52" t="str">
        <f>_xlfn.XLOOKUP(Append15[[#This Row],[WeatherSituation]],Mappings!$E$3:$E$6,Mappings!$F$3:$F$6)</f>
        <v>Clear Sky</v>
      </c>
      <c r="M52">
        <v>0.16</v>
      </c>
      <c r="N52">
        <v>0.13639999999999999</v>
      </c>
      <c r="O52">
        <v>0.47</v>
      </c>
      <c r="P52">
        <v>0.28360000000000002</v>
      </c>
      <c r="Q52">
        <v>0</v>
      </c>
      <c r="R52">
        <v>3</v>
      </c>
      <c r="S52">
        <v>3</v>
      </c>
    </row>
    <row r="53" spans="1:19" x14ac:dyDescent="0.3">
      <c r="A53">
        <v>52</v>
      </c>
      <c r="B53" s="4">
        <v>40546</v>
      </c>
      <c r="C53">
        <v>1</v>
      </c>
      <c r="D53">
        <v>6</v>
      </c>
      <c r="E53" t="str">
        <f t="shared" si="0"/>
        <v>6 AM</v>
      </c>
      <c r="F53" t="str">
        <f t="shared" si="1"/>
        <v>Morning</v>
      </c>
      <c r="G53" t="b">
        <v>0</v>
      </c>
      <c r="H53">
        <v>1</v>
      </c>
      <c r="I53" t="str">
        <f>_xlfn.XLOOKUP(Append15[[#This Row],[Week day]],Mappings!$B$3:$B$9,Mappings!$C$3:$C$9)</f>
        <v>Monday</v>
      </c>
      <c r="J53" t="str">
        <f t="shared" si="2"/>
        <v>Weekday</v>
      </c>
      <c r="K53">
        <v>1</v>
      </c>
      <c r="L53" t="str">
        <f>_xlfn.XLOOKUP(Append15[[#This Row],[WeatherSituation]],Mappings!$E$3:$E$6,Mappings!$F$3:$F$6)</f>
        <v>Clear Sky</v>
      </c>
      <c r="M53">
        <v>0.14000000000000001</v>
      </c>
      <c r="N53">
        <v>0.1061</v>
      </c>
      <c r="O53">
        <v>0.5</v>
      </c>
      <c r="P53">
        <v>0.3881</v>
      </c>
      <c r="Q53">
        <v>0</v>
      </c>
      <c r="R53">
        <v>30</v>
      </c>
      <c r="S53">
        <v>30</v>
      </c>
    </row>
    <row r="54" spans="1:19" x14ac:dyDescent="0.3">
      <c r="A54">
        <v>53</v>
      </c>
      <c r="B54" s="4">
        <v>40546</v>
      </c>
      <c r="C54">
        <v>1</v>
      </c>
      <c r="D54">
        <v>7</v>
      </c>
      <c r="E54" t="str">
        <f t="shared" si="0"/>
        <v>7 AM</v>
      </c>
      <c r="F54" t="str">
        <f t="shared" si="1"/>
        <v>Morning</v>
      </c>
      <c r="G54" t="b">
        <v>0</v>
      </c>
      <c r="H54">
        <v>1</v>
      </c>
      <c r="I54" t="str">
        <f>_xlfn.XLOOKUP(Append15[[#This Row],[Week day]],Mappings!$B$3:$B$9,Mappings!$C$3:$C$9)</f>
        <v>Monday</v>
      </c>
      <c r="J54" t="str">
        <f t="shared" si="2"/>
        <v>Weekday</v>
      </c>
      <c r="K54">
        <v>1</v>
      </c>
      <c r="L54" t="str">
        <f>_xlfn.XLOOKUP(Append15[[#This Row],[WeatherSituation]],Mappings!$E$3:$E$6,Mappings!$F$3:$F$6)</f>
        <v>Clear Sky</v>
      </c>
      <c r="M54">
        <v>0.14000000000000001</v>
      </c>
      <c r="N54">
        <v>0.13639999999999999</v>
      </c>
      <c r="O54">
        <v>0.5</v>
      </c>
      <c r="P54">
        <v>0.19400000000000001</v>
      </c>
      <c r="Q54">
        <v>1</v>
      </c>
      <c r="R54">
        <v>63</v>
      </c>
      <c r="S54">
        <v>64</v>
      </c>
    </row>
    <row r="55" spans="1:19" x14ac:dyDescent="0.3">
      <c r="A55">
        <v>54</v>
      </c>
      <c r="B55" s="4">
        <v>40546</v>
      </c>
      <c r="C55">
        <v>1</v>
      </c>
      <c r="D55">
        <v>8</v>
      </c>
      <c r="E55" t="str">
        <f t="shared" si="0"/>
        <v>8 AM</v>
      </c>
      <c r="F55" t="str">
        <f t="shared" si="1"/>
        <v>Morning</v>
      </c>
      <c r="G55" t="b">
        <v>0</v>
      </c>
      <c r="H55">
        <v>1</v>
      </c>
      <c r="I55" t="str">
        <f>_xlfn.XLOOKUP(Append15[[#This Row],[Week day]],Mappings!$B$3:$B$9,Mappings!$C$3:$C$9)</f>
        <v>Monday</v>
      </c>
      <c r="J55" t="str">
        <f t="shared" si="2"/>
        <v>Weekday</v>
      </c>
      <c r="K55">
        <v>1</v>
      </c>
      <c r="L55" t="str">
        <f>_xlfn.XLOOKUP(Append15[[#This Row],[WeatherSituation]],Mappings!$E$3:$E$6,Mappings!$F$3:$F$6)</f>
        <v>Clear Sky</v>
      </c>
      <c r="M55">
        <v>0.14000000000000001</v>
      </c>
      <c r="N55">
        <v>0.1212</v>
      </c>
      <c r="O55">
        <v>0.5</v>
      </c>
      <c r="P55">
        <v>0.28360000000000002</v>
      </c>
      <c r="Q55">
        <v>1</v>
      </c>
      <c r="R55">
        <v>153</v>
      </c>
      <c r="S55">
        <v>154</v>
      </c>
    </row>
    <row r="56" spans="1:19" x14ac:dyDescent="0.3">
      <c r="A56">
        <v>55</v>
      </c>
      <c r="B56" s="4">
        <v>40546</v>
      </c>
      <c r="C56">
        <v>1</v>
      </c>
      <c r="D56">
        <v>9</v>
      </c>
      <c r="E56" t="str">
        <f t="shared" si="0"/>
        <v>9 AM</v>
      </c>
      <c r="F56" t="str">
        <f t="shared" si="1"/>
        <v>Morning</v>
      </c>
      <c r="G56" t="b">
        <v>0</v>
      </c>
      <c r="H56">
        <v>1</v>
      </c>
      <c r="I56" t="str">
        <f>_xlfn.XLOOKUP(Append15[[#This Row],[Week day]],Mappings!$B$3:$B$9,Mappings!$C$3:$C$9)</f>
        <v>Monday</v>
      </c>
      <c r="J56" t="str">
        <f t="shared" si="2"/>
        <v>Weekday</v>
      </c>
      <c r="K56">
        <v>1</v>
      </c>
      <c r="L56" t="str">
        <f>_xlfn.XLOOKUP(Append15[[#This Row],[WeatherSituation]],Mappings!$E$3:$E$6,Mappings!$F$3:$F$6)</f>
        <v>Clear Sky</v>
      </c>
      <c r="M56">
        <v>0.16</v>
      </c>
      <c r="N56">
        <v>0.13639999999999999</v>
      </c>
      <c r="O56">
        <v>0.43</v>
      </c>
      <c r="P56">
        <v>0.3881</v>
      </c>
      <c r="Q56">
        <v>7</v>
      </c>
      <c r="R56">
        <v>81</v>
      </c>
      <c r="S56">
        <v>88</v>
      </c>
    </row>
    <row r="57" spans="1:19" x14ac:dyDescent="0.3">
      <c r="A57">
        <v>56</v>
      </c>
      <c r="B57" s="4">
        <v>40546</v>
      </c>
      <c r="C57">
        <v>1</v>
      </c>
      <c r="D57">
        <v>10</v>
      </c>
      <c r="E57" t="str">
        <f t="shared" si="0"/>
        <v>10 AM</v>
      </c>
      <c r="F57" t="str">
        <f t="shared" si="1"/>
        <v>Morning</v>
      </c>
      <c r="G57" t="b">
        <v>0</v>
      </c>
      <c r="H57">
        <v>1</v>
      </c>
      <c r="I57" t="str">
        <f>_xlfn.XLOOKUP(Append15[[#This Row],[Week day]],Mappings!$B$3:$B$9,Mappings!$C$3:$C$9)</f>
        <v>Monday</v>
      </c>
      <c r="J57" t="str">
        <f t="shared" si="2"/>
        <v>Weekday</v>
      </c>
      <c r="K57">
        <v>1</v>
      </c>
      <c r="L57" t="str">
        <f>_xlfn.XLOOKUP(Append15[[#This Row],[WeatherSituation]],Mappings!$E$3:$E$6,Mappings!$F$3:$F$6)</f>
        <v>Clear Sky</v>
      </c>
      <c r="M57">
        <v>0.18</v>
      </c>
      <c r="N57">
        <v>0.16669999999999999</v>
      </c>
      <c r="O57">
        <v>0.43</v>
      </c>
      <c r="P57">
        <v>0.25369999999999998</v>
      </c>
      <c r="Q57">
        <v>11</v>
      </c>
      <c r="R57">
        <v>33</v>
      </c>
      <c r="S57">
        <v>44</v>
      </c>
    </row>
    <row r="58" spans="1:19" x14ac:dyDescent="0.3">
      <c r="A58">
        <v>57</v>
      </c>
      <c r="B58" s="4">
        <v>40546</v>
      </c>
      <c r="C58">
        <v>1</v>
      </c>
      <c r="D58">
        <v>11</v>
      </c>
      <c r="E58" t="str">
        <f t="shared" si="0"/>
        <v>11 AM</v>
      </c>
      <c r="F58" t="str">
        <f t="shared" si="1"/>
        <v>Morning</v>
      </c>
      <c r="G58" t="b">
        <v>0</v>
      </c>
      <c r="H58">
        <v>1</v>
      </c>
      <c r="I58" t="str">
        <f>_xlfn.XLOOKUP(Append15[[#This Row],[Week day]],Mappings!$B$3:$B$9,Mappings!$C$3:$C$9)</f>
        <v>Monday</v>
      </c>
      <c r="J58" t="str">
        <f t="shared" si="2"/>
        <v>Weekday</v>
      </c>
      <c r="K58">
        <v>1</v>
      </c>
      <c r="L58" t="str">
        <f>_xlfn.XLOOKUP(Append15[[#This Row],[WeatherSituation]],Mappings!$E$3:$E$6,Mappings!$F$3:$F$6)</f>
        <v>Clear Sky</v>
      </c>
      <c r="M58">
        <v>0.2</v>
      </c>
      <c r="N58">
        <v>0.18179999999999999</v>
      </c>
      <c r="O58">
        <v>0.4</v>
      </c>
      <c r="P58">
        <v>0.32840000000000003</v>
      </c>
      <c r="Q58">
        <v>10</v>
      </c>
      <c r="R58">
        <v>41</v>
      </c>
      <c r="S58">
        <v>51</v>
      </c>
    </row>
    <row r="59" spans="1:19" x14ac:dyDescent="0.3">
      <c r="A59">
        <v>58</v>
      </c>
      <c r="B59" s="4">
        <v>40546</v>
      </c>
      <c r="C59">
        <v>1</v>
      </c>
      <c r="D59">
        <v>12</v>
      </c>
      <c r="E59" t="str">
        <f t="shared" si="0"/>
        <v>12 PM</v>
      </c>
      <c r="F59" t="str">
        <f t="shared" si="1"/>
        <v>AfterNoon</v>
      </c>
      <c r="G59" t="b">
        <v>0</v>
      </c>
      <c r="H59">
        <v>1</v>
      </c>
      <c r="I59" t="str">
        <f>_xlfn.XLOOKUP(Append15[[#This Row],[Week day]],Mappings!$B$3:$B$9,Mappings!$C$3:$C$9)</f>
        <v>Monday</v>
      </c>
      <c r="J59" t="str">
        <f t="shared" si="2"/>
        <v>Weekday</v>
      </c>
      <c r="K59">
        <v>1</v>
      </c>
      <c r="L59" t="str">
        <f>_xlfn.XLOOKUP(Append15[[#This Row],[WeatherSituation]],Mappings!$E$3:$E$6,Mappings!$F$3:$F$6)</f>
        <v>Clear Sky</v>
      </c>
      <c r="M59">
        <v>0.22</v>
      </c>
      <c r="N59">
        <v>0.21210000000000001</v>
      </c>
      <c r="O59">
        <v>0.35</v>
      </c>
      <c r="P59">
        <v>0.29849999999999999</v>
      </c>
      <c r="Q59">
        <v>13</v>
      </c>
      <c r="R59">
        <v>48</v>
      </c>
      <c r="S59">
        <v>61</v>
      </c>
    </row>
    <row r="60" spans="1:19" x14ac:dyDescent="0.3">
      <c r="A60">
        <v>59</v>
      </c>
      <c r="B60" s="4">
        <v>40546</v>
      </c>
      <c r="C60">
        <v>1</v>
      </c>
      <c r="D60">
        <v>13</v>
      </c>
      <c r="E60" t="str">
        <f t="shared" si="0"/>
        <v>1 PM</v>
      </c>
      <c r="F60" t="str">
        <f t="shared" si="1"/>
        <v>AfterNoon</v>
      </c>
      <c r="G60" t="b">
        <v>0</v>
      </c>
      <c r="H60">
        <v>1</v>
      </c>
      <c r="I60" t="str">
        <f>_xlfn.XLOOKUP(Append15[[#This Row],[Week day]],Mappings!$B$3:$B$9,Mappings!$C$3:$C$9)</f>
        <v>Monday</v>
      </c>
      <c r="J60" t="str">
        <f t="shared" si="2"/>
        <v>Weekday</v>
      </c>
      <c r="K60">
        <v>1</v>
      </c>
      <c r="L60" t="str">
        <f>_xlfn.XLOOKUP(Append15[[#This Row],[WeatherSituation]],Mappings!$E$3:$E$6,Mappings!$F$3:$F$6)</f>
        <v>Clear Sky</v>
      </c>
      <c r="M60">
        <v>0.24</v>
      </c>
      <c r="N60">
        <v>0.19989999999999999</v>
      </c>
      <c r="O60">
        <v>0.35</v>
      </c>
      <c r="P60">
        <v>0.28360000000000002</v>
      </c>
      <c r="Q60">
        <v>8</v>
      </c>
      <c r="R60">
        <v>53</v>
      </c>
      <c r="S60">
        <v>61</v>
      </c>
    </row>
    <row r="61" spans="1:19" x14ac:dyDescent="0.3">
      <c r="A61">
        <v>60</v>
      </c>
      <c r="B61" s="4">
        <v>40546</v>
      </c>
      <c r="C61">
        <v>1</v>
      </c>
      <c r="D61">
        <v>14</v>
      </c>
      <c r="E61" t="str">
        <f t="shared" si="0"/>
        <v>2 PM</v>
      </c>
      <c r="F61" t="str">
        <f t="shared" si="1"/>
        <v>AfterNoon</v>
      </c>
      <c r="G61" t="b">
        <v>0</v>
      </c>
      <c r="H61">
        <v>1</v>
      </c>
      <c r="I61" t="str">
        <f>_xlfn.XLOOKUP(Append15[[#This Row],[Week day]],Mappings!$B$3:$B$9,Mappings!$C$3:$C$9)</f>
        <v>Monday</v>
      </c>
      <c r="J61" t="str">
        <f t="shared" si="2"/>
        <v>Weekday</v>
      </c>
      <c r="K61">
        <v>1</v>
      </c>
      <c r="L61" t="str">
        <f>_xlfn.XLOOKUP(Append15[[#This Row],[WeatherSituation]],Mappings!$E$3:$E$6,Mappings!$F$3:$F$6)</f>
        <v>Clear Sky</v>
      </c>
      <c r="M61">
        <v>0.26</v>
      </c>
      <c r="N61">
        <v>0.2424</v>
      </c>
      <c r="O61">
        <v>0.3</v>
      </c>
      <c r="P61">
        <v>0.28360000000000002</v>
      </c>
      <c r="Q61">
        <v>11</v>
      </c>
      <c r="R61">
        <v>66</v>
      </c>
      <c r="S61">
        <v>77</v>
      </c>
    </row>
    <row r="62" spans="1:19" x14ac:dyDescent="0.3">
      <c r="A62">
        <v>61</v>
      </c>
      <c r="B62" s="4">
        <v>40546</v>
      </c>
      <c r="C62">
        <v>1</v>
      </c>
      <c r="D62">
        <v>15</v>
      </c>
      <c r="E62" t="str">
        <f t="shared" si="0"/>
        <v>3 PM</v>
      </c>
      <c r="F62" t="str">
        <f t="shared" si="1"/>
        <v>AfterNoon</v>
      </c>
      <c r="G62" t="b">
        <v>0</v>
      </c>
      <c r="H62">
        <v>1</v>
      </c>
      <c r="I62" t="str">
        <f>_xlfn.XLOOKUP(Append15[[#This Row],[Week day]],Mappings!$B$3:$B$9,Mappings!$C$3:$C$9)</f>
        <v>Monday</v>
      </c>
      <c r="J62" t="str">
        <f t="shared" si="2"/>
        <v>Weekday</v>
      </c>
      <c r="K62">
        <v>1</v>
      </c>
      <c r="L62" t="str">
        <f>_xlfn.XLOOKUP(Append15[[#This Row],[WeatherSituation]],Mappings!$E$3:$E$6,Mappings!$F$3:$F$6)</f>
        <v>Clear Sky</v>
      </c>
      <c r="M62">
        <v>0.26</v>
      </c>
      <c r="N62">
        <v>0.2424</v>
      </c>
      <c r="O62">
        <v>0.3</v>
      </c>
      <c r="P62">
        <v>0.25369999999999998</v>
      </c>
      <c r="Q62">
        <v>14</v>
      </c>
      <c r="R62">
        <v>58</v>
      </c>
      <c r="S62">
        <v>72</v>
      </c>
    </row>
    <row r="63" spans="1:19" x14ac:dyDescent="0.3">
      <c r="A63">
        <v>62</v>
      </c>
      <c r="B63" s="4">
        <v>40546</v>
      </c>
      <c r="C63">
        <v>1</v>
      </c>
      <c r="D63">
        <v>16</v>
      </c>
      <c r="E63" t="str">
        <f t="shared" si="0"/>
        <v>4 PM</v>
      </c>
      <c r="F63" t="str">
        <f t="shared" si="1"/>
        <v>Evening</v>
      </c>
      <c r="G63" t="b">
        <v>0</v>
      </c>
      <c r="H63">
        <v>1</v>
      </c>
      <c r="I63" t="str">
        <f>_xlfn.XLOOKUP(Append15[[#This Row],[Week day]],Mappings!$B$3:$B$9,Mappings!$C$3:$C$9)</f>
        <v>Monday</v>
      </c>
      <c r="J63" t="str">
        <f t="shared" si="2"/>
        <v>Weekday</v>
      </c>
      <c r="K63">
        <v>1</v>
      </c>
      <c r="L63" t="str">
        <f>_xlfn.XLOOKUP(Append15[[#This Row],[WeatherSituation]],Mappings!$E$3:$E$6,Mappings!$F$3:$F$6)</f>
        <v>Clear Sky</v>
      </c>
      <c r="M63">
        <v>0.26</v>
      </c>
      <c r="N63">
        <v>0.2424</v>
      </c>
      <c r="O63">
        <v>0.3</v>
      </c>
      <c r="P63">
        <v>0.25369999999999998</v>
      </c>
      <c r="Q63">
        <v>9</v>
      </c>
      <c r="R63">
        <v>67</v>
      </c>
      <c r="S63">
        <v>76</v>
      </c>
    </row>
    <row r="64" spans="1:19" x14ac:dyDescent="0.3">
      <c r="A64">
        <v>63</v>
      </c>
      <c r="B64" s="4">
        <v>40546</v>
      </c>
      <c r="C64">
        <v>1</v>
      </c>
      <c r="D64">
        <v>17</v>
      </c>
      <c r="E64" t="str">
        <f t="shared" si="0"/>
        <v>5 PM</v>
      </c>
      <c r="F64" t="str">
        <f t="shared" si="1"/>
        <v>Evening</v>
      </c>
      <c r="G64" t="b">
        <v>0</v>
      </c>
      <c r="H64">
        <v>1</v>
      </c>
      <c r="I64" t="str">
        <f>_xlfn.XLOOKUP(Append15[[#This Row],[Week day]],Mappings!$B$3:$B$9,Mappings!$C$3:$C$9)</f>
        <v>Monday</v>
      </c>
      <c r="J64" t="str">
        <f t="shared" si="2"/>
        <v>Weekday</v>
      </c>
      <c r="K64">
        <v>1</v>
      </c>
      <c r="L64" t="str">
        <f>_xlfn.XLOOKUP(Append15[[#This Row],[WeatherSituation]],Mappings!$E$3:$E$6,Mappings!$F$3:$F$6)</f>
        <v>Clear Sky</v>
      </c>
      <c r="M64">
        <v>0.24</v>
      </c>
      <c r="N64">
        <v>0.2273</v>
      </c>
      <c r="O64">
        <v>0.3</v>
      </c>
      <c r="P64">
        <v>0.22389999999999999</v>
      </c>
      <c r="Q64">
        <v>11</v>
      </c>
      <c r="R64">
        <v>146</v>
      </c>
      <c r="S64">
        <v>157</v>
      </c>
    </row>
    <row r="65" spans="1:19" x14ac:dyDescent="0.3">
      <c r="A65">
        <v>64</v>
      </c>
      <c r="B65" s="4">
        <v>40546</v>
      </c>
      <c r="C65">
        <v>1</v>
      </c>
      <c r="D65">
        <v>18</v>
      </c>
      <c r="E65" t="str">
        <f t="shared" si="0"/>
        <v>6 PM</v>
      </c>
      <c r="F65" t="str">
        <f t="shared" si="1"/>
        <v>Evening</v>
      </c>
      <c r="G65" t="b">
        <v>0</v>
      </c>
      <c r="H65">
        <v>1</v>
      </c>
      <c r="I65" t="str">
        <f>_xlfn.XLOOKUP(Append15[[#This Row],[Week day]],Mappings!$B$3:$B$9,Mappings!$C$3:$C$9)</f>
        <v>Monday</v>
      </c>
      <c r="J65" t="str">
        <f t="shared" si="2"/>
        <v>Weekday</v>
      </c>
      <c r="K65">
        <v>1</v>
      </c>
      <c r="L65" t="str">
        <f>_xlfn.XLOOKUP(Append15[[#This Row],[WeatherSituation]],Mappings!$E$3:$E$6,Mappings!$F$3:$F$6)</f>
        <v>Clear Sky</v>
      </c>
      <c r="M65">
        <v>0.24</v>
      </c>
      <c r="N65">
        <v>0.2576</v>
      </c>
      <c r="O65">
        <v>0.32</v>
      </c>
      <c r="P65">
        <v>0.1045</v>
      </c>
      <c r="Q65">
        <v>9</v>
      </c>
      <c r="R65">
        <v>148</v>
      </c>
      <c r="S65">
        <v>157</v>
      </c>
    </row>
    <row r="66" spans="1:19" x14ac:dyDescent="0.3">
      <c r="A66">
        <v>65</v>
      </c>
      <c r="B66" s="4">
        <v>40546</v>
      </c>
      <c r="C66">
        <v>1</v>
      </c>
      <c r="D66">
        <v>19</v>
      </c>
      <c r="E66" t="str">
        <f t="shared" ref="E66:E129" si="3">TEXT(D66/24,"h AM/PM")</f>
        <v>7 PM</v>
      </c>
      <c r="F66" t="str">
        <f t="shared" ref="F66:F129" si="4">IF(D66&lt;5,"Night",
IF(D66&lt;=11,"Morning",
IF(D66&lt;16,"AfterNoon",
IF(D66&lt;20,"Evening","Night"))))</f>
        <v>Evening</v>
      </c>
      <c r="G66" t="b">
        <v>0</v>
      </c>
      <c r="H66">
        <v>1</v>
      </c>
      <c r="I66" t="str">
        <f>_xlfn.XLOOKUP(Append15[[#This Row],[Week day]],Mappings!$B$3:$B$9,Mappings!$C$3:$C$9)</f>
        <v>Monday</v>
      </c>
      <c r="J66" t="str">
        <f t="shared" ref="J66:J129" si="5">IF(OR(H66=0,H66=6),"Weekend","Weekday")</f>
        <v>Weekday</v>
      </c>
      <c r="K66">
        <v>1</v>
      </c>
      <c r="L66" t="str">
        <f>_xlfn.XLOOKUP(Append15[[#This Row],[WeatherSituation]],Mappings!$E$3:$E$6,Mappings!$F$3:$F$6)</f>
        <v>Clear Sky</v>
      </c>
      <c r="M66">
        <v>0.2</v>
      </c>
      <c r="N66">
        <v>0.2576</v>
      </c>
      <c r="O66">
        <v>0.47</v>
      </c>
      <c r="P66">
        <v>0</v>
      </c>
      <c r="Q66">
        <v>8</v>
      </c>
      <c r="R66">
        <v>102</v>
      </c>
      <c r="S66">
        <v>110</v>
      </c>
    </row>
    <row r="67" spans="1:19" x14ac:dyDescent="0.3">
      <c r="A67">
        <v>66</v>
      </c>
      <c r="B67" s="4">
        <v>40546</v>
      </c>
      <c r="C67">
        <v>1</v>
      </c>
      <c r="D67">
        <v>20</v>
      </c>
      <c r="E67" t="str">
        <f t="shared" si="3"/>
        <v>8 PM</v>
      </c>
      <c r="F67" t="str">
        <f t="shared" si="4"/>
        <v>Night</v>
      </c>
      <c r="G67" t="b">
        <v>0</v>
      </c>
      <c r="H67">
        <v>1</v>
      </c>
      <c r="I67" t="str">
        <f>_xlfn.XLOOKUP(Append15[[#This Row],[Week day]],Mappings!$B$3:$B$9,Mappings!$C$3:$C$9)</f>
        <v>Monday</v>
      </c>
      <c r="J67" t="str">
        <f t="shared" si="5"/>
        <v>Weekday</v>
      </c>
      <c r="K67">
        <v>1</v>
      </c>
      <c r="L67" t="str">
        <f>_xlfn.XLOOKUP(Append15[[#This Row],[WeatherSituation]],Mappings!$E$3:$E$6,Mappings!$F$3:$F$6)</f>
        <v>Clear Sky</v>
      </c>
      <c r="M67">
        <v>0.2</v>
      </c>
      <c r="N67">
        <v>0.19989999999999999</v>
      </c>
      <c r="O67">
        <v>0.47</v>
      </c>
      <c r="P67">
        <v>0.1045</v>
      </c>
      <c r="Q67">
        <v>3</v>
      </c>
      <c r="R67">
        <v>49</v>
      </c>
      <c r="S67">
        <v>52</v>
      </c>
    </row>
    <row r="68" spans="1:19" x14ac:dyDescent="0.3">
      <c r="A68">
        <v>67</v>
      </c>
      <c r="B68" s="4">
        <v>40546</v>
      </c>
      <c r="C68">
        <v>1</v>
      </c>
      <c r="D68">
        <v>21</v>
      </c>
      <c r="E68" t="str">
        <f t="shared" si="3"/>
        <v>9 PM</v>
      </c>
      <c r="F68" t="str">
        <f t="shared" si="4"/>
        <v>Night</v>
      </c>
      <c r="G68" t="b">
        <v>0</v>
      </c>
      <c r="H68">
        <v>1</v>
      </c>
      <c r="I68" t="str">
        <f>_xlfn.XLOOKUP(Append15[[#This Row],[Week day]],Mappings!$B$3:$B$9,Mappings!$C$3:$C$9)</f>
        <v>Monday</v>
      </c>
      <c r="J68" t="str">
        <f t="shared" si="5"/>
        <v>Weekday</v>
      </c>
      <c r="K68">
        <v>1</v>
      </c>
      <c r="L68" t="str">
        <f>_xlfn.XLOOKUP(Append15[[#This Row],[WeatherSituation]],Mappings!$E$3:$E$6,Mappings!$F$3:$F$6)</f>
        <v>Clear Sky</v>
      </c>
      <c r="M68">
        <v>0.18</v>
      </c>
      <c r="N68">
        <v>0.19700000000000001</v>
      </c>
      <c r="O68">
        <v>0.64</v>
      </c>
      <c r="P68">
        <v>0.1343</v>
      </c>
      <c r="Q68">
        <v>3</v>
      </c>
      <c r="R68">
        <v>49</v>
      </c>
      <c r="S68">
        <v>52</v>
      </c>
    </row>
    <row r="69" spans="1:19" x14ac:dyDescent="0.3">
      <c r="A69">
        <v>68</v>
      </c>
      <c r="B69" s="4">
        <v>40546</v>
      </c>
      <c r="C69">
        <v>1</v>
      </c>
      <c r="D69">
        <v>22</v>
      </c>
      <c r="E69" t="str">
        <f t="shared" si="3"/>
        <v>10 PM</v>
      </c>
      <c r="F69" t="str">
        <f t="shared" si="4"/>
        <v>Night</v>
      </c>
      <c r="G69" t="b">
        <v>0</v>
      </c>
      <c r="H69">
        <v>1</v>
      </c>
      <c r="I69" t="str">
        <f>_xlfn.XLOOKUP(Append15[[#This Row],[Week day]],Mappings!$B$3:$B$9,Mappings!$C$3:$C$9)</f>
        <v>Monday</v>
      </c>
      <c r="J69" t="str">
        <f t="shared" si="5"/>
        <v>Weekday</v>
      </c>
      <c r="K69">
        <v>1</v>
      </c>
      <c r="L69" t="str">
        <f>_xlfn.XLOOKUP(Append15[[#This Row],[WeatherSituation]],Mappings!$E$3:$E$6,Mappings!$F$3:$F$6)</f>
        <v>Clear Sky</v>
      </c>
      <c r="M69">
        <v>0.14000000000000001</v>
      </c>
      <c r="N69">
        <v>0.1515</v>
      </c>
      <c r="O69">
        <v>0.69</v>
      </c>
      <c r="P69">
        <v>0.1343</v>
      </c>
      <c r="Q69">
        <v>0</v>
      </c>
      <c r="R69">
        <v>20</v>
      </c>
      <c r="S69">
        <v>20</v>
      </c>
    </row>
    <row r="70" spans="1:19" x14ac:dyDescent="0.3">
      <c r="A70">
        <v>69</v>
      </c>
      <c r="B70" s="4">
        <v>40546</v>
      </c>
      <c r="C70">
        <v>1</v>
      </c>
      <c r="D70">
        <v>23</v>
      </c>
      <c r="E70" t="str">
        <f t="shared" si="3"/>
        <v>11 PM</v>
      </c>
      <c r="F70" t="str">
        <f t="shared" si="4"/>
        <v>Night</v>
      </c>
      <c r="G70" t="b">
        <v>0</v>
      </c>
      <c r="H70">
        <v>1</v>
      </c>
      <c r="I70" t="str">
        <f>_xlfn.XLOOKUP(Append15[[#This Row],[Week day]],Mappings!$B$3:$B$9,Mappings!$C$3:$C$9)</f>
        <v>Monday</v>
      </c>
      <c r="J70" t="str">
        <f t="shared" si="5"/>
        <v>Weekday</v>
      </c>
      <c r="K70">
        <v>1</v>
      </c>
      <c r="L70" t="str">
        <f>_xlfn.XLOOKUP(Append15[[#This Row],[WeatherSituation]],Mappings!$E$3:$E$6,Mappings!$F$3:$F$6)</f>
        <v>Clear Sky</v>
      </c>
      <c r="M70">
        <v>0.18</v>
      </c>
      <c r="N70">
        <v>0.21210000000000001</v>
      </c>
      <c r="O70">
        <v>0.55000000000000004</v>
      </c>
      <c r="P70">
        <v>0.1045</v>
      </c>
      <c r="Q70">
        <v>1</v>
      </c>
      <c r="R70">
        <v>11</v>
      </c>
      <c r="S70">
        <v>12</v>
      </c>
    </row>
    <row r="71" spans="1:19" x14ac:dyDescent="0.3">
      <c r="A71">
        <v>70</v>
      </c>
      <c r="B71" s="4">
        <v>40547</v>
      </c>
      <c r="C71">
        <v>1</v>
      </c>
      <c r="D71">
        <v>0</v>
      </c>
      <c r="E71" t="str">
        <f t="shared" si="3"/>
        <v>12 AM</v>
      </c>
      <c r="F71" t="str">
        <f t="shared" si="4"/>
        <v>Night</v>
      </c>
      <c r="G71" t="b">
        <v>0</v>
      </c>
      <c r="H71">
        <v>2</v>
      </c>
      <c r="I71" t="str">
        <f>_xlfn.XLOOKUP(Append15[[#This Row],[Week day]],Mappings!$B$3:$B$9,Mappings!$C$3:$C$9)</f>
        <v>Tuesday</v>
      </c>
      <c r="J71" t="str">
        <f t="shared" si="5"/>
        <v>Weekday</v>
      </c>
      <c r="K71">
        <v>1</v>
      </c>
      <c r="L71" t="str">
        <f>_xlfn.XLOOKUP(Append15[[#This Row],[WeatherSituation]],Mappings!$E$3:$E$6,Mappings!$F$3:$F$6)</f>
        <v>Clear Sky</v>
      </c>
      <c r="M71">
        <v>0.16</v>
      </c>
      <c r="N71">
        <v>0.19989999999999999</v>
      </c>
      <c r="O71">
        <v>0.55000000000000004</v>
      </c>
      <c r="P71">
        <v>0.1045</v>
      </c>
      <c r="Q71">
        <v>0</v>
      </c>
      <c r="R71">
        <v>5</v>
      </c>
      <c r="S71">
        <v>5</v>
      </c>
    </row>
    <row r="72" spans="1:19" x14ac:dyDescent="0.3">
      <c r="A72">
        <v>71</v>
      </c>
      <c r="B72" s="4">
        <v>40547</v>
      </c>
      <c r="C72">
        <v>1</v>
      </c>
      <c r="D72">
        <v>1</v>
      </c>
      <c r="E72" t="str">
        <f t="shared" si="3"/>
        <v>1 AM</v>
      </c>
      <c r="F72" t="str">
        <f t="shared" si="4"/>
        <v>Night</v>
      </c>
      <c r="G72" t="b">
        <v>0</v>
      </c>
      <c r="H72">
        <v>2</v>
      </c>
      <c r="I72" t="str">
        <f>_xlfn.XLOOKUP(Append15[[#This Row],[Week day]],Mappings!$B$3:$B$9,Mappings!$C$3:$C$9)</f>
        <v>Tuesday</v>
      </c>
      <c r="J72" t="str">
        <f t="shared" si="5"/>
        <v>Weekday</v>
      </c>
      <c r="K72">
        <v>1</v>
      </c>
      <c r="L72" t="str">
        <f>_xlfn.XLOOKUP(Append15[[#This Row],[WeatherSituation]],Mappings!$E$3:$E$6,Mappings!$F$3:$F$6)</f>
        <v>Clear Sky</v>
      </c>
      <c r="M72">
        <v>0.16</v>
      </c>
      <c r="N72">
        <v>0.18179999999999999</v>
      </c>
      <c r="O72">
        <v>0.59</v>
      </c>
      <c r="P72">
        <v>0.1045</v>
      </c>
      <c r="Q72">
        <v>0</v>
      </c>
      <c r="R72">
        <v>2</v>
      </c>
      <c r="S72">
        <v>2</v>
      </c>
    </row>
    <row r="73" spans="1:19" x14ac:dyDescent="0.3">
      <c r="A73">
        <v>72</v>
      </c>
      <c r="B73" s="4">
        <v>40547</v>
      </c>
      <c r="C73">
        <v>1</v>
      </c>
      <c r="D73">
        <v>2</v>
      </c>
      <c r="E73" t="str">
        <f t="shared" si="3"/>
        <v>2 AM</v>
      </c>
      <c r="F73" t="str">
        <f t="shared" si="4"/>
        <v>Night</v>
      </c>
      <c r="G73" t="b">
        <v>0</v>
      </c>
      <c r="H73">
        <v>2</v>
      </c>
      <c r="I73" t="str">
        <f>_xlfn.XLOOKUP(Append15[[#This Row],[Week day]],Mappings!$B$3:$B$9,Mappings!$C$3:$C$9)</f>
        <v>Tuesday</v>
      </c>
      <c r="J73" t="str">
        <f t="shared" si="5"/>
        <v>Weekday</v>
      </c>
      <c r="K73">
        <v>1</v>
      </c>
      <c r="L73" t="str">
        <f>_xlfn.XLOOKUP(Append15[[#This Row],[WeatherSituation]],Mappings!$E$3:$E$6,Mappings!$F$3:$F$6)</f>
        <v>Clear Sky</v>
      </c>
      <c r="M73">
        <v>0.14000000000000001</v>
      </c>
      <c r="N73">
        <v>0.1515</v>
      </c>
      <c r="O73">
        <v>0.63</v>
      </c>
      <c r="P73">
        <v>0.1343</v>
      </c>
      <c r="Q73">
        <v>0</v>
      </c>
      <c r="R73">
        <v>1</v>
      </c>
      <c r="S73">
        <v>1</v>
      </c>
    </row>
    <row r="74" spans="1:19" x14ac:dyDescent="0.3">
      <c r="A74">
        <v>73</v>
      </c>
      <c r="B74" s="4">
        <v>40547</v>
      </c>
      <c r="C74">
        <v>1</v>
      </c>
      <c r="D74">
        <v>4</v>
      </c>
      <c r="E74" t="str">
        <f t="shared" si="3"/>
        <v>4 AM</v>
      </c>
      <c r="F74" t="str">
        <f t="shared" si="4"/>
        <v>Night</v>
      </c>
      <c r="G74" t="b">
        <v>0</v>
      </c>
      <c r="H74">
        <v>2</v>
      </c>
      <c r="I74" t="str">
        <f>_xlfn.XLOOKUP(Append15[[#This Row],[Week day]],Mappings!$B$3:$B$9,Mappings!$C$3:$C$9)</f>
        <v>Tuesday</v>
      </c>
      <c r="J74" t="str">
        <f t="shared" si="5"/>
        <v>Weekday</v>
      </c>
      <c r="K74">
        <v>1</v>
      </c>
      <c r="L74" t="str">
        <f>_xlfn.XLOOKUP(Append15[[#This Row],[WeatherSituation]],Mappings!$E$3:$E$6,Mappings!$F$3:$F$6)</f>
        <v>Clear Sky</v>
      </c>
      <c r="M74">
        <v>0.14000000000000001</v>
      </c>
      <c r="N74">
        <v>0.18179999999999999</v>
      </c>
      <c r="O74">
        <v>0.63</v>
      </c>
      <c r="P74">
        <v>8.9599999999999999E-2</v>
      </c>
      <c r="Q74">
        <v>0</v>
      </c>
      <c r="R74">
        <v>2</v>
      </c>
      <c r="S74">
        <v>2</v>
      </c>
    </row>
    <row r="75" spans="1:19" x14ac:dyDescent="0.3">
      <c r="A75">
        <v>74</v>
      </c>
      <c r="B75" s="4">
        <v>40547</v>
      </c>
      <c r="C75">
        <v>1</v>
      </c>
      <c r="D75">
        <v>5</v>
      </c>
      <c r="E75" t="str">
        <f t="shared" si="3"/>
        <v>5 AM</v>
      </c>
      <c r="F75" t="str">
        <f t="shared" si="4"/>
        <v>Morning</v>
      </c>
      <c r="G75" t="b">
        <v>0</v>
      </c>
      <c r="H75">
        <v>2</v>
      </c>
      <c r="I75" t="str">
        <f>_xlfn.XLOOKUP(Append15[[#This Row],[Week day]],Mappings!$B$3:$B$9,Mappings!$C$3:$C$9)</f>
        <v>Tuesday</v>
      </c>
      <c r="J75" t="str">
        <f t="shared" si="5"/>
        <v>Weekday</v>
      </c>
      <c r="K75">
        <v>1</v>
      </c>
      <c r="L75" t="str">
        <f>_xlfn.XLOOKUP(Append15[[#This Row],[WeatherSituation]],Mappings!$E$3:$E$6,Mappings!$F$3:$F$6)</f>
        <v>Clear Sky</v>
      </c>
      <c r="M75">
        <v>0.12</v>
      </c>
      <c r="N75">
        <v>0.1515</v>
      </c>
      <c r="O75">
        <v>0.68</v>
      </c>
      <c r="P75">
        <v>0.1045</v>
      </c>
      <c r="Q75">
        <v>0</v>
      </c>
      <c r="R75">
        <v>4</v>
      </c>
      <c r="S75">
        <v>4</v>
      </c>
    </row>
    <row r="76" spans="1:19" x14ac:dyDescent="0.3">
      <c r="A76">
        <v>75</v>
      </c>
      <c r="B76" s="4">
        <v>40547</v>
      </c>
      <c r="C76">
        <v>1</v>
      </c>
      <c r="D76">
        <v>6</v>
      </c>
      <c r="E76" t="str">
        <f t="shared" si="3"/>
        <v>6 AM</v>
      </c>
      <c r="F76" t="str">
        <f t="shared" si="4"/>
        <v>Morning</v>
      </c>
      <c r="G76" t="b">
        <v>0</v>
      </c>
      <c r="H76">
        <v>2</v>
      </c>
      <c r="I76" t="str">
        <f>_xlfn.XLOOKUP(Append15[[#This Row],[Week day]],Mappings!$B$3:$B$9,Mappings!$C$3:$C$9)</f>
        <v>Tuesday</v>
      </c>
      <c r="J76" t="str">
        <f t="shared" si="5"/>
        <v>Weekday</v>
      </c>
      <c r="K76">
        <v>1</v>
      </c>
      <c r="L76" t="str">
        <f>_xlfn.XLOOKUP(Append15[[#This Row],[WeatherSituation]],Mappings!$E$3:$E$6,Mappings!$F$3:$F$6)</f>
        <v>Clear Sky</v>
      </c>
      <c r="M76">
        <v>0.12</v>
      </c>
      <c r="N76">
        <v>0.1515</v>
      </c>
      <c r="O76">
        <v>0.74</v>
      </c>
      <c r="P76">
        <v>0.1045</v>
      </c>
      <c r="Q76">
        <v>0</v>
      </c>
      <c r="R76">
        <v>36</v>
      </c>
      <c r="S76">
        <v>36</v>
      </c>
    </row>
    <row r="77" spans="1:19" x14ac:dyDescent="0.3">
      <c r="A77">
        <v>76</v>
      </c>
      <c r="B77" s="4">
        <v>40547</v>
      </c>
      <c r="C77">
        <v>1</v>
      </c>
      <c r="D77">
        <v>7</v>
      </c>
      <c r="E77" t="str">
        <f t="shared" si="3"/>
        <v>7 AM</v>
      </c>
      <c r="F77" t="str">
        <f t="shared" si="4"/>
        <v>Morning</v>
      </c>
      <c r="G77" t="b">
        <v>0</v>
      </c>
      <c r="H77">
        <v>2</v>
      </c>
      <c r="I77" t="str">
        <f>_xlfn.XLOOKUP(Append15[[#This Row],[Week day]],Mappings!$B$3:$B$9,Mappings!$C$3:$C$9)</f>
        <v>Tuesday</v>
      </c>
      <c r="J77" t="str">
        <f t="shared" si="5"/>
        <v>Weekday</v>
      </c>
      <c r="K77">
        <v>1</v>
      </c>
      <c r="L77" t="str">
        <f>_xlfn.XLOOKUP(Append15[[#This Row],[WeatherSituation]],Mappings!$E$3:$E$6,Mappings!$F$3:$F$6)</f>
        <v>Clear Sky</v>
      </c>
      <c r="M77">
        <v>0.12</v>
      </c>
      <c r="N77">
        <v>0.1515</v>
      </c>
      <c r="O77">
        <v>0.74</v>
      </c>
      <c r="P77">
        <v>0.1343</v>
      </c>
      <c r="Q77">
        <v>2</v>
      </c>
      <c r="R77">
        <v>92</v>
      </c>
      <c r="S77">
        <v>94</v>
      </c>
    </row>
    <row r="78" spans="1:19" x14ac:dyDescent="0.3">
      <c r="A78">
        <v>77</v>
      </c>
      <c r="B78" s="4">
        <v>40547</v>
      </c>
      <c r="C78">
        <v>1</v>
      </c>
      <c r="D78">
        <v>8</v>
      </c>
      <c r="E78" t="str">
        <f t="shared" si="3"/>
        <v>8 AM</v>
      </c>
      <c r="F78" t="str">
        <f t="shared" si="4"/>
        <v>Morning</v>
      </c>
      <c r="G78" t="b">
        <v>0</v>
      </c>
      <c r="H78">
        <v>2</v>
      </c>
      <c r="I78" t="str">
        <f>_xlfn.XLOOKUP(Append15[[#This Row],[Week day]],Mappings!$B$3:$B$9,Mappings!$C$3:$C$9)</f>
        <v>Tuesday</v>
      </c>
      <c r="J78" t="str">
        <f t="shared" si="5"/>
        <v>Weekday</v>
      </c>
      <c r="K78">
        <v>1</v>
      </c>
      <c r="L78" t="str">
        <f>_xlfn.XLOOKUP(Append15[[#This Row],[WeatherSituation]],Mappings!$E$3:$E$6,Mappings!$F$3:$F$6)</f>
        <v>Clear Sky</v>
      </c>
      <c r="M78">
        <v>0.14000000000000001</v>
      </c>
      <c r="N78">
        <v>0.1515</v>
      </c>
      <c r="O78">
        <v>0.69</v>
      </c>
      <c r="P78">
        <v>0.16420000000000001</v>
      </c>
      <c r="Q78">
        <v>2</v>
      </c>
      <c r="R78">
        <v>177</v>
      </c>
      <c r="S78">
        <v>179</v>
      </c>
    </row>
    <row r="79" spans="1:19" x14ac:dyDescent="0.3">
      <c r="A79">
        <v>78</v>
      </c>
      <c r="B79" s="4">
        <v>40547</v>
      </c>
      <c r="C79">
        <v>1</v>
      </c>
      <c r="D79">
        <v>9</v>
      </c>
      <c r="E79" t="str">
        <f t="shared" si="3"/>
        <v>9 AM</v>
      </c>
      <c r="F79" t="str">
        <f t="shared" si="4"/>
        <v>Morning</v>
      </c>
      <c r="G79" t="b">
        <v>0</v>
      </c>
      <c r="H79">
        <v>2</v>
      </c>
      <c r="I79" t="str">
        <f>_xlfn.XLOOKUP(Append15[[#This Row],[Week day]],Mappings!$B$3:$B$9,Mappings!$C$3:$C$9)</f>
        <v>Tuesday</v>
      </c>
      <c r="J79" t="str">
        <f t="shared" si="5"/>
        <v>Weekday</v>
      </c>
      <c r="K79">
        <v>1</v>
      </c>
      <c r="L79" t="str">
        <f>_xlfn.XLOOKUP(Append15[[#This Row],[WeatherSituation]],Mappings!$E$3:$E$6,Mappings!$F$3:$F$6)</f>
        <v>Clear Sky</v>
      </c>
      <c r="M79">
        <v>0.16</v>
      </c>
      <c r="N79">
        <v>0.1515</v>
      </c>
      <c r="O79">
        <v>0.64</v>
      </c>
      <c r="P79">
        <v>0.22389999999999999</v>
      </c>
      <c r="Q79">
        <v>2</v>
      </c>
      <c r="R79">
        <v>98</v>
      </c>
      <c r="S79">
        <v>100</v>
      </c>
    </row>
    <row r="80" spans="1:19" x14ac:dyDescent="0.3">
      <c r="A80">
        <v>79</v>
      </c>
      <c r="B80" s="4">
        <v>40547</v>
      </c>
      <c r="C80">
        <v>1</v>
      </c>
      <c r="D80">
        <v>10</v>
      </c>
      <c r="E80" t="str">
        <f t="shared" si="3"/>
        <v>10 AM</v>
      </c>
      <c r="F80" t="str">
        <f t="shared" si="4"/>
        <v>Morning</v>
      </c>
      <c r="G80" t="b">
        <v>0</v>
      </c>
      <c r="H80">
        <v>2</v>
      </c>
      <c r="I80" t="str">
        <f>_xlfn.XLOOKUP(Append15[[#This Row],[Week day]],Mappings!$B$3:$B$9,Mappings!$C$3:$C$9)</f>
        <v>Tuesday</v>
      </c>
      <c r="J80" t="str">
        <f t="shared" si="5"/>
        <v>Weekday</v>
      </c>
      <c r="K80">
        <v>2</v>
      </c>
      <c r="L80" t="str">
        <f>_xlfn.XLOOKUP(Append15[[#This Row],[WeatherSituation]],Mappings!$E$3:$E$6,Mappings!$F$3:$F$6)</f>
        <v>Mist/Cloudy</v>
      </c>
      <c r="M80">
        <v>0.16</v>
      </c>
      <c r="N80">
        <v>0.13639999999999999</v>
      </c>
      <c r="O80">
        <v>0.69</v>
      </c>
      <c r="P80">
        <v>0.32840000000000003</v>
      </c>
      <c r="Q80">
        <v>5</v>
      </c>
      <c r="R80">
        <v>37</v>
      </c>
      <c r="S80">
        <v>42</v>
      </c>
    </row>
    <row r="81" spans="1:19" x14ac:dyDescent="0.3">
      <c r="A81">
        <v>80</v>
      </c>
      <c r="B81" s="4">
        <v>40547</v>
      </c>
      <c r="C81">
        <v>1</v>
      </c>
      <c r="D81">
        <v>11</v>
      </c>
      <c r="E81" t="str">
        <f t="shared" si="3"/>
        <v>11 AM</v>
      </c>
      <c r="F81" t="str">
        <f t="shared" si="4"/>
        <v>Morning</v>
      </c>
      <c r="G81" t="b">
        <v>0</v>
      </c>
      <c r="H81">
        <v>2</v>
      </c>
      <c r="I81" t="str">
        <f>_xlfn.XLOOKUP(Append15[[#This Row],[Week day]],Mappings!$B$3:$B$9,Mappings!$C$3:$C$9)</f>
        <v>Tuesday</v>
      </c>
      <c r="J81" t="str">
        <f t="shared" si="5"/>
        <v>Weekday</v>
      </c>
      <c r="K81">
        <v>1</v>
      </c>
      <c r="L81" t="str">
        <f>_xlfn.XLOOKUP(Append15[[#This Row],[WeatherSituation]],Mappings!$E$3:$E$6,Mappings!$F$3:$F$6)</f>
        <v>Clear Sky</v>
      </c>
      <c r="M81">
        <v>0.22</v>
      </c>
      <c r="N81">
        <v>0.21210000000000001</v>
      </c>
      <c r="O81">
        <v>0.51</v>
      </c>
      <c r="P81">
        <v>0.29849999999999999</v>
      </c>
      <c r="Q81">
        <v>7</v>
      </c>
      <c r="R81">
        <v>50</v>
      </c>
      <c r="S81">
        <v>57</v>
      </c>
    </row>
    <row r="82" spans="1:19" x14ac:dyDescent="0.3">
      <c r="A82">
        <v>81</v>
      </c>
      <c r="B82" s="4">
        <v>40547</v>
      </c>
      <c r="C82">
        <v>1</v>
      </c>
      <c r="D82">
        <v>12</v>
      </c>
      <c r="E82" t="str">
        <f t="shared" si="3"/>
        <v>12 PM</v>
      </c>
      <c r="F82" t="str">
        <f t="shared" si="4"/>
        <v>AfterNoon</v>
      </c>
      <c r="G82" t="b">
        <v>0</v>
      </c>
      <c r="H82">
        <v>2</v>
      </c>
      <c r="I82" t="str">
        <f>_xlfn.XLOOKUP(Append15[[#This Row],[Week day]],Mappings!$B$3:$B$9,Mappings!$C$3:$C$9)</f>
        <v>Tuesday</v>
      </c>
      <c r="J82" t="str">
        <f t="shared" si="5"/>
        <v>Weekday</v>
      </c>
      <c r="K82">
        <v>1</v>
      </c>
      <c r="L82" t="str">
        <f>_xlfn.XLOOKUP(Append15[[#This Row],[WeatherSituation]],Mappings!$E$3:$E$6,Mappings!$F$3:$F$6)</f>
        <v>Clear Sky</v>
      </c>
      <c r="M82">
        <v>0.22</v>
      </c>
      <c r="N82">
        <v>0.2273</v>
      </c>
      <c r="O82">
        <v>0.51</v>
      </c>
      <c r="P82">
        <v>0.16420000000000001</v>
      </c>
      <c r="Q82">
        <v>12</v>
      </c>
      <c r="R82">
        <v>66</v>
      </c>
      <c r="S82">
        <v>78</v>
      </c>
    </row>
    <row r="83" spans="1:19" x14ac:dyDescent="0.3">
      <c r="A83">
        <v>82</v>
      </c>
      <c r="B83" s="4">
        <v>40547</v>
      </c>
      <c r="C83">
        <v>1</v>
      </c>
      <c r="D83">
        <v>13</v>
      </c>
      <c r="E83" t="str">
        <f t="shared" si="3"/>
        <v>1 PM</v>
      </c>
      <c r="F83" t="str">
        <f t="shared" si="4"/>
        <v>AfterNoon</v>
      </c>
      <c r="G83" t="b">
        <v>0</v>
      </c>
      <c r="H83">
        <v>2</v>
      </c>
      <c r="I83" t="str">
        <f>_xlfn.XLOOKUP(Append15[[#This Row],[Week day]],Mappings!$B$3:$B$9,Mappings!$C$3:$C$9)</f>
        <v>Tuesday</v>
      </c>
      <c r="J83" t="str">
        <f t="shared" si="5"/>
        <v>Weekday</v>
      </c>
      <c r="K83">
        <v>1</v>
      </c>
      <c r="L83" t="str">
        <f>_xlfn.XLOOKUP(Append15[[#This Row],[WeatherSituation]],Mappings!$E$3:$E$6,Mappings!$F$3:$F$6)</f>
        <v>Clear Sky</v>
      </c>
      <c r="M83">
        <v>0.24</v>
      </c>
      <c r="N83">
        <v>0.2273</v>
      </c>
      <c r="O83">
        <v>0.56000000000000005</v>
      </c>
      <c r="P83">
        <v>0.19400000000000001</v>
      </c>
      <c r="Q83">
        <v>18</v>
      </c>
      <c r="R83">
        <v>79</v>
      </c>
      <c r="S83">
        <v>97</v>
      </c>
    </row>
    <row r="84" spans="1:19" x14ac:dyDescent="0.3">
      <c r="A84">
        <v>83</v>
      </c>
      <c r="B84" s="4">
        <v>40547</v>
      </c>
      <c r="C84">
        <v>1</v>
      </c>
      <c r="D84">
        <v>14</v>
      </c>
      <c r="E84" t="str">
        <f t="shared" si="3"/>
        <v>2 PM</v>
      </c>
      <c r="F84" t="str">
        <f t="shared" si="4"/>
        <v>AfterNoon</v>
      </c>
      <c r="G84" t="b">
        <v>0</v>
      </c>
      <c r="H84">
        <v>2</v>
      </c>
      <c r="I84" t="str">
        <f>_xlfn.XLOOKUP(Append15[[#This Row],[Week day]],Mappings!$B$3:$B$9,Mappings!$C$3:$C$9)</f>
        <v>Tuesday</v>
      </c>
      <c r="J84" t="str">
        <f t="shared" si="5"/>
        <v>Weekday</v>
      </c>
      <c r="K84">
        <v>1</v>
      </c>
      <c r="L84" t="str">
        <f>_xlfn.XLOOKUP(Append15[[#This Row],[WeatherSituation]],Mappings!$E$3:$E$6,Mappings!$F$3:$F$6)</f>
        <v>Clear Sky</v>
      </c>
      <c r="M84">
        <v>0.26</v>
      </c>
      <c r="N84">
        <v>0.2576</v>
      </c>
      <c r="O84">
        <v>0.52</v>
      </c>
      <c r="P84">
        <v>0.22389999999999999</v>
      </c>
      <c r="Q84">
        <v>9</v>
      </c>
      <c r="R84">
        <v>54</v>
      </c>
      <c r="S84">
        <v>63</v>
      </c>
    </row>
    <row r="85" spans="1:19" x14ac:dyDescent="0.3">
      <c r="A85">
        <v>84</v>
      </c>
      <c r="B85" s="4">
        <v>40547</v>
      </c>
      <c r="C85">
        <v>1</v>
      </c>
      <c r="D85">
        <v>15</v>
      </c>
      <c r="E85" t="str">
        <f t="shared" si="3"/>
        <v>3 PM</v>
      </c>
      <c r="F85" t="str">
        <f t="shared" si="4"/>
        <v>AfterNoon</v>
      </c>
      <c r="G85" t="b">
        <v>0</v>
      </c>
      <c r="H85">
        <v>2</v>
      </c>
      <c r="I85" t="str">
        <f>_xlfn.XLOOKUP(Append15[[#This Row],[Week day]],Mappings!$B$3:$B$9,Mappings!$C$3:$C$9)</f>
        <v>Tuesday</v>
      </c>
      <c r="J85" t="str">
        <f t="shared" si="5"/>
        <v>Weekday</v>
      </c>
      <c r="K85">
        <v>1</v>
      </c>
      <c r="L85" t="str">
        <f>_xlfn.XLOOKUP(Append15[[#This Row],[WeatherSituation]],Mappings!$E$3:$E$6,Mappings!$F$3:$F$6)</f>
        <v>Clear Sky</v>
      </c>
      <c r="M85">
        <v>0.28000000000000003</v>
      </c>
      <c r="N85">
        <v>0.2727</v>
      </c>
      <c r="O85">
        <v>0.52</v>
      </c>
      <c r="P85">
        <v>0.25369999999999998</v>
      </c>
      <c r="Q85">
        <v>17</v>
      </c>
      <c r="R85">
        <v>48</v>
      </c>
      <c r="S85">
        <v>65</v>
      </c>
    </row>
    <row r="86" spans="1:19" x14ac:dyDescent="0.3">
      <c r="A86">
        <v>85</v>
      </c>
      <c r="B86" s="4">
        <v>40547</v>
      </c>
      <c r="C86">
        <v>1</v>
      </c>
      <c r="D86">
        <v>16</v>
      </c>
      <c r="E86" t="str">
        <f t="shared" si="3"/>
        <v>4 PM</v>
      </c>
      <c r="F86" t="str">
        <f t="shared" si="4"/>
        <v>Evening</v>
      </c>
      <c r="G86" t="b">
        <v>0</v>
      </c>
      <c r="H86">
        <v>2</v>
      </c>
      <c r="I86" t="str">
        <f>_xlfn.XLOOKUP(Append15[[#This Row],[Week day]],Mappings!$B$3:$B$9,Mappings!$C$3:$C$9)</f>
        <v>Tuesday</v>
      </c>
      <c r="J86" t="str">
        <f t="shared" si="5"/>
        <v>Weekday</v>
      </c>
      <c r="K86">
        <v>1</v>
      </c>
      <c r="L86" t="str">
        <f>_xlfn.XLOOKUP(Append15[[#This Row],[WeatherSituation]],Mappings!$E$3:$E$6,Mappings!$F$3:$F$6)</f>
        <v>Clear Sky</v>
      </c>
      <c r="M86">
        <v>0.3</v>
      </c>
      <c r="N86">
        <v>0.28789999999999999</v>
      </c>
      <c r="O86">
        <v>0.49</v>
      </c>
      <c r="P86">
        <v>0.25369999999999998</v>
      </c>
      <c r="Q86">
        <v>15</v>
      </c>
      <c r="R86">
        <v>68</v>
      </c>
      <c r="S86">
        <v>83</v>
      </c>
    </row>
    <row r="87" spans="1:19" x14ac:dyDescent="0.3">
      <c r="A87">
        <v>86</v>
      </c>
      <c r="B87" s="4">
        <v>40547</v>
      </c>
      <c r="C87">
        <v>1</v>
      </c>
      <c r="D87">
        <v>17</v>
      </c>
      <c r="E87" t="str">
        <f t="shared" si="3"/>
        <v>5 PM</v>
      </c>
      <c r="F87" t="str">
        <f t="shared" si="4"/>
        <v>Evening</v>
      </c>
      <c r="G87" t="b">
        <v>0</v>
      </c>
      <c r="H87">
        <v>2</v>
      </c>
      <c r="I87" t="str">
        <f>_xlfn.XLOOKUP(Append15[[#This Row],[Week day]],Mappings!$B$3:$B$9,Mappings!$C$3:$C$9)</f>
        <v>Tuesday</v>
      </c>
      <c r="J87" t="str">
        <f t="shared" si="5"/>
        <v>Weekday</v>
      </c>
      <c r="K87">
        <v>1</v>
      </c>
      <c r="L87" t="str">
        <f>_xlfn.XLOOKUP(Append15[[#This Row],[WeatherSituation]],Mappings!$E$3:$E$6,Mappings!$F$3:$F$6)</f>
        <v>Clear Sky</v>
      </c>
      <c r="M87">
        <v>0.28000000000000003</v>
      </c>
      <c r="N87">
        <v>0.2727</v>
      </c>
      <c r="O87">
        <v>0.48</v>
      </c>
      <c r="P87">
        <v>0.22389999999999999</v>
      </c>
      <c r="Q87">
        <v>10</v>
      </c>
      <c r="R87">
        <v>202</v>
      </c>
      <c r="S87">
        <v>212</v>
      </c>
    </row>
    <row r="88" spans="1:19" x14ac:dyDescent="0.3">
      <c r="A88">
        <v>87</v>
      </c>
      <c r="B88" s="4">
        <v>40547</v>
      </c>
      <c r="C88">
        <v>1</v>
      </c>
      <c r="D88">
        <v>18</v>
      </c>
      <c r="E88" t="str">
        <f t="shared" si="3"/>
        <v>6 PM</v>
      </c>
      <c r="F88" t="str">
        <f t="shared" si="4"/>
        <v>Evening</v>
      </c>
      <c r="G88" t="b">
        <v>0</v>
      </c>
      <c r="H88">
        <v>2</v>
      </c>
      <c r="I88" t="str">
        <f>_xlfn.XLOOKUP(Append15[[#This Row],[Week day]],Mappings!$B$3:$B$9,Mappings!$C$3:$C$9)</f>
        <v>Tuesday</v>
      </c>
      <c r="J88" t="str">
        <f t="shared" si="5"/>
        <v>Weekday</v>
      </c>
      <c r="K88">
        <v>1</v>
      </c>
      <c r="L88" t="str">
        <f>_xlfn.XLOOKUP(Append15[[#This Row],[WeatherSituation]],Mappings!$E$3:$E$6,Mappings!$F$3:$F$6)</f>
        <v>Clear Sky</v>
      </c>
      <c r="M88">
        <v>0.26</v>
      </c>
      <c r="N88">
        <v>0.2576</v>
      </c>
      <c r="O88">
        <v>0.48</v>
      </c>
      <c r="P88">
        <v>0.19400000000000001</v>
      </c>
      <c r="Q88">
        <v>3</v>
      </c>
      <c r="R88">
        <v>179</v>
      </c>
      <c r="S88">
        <v>182</v>
      </c>
    </row>
    <row r="89" spans="1:19" x14ac:dyDescent="0.3">
      <c r="A89">
        <v>88</v>
      </c>
      <c r="B89" s="4">
        <v>40547</v>
      </c>
      <c r="C89">
        <v>1</v>
      </c>
      <c r="D89">
        <v>19</v>
      </c>
      <c r="E89" t="str">
        <f t="shared" si="3"/>
        <v>7 PM</v>
      </c>
      <c r="F89" t="str">
        <f t="shared" si="4"/>
        <v>Evening</v>
      </c>
      <c r="G89" t="b">
        <v>0</v>
      </c>
      <c r="H89">
        <v>2</v>
      </c>
      <c r="I89" t="str">
        <f>_xlfn.XLOOKUP(Append15[[#This Row],[Week day]],Mappings!$B$3:$B$9,Mappings!$C$3:$C$9)</f>
        <v>Tuesday</v>
      </c>
      <c r="J89" t="str">
        <f t="shared" si="5"/>
        <v>Weekday</v>
      </c>
      <c r="K89">
        <v>1</v>
      </c>
      <c r="L89" t="str">
        <f>_xlfn.XLOOKUP(Append15[[#This Row],[WeatherSituation]],Mappings!$E$3:$E$6,Mappings!$F$3:$F$6)</f>
        <v>Clear Sky</v>
      </c>
      <c r="M89">
        <v>0.24</v>
      </c>
      <c r="N89">
        <v>0.2576</v>
      </c>
      <c r="O89">
        <v>0.48</v>
      </c>
      <c r="P89">
        <v>0.1045</v>
      </c>
      <c r="Q89">
        <v>2</v>
      </c>
      <c r="R89">
        <v>110</v>
      </c>
      <c r="S89">
        <v>112</v>
      </c>
    </row>
    <row r="90" spans="1:19" x14ac:dyDescent="0.3">
      <c r="A90">
        <v>89</v>
      </c>
      <c r="B90" s="4">
        <v>40547</v>
      </c>
      <c r="C90">
        <v>1</v>
      </c>
      <c r="D90">
        <v>20</v>
      </c>
      <c r="E90" t="str">
        <f t="shared" si="3"/>
        <v>8 PM</v>
      </c>
      <c r="F90" t="str">
        <f t="shared" si="4"/>
        <v>Night</v>
      </c>
      <c r="G90" t="b">
        <v>0</v>
      </c>
      <c r="H90">
        <v>2</v>
      </c>
      <c r="I90" t="str">
        <f>_xlfn.XLOOKUP(Append15[[#This Row],[Week day]],Mappings!$B$3:$B$9,Mappings!$C$3:$C$9)</f>
        <v>Tuesday</v>
      </c>
      <c r="J90" t="str">
        <f t="shared" si="5"/>
        <v>Weekday</v>
      </c>
      <c r="K90">
        <v>1</v>
      </c>
      <c r="L90" t="str">
        <f>_xlfn.XLOOKUP(Append15[[#This Row],[WeatherSituation]],Mappings!$E$3:$E$6,Mappings!$F$3:$F$6)</f>
        <v>Clear Sky</v>
      </c>
      <c r="M90">
        <v>0.24</v>
      </c>
      <c r="N90">
        <v>0.2576</v>
      </c>
      <c r="O90">
        <v>0.48</v>
      </c>
      <c r="P90">
        <v>0.1045</v>
      </c>
      <c r="Q90">
        <v>1</v>
      </c>
      <c r="R90">
        <v>53</v>
      </c>
      <c r="S90">
        <v>54</v>
      </c>
    </row>
    <row r="91" spans="1:19" x14ac:dyDescent="0.3">
      <c r="A91">
        <v>90</v>
      </c>
      <c r="B91" s="4">
        <v>40547</v>
      </c>
      <c r="C91">
        <v>1</v>
      </c>
      <c r="D91">
        <v>21</v>
      </c>
      <c r="E91" t="str">
        <f t="shared" si="3"/>
        <v>9 PM</v>
      </c>
      <c r="F91" t="str">
        <f t="shared" si="4"/>
        <v>Night</v>
      </c>
      <c r="G91" t="b">
        <v>0</v>
      </c>
      <c r="H91">
        <v>2</v>
      </c>
      <c r="I91" t="str">
        <f>_xlfn.XLOOKUP(Append15[[#This Row],[Week day]],Mappings!$B$3:$B$9,Mappings!$C$3:$C$9)</f>
        <v>Tuesday</v>
      </c>
      <c r="J91" t="str">
        <f t="shared" si="5"/>
        <v>Weekday</v>
      </c>
      <c r="K91">
        <v>1</v>
      </c>
      <c r="L91" t="str">
        <f>_xlfn.XLOOKUP(Append15[[#This Row],[WeatherSituation]],Mappings!$E$3:$E$6,Mappings!$F$3:$F$6)</f>
        <v>Clear Sky</v>
      </c>
      <c r="M91">
        <v>0.22</v>
      </c>
      <c r="N91">
        <v>0.2727</v>
      </c>
      <c r="O91">
        <v>0.64</v>
      </c>
      <c r="P91">
        <v>0</v>
      </c>
      <c r="Q91">
        <v>0</v>
      </c>
      <c r="R91">
        <v>48</v>
      </c>
      <c r="S91">
        <v>48</v>
      </c>
    </row>
    <row r="92" spans="1:19" x14ac:dyDescent="0.3">
      <c r="A92">
        <v>91</v>
      </c>
      <c r="B92" s="4">
        <v>40547</v>
      </c>
      <c r="C92">
        <v>1</v>
      </c>
      <c r="D92">
        <v>22</v>
      </c>
      <c r="E92" t="str">
        <f t="shared" si="3"/>
        <v>10 PM</v>
      </c>
      <c r="F92" t="str">
        <f t="shared" si="4"/>
        <v>Night</v>
      </c>
      <c r="G92" t="b">
        <v>0</v>
      </c>
      <c r="H92">
        <v>2</v>
      </c>
      <c r="I92" t="str">
        <f>_xlfn.XLOOKUP(Append15[[#This Row],[Week day]],Mappings!$B$3:$B$9,Mappings!$C$3:$C$9)</f>
        <v>Tuesday</v>
      </c>
      <c r="J92" t="str">
        <f t="shared" si="5"/>
        <v>Weekday</v>
      </c>
      <c r="K92">
        <v>1</v>
      </c>
      <c r="L92" t="str">
        <f>_xlfn.XLOOKUP(Append15[[#This Row],[WeatherSituation]],Mappings!$E$3:$E$6,Mappings!$F$3:$F$6)</f>
        <v>Clear Sky</v>
      </c>
      <c r="M92">
        <v>0.22</v>
      </c>
      <c r="N92">
        <v>0.2576</v>
      </c>
      <c r="O92">
        <v>0.64</v>
      </c>
      <c r="P92">
        <v>8.9599999999999999E-2</v>
      </c>
      <c r="Q92">
        <v>1</v>
      </c>
      <c r="R92">
        <v>34</v>
      </c>
      <c r="S92">
        <v>35</v>
      </c>
    </row>
    <row r="93" spans="1:19" x14ac:dyDescent="0.3">
      <c r="A93">
        <v>92</v>
      </c>
      <c r="B93" s="4">
        <v>40547</v>
      </c>
      <c r="C93">
        <v>1</v>
      </c>
      <c r="D93">
        <v>23</v>
      </c>
      <c r="E93" t="str">
        <f t="shared" si="3"/>
        <v>11 PM</v>
      </c>
      <c r="F93" t="str">
        <f t="shared" si="4"/>
        <v>Night</v>
      </c>
      <c r="G93" t="b">
        <v>0</v>
      </c>
      <c r="H93">
        <v>2</v>
      </c>
      <c r="I93" t="str">
        <f>_xlfn.XLOOKUP(Append15[[#This Row],[Week day]],Mappings!$B$3:$B$9,Mappings!$C$3:$C$9)</f>
        <v>Tuesday</v>
      </c>
      <c r="J93" t="str">
        <f t="shared" si="5"/>
        <v>Weekday</v>
      </c>
      <c r="K93">
        <v>1</v>
      </c>
      <c r="L93" t="str">
        <f>_xlfn.XLOOKUP(Append15[[#This Row],[WeatherSituation]],Mappings!$E$3:$E$6,Mappings!$F$3:$F$6)</f>
        <v>Clear Sky</v>
      </c>
      <c r="M93">
        <v>0.2</v>
      </c>
      <c r="N93">
        <v>0.2273</v>
      </c>
      <c r="O93">
        <v>0.69</v>
      </c>
      <c r="P93">
        <v>8.9599999999999999E-2</v>
      </c>
      <c r="Q93">
        <v>2</v>
      </c>
      <c r="R93">
        <v>9</v>
      </c>
      <c r="S93">
        <v>11</v>
      </c>
    </row>
    <row r="94" spans="1:19" x14ac:dyDescent="0.3">
      <c r="A94">
        <v>93</v>
      </c>
      <c r="B94" s="4">
        <v>40548</v>
      </c>
      <c r="C94">
        <v>1</v>
      </c>
      <c r="D94">
        <v>0</v>
      </c>
      <c r="E94" t="str">
        <f t="shared" si="3"/>
        <v>12 AM</v>
      </c>
      <c r="F94" t="str">
        <f t="shared" si="4"/>
        <v>Night</v>
      </c>
      <c r="G94" t="b">
        <v>0</v>
      </c>
      <c r="H94">
        <v>3</v>
      </c>
      <c r="I94" t="str">
        <f>_xlfn.XLOOKUP(Append15[[#This Row],[Week day]],Mappings!$B$3:$B$9,Mappings!$C$3:$C$9)</f>
        <v>Wednesday</v>
      </c>
      <c r="J94" t="str">
        <f t="shared" si="5"/>
        <v>Weekday</v>
      </c>
      <c r="K94">
        <v>1</v>
      </c>
      <c r="L94" t="str">
        <f>_xlfn.XLOOKUP(Append15[[#This Row],[WeatherSituation]],Mappings!$E$3:$E$6,Mappings!$F$3:$F$6)</f>
        <v>Clear Sky</v>
      </c>
      <c r="M94">
        <v>0.2</v>
      </c>
      <c r="N94">
        <v>0.2576</v>
      </c>
      <c r="O94">
        <v>0.64</v>
      </c>
      <c r="P94">
        <v>0</v>
      </c>
      <c r="Q94">
        <v>0</v>
      </c>
      <c r="R94">
        <v>6</v>
      </c>
      <c r="S94">
        <v>6</v>
      </c>
    </row>
    <row r="95" spans="1:19" x14ac:dyDescent="0.3">
      <c r="A95">
        <v>94</v>
      </c>
      <c r="B95" s="4">
        <v>40548</v>
      </c>
      <c r="C95">
        <v>1</v>
      </c>
      <c r="D95">
        <v>1</v>
      </c>
      <c r="E95" t="str">
        <f t="shared" si="3"/>
        <v>1 AM</v>
      </c>
      <c r="F95" t="str">
        <f t="shared" si="4"/>
        <v>Night</v>
      </c>
      <c r="G95" t="b">
        <v>0</v>
      </c>
      <c r="H95">
        <v>3</v>
      </c>
      <c r="I95" t="str">
        <f>_xlfn.XLOOKUP(Append15[[#This Row],[Week day]],Mappings!$B$3:$B$9,Mappings!$C$3:$C$9)</f>
        <v>Wednesday</v>
      </c>
      <c r="J95" t="str">
        <f t="shared" si="5"/>
        <v>Weekday</v>
      </c>
      <c r="K95">
        <v>1</v>
      </c>
      <c r="L95" t="str">
        <f>_xlfn.XLOOKUP(Append15[[#This Row],[WeatherSituation]],Mappings!$E$3:$E$6,Mappings!$F$3:$F$6)</f>
        <v>Clear Sky</v>
      </c>
      <c r="M95">
        <v>0.16</v>
      </c>
      <c r="N95">
        <v>0.19700000000000001</v>
      </c>
      <c r="O95">
        <v>0.74</v>
      </c>
      <c r="P95">
        <v>8.9599999999999999E-2</v>
      </c>
      <c r="Q95">
        <v>0</v>
      </c>
      <c r="R95">
        <v>6</v>
      </c>
      <c r="S95">
        <v>6</v>
      </c>
    </row>
    <row r="96" spans="1:19" x14ac:dyDescent="0.3">
      <c r="A96">
        <v>95</v>
      </c>
      <c r="B96" s="4">
        <v>40548</v>
      </c>
      <c r="C96">
        <v>1</v>
      </c>
      <c r="D96">
        <v>2</v>
      </c>
      <c r="E96" t="str">
        <f t="shared" si="3"/>
        <v>2 AM</v>
      </c>
      <c r="F96" t="str">
        <f t="shared" si="4"/>
        <v>Night</v>
      </c>
      <c r="G96" t="b">
        <v>0</v>
      </c>
      <c r="H96">
        <v>3</v>
      </c>
      <c r="I96" t="str">
        <f>_xlfn.XLOOKUP(Append15[[#This Row],[Week day]],Mappings!$B$3:$B$9,Mappings!$C$3:$C$9)</f>
        <v>Wednesday</v>
      </c>
      <c r="J96" t="str">
        <f t="shared" si="5"/>
        <v>Weekday</v>
      </c>
      <c r="K96">
        <v>1</v>
      </c>
      <c r="L96" t="str">
        <f>_xlfn.XLOOKUP(Append15[[#This Row],[WeatherSituation]],Mappings!$E$3:$E$6,Mappings!$F$3:$F$6)</f>
        <v>Clear Sky</v>
      </c>
      <c r="M96">
        <v>0.16</v>
      </c>
      <c r="N96">
        <v>0.19700000000000001</v>
      </c>
      <c r="O96">
        <v>0.74</v>
      </c>
      <c r="P96">
        <v>8.9599999999999999E-2</v>
      </c>
      <c r="Q96">
        <v>0</v>
      </c>
      <c r="R96">
        <v>2</v>
      </c>
      <c r="S96">
        <v>2</v>
      </c>
    </row>
    <row r="97" spans="1:19" x14ac:dyDescent="0.3">
      <c r="A97">
        <v>96</v>
      </c>
      <c r="B97" s="4">
        <v>40548</v>
      </c>
      <c r="C97">
        <v>1</v>
      </c>
      <c r="D97">
        <v>4</v>
      </c>
      <c r="E97" t="str">
        <f t="shared" si="3"/>
        <v>4 AM</v>
      </c>
      <c r="F97" t="str">
        <f t="shared" si="4"/>
        <v>Night</v>
      </c>
      <c r="G97" t="b">
        <v>0</v>
      </c>
      <c r="H97">
        <v>3</v>
      </c>
      <c r="I97" t="str">
        <f>_xlfn.XLOOKUP(Append15[[#This Row],[Week day]],Mappings!$B$3:$B$9,Mappings!$C$3:$C$9)</f>
        <v>Wednesday</v>
      </c>
      <c r="J97" t="str">
        <f t="shared" si="5"/>
        <v>Weekday</v>
      </c>
      <c r="K97">
        <v>1</v>
      </c>
      <c r="L97" t="str">
        <f>_xlfn.XLOOKUP(Append15[[#This Row],[WeatherSituation]],Mappings!$E$3:$E$6,Mappings!$F$3:$F$6)</f>
        <v>Clear Sky</v>
      </c>
      <c r="M97">
        <v>0.24</v>
      </c>
      <c r="N97">
        <v>0.2273</v>
      </c>
      <c r="O97">
        <v>0.48</v>
      </c>
      <c r="P97">
        <v>0.22389999999999999</v>
      </c>
      <c r="Q97">
        <v>0</v>
      </c>
      <c r="R97">
        <v>2</v>
      </c>
      <c r="S97">
        <v>2</v>
      </c>
    </row>
    <row r="98" spans="1:19" x14ac:dyDescent="0.3">
      <c r="A98">
        <v>97</v>
      </c>
      <c r="B98" s="4">
        <v>40548</v>
      </c>
      <c r="C98">
        <v>1</v>
      </c>
      <c r="D98">
        <v>5</v>
      </c>
      <c r="E98" t="str">
        <f t="shared" si="3"/>
        <v>5 AM</v>
      </c>
      <c r="F98" t="str">
        <f t="shared" si="4"/>
        <v>Morning</v>
      </c>
      <c r="G98" t="b">
        <v>0</v>
      </c>
      <c r="H98">
        <v>3</v>
      </c>
      <c r="I98" t="str">
        <f>_xlfn.XLOOKUP(Append15[[#This Row],[Week day]],Mappings!$B$3:$B$9,Mappings!$C$3:$C$9)</f>
        <v>Wednesday</v>
      </c>
      <c r="J98" t="str">
        <f t="shared" si="5"/>
        <v>Weekday</v>
      </c>
      <c r="K98">
        <v>1</v>
      </c>
      <c r="L98" t="str">
        <f>_xlfn.XLOOKUP(Append15[[#This Row],[WeatherSituation]],Mappings!$E$3:$E$6,Mappings!$F$3:$F$6)</f>
        <v>Clear Sky</v>
      </c>
      <c r="M98">
        <v>0.22</v>
      </c>
      <c r="N98">
        <v>0.2273</v>
      </c>
      <c r="O98">
        <v>0.47</v>
      </c>
      <c r="P98">
        <v>0.16420000000000001</v>
      </c>
      <c r="Q98">
        <v>0</v>
      </c>
      <c r="R98">
        <v>3</v>
      </c>
      <c r="S98">
        <v>3</v>
      </c>
    </row>
    <row r="99" spans="1:19" x14ac:dyDescent="0.3">
      <c r="A99">
        <v>98</v>
      </c>
      <c r="B99" s="4">
        <v>40548</v>
      </c>
      <c r="C99">
        <v>1</v>
      </c>
      <c r="D99">
        <v>6</v>
      </c>
      <c r="E99" t="str">
        <f t="shared" si="3"/>
        <v>6 AM</v>
      </c>
      <c r="F99" t="str">
        <f t="shared" si="4"/>
        <v>Morning</v>
      </c>
      <c r="G99" t="b">
        <v>0</v>
      </c>
      <c r="H99">
        <v>3</v>
      </c>
      <c r="I99" t="str">
        <f>_xlfn.XLOOKUP(Append15[[#This Row],[Week day]],Mappings!$B$3:$B$9,Mappings!$C$3:$C$9)</f>
        <v>Wednesday</v>
      </c>
      <c r="J99" t="str">
        <f t="shared" si="5"/>
        <v>Weekday</v>
      </c>
      <c r="K99">
        <v>1</v>
      </c>
      <c r="L99" t="str">
        <f>_xlfn.XLOOKUP(Append15[[#This Row],[WeatherSituation]],Mappings!$E$3:$E$6,Mappings!$F$3:$F$6)</f>
        <v>Clear Sky</v>
      </c>
      <c r="M99">
        <v>0.2</v>
      </c>
      <c r="N99">
        <v>0.19700000000000001</v>
      </c>
      <c r="O99">
        <v>0.47</v>
      </c>
      <c r="P99">
        <v>0.22389999999999999</v>
      </c>
      <c r="Q99">
        <v>0</v>
      </c>
      <c r="R99">
        <v>33</v>
      </c>
      <c r="S99">
        <v>33</v>
      </c>
    </row>
    <row r="100" spans="1:19" x14ac:dyDescent="0.3">
      <c r="A100">
        <v>99</v>
      </c>
      <c r="B100" s="4">
        <v>40548</v>
      </c>
      <c r="C100">
        <v>1</v>
      </c>
      <c r="D100">
        <v>7</v>
      </c>
      <c r="E100" t="str">
        <f t="shared" si="3"/>
        <v>7 AM</v>
      </c>
      <c r="F100" t="str">
        <f t="shared" si="4"/>
        <v>Morning</v>
      </c>
      <c r="G100" t="b">
        <v>0</v>
      </c>
      <c r="H100">
        <v>3</v>
      </c>
      <c r="I100" t="str">
        <f>_xlfn.XLOOKUP(Append15[[#This Row],[Week day]],Mappings!$B$3:$B$9,Mappings!$C$3:$C$9)</f>
        <v>Wednesday</v>
      </c>
      <c r="J100" t="str">
        <f t="shared" si="5"/>
        <v>Weekday</v>
      </c>
      <c r="K100">
        <v>1</v>
      </c>
      <c r="L100" t="str">
        <f>_xlfn.XLOOKUP(Append15[[#This Row],[WeatherSituation]],Mappings!$E$3:$E$6,Mappings!$F$3:$F$6)</f>
        <v>Clear Sky</v>
      </c>
      <c r="M100">
        <v>0.18</v>
      </c>
      <c r="N100">
        <v>0.18179999999999999</v>
      </c>
      <c r="O100">
        <v>0.43</v>
      </c>
      <c r="P100">
        <v>0.19400000000000001</v>
      </c>
      <c r="Q100">
        <v>1</v>
      </c>
      <c r="R100">
        <v>87</v>
      </c>
      <c r="S100">
        <v>88</v>
      </c>
    </row>
    <row r="101" spans="1:19" x14ac:dyDescent="0.3">
      <c r="A101">
        <v>100</v>
      </c>
      <c r="B101" s="4">
        <v>40548</v>
      </c>
      <c r="C101">
        <v>1</v>
      </c>
      <c r="D101">
        <v>8</v>
      </c>
      <c r="E101" t="str">
        <f t="shared" si="3"/>
        <v>8 AM</v>
      </c>
      <c r="F101" t="str">
        <f t="shared" si="4"/>
        <v>Morning</v>
      </c>
      <c r="G101" t="b">
        <v>0</v>
      </c>
      <c r="H101">
        <v>3</v>
      </c>
      <c r="I101" t="str">
        <f>_xlfn.XLOOKUP(Append15[[#This Row],[Week day]],Mappings!$B$3:$B$9,Mappings!$C$3:$C$9)</f>
        <v>Wednesday</v>
      </c>
      <c r="J101" t="str">
        <f t="shared" si="5"/>
        <v>Weekday</v>
      </c>
      <c r="K101">
        <v>1</v>
      </c>
      <c r="L101" t="str">
        <f>_xlfn.XLOOKUP(Append15[[#This Row],[WeatherSituation]],Mappings!$E$3:$E$6,Mappings!$F$3:$F$6)</f>
        <v>Clear Sky</v>
      </c>
      <c r="M101">
        <v>0.2</v>
      </c>
      <c r="N101">
        <v>0.18179999999999999</v>
      </c>
      <c r="O101">
        <v>0.4</v>
      </c>
      <c r="P101">
        <v>0.29849999999999999</v>
      </c>
      <c r="Q101">
        <v>3</v>
      </c>
      <c r="R101">
        <v>192</v>
      </c>
      <c r="S101">
        <v>195</v>
      </c>
    </row>
    <row r="102" spans="1:19" x14ac:dyDescent="0.3">
      <c r="A102">
        <v>101</v>
      </c>
      <c r="B102" s="4">
        <v>40548</v>
      </c>
      <c r="C102">
        <v>1</v>
      </c>
      <c r="D102">
        <v>9</v>
      </c>
      <c r="E102" t="str">
        <f t="shared" si="3"/>
        <v>9 AM</v>
      </c>
      <c r="F102" t="str">
        <f t="shared" si="4"/>
        <v>Morning</v>
      </c>
      <c r="G102" t="b">
        <v>0</v>
      </c>
      <c r="H102">
        <v>3</v>
      </c>
      <c r="I102" t="str">
        <f>_xlfn.XLOOKUP(Append15[[#This Row],[Week day]],Mappings!$B$3:$B$9,Mappings!$C$3:$C$9)</f>
        <v>Wednesday</v>
      </c>
      <c r="J102" t="str">
        <f t="shared" si="5"/>
        <v>Weekday</v>
      </c>
      <c r="K102">
        <v>1</v>
      </c>
      <c r="L102" t="str">
        <f>_xlfn.XLOOKUP(Append15[[#This Row],[WeatherSituation]],Mappings!$E$3:$E$6,Mappings!$F$3:$F$6)</f>
        <v>Clear Sky</v>
      </c>
      <c r="M102">
        <v>0.22</v>
      </c>
      <c r="N102">
        <v>0.19700000000000001</v>
      </c>
      <c r="O102">
        <v>0.37</v>
      </c>
      <c r="P102">
        <v>0.32840000000000003</v>
      </c>
      <c r="Q102">
        <v>6</v>
      </c>
      <c r="R102">
        <v>109</v>
      </c>
      <c r="S102">
        <v>115</v>
      </c>
    </row>
    <row r="103" spans="1:19" x14ac:dyDescent="0.3">
      <c r="A103">
        <v>102</v>
      </c>
      <c r="B103" s="4">
        <v>40548</v>
      </c>
      <c r="C103">
        <v>1</v>
      </c>
      <c r="D103">
        <v>10</v>
      </c>
      <c r="E103" t="str">
        <f t="shared" si="3"/>
        <v>10 AM</v>
      </c>
      <c r="F103" t="str">
        <f t="shared" si="4"/>
        <v>Morning</v>
      </c>
      <c r="G103" t="b">
        <v>0</v>
      </c>
      <c r="H103">
        <v>3</v>
      </c>
      <c r="I103" t="str">
        <f>_xlfn.XLOOKUP(Append15[[#This Row],[Week day]],Mappings!$B$3:$B$9,Mappings!$C$3:$C$9)</f>
        <v>Wednesday</v>
      </c>
      <c r="J103" t="str">
        <f t="shared" si="5"/>
        <v>Weekday</v>
      </c>
      <c r="K103">
        <v>1</v>
      </c>
      <c r="L103" t="str">
        <f>_xlfn.XLOOKUP(Append15[[#This Row],[WeatherSituation]],Mappings!$E$3:$E$6,Mappings!$F$3:$F$6)</f>
        <v>Clear Sky</v>
      </c>
      <c r="M103">
        <v>0.22</v>
      </c>
      <c r="N103">
        <v>0.19700000000000001</v>
      </c>
      <c r="O103">
        <v>0.37</v>
      </c>
      <c r="P103">
        <v>0.32840000000000003</v>
      </c>
      <c r="Q103">
        <v>4</v>
      </c>
      <c r="R103">
        <v>53</v>
      </c>
      <c r="S103">
        <v>57</v>
      </c>
    </row>
    <row r="104" spans="1:19" x14ac:dyDescent="0.3">
      <c r="A104">
        <v>103</v>
      </c>
      <c r="B104" s="4">
        <v>40548</v>
      </c>
      <c r="C104">
        <v>1</v>
      </c>
      <c r="D104">
        <v>11</v>
      </c>
      <c r="E104" t="str">
        <f t="shared" si="3"/>
        <v>11 AM</v>
      </c>
      <c r="F104" t="str">
        <f t="shared" si="4"/>
        <v>Morning</v>
      </c>
      <c r="G104" t="b">
        <v>0</v>
      </c>
      <c r="H104">
        <v>3</v>
      </c>
      <c r="I104" t="str">
        <f>_xlfn.XLOOKUP(Append15[[#This Row],[Week day]],Mappings!$B$3:$B$9,Mappings!$C$3:$C$9)</f>
        <v>Wednesday</v>
      </c>
      <c r="J104" t="str">
        <f t="shared" si="5"/>
        <v>Weekday</v>
      </c>
      <c r="K104">
        <v>1</v>
      </c>
      <c r="L104" t="str">
        <f>_xlfn.XLOOKUP(Append15[[#This Row],[WeatherSituation]],Mappings!$E$3:$E$6,Mappings!$F$3:$F$6)</f>
        <v>Clear Sky</v>
      </c>
      <c r="M104">
        <v>0.26</v>
      </c>
      <c r="N104">
        <v>0.2273</v>
      </c>
      <c r="O104">
        <v>0.33</v>
      </c>
      <c r="P104">
        <v>0.32840000000000003</v>
      </c>
      <c r="Q104">
        <v>12</v>
      </c>
      <c r="R104">
        <v>34</v>
      </c>
      <c r="S104">
        <v>46</v>
      </c>
    </row>
    <row r="105" spans="1:19" x14ac:dyDescent="0.3">
      <c r="A105">
        <v>104</v>
      </c>
      <c r="B105" s="4">
        <v>40548</v>
      </c>
      <c r="C105">
        <v>1</v>
      </c>
      <c r="D105">
        <v>12</v>
      </c>
      <c r="E105" t="str">
        <f t="shared" si="3"/>
        <v>12 PM</v>
      </c>
      <c r="F105" t="str">
        <f t="shared" si="4"/>
        <v>AfterNoon</v>
      </c>
      <c r="G105" t="b">
        <v>0</v>
      </c>
      <c r="H105">
        <v>3</v>
      </c>
      <c r="I105" t="str">
        <f>_xlfn.XLOOKUP(Append15[[#This Row],[Week day]],Mappings!$B$3:$B$9,Mappings!$C$3:$C$9)</f>
        <v>Wednesday</v>
      </c>
      <c r="J105" t="str">
        <f t="shared" si="5"/>
        <v>Weekday</v>
      </c>
      <c r="K105">
        <v>1</v>
      </c>
      <c r="L105" t="str">
        <f>_xlfn.XLOOKUP(Append15[[#This Row],[WeatherSituation]],Mappings!$E$3:$E$6,Mappings!$F$3:$F$6)</f>
        <v>Clear Sky</v>
      </c>
      <c r="M105">
        <v>0.26</v>
      </c>
      <c r="N105">
        <v>0.2273</v>
      </c>
      <c r="O105">
        <v>0.33</v>
      </c>
      <c r="P105">
        <v>0.32840000000000003</v>
      </c>
      <c r="Q105">
        <v>5</v>
      </c>
      <c r="R105">
        <v>74</v>
      </c>
      <c r="S105">
        <v>79</v>
      </c>
    </row>
    <row r="106" spans="1:19" x14ac:dyDescent="0.3">
      <c r="A106">
        <v>105</v>
      </c>
      <c r="B106" s="4">
        <v>40548</v>
      </c>
      <c r="C106">
        <v>1</v>
      </c>
      <c r="D106">
        <v>13</v>
      </c>
      <c r="E106" t="str">
        <f t="shared" si="3"/>
        <v>1 PM</v>
      </c>
      <c r="F106" t="str">
        <f t="shared" si="4"/>
        <v>AfterNoon</v>
      </c>
      <c r="G106" t="b">
        <v>0</v>
      </c>
      <c r="H106">
        <v>3</v>
      </c>
      <c r="I106" t="str">
        <f>_xlfn.XLOOKUP(Append15[[#This Row],[Week day]],Mappings!$B$3:$B$9,Mappings!$C$3:$C$9)</f>
        <v>Wednesday</v>
      </c>
      <c r="J106" t="str">
        <f t="shared" si="5"/>
        <v>Weekday</v>
      </c>
      <c r="K106">
        <v>1</v>
      </c>
      <c r="L106" t="str">
        <f>_xlfn.XLOOKUP(Append15[[#This Row],[WeatherSituation]],Mappings!$E$3:$E$6,Mappings!$F$3:$F$6)</f>
        <v>Clear Sky</v>
      </c>
      <c r="M106">
        <v>0.28000000000000003</v>
      </c>
      <c r="N106">
        <v>0.2576</v>
      </c>
      <c r="O106">
        <v>0.3</v>
      </c>
      <c r="P106">
        <v>0.29849999999999999</v>
      </c>
      <c r="Q106">
        <v>6</v>
      </c>
      <c r="R106">
        <v>65</v>
      </c>
      <c r="S106">
        <v>71</v>
      </c>
    </row>
    <row r="107" spans="1:19" x14ac:dyDescent="0.3">
      <c r="A107">
        <v>106</v>
      </c>
      <c r="B107" s="4">
        <v>40548</v>
      </c>
      <c r="C107">
        <v>1</v>
      </c>
      <c r="D107">
        <v>14</v>
      </c>
      <c r="E107" t="str">
        <f t="shared" si="3"/>
        <v>2 PM</v>
      </c>
      <c r="F107" t="str">
        <f t="shared" si="4"/>
        <v>AfterNoon</v>
      </c>
      <c r="G107" t="b">
        <v>0</v>
      </c>
      <c r="H107">
        <v>3</v>
      </c>
      <c r="I107" t="str">
        <f>_xlfn.XLOOKUP(Append15[[#This Row],[Week day]],Mappings!$B$3:$B$9,Mappings!$C$3:$C$9)</f>
        <v>Wednesday</v>
      </c>
      <c r="J107" t="str">
        <f t="shared" si="5"/>
        <v>Weekday</v>
      </c>
      <c r="K107">
        <v>1</v>
      </c>
      <c r="L107" t="str">
        <f>_xlfn.XLOOKUP(Append15[[#This Row],[WeatherSituation]],Mappings!$E$3:$E$6,Mappings!$F$3:$F$6)</f>
        <v>Clear Sky</v>
      </c>
      <c r="M107">
        <v>0.3</v>
      </c>
      <c r="N107">
        <v>0.28789999999999999</v>
      </c>
      <c r="O107">
        <v>0.28000000000000003</v>
      </c>
      <c r="P107">
        <v>0.19400000000000001</v>
      </c>
      <c r="Q107">
        <v>10</v>
      </c>
      <c r="R107">
        <v>52</v>
      </c>
      <c r="S107">
        <v>62</v>
      </c>
    </row>
    <row r="108" spans="1:19" x14ac:dyDescent="0.3">
      <c r="A108">
        <v>107</v>
      </c>
      <c r="B108" s="4">
        <v>40548</v>
      </c>
      <c r="C108">
        <v>1</v>
      </c>
      <c r="D108">
        <v>15</v>
      </c>
      <c r="E108" t="str">
        <f t="shared" si="3"/>
        <v>3 PM</v>
      </c>
      <c r="F108" t="str">
        <f t="shared" si="4"/>
        <v>AfterNoon</v>
      </c>
      <c r="G108" t="b">
        <v>0</v>
      </c>
      <c r="H108">
        <v>3</v>
      </c>
      <c r="I108" t="str">
        <f>_xlfn.XLOOKUP(Append15[[#This Row],[Week day]],Mappings!$B$3:$B$9,Mappings!$C$3:$C$9)</f>
        <v>Wednesday</v>
      </c>
      <c r="J108" t="str">
        <f t="shared" si="5"/>
        <v>Weekday</v>
      </c>
      <c r="K108">
        <v>1</v>
      </c>
      <c r="L108" t="str">
        <f>_xlfn.XLOOKUP(Append15[[#This Row],[WeatherSituation]],Mappings!$E$3:$E$6,Mappings!$F$3:$F$6)</f>
        <v>Clear Sky</v>
      </c>
      <c r="M108">
        <v>0.3</v>
      </c>
      <c r="N108">
        <v>0.28789999999999999</v>
      </c>
      <c r="O108">
        <v>0.28000000000000003</v>
      </c>
      <c r="P108">
        <v>0.19400000000000001</v>
      </c>
      <c r="Q108">
        <v>7</v>
      </c>
      <c r="R108">
        <v>55</v>
      </c>
      <c r="S108">
        <v>62</v>
      </c>
    </row>
    <row r="109" spans="1:19" x14ac:dyDescent="0.3">
      <c r="A109">
        <v>108</v>
      </c>
      <c r="B109" s="4">
        <v>40548</v>
      </c>
      <c r="C109">
        <v>1</v>
      </c>
      <c r="D109">
        <v>16</v>
      </c>
      <c r="E109" t="str">
        <f t="shared" si="3"/>
        <v>4 PM</v>
      </c>
      <c r="F109" t="str">
        <f t="shared" si="4"/>
        <v>Evening</v>
      </c>
      <c r="G109" t="b">
        <v>0</v>
      </c>
      <c r="H109">
        <v>3</v>
      </c>
      <c r="I109" t="str">
        <f>_xlfn.XLOOKUP(Append15[[#This Row],[Week day]],Mappings!$B$3:$B$9,Mappings!$C$3:$C$9)</f>
        <v>Wednesday</v>
      </c>
      <c r="J109" t="str">
        <f t="shared" si="5"/>
        <v>Weekday</v>
      </c>
      <c r="K109">
        <v>1</v>
      </c>
      <c r="L109" t="str">
        <f>_xlfn.XLOOKUP(Append15[[#This Row],[WeatherSituation]],Mappings!$E$3:$E$6,Mappings!$F$3:$F$6)</f>
        <v>Clear Sky</v>
      </c>
      <c r="M109">
        <v>0.3</v>
      </c>
      <c r="N109">
        <v>0.31819999999999998</v>
      </c>
      <c r="O109">
        <v>0.28000000000000003</v>
      </c>
      <c r="P109">
        <v>8.9599999999999999E-2</v>
      </c>
      <c r="Q109">
        <v>4</v>
      </c>
      <c r="R109">
        <v>85</v>
      </c>
      <c r="S109">
        <v>89</v>
      </c>
    </row>
    <row r="110" spans="1:19" x14ac:dyDescent="0.3">
      <c r="A110">
        <v>109</v>
      </c>
      <c r="B110" s="4">
        <v>40548</v>
      </c>
      <c r="C110">
        <v>1</v>
      </c>
      <c r="D110">
        <v>17</v>
      </c>
      <c r="E110" t="str">
        <f t="shared" si="3"/>
        <v>5 PM</v>
      </c>
      <c r="F110" t="str">
        <f t="shared" si="4"/>
        <v>Evening</v>
      </c>
      <c r="G110" t="b">
        <v>0</v>
      </c>
      <c r="H110">
        <v>3</v>
      </c>
      <c r="I110" t="str">
        <f>_xlfn.XLOOKUP(Append15[[#This Row],[Week day]],Mappings!$B$3:$B$9,Mappings!$C$3:$C$9)</f>
        <v>Wednesday</v>
      </c>
      <c r="J110" t="str">
        <f t="shared" si="5"/>
        <v>Weekday</v>
      </c>
      <c r="K110">
        <v>1</v>
      </c>
      <c r="L110" t="str">
        <f>_xlfn.XLOOKUP(Append15[[#This Row],[WeatherSituation]],Mappings!$E$3:$E$6,Mappings!$F$3:$F$6)</f>
        <v>Clear Sky</v>
      </c>
      <c r="M110">
        <v>0.24</v>
      </c>
      <c r="N110">
        <v>0.2273</v>
      </c>
      <c r="O110">
        <v>0.38</v>
      </c>
      <c r="P110">
        <v>0.19400000000000001</v>
      </c>
      <c r="Q110">
        <v>4</v>
      </c>
      <c r="R110">
        <v>186</v>
      </c>
      <c r="S110">
        <v>190</v>
      </c>
    </row>
    <row r="111" spans="1:19" x14ac:dyDescent="0.3">
      <c r="A111">
        <v>110</v>
      </c>
      <c r="B111" s="4">
        <v>40548</v>
      </c>
      <c r="C111">
        <v>1</v>
      </c>
      <c r="D111">
        <v>18</v>
      </c>
      <c r="E111" t="str">
        <f t="shared" si="3"/>
        <v>6 PM</v>
      </c>
      <c r="F111" t="str">
        <f t="shared" si="4"/>
        <v>Evening</v>
      </c>
      <c r="G111" t="b">
        <v>0</v>
      </c>
      <c r="H111">
        <v>3</v>
      </c>
      <c r="I111" t="str">
        <f>_xlfn.XLOOKUP(Append15[[#This Row],[Week day]],Mappings!$B$3:$B$9,Mappings!$C$3:$C$9)</f>
        <v>Wednesday</v>
      </c>
      <c r="J111" t="str">
        <f t="shared" si="5"/>
        <v>Weekday</v>
      </c>
      <c r="K111">
        <v>1</v>
      </c>
      <c r="L111" t="str">
        <f>_xlfn.XLOOKUP(Append15[[#This Row],[WeatherSituation]],Mappings!$E$3:$E$6,Mappings!$F$3:$F$6)</f>
        <v>Clear Sky</v>
      </c>
      <c r="M111">
        <v>0.24</v>
      </c>
      <c r="N111">
        <v>0.2424</v>
      </c>
      <c r="O111">
        <v>0.38</v>
      </c>
      <c r="P111">
        <v>0.1343</v>
      </c>
      <c r="Q111">
        <v>3</v>
      </c>
      <c r="R111">
        <v>166</v>
      </c>
      <c r="S111">
        <v>169</v>
      </c>
    </row>
    <row r="112" spans="1:19" x14ac:dyDescent="0.3">
      <c r="A112">
        <v>111</v>
      </c>
      <c r="B112" s="4">
        <v>40548</v>
      </c>
      <c r="C112">
        <v>1</v>
      </c>
      <c r="D112">
        <v>19</v>
      </c>
      <c r="E112" t="str">
        <f t="shared" si="3"/>
        <v>7 PM</v>
      </c>
      <c r="F112" t="str">
        <f t="shared" si="4"/>
        <v>Evening</v>
      </c>
      <c r="G112" t="b">
        <v>0</v>
      </c>
      <c r="H112">
        <v>3</v>
      </c>
      <c r="I112" t="str">
        <f>_xlfn.XLOOKUP(Append15[[#This Row],[Week day]],Mappings!$B$3:$B$9,Mappings!$C$3:$C$9)</f>
        <v>Wednesday</v>
      </c>
      <c r="J112" t="str">
        <f t="shared" si="5"/>
        <v>Weekday</v>
      </c>
      <c r="K112">
        <v>1</v>
      </c>
      <c r="L112" t="str">
        <f>_xlfn.XLOOKUP(Append15[[#This Row],[WeatherSituation]],Mappings!$E$3:$E$6,Mappings!$F$3:$F$6)</f>
        <v>Clear Sky</v>
      </c>
      <c r="M112">
        <v>0.24</v>
      </c>
      <c r="N112">
        <v>0.2576</v>
      </c>
      <c r="O112">
        <v>0.38</v>
      </c>
      <c r="P112">
        <v>0.1045</v>
      </c>
      <c r="Q112">
        <v>5</v>
      </c>
      <c r="R112">
        <v>127</v>
      </c>
      <c r="S112">
        <v>132</v>
      </c>
    </row>
    <row r="113" spans="1:19" x14ac:dyDescent="0.3">
      <c r="A113">
        <v>112</v>
      </c>
      <c r="B113" s="4">
        <v>40548</v>
      </c>
      <c r="C113">
        <v>1</v>
      </c>
      <c r="D113">
        <v>20</v>
      </c>
      <c r="E113" t="str">
        <f t="shared" si="3"/>
        <v>8 PM</v>
      </c>
      <c r="F113" t="str">
        <f t="shared" si="4"/>
        <v>Night</v>
      </c>
      <c r="G113" t="b">
        <v>0</v>
      </c>
      <c r="H113">
        <v>3</v>
      </c>
      <c r="I113" t="str">
        <f>_xlfn.XLOOKUP(Append15[[#This Row],[Week day]],Mappings!$B$3:$B$9,Mappings!$C$3:$C$9)</f>
        <v>Wednesday</v>
      </c>
      <c r="J113" t="str">
        <f t="shared" si="5"/>
        <v>Weekday</v>
      </c>
      <c r="K113">
        <v>1</v>
      </c>
      <c r="L113" t="str">
        <f>_xlfn.XLOOKUP(Append15[[#This Row],[WeatherSituation]],Mappings!$E$3:$E$6,Mappings!$F$3:$F$6)</f>
        <v>Clear Sky</v>
      </c>
      <c r="M113">
        <v>0.22</v>
      </c>
      <c r="N113">
        <v>0.2273</v>
      </c>
      <c r="O113">
        <v>0.47</v>
      </c>
      <c r="P113">
        <v>0.16420000000000001</v>
      </c>
      <c r="Q113">
        <v>7</v>
      </c>
      <c r="R113">
        <v>82</v>
      </c>
      <c r="S113">
        <v>89</v>
      </c>
    </row>
    <row r="114" spans="1:19" x14ac:dyDescent="0.3">
      <c r="A114">
        <v>113</v>
      </c>
      <c r="B114" s="4">
        <v>40548</v>
      </c>
      <c r="C114">
        <v>1</v>
      </c>
      <c r="D114">
        <v>21</v>
      </c>
      <c r="E114" t="str">
        <f t="shared" si="3"/>
        <v>9 PM</v>
      </c>
      <c r="F114" t="str">
        <f t="shared" si="4"/>
        <v>Night</v>
      </c>
      <c r="G114" t="b">
        <v>0</v>
      </c>
      <c r="H114">
        <v>3</v>
      </c>
      <c r="I114" t="str">
        <f>_xlfn.XLOOKUP(Append15[[#This Row],[Week day]],Mappings!$B$3:$B$9,Mappings!$C$3:$C$9)</f>
        <v>Wednesday</v>
      </c>
      <c r="J114" t="str">
        <f t="shared" si="5"/>
        <v>Weekday</v>
      </c>
      <c r="K114">
        <v>1</v>
      </c>
      <c r="L114" t="str">
        <f>_xlfn.XLOOKUP(Append15[[#This Row],[WeatherSituation]],Mappings!$E$3:$E$6,Mappings!$F$3:$F$6)</f>
        <v>Clear Sky</v>
      </c>
      <c r="M114">
        <v>0.2</v>
      </c>
      <c r="N114">
        <v>0.19700000000000001</v>
      </c>
      <c r="O114">
        <v>0.51</v>
      </c>
      <c r="P114">
        <v>0.19400000000000001</v>
      </c>
      <c r="Q114">
        <v>3</v>
      </c>
      <c r="R114">
        <v>40</v>
      </c>
      <c r="S114">
        <v>43</v>
      </c>
    </row>
    <row r="115" spans="1:19" x14ac:dyDescent="0.3">
      <c r="A115">
        <v>114</v>
      </c>
      <c r="B115" s="4">
        <v>40548</v>
      </c>
      <c r="C115">
        <v>1</v>
      </c>
      <c r="D115">
        <v>22</v>
      </c>
      <c r="E115" t="str">
        <f t="shared" si="3"/>
        <v>10 PM</v>
      </c>
      <c r="F115" t="str">
        <f t="shared" si="4"/>
        <v>Night</v>
      </c>
      <c r="G115" t="b">
        <v>0</v>
      </c>
      <c r="H115">
        <v>3</v>
      </c>
      <c r="I115" t="str">
        <f>_xlfn.XLOOKUP(Append15[[#This Row],[Week day]],Mappings!$B$3:$B$9,Mappings!$C$3:$C$9)</f>
        <v>Wednesday</v>
      </c>
      <c r="J115" t="str">
        <f t="shared" si="5"/>
        <v>Weekday</v>
      </c>
      <c r="K115">
        <v>1</v>
      </c>
      <c r="L115" t="str">
        <f>_xlfn.XLOOKUP(Append15[[#This Row],[WeatherSituation]],Mappings!$E$3:$E$6,Mappings!$F$3:$F$6)</f>
        <v>Clear Sky</v>
      </c>
      <c r="M115">
        <v>0.18</v>
      </c>
      <c r="N115">
        <v>0.19700000000000001</v>
      </c>
      <c r="O115">
        <v>0.55000000000000004</v>
      </c>
      <c r="P115">
        <v>0.1343</v>
      </c>
      <c r="Q115">
        <v>1</v>
      </c>
      <c r="R115">
        <v>41</v>
      </c>
      <c r="S115">
        <v>42</v>
      </c>
    </row>
    <row r="116" spans="1:19" x14ac:dyDescent="0.3">
      <c r="A116">
        <v>115</v>
      </c>
      <c r="B116" s="4">
        <v>40548</v>
      </c>
      <c r="C116">
        <v>1</v>
      </c>
      <c r="D116">
        <v>23</v>
      </c>
      <c r="E116" t="str">
        <f t="shared" si="3"/>
        <v>11 PM</v>
      </c>
      <c r="F116" t="str">
        <f t="shared" si="4"/>
        <v>Night</v>
      </c>
      <c r="G116" t="b">
        <v>0</v>
      </c>
      <c r="H116">
        <v>3</v>
      </c>
      <c r="I116" t="str">
        <f>_xlfn.XLOOKUP(Append15[[#This Row],[Week day]],Mappings!$B$3:$B$9,Mappings!$C$3:$C$9)</f>
        <v>Wednesday</v>
      </c>
      <c r="J116" t="str">
        <f t="shared" si="5"/>
        <v>Weekday</v>
      </c>
      <c r="K116">
        <v>1</v>
      </c>
      <c r="L116" t="str">
        <f>_xlfn.XLOOKUP(Append15[[#This Row],[WeatherSituation]],Mappings!$E$3:$E$6,Mappings!$F$3:$F$6)</f>
        <v>Clear Sky</v>
      </c>
      <c r="M116">
        <v>0.2</v>
      </c>
      <c r="N116">
        <v>0.2576</v>
      </c>
      <c r="O116">
        <v>0.47</v>
      </c>
      <c r="P116">
        <v>0</v>
      </c>
      <c r="Q116">
        <v>1</v>
      </c>
      <c r="R116">
        <v>18</v>
      </c>
      <c r="S116">
        <v>19</v>
      </c>
    </row>
    <row r="117" spans="1:19" x14ac:dyDescent="0.3">
      <c r="A117">
        <v>116</v>
      </c>
      <c r="B117" s="4">
        <v>40549</v>
      </c>
      <c r="C117">
        <v>1</v>
      </c>
      <c r="D117">
        <v>0</v>
      </c>
      <c r="E117" t="str">
        <f t="shared" si="3"/>
        <v>12 AM</v>
      </c>
      <c r="F117" t="str">
        <f t="shared" si="4"/>
        <v>Night</v>
      </c>
      <c r="G117" t="b">
        <v>0</v>
      </c>
      <c r="H117">
        <v>4</v>
      </c>
      <c r="I117" t="str">
        <f>_xlfn.XLOOKUP(Append15[[#This Row],[Week day]],Mappings!$B$3:$B$9,Mappings!$C$3:$C$9)</f>
        <v>Thursday</v>
      </c>
      <c r="J117" t="str">
        <f t="shared" si="5"/>
        <v>Weekday</v>
      </c>
      <c r="K117">
        <v>1</v>
      </c>
      <c r="L117" t="str">
        <f>_xlfn.XLOOKUP(Append15[[#This Row],[WeatherSituation]],Mappings!$E$3:$E$6,Mappings!$F$3:$F$6)</f>
        <v>Clear Sky</v>
      </c>
      <c r="M117">
        <v>0.18</v>
      </c>
      <c r="N117">
        <v>0.2424</v>
      </c>
      <c r="O117">
        <v>0.55000000000000004</v>
      </c>
      <c r="P117">
        <v>0</v>
      </c>
      <c r="Q117">
        <v>0</v>
      </c>
      <c r="R117">
        <v>11</v>
      </c>
      <c r="S117">
        <v>11</v>
      </c>
    </row>
    <row r="118" spans="1:19" x14ac:dyDescent="0.3">
      <c r="A118">
        <v>117</v>
      </c>
      <c r="B118" s="4">
        <v>40549</v>
      </c>
      <c r="C118">
        <v>1</v>
      </c>
      <c r="D118">
        <v>1</v>
      </c>
      <c r="E118" t="str">
        <f t="shared" si="3"/>
        <v>1 AM</v>
      </c>
      <c r="F118" t="str">
        <f t="shared" si="4"/>
        <v>Night</v>
      </c>
      <c r="G118" t="b">
        <v>0</v>
      </c>
      <c r="H118">
        <v>4</v>
      </c>
      <c r="I118" t="str">
        <f>_xlfn.XLOOKUP(Append15[[#This Row],[Week day]],Mappings!$B$3:$B$9,Mappings!$C$3:$C$9)</f>
        <v>Thursday</v>
      </c>
      <c r="J118" t="str">
        <f t="shared" si="5"/>
        <v>Weekday</v>
      </c>
      <c r="K118">
        <v>1</v>
      </c>
      <c r="L118" t="str">
        <f>_xlfn.XLOOKUP(Append15[[#This Row],[WeatherSituation]],Mappings!$E$3:$E$6,Mappings!$F$3:$F$6)</f>
        <v>Clear Sky</v>
      </c>
      <c r="M118">
        <v>0.16</v>
      </c>
      <c r="N118">
        <v>0.2273</v>
      </c>
      <c r="O118">
        <v>0.64</v>
      </c>
      <c r="P118">
        <v>0</v>
      </c>
      <c r="Q118">
        <v>0</v>
      </c>
      <c r="R118">
        <v>4</v>
      </c>
      <c r="S118">
        <v>4</v>
      </c>
    </row>
    <row r="119" spans="1:19" x14ac:dyDescent="0.3">
      <c r="A119">
        <v>118</v>
      </c>
      <c r="B119" s="4">
        <v>40549</v>
      </c>
      <c r="C119">
        <v>1</v>
      </c>
      <c r="D119">
        <v>2</v>
      </c>
      <c r="E119" t="str">
        <f t="shared" si="3"/>
        <v>2 AM</v>
      </c>
      <c r="F119" t="str">
        <f t="shared" si="4"/>
        <v>Night</v>
      </c>
      <c r="G119" t="b">
        <v>0</v>
      </c>
      <c r="H119">
        <v>4</v>
      </c>
      <c r="I119" t="str">
        <f>_xlfn.XLOOKUP(Append15[[#This Row],[Week day]],Mappings!$B$3:$B$9,Mappings!$C$3:$C$9)</f>
        <v>Thursday</v>
      </c>
      <c r="J119" t="str">
        <f t="shared" si="5"/>
        <v>Weekday</v>
      </c>
      <c r="K119">
        <v>1</v>
      </c>
      <c r="L119" t="str">
        <f>_xlfn.XLOOKUP(Append15[[#This Row],[WeatherSituation]],Mappings!$E$3:$E$6,Mappings!$F$3:$F$6)</f>
        <v>Clear Sky</v>
      </c>
      <c r="M119">
        <v>0.16</v>
      </c>
      <c r="N119">
        <v>0.2273</v>
      </c>
      <c r="O119">
        <v>0.64</v>
      </c>
      <c r="P119">
        <v>0</v>
      </c>
      <c r="Q119">
        <v>0</v>
      </c>
      <c r="R119">
        <v>2</v>
      </c>
      <c r="S119">
        <v>2</v>
      </c>
    </row>
    <row r="120" spans="1:19" x14ac:dyDescent="0.3">
      <c r="A120">
        <v>119</v>
      </c>
      <c r="B120" s="4">
        <v>40549</v>
      </c>
      <c r="C120">
        <v>1</v>
      </c>
      <c r="D120">
        <v>4</v>
      </c>
      <c r="E120" t="str">
        <f t="shared" si="3"/>
        <v>4 AM</v>
      </c>
      <c r="F120" t="str">
        <f t="shared" si="4"/>
        <v>Night</v>
      </c>
      <c r="G120" t="b">
        <v>0</v>
      </c>
      <c r="H120">
        <v>4</v>
      </c>
      <c r="I120" t="str">
        <f>_xlfn.XLOOKUP(Append15[[#This Row],[Week day]],Mappings!$B$3:$B$9,Mappings!$C$3:$C$9)</f>
        <v>Thursday</v>
      </c>
      <c r="J120" t="str">
        <f t="shared" si="5"/>
        <v>Weekday</v>
      </c>
      <c r="K120">
        <v>2</v>
      </c>
      <c r="L120" t="str">
        <f>_xlfn.XLOOKUP(Append15[[#This Row],[WeatherSituation]],Mappings!$E$3:$E$6,Mappings!$F$3:$F$6)</f>
        <v>Mist/Cloudy</v>
      </c>
      <c r="M120">
        <v>0.16</v>
      </c>
      <c r="N120">
        <v>0.19700000000000001</v>
      </c>
      <c r="O120">
        <v>0.64</v>
      </c>
      <c r="P120">
        <v>8.9599999999999999E-2</v>
      </c>
      <c r="Q120">
        <v>0</v>
      </c>
      <c r="R120">
        <v>1</v>
      </c>
      <c r="S120">
        <v>1</v>
      </c>
    </row>
    <row r="121" spans="1:19" x14ac:dyDescent="0.3">
      <c r="A121">
        <v>120</v>
      </c>
      <c r="B121" s="4">
        <v>40549</v>
      </c>
      <c r="C121">
        <v>1</v>
      </c>
      <c r="D121">
        <v>5</v>
      </c>
      <c r="E121" t="str">
        <f t="shared" si="3"/>
        <v>5 AM</v>
      </c>
      <c r="F121" t="str">
        <f t="shared" si="4"/>
        <v>Morning</v>
      </c>
      <c r="G121" t="b">
        <v>0</v>
      </c>
      <c r="H121">
        <v>4</v>
      </c>
      <c r="I121" t="str">
        <f>_xlfn.XLOOKUP(Append15[[#This Row],[Week day]],Mappings!$B$3:$B$9,Mappings!$C$3:$C$9)</f>
        <v>Thursday</v>
      </c>
      <c r="J121" t="str">
        <f t="shared" si="5"/>
        <v>Weekday</v>
      </c>
      <c r="K121">
        <v>2</v>
      </c>
      <c r="L121" t="str">
        <f>_xlfn.XLOOKUP(Append15[[#This Row],[WeatherSituation]],Mappings!$E$3:$E$6,Mappings!$F$3:$F$6)</f>
        <v>Mist/Cloudy</v>
      </c>
      <c r="M121">
        <v>0.14000000000000001</v>
      </c>
      <c r="N121">
        <v>0.18179999999999999</v>
      </c>
      <c r="O121">
        <v>0.69</v>
      </c>
      <c r="P121">
        <v>8.9599999999999999E-2</v>
      </c>
      <c r="Q121">
        <v>0</v>
      </c>
      <c r="R121">
        <v>4</v>
      </c>
      <c r="S121">
        <v>4</v>
      </c>
    </row>
    <row r="122" spans="1:19" x14ac:dyDescent="0.3">
      <c r="A122">
        <v>121</v>
      </c>
      <c r="B122" s="4">
        <v>40549</v>
      </c>
      <c r="C122">
        <v>1</v>
      </c>
      <c r="D122">
        <v>6</v>
      </c>
      <c r="E122" t="str">
        <f t="shared" si="3"/>
        <v>6 AM</v>
      </c>
      <c r="F122" t="str">
        <f t="shared" si="4"/>
        <v>Morning</v>
      </c>
      <c r="G122" t="b">
        <v>0</v>
      </c>
      <c r="H122">
        <v>4</v>
      </c>
      <c r="I122" t="str">
        <f>_xlfn.XLOOKUP(Append15[[#This Row],[Week day]],Mappings!$B$3:$B$9,Mappings!$C$3:$C$9)</f>
        <v>Thursday</v>
      </c>
      <c r="J122" t="str">
        <f t="shared" si="5"/>
        <v>Weekday</v>
      </c>
      <c r="K122">
        <v>2</v>
      </c>
      <c r="L122" t="str">
        <f>_xlfn.XLOOKUP(Append15[[#This Row],[WeatherSituation]],Mappings!$E$3:$E$6,Mappings!$F$3:$F$6)</f>
        <v>Mist/Cloudy</v>
      </c>
      <c r="M122">
        <v>0.14000000000000001</v>
      </c>
      <c r="N122">
        <v>0.16669999999999999</v>
      </c>
      <c r="O122">
        <v>0.63</v>
      </c>
      <c r="P122">
        <v>0.1045</v>
      </c>
      <c r="Q122">
        <v>0</v>
      </c>
      <c r="R122">
        <v>36</v>
      </c>
      <c r="S122">
        <v>36</v>
      </c>
    </row>
    <row r="123" spans="1:19" x14ac:dyDescent="0.3">
      <c r="A123">
        <v>122</v>
      </c>
      <c r="B123" s="4">
        <v>40549</v>
      </c>
      <c r="C123">
        <v>1</v>
      </c>
      <c r="D123">
        <v>7</v>
      </c>
      <c r="E123" t="str">
        <f t="shared" si="3"/>
        <v>7 AM</v>
      </c>
      <c r="F123" t="str">
        <f t="shared" si="4"/>
        <v>Morning</v>
      </c>
      <c r="G123" t="b">
        <v>0</v>
      </c>
      <c r="H123">
        <v>4</v>
      </c>
      <c r="I123" t="str">
        <f>_xlfn.XLOOKUP(Append15[[#This Row],[Week day]],Mappings!$B$3:$B$9,Mappings!$C$3:$C$9)</f>
        <v>Thursday</v>
      </c>
      <c r="J123" t="str">
        <f t="shared" si="5"/>
        <v>Weekday</v>
      </c>
      <c r="K123">
        <v>2</v>
      </c>
      <c r="L123" t="str">
        <f>_xlfn.XLOOKUP(Append15[[#This Row],[WeatherSituation]],Mappings!$E$3:$E$6,Mappings!$F$3:$F$6)</f>
        <v>Mist/Cloudy</v>
      </c>
      <c r="M123">
        <v>0.16</v>
      </c>
      <c r="N123">
        <v>0.2273</v>
      </c>
      <c r="O123">
        <v>0.59</v>
      </c>
      <c r="P123">
        <v>0</v>
      </c>
      <c r="Q123">
        <v>0</v>
      </c>
      <c r="R123">
        <v>95</v>
      </c>
      <c r="S123">
        <v>95</v>
      </c>
    </row>
    <row r="124" spans="1:19" x14ac:dyDescent="0.3">
      <c r="A124">
        <v>123</v>
      </c>
      <c r="B124" s="4">
        <v>40549</v>
      </c>
      <c r="C124">
        <v>1</v>
      </c>
      <c r="D124">
        <v>8</v>
      </c>
      <c r="E124" t="str">
        <f t="shared" si="3"/>
        <v>8 AM</v>
      </c>
      <c r="F124" t="str">
        <f t="shared" si="4"/>
        <v>Morning</v>
      </c>
      <c r="G124" t="b">
        <v>0</v>
      </c>
      <c r="H124">
        <v>4</v>
      </c>
      <c r="I124" t="str">
        <f>_xlfn.XLOOKUP(Append15[[#This Row],[Week day]],Mappings!$B$3:$B$9,Mappings!$C$3:$C$9)</f>
        <v>Thursday</v>
      </c>
      <c r="J124" t="str">
        <f t="shared" si="5"/>
        <v>Weekday</v>
      </c>
      <c r="K124">
        <v>1</v>
      </c>
      <c r="L124" t="str">
        <f>_xlfn.XLOOKUP(Append15[[#This Row],[WeatherSituation]],Mappings!$E$3:$E$6,Mappings!$F$3:$F$6)</f>
        <v>Clear Sky</v>
      </c>
      <c r="M124">
        <v>0.16</v>
      </c>
      <c r="N124">
        <v>0.2273</v>
      </c>
      <c r="O124">
        <v>0.59</v>
      </c>
      <c r="P124">
        <v>0</v>
      </c>
      <c r="Q124">
        <v>3</v>
      </c>
      <c r="R124">
        <v>216</v>
      </c>
      <c r="S124">
        <v>219</v>
      </c>
    </row>
    <row r="125" spans="1:19" x14ac:dyDescent="0.3">
      <c r="A125">
        <v>124</v>
      </c>
      <c r="B125" s="4">
        <v>40549</v>
      </c>
      <c r="C125">
        <v>1</v>
      </c>
      <c r="D125">
        <v>9</v>
      </c>
      <c r="E125" t="str">
        <f t="shared" si="3"/>
        <v>9 AM</v>
      </c>
      <c r="F125" t="str">
        <f t="shared" si="4"/>
        <v>Morning</v>
      </c>
      <c r="G125" t="b">
        <v>0</v>
      </c>
      <c r="H125">
        <v>4</v>
      </c>
      <c r="I125" t="str">
        <f>_xlfn.XLOOKUP(Append15[[#This Row],[Week day]],Mappings!$B$3:$B$9,Mappings!$C$3:$C$9)</f>
        <v>Thursday</v>
      </c>
      <c r="J125" t="str">
        <f t="shared" si="5"/>
        <v>Weekday</v>
      </c>
      <c r="K125">
        <v>2</v>
      </c>
      <c r="L125" t="str">
        <f>_xlfn.XLOOKUP(Append15[[#This Row],[WeatherSituation]],Mappings!$E$3:$E$6,Mappings!$F$3:$F$6)</f>
        <v>Mist/Cloudy</v>
      </c>
      <c r="M125">
        <v>0.18</v>
      </c>
      <c r="N125">
        <v>0.2424</v>
      </c>
      <c r="O125">
        <v>0.51</v>
      </c>
      <c r="P125">
        <v>0</v>
      </c>
      <c r="Q125">
        <v>6</v>
      </c>
      <c r="R125">
        <v>116</v>
      </c>
      <c r="S125">
        <v>122</v>
      </c>
    </row>
    <row r="126" spans="1:19" x14ac:dyDescent="0.3">
      <c r="A126">
        <v>125</v>
      </c>
      <c r="B126" s="4">
        <v>40549</v>
      </c>
      <c r="C126">
        <v>1</v>
      </c>
      <c r="D126">
        <v>10</v>
      </c>
      <c r="E126" t="str">
        <f t="shared" si="3"/>
        <v>10 AM</v>
      </c>
      <c r="F126" t="str">
        <f t="shared" si="4"/>
        <v>Morning</v>
      </c>
      <c r="G126" t="b">
        <v>0</v>
      </c>
      <c r="H126">
        <v>4</v>
      </c>
      <c r="I126" t="str">
        <f>_xlfn.XLOOKUP(Append15[[#This Row],[Week day]],Mappings!$B$3:$B$9,Mappings!$C$3:$C$9)</f>
        <v>Thursday</v>
      </c>
      <c r="J126" t="str">
        <f t="shared" si="5"/>
        <v>Weekday</v>
      </c>
      <c r="K126">
        <v>1</v>
      </c>
      <c r="L126" t="str">
        <f>_xlfn.XLOOKUP(Append15[[#This Row],[WeatherSituation]],Mappings!$E$3:$E$6,Mappings!$F$3:$F$6)</f>
        <v>Clear Sky</v>
      </c>
      <c r="M126">
        <v>0.2</v>
      </c>
      <c r="N126">
        <v>0.2576</v>
      </c>
      <c r="O126">
        <v>0.47</v>
      </c>
      <c r="P126">
        <v>0</v>
      </c>
      <c r="Q126">
        <v>3</v>
      </c>
      <c r="R126">
        <v>42</v>
      </c>
      <c r="S126">
        <v>45</v>
      </c>
    </row>
    <row r="127" spans="1:19" x14ac:dyDescent="0.3">
      <c r="A127">
        <v>126</v>
      </c>
      <c r="B127" s="4">
        <v>40549</v>
      </c>
      <c r="C127">
        <v>1</v>
      </c>
      <c r="D127">
        <v>11</v>
      </c>
      <c r="E127" t="str">
        <f t="shared" si="3"/>
        <v>11 AM</v>
      </c>
      <c r="F127" t="str">
        <f t="shared" si="4"/>
        <v>Morning</v>
      </c>
      <c r="G127" t="b">
        <v>0</v>
      </c>
      <c r="H127">
        <v>4</v>
      </c>
      <c r="I127" t="str">
        <f>_xlfn.XLOOKUP(Append15[[#This Row],[Week day]],Mappings!$B$3:$B$9,Mappings!$C$3:$C$9)</f>
        <v>Thursday</v>
      </c>
      <c r="J127" t="str">
        <f t="shared" si="5"/>
        <v>Weekday</v>
      </c>
      <c r="K127">
        <v>1</v>
      </c>
      <c r="L127" t="str">
        <f>_xlfn.XLOOKUP(Append15[[#This Row],[WeatherSituation]],Mappings!$E$3:$E$6,Mappings!$F$3:$F$6)</f>
        <v>Clear Sky</v>
      </c>
      <c r="M127">
        <v>0.22</v>
      </c>
      <c r="N127">
        <v>0.2576</v>
      </c>
      <c r="O127">
        <v>0.44</v>
      </c>
      <c r="P127">
        <v>8.9599999999999999E-2</v>
      </c>
      <c r="Q127">
        <v>2</v>
      </c>
      <c r="R127">
        <v>57</v>
      </c>
      <c r="S127">
        <v>59</v>
      </c>
    </row>
    <row r="128" spans="1:19" x14ac:dyDescent="0.3">
      <c r="A128">
        <v>127</v>
      </c>
      <c r="B128" s="4">
        <v>40549</v>
      </c>
      <c r="C128">
        <v>1</v>
      </c>
      <c r="D128">
        <v>12</v>
      </c>
      <c r="E128" t="str">
        <f t="shared" si="3"/>
        <v>12 PM</v>
      </c>
      <c r="F128" t="str">
        <f t="shared" si="4"/>
        <v>AfterNoon</v>
      </c>
      <c r="G128" t="b">
        <v>0</v>
      </c>
      <c r="H128">
        <v>4</v>
      </c>
      <c r="I128" t="str">
        <f>_xlfn.XLOOKUP(Append15[[#This Row],[Week day]],Mappings!$B$3:$B$9,Mappings!$C$3:$C$9)</f>
        <v>Thursday</v>
      </c>
      <c r="J128" t="str">
        <f t="shared" si="5"/>
        <v>Weekday</v>
      </c>
      <c r="K128">
        <v>1</v>
      </c>
      <c r="L128" t="str">
        <f>_xlfn.XLOOKUP(Append15[[#This Row],[WeatherSituation]],Mappings!$E$3:$E$6,Mappings!$F$3:$F$6)</f>
        <v>Clear Sky</v>
      </c>
      <c r="M128">
        <v>0.26</v>
      </c>
      <c r="N128">
        <v>0.28789999999999999</v>
      </c>
      <c r="O128">
        <v>0.35</v>
      </c>
      <c r="P128">
        <v>0</v>
      </c>
      <c r="Q128">
        <v>6</v>
      </c>
      <c r="R128">
        <v>78</v>
      </c>
      <c r="S128">
        <v>84</v>
      </c>
    </row>
    <row r="129" spans="1:19" x14ac:dyDescent="0.3">
      <c r="A129">
        <v>128</v>
      </c>
      <c r="B129" s="4">
        <v>40549</v>
      </c>
      <c r="C129">
        <v>1</v>
      </c>
      <c r="D129">
        <v>13</v>
      </c>
      <c r="E129" t="str">
        <f t="shared" si="3"/>
        <v>1 PM</v>
      </c>
      <c r="F129" t="str">
        <f t="shared" si="4"/>
        <v>AfterNoon</v>
      </c>
      <c r="G129" t="b">
        <v>0</v>
      </c>
      <c r="H129">
        <v>4</v>
      </c>
      <c r="I129" t="str">
        <f>_xlfn.XLOOKUP(Append15[[#This Row],[Week day]],Mappings!$B$3:$B$9,Mappings!$C$3:$C$9)</f>
        <v>Thursday</v>
      </c>
      <c r="J129" t="str">
        <f t="shared" si="5"/>
        <v>Weekday</v>
      </c>
      <c r="K129">
        <v>1</v>
      </c>
      <c r="L129" t="str">
        <f>_xlfn.XLOOKUP(Append15[[#This Row],[WeatherSituation]],Mappings!$E$3:$E$6,Mappings!$F$3:$F$6)</f>
        <v>Clear Sky</v>
      </c>
      <c r="M129">
        <v>0.26</v>
      </c>
      <c r="N129">
        <v>0.2727</v>
      </c>
      <c r="O129">
        <v>0.35</v>
      </c>
      <c r="P129">
        <v>0.1045</v>
      </c>
      <c r="Q129">
        <v>12</v>
      </c>
      <c r="R129">
        <v>55</v>
      </c>
      <c r="S129">
        <v>67</v>
      </c>
    </row>
    <row r="130" spans="1:19" x14ac:dyDescent="0.3">
      <c r="A130">
        <v>129</v>
      </c>
      <c r="B130" s="4">
        <v>40549</v>
      </c>
      <c r="C130">
        <v>1</v>
      </c>
      <c r="D130">
        <v>14</v>
      </c>
      <c r="E130" t="str">
        <f t="shared" ref="E130:E193" si="6">TEXT(D130/24,"h AM/PM")</f>
        <v>2 PM</v>
      </c>
      <c r="F130" t="str">
        <f t="shared" ref="F130:F193" si="7">IF(D130&lt;5,"Night",
IF(D130&lt;=11,"Morning",
IF(D130&lt;16,"AfterNoon",
IF(D130&lt;20,"Evening","Night"))))</f>
        <v>AfterNoon</v>
      </c>
      <c r="G130" t="b">
        <v>0</v>
      </c>
      <c r="H130">
        <v>4</v>
      </c>
      <c r="I130" t="str">
        <f>_xlfn.XLOOKUP(Append15[[#This Row],[Week day]],Mappings!$B$3:$B$9,Mappings!$C$3:$C$9)</f>
        <v>Thursday</v>
      </c>
      <c r="J130" t="str">
        <f t="shared" ref="J130:J193" si="8">IF(OR(H130=0,H130=6),"Weekend","Weekday")</f>
        <v>Weekday</v>
      </c>
      <c r="K130">
        <v>1</v>
      </c>
      <c r="L130" t="str">
        <f>_xlfn.XLOOKUP(Append15[[#This Row],[WeatherSituation]],Mappings!$E$3:$E$6,Mappings!$F$3:$F$6)</f>
        <v>Clear Sky</v>
      </c>
      <c r="M130">
        <v>0.28000000000000003</v>
      </c>
      <c r="N130">
        <v>0.2727</v>
      </c>
      <c r="O130">
        <v>0.36</v>
      </c>
      <c r="P130">
        <v>0.16420000000000001</v>
      </c>
      <c r="Q130">
        <v>11</v>
      </c>
      <c r="R130">
        <v>59</v>
      </c>
      <c r="S130">
        <v>70</v>
      </c>
    </row>
    <row r="131" spans="1:19" x14ac:dyDescent="0.3">
      <c r="A131">
        <v>130</v>
      </c>
      <c r="B131" s="4">
        <v>40549</v>
      </c>
      <c r="C131">
        <v>1</v>
      </c>
      <c r="D131">
        <v>15</v>
      </c>
      <c r="E131" t="str">
        <f t="shared" si="6"/>
        <v>3 PM</v>
      </c>
      <c r="F131" t="str">
        <f t="shared" si="7"/>
        <v>AfterNoon</v>
      </c>
      <c r="G131" t="b">
        <v>0</v>
      </c>
      <c r="H131">
        <v>4</v>
      </c>
      <c r="I131" t="str">
        <f>_xlfn.XLOOKUP(Append15[[#This Row],[Week day]],Mappings!$B$3:$B$9,Mappings!$C$3:$C$9)</f>
        <v>Thursday</v>
      </c>
      <c r="J131" t="str">
        <f t="shared" si="8"/>
        <v>Weekday</v>
      </c>
      <c r="K131">
        <v>1</v>
      </c>
      <c r="L131" t="str">
        <f>_xlfn.XLOOKUP(Append15[[#This Row],[WeatherSituation]],Mappings!$E$3:$E$6,Mappings!$F$3:$F$6)</f>
        <v>Clear Sky</v>
      </c>
      <c r="M131">
        <v>0.28000000000000003</v>
      </c>
      <c r="N131">
        <v>0.2727</v>
      </c>
      <c r="O131">
        <v>0.36</v>
      </c>
      <c r="P131">
        <v>0</v>
      </c>
      <c r="Q131">
        <v>8</v>
      </c>
      <c r="R131">
        <v>54</v>
      </c>
      <c r="S131">
        <v>62</v>
      </c>
    </row>
    <row r="132" spans="1:19" x14ac:dyDescent="0.3">
      <c r="A132">
        <v>131</v>
      </c>
      <c r="B132" s="4">
        <v>40549</v>
      </c>
      <c r="C132">
        <v>1</v>
      </c>
      <c r="D132">
        <v>16</v>
      </c>
      <c r="E132" t="str">
        <f t="shared" si="6"/>
        <v>4 PM</v>
      </c>
      <c r="F132" t="str">
        <f t="shared" si="7"/>
        <v>Evening</v>
      </c>
      <c r="G132" t="b">
        <v>0</v>
      </c>
      <c r="H132">
        <v>4</v>
      </c>
      <c r="I132" t="str">
        <f>_xlfn.XLOOKUP(Append15[[#This Row],[Week day]],Mappings!$B$3:$B$9,Mappings!$C$3:$C$9)</f>
        <v>Thursday</v>
      </c>
      <c r="J132" t="str">
        <f t="shared" si="8"/>
        <v>Weekday</v>
      </c>
      <c r="K132">
        <v>1</v>
      </c>
      <c r="L132" t="str">
        <f>_xlfn.XLOOKUP(Append15[[#This Row],[WeatherSituation]],Mappings!$E$3:$E$6,Mappings!$F$3:$F$6)</f>
        <v>Clear Sky</v>
      </c>
      <c r="M132">
        <v>0.26</v>
      </c>
      <c r="N132">
        <v>0.2576</v>
      </c>
      <c r="O132">
        <v>0.38</v>
      </c>
      <c r="P132">
        <v>0.16420000000000001</v>
      </c>
      <c r="Q132">
        <v>12</v>
      </c>
      <c r="R132">
        <v>74</v>
      </c>
      <c r="S132">
        <v>86</v>
      </c>
    </row>
    <row r="133" spans="1:19" x14ac:dyDescent="0.3">
      <c r="A133">
        <v>132</v>
      </c>
      <c r="B133" s="4">
        <v>40549</v>
      </c>
      <c r="C133">
        <v>1</v>
      </c>
      <c r="D133">
        <v>17</v>
      </c>
      <c r="E133" t="str">
        <f t="shared" si="6"/>
        <v>5 PM</v>
      </c>
      <c r="F133" t="str">
        <f t="shared" si="7"/>
        <v>Evening</v>
      </c>
      <c r="G133" t="b">
        <v>0</v>
      </c>
      <c r="H133">
        <v>4</v>
      </c>
      <c r="I133" t="str">
        <f>_xlfn.XLOOKUP(Append15[[#This Row],[Week day]],Mappings!$B$3:$B$9,Mappings!$C$3:$C$9)</f>
        <v>Thursday</v>
      </c>
      <c r="J133" t="str">
        <f t="shared" si="8"/>
        <v>Weekday</v>
      </c>
      <c r="K133">
        <v>1</v>
      </c>
      <c r="L133" t="str">
        <f>_xlfn.XLOOKUP(Append15[[#This Row],[WeatherSituation]],Mappings!$E$3:$E$6,Mappings!$F$3:$F$6)</f>
        <v>Clear Sky</v>
      </c>
      <c r="M133">
        <v>0.22</v>
      </c>
      <c r="N133">
        <v>0.2273</v>
      </c>
      <c r="O133">
        <v>0.51</v>
      </c>
      <c r="P133">
        <v>0.16420000000000001</v>
      </c>
      <c r="Q133">
        <v>9</v>
      </c>
      <c r="R133">
        <v>163</v>
      </c>
      <c r="S133">
        <v>172</v>
      </c>
    </row>
    <row r="134" spans="1:19" x14ac:dyDescent="0.3">
      <c r="A134">
        <v>133</v>
      </c>
      <c r="B134" s="4">
        <v>40549</v>
      </c>
      <c r="C134">
        <v>1</v>
      </c>
      <c r="D134">
        <v>18</v>
      </c>
      <c r="E134" t="str">
        <f t="shared" si="6"/>
        <v>6 PM</v>
      </c>
      <c r="F134" t="str">
        <f t="shared" si="7"/>
        <v>Evening</v>
      </c>
      <c r="G134" t="b">
        <v>0</v>
      </c>
      <c r="H134">
        <v>4</v>
      </c>
      <c r="I134" t="str">
        <f>_xlfn.XLOOKUP(Append15[[#This Row],[Week day]],Mappings!$B$3:$B$9,Mappings!$C$3:$C$9)</f>
        <v>Thursday</v>
      </c>
      <c r="J134" t="str">
        <f t="shared" si="8"/>
        <v>Weekday</v>
      </c>
      <c r="K134">
        <v>1</v>
      </c>
      <c r="L134" t="str">
        <f>_xlfn.XLOOKUP(Append15[[#This Row],[WeatherSituation]],Mappings!$E$3:$E$6,Mappings!$F$3:$F$6)</f>
        <v>Clear Sky</v>
      </c>
      <c r="M134">
        <v>0.22</v>
      </c>
      <c r="N134">
        <v>0.2273</v>
      </c>
      <c r="O134">
        <v>0.51</v>
      </c>
      <c r="P134">
        <v>0.1343</v>
      </c>
      <c r="Q134">
        <v>5</v>
      </c>
      <c r="R134">
        <v>158</v>
      </c>
      <c r="S134">
        <v>163</v>
      </c>
    </row>
    <row r="135" spans="1:19" x14ac:dyDescent="0.3">
      <c r="A135">
        <v>134</v>
      </c>
      <c r="B135" s="4">
        <v>40549</v>
      </c>
      <c r="C135">
        <v>1</v>
      </c>
      <c r="D135">
        <v>19</v>
      </c>
      <c r="E135" t="str">
        <f t="shared" si="6"/>
        <v>7 PM</v>
      </c>
      <c r="F135" t="str">
        <f t="shared" si="7"/>
        <v>Evening</v>
      </c>
      <c r="G135" t="b">
        <v>0</v>
      </c>
      <c r="H135">
        <v>4</v>
      </c>
      <c r="I135" t="str">
        <f>_xlfn.XLOOKUP(Append15[[#This Row],[Week day]],Mappings!$B$3:$B$9,Mappings!$C$3:$C$9)</f>
        <v>Thursday</v>
      </c>
      <c r="J135" t="str">
        <f t="shared" si="8"/>
        <v>Weekday</v>
      </c>
      <c r="K135">
        <v>1</v>
      </c>
      <c r="L135" t="str">
        <f>_xlfn.XLOOKUP(Append15[[#This Row],[WeatherSituation]],Mappings!$E$3:$E$6,Mappings!$F$3:$F$6)</f>
        <v>Clear Sky</v>
      </c>
      <c r="M135">
        <v>0.22</v>
      </c>
      <c r="N135">
        <v>0.2576</v>
      </c>
      <c r="O135">
        <v>0.55000000000000004</v>
      </c>
      <c r="P135">
        <v>8.9599999999999999E-2</v>
      </c>
      <c r="Q135">
        <v>3</v>
      </c>
      <c r="R135">
        <v>109</v>
      </c>
      <c r="S135">
        <v>112</v>
      </c>
    </row>
    <row r="136" spans="1:19" x14ac:dyDescent="0.3">
      <c r="A136">
        <v>135</v>
      </c>
      <c r="B136" s="4">
        <v>40549</v>
      </c>
      <c r="C136">
        <v>1</v>
      </c>
      <c r="D136">
        <v>20</v>
      </c>
      <c r="E136" t="str">
        <f t="shared" si="6"/>
        <v>8 PM</v>
      </c>
      <c r="F136" t="str">
        <f t="shared" si="7"/>
        <v>Night</v>
      </c>
      <c r="G136" t="b">
        <v>0</v>
      </c>
      <c r="H136">
        <v>4</v>
      </c>
      <c r="I136" t="str">
        <f>_xlfn.XLOOKUP(Append15[[#This Row],[Week day]],Mappings!$B$3:$B$9,Mappings!$C$3:$C$9)</f>
        <v>Thursday</v>
      </c>
      <c r="J136" t="str">
        <f t="shared" si="8"/>
        <v>Weekday</v>
      </c>
      <c r="K136">
        <v>1</v>
      </c>
      <c r="L136" t="str">
        <f>_xlfn.XLOOKUP(Append15[[#This Row],[WeatherSituation]],Mappings!$E$3:$E$6,Mappings!$F$3:$F$6)</f>
        <v>Clear Sky</v>
      </c>
      <c r="M136">
        <v>0.2</v>
      </c>
      <c r="N136">
        <v>0.21210000000000001</v>
      </c>
      <c r="O136">
        <v>0.51</v>
      </c>
      <c r="P136">
        <v>0.16420000000000001</v>
      </c>
      <c r="Q136">
        <v>3</v>
      </c>
      <c r="R136">
        <v>66</v>
      </c>
      <c r="S136">
        <v>69</v>
      </c>
    </row>
    <row r="137" spans="1:19" x14ac:dyDescent="0.3">
      <c r="A137">
        <v>136</v>
      </c>
      <c r="B137" s="4">
        <v>40549</v>
      </c>
      <c r="C137">
        <v>1</v>
      </c>
      <c r="D137">
        <v>21</v>
      </c>
      <c r="E137" t="str">
        <f t="shared" si="6"/>
        <v>9 PM</v>
      </c>
      <c r="F137" t="str">
        <f t="shared" si="7"/>
        <v>Night</v>
      </c>
      <c r="G137" t="b">
        <v>0</v>
      </c>
      <c r="H137">
        <v>4</v>
      </c>
      <c r="I137" t="str">
        <f>_xlfn.XLOOKUP(Append15[[#This Row],[Week day]],Mappings!$B$3:$B$9,Mappings!$C$3:$C$9)</f>
        <v>Thursday</v>
      </c>
      <c r="J137" t="str">
        <f t="shared" si="8"/>
        <v>Weekday</v>
      </c>
      <c r="K137">
        <v>2</v>
      </c>
      <c r="L137" t="str">
        <f>_xlfn.XLOOKUP(Append15[[#This Row],[WeatherSituation]],Mappings!$E$3:$E$6,Mappings!$F$3:$F$6)</f>
        <v>Mist/Cloudy</v>
      </c>
      <c r="M137">
        <v>0.22</v>
      </c>
      <c r="N137">
        <v>0.21210000000000001</v>
      </c>
      <c r="O137">
        <v>0.55000000000000004</v>
      </c>
      <c r="P137">
        <v>0.22389999999999999</v>
      </c>
      <c r="Q137">
        <v>0</v>
      </c>
      <c r="R137">
        <v>48</v>
      </c>
      <c r="S137">
        <v>48</v>
      </c>
    </row>
    <row r="138" spans="1:19" x14ac:dyDescent="0.3">
      <c r="A138">
        <v>137</v>
      </c>
      <c r="B138" s="4">
        <v>40549</v>
      </c>
      <c r="C138">
        <v>1</v>
      </c>
      <c r="D138">
        <v>22</v>
      </c>
      <c r="E138" t="str">
        <f t="shared" si="6"/>
        <v>10 PM</v>
      </c>
      <c r="F138" t="str">
        <f t="shared" si="7"/>
        <v>Night</v>
      </c>
      <c r="G138" t="b">
        <v>0</v>
      </c>
      <c r="H138">
        <v>4</v>
      </c>
      <c r="I138" t="str">
        <f>_xlfn.XLOOKUP(Append15[[#This Row],[Week day]],Mappings!$B$3:$B$9,Mappings!$C$3:$C$9)</f>
        <v>Thursday</v>
      </c>
      <c r="J138" t="str">
        <f t="shared" si="8"/>
        <v>Weekday</v>
      </c>
      <c r="K138">
        <v>2</v>
      </c>
      <c r="L138" t="str">
        <f>_xlfn.XLOOKUP(Append15[[#This Row],[WeatherSituation]],Mappings!$E$3:$E$6,Mappings!$F$3:$F$6)</f>
        <v>Mist/Cloudy</v>
      </c>
      <c r="M138">
        <v>0.22</v>
      </c>
      <c r="N138">
        <v>0.21210000000000001</v>
      </c>
      <c r="O138">
        <v>0.51</v>
      </c>
      <c r="P138">
        <v>0.28360000000000002</v>
      </c>
      <c r="Q138">
        <v>1</v>
      </c>
      <c r="R138">
        <v>51</v>
      </c>
      <c r="S138">
        <v>52</v>
      </c>
    </row>
    <row r="139" spans="1:19" x14ac:dyDescent="0.3">
      <c r="A139">
        <v>138</v>
      </c>
      <c r="B139" s="4">
        <v>40549</v>
      </c>
      <c r="C139">
        <v>1</v>
      </c>
      <c r="D139">
        <v>23</v>
      </c>
      <c r="E139" t="str">
        <f t="shared" si="6"/>
        <v>11 PM</v>
      </c>
      <c r="F139" t="str">
        <f t="shared" si="7"/>
        <v>Night</v>
      </c>
      <c r="G139" t="b">
        <v>0</v>
      </c>
      <c r="H139">
        <v>4</v>
      </c>
      <c r="I139" t="str">
        <f>_xlfn.XLOOKUP(Append15[[#This Row],[Week day]],Mappings!$B$3:$B$9,Mappings!$C$3:$C$9)</f>
        <v>Thursday</v>
      </c>
      <c r="J139" t="str">
        <f t="shared" si="8"/>
        <v>Weekday</v>
      </c>
      <c r="K139">
        <v>2</v>
      </c>
      <c r="L139" t="str">
        <f>_xlfn.XLOOKUP(Append15[[#This Row],[WeatherSituation]],Mappings!$E$3:$E$6,Mappings!$F$3:$F$6)</f>
        <v>Mist/Cloudy</v>
      </c>
      <c r="M139">
        <v>0.2</v>
      </c>
      <c r="N139">
        <v>0.19700000000000001</v>
      </c>
      <c r="O139">
        <v>0.59</v>
      </c>
      <c r="P139">
        <v>0.19400000000000001</v>
      </c>
      <c r="Q139">
        <v>4</v>
      </c>
      <c r="R139">
        <v>19</v>
      </c>
      <c r="S139">
        <v>23</v>
      </c>
    </row>
    <row r="140" spans="1:19" x14ac:dyDescent="0.3">
      <c r="A140">
        <v>139</v>
      </c>
      <c r="B140" s="4">
        <v>40550</v>
      </c>
      <c r="C140">
        <v>1</v>
      </c>
      <c r="D140">
        <v>0</v>
      </c>
      <c r="E140" t="str">
        <f t="shared" si="6"/>
        <v>12 AM</v>
      </c>
      <c r="F140" t="str">
        <f t="shared" si="7"/>
        <v>Night</v>
      </c>
      <c r="G140" t="b">
        <v>0</v>
      </c>
      <c r="H140">
        <v>5</v>
      </c>
      <c r="I140" t="str">
        <f>_xlfn.XLOOKUP(Append15[[#This Row],[Week day]],Mappings!$B$3:$B$9,Mappings!$C$3:$C$9)</f>
        <v>Friday</v>
      </c>
      <c r="J140" t="str">
        <f t="shared" si="8"/>
        <v>Weekday</v>
      </c>
      <c r="K140">
        <v>2</v>
      </c>
      <c r="L140" t="str">
        <f>_xlfn.XLOOKUP(Append15[[#This Row],[WeatherSituation]],Mappings!$E$3:$E$6,Mappings!$F$3:$F$6)</f>
        <v>Mist/Cloudy</v>
      </c>
      <c r="M140">
        <v>0.2</v>
      </c>
      <c r="N140">
        <v>0.19700000000000001</v>
      </c>
      <c r="O140">
        <v>0.64</v>
      </c>
      <c r="P140">
        <v>0.19400000000000001</v>
      </c>
      <c r="Q140">
        <v>4</v>
      </c>
      <c r="R140">
        <v>13</v>
      </c>
      <c r="S140">
        <v>17</v>
      </c>
    </row>
    <row r="141" spans="1:19" x14ac:dyDescent="0.3">
      <c r="A141">
        <v>140</v>
      </c>
      <c r="B141" s="4">
        <v>40550</v>
      </c>
      <c r="C141">
        <v>1</v>
      </c>
      <c r="D141">
        <v>1</v>
      </c>
      <c r="E141" t="str">
        <f t="shared" si="6"/>
        <v>1 AM</v>
      </c>
      <c r="F141" t="str">
        <f t="shared" si="7"/>
        <v>Night</v>
      </c>
      <c r="G141" t="b">
        <v>0</v>
      </c>
      <c r="H141">
        <v>5</v>
      </c>
      <c r="I141" t="str">
        <f>_xlfn.XLOOKUP(Append15[[#This Row],[Week day]],Mappings!$B$3:$B$9,Mappings!$C$3:$C$9)</f>
        <v>Friday</v>
      </c>
      <c r="J141" t="str">
        <f t="shared" si="8"/>
        <v>Weekday</v>
      </c>
      <c r="K141">
        <v>2</v>
      </c>
      <c r="L141" t="str">
        <f>_xlfn.XLOOKUP(Append15[[#This Row],[WeatherSituation]],Mappings!$E$3:$E$6,Mappings!$F$3:$F$6)</f>
        <v>Mist/Cloudy</v>
      </c>
      <c r="M141">
        <v>0.2</v>
      </c>
      <c r="N141">
        <v>0.19700000000000001</v>
      </c>
      <c r="O141">
        <v>0.69</v>
      </c>
      <c r="P141">
        <v>0.22389999999999999</v>
      </c>
      <c r="Q141">
        <v>2</v>
      </c>
      <c r="R141">
        <v>5</v>
      </c>
      <c r="S141">
        <v>7</v>
      </c>
    </row>
    <row r="142" spans="1:19" x14ac:dyDescent="0.3">
      <c r="A142">
        <v>141</v>
      </c>
      <c r="B142" s="4">
        <v>40550</v>
      </c>
      <c r="C142">
        <v>1</v>
      </c>
      <c r="D142">
        <v>2</v>
      </c>
      <c r="E142" t="str">
        <f t="shared" si="6"/>
        <v>2 AM</v>
      </c>
      <c r="F142" t="str">
        <f t="shared" si="7"/>
        <v>Night</v>
      </c>
      <c r="G142" t="b">
        <v>0</v>
      </c>
      <c r="H142">
        <v>5</v>
      </c>
      <c r="I142" t="str">
        <f>_xlfn.XLOOKUP(Append15[[#This Row],[Week day]],Mappings!$B$3:$B$9,Mappings!$C$3:$C$9)</f>
        <v>Friday</v>
      </c>
      <c r="J142" t="str">
        <f t="shared" si="8"/>
        <v>Weekday</v>
      </c>
      <c r="K142">
        <v>2</v>
      </c>
      <c r="L142" t="str">
        <f>_xlfn.XLOOKUP(Append15[[#This Row],[WeatherSituation]],Mappings!$E$3:$E$6,Mappings!$F$3:$F$6)</f>
        <v>Mist/Cloudy</v>
      </c>
      <c r="M142">
        <v>0.2</v>
      </c>
      <c r="N142">
        <v>0.19700000000000001</v>
      </c>
      <c r="O142">
        <v>0.69</v>
      </c>
      <c r="P142">
        <v>0.22389999999999999</v>
      </c>
      <c r="Q142">
        <v>0</v>
      </c>
      <c r="R142">
        <v>1</v>
      </c>
      <c r="S142">
        <v>1</v>
      </c>
    </row>
    <row r="143" spans="1:19" x14ac:dyDescent="0.3">
      <c r="A143">
        <v>142</v>
      </c>
      <c r="B143" s="4">
        <v>40550</v>
      </c>
      <c r="C143">
        <v>1</v>
      </c>
      <c r="D143">
        <v>4</v>
      </c>
      <c r="E143" t="str">
        <f t="shared" si="6"/>
        <v>4 AM</v>
      </c>
      <c r="F143" t="str">
        <f t="shared" si="7"/>
        <v>Night</v>
      </c>
      <c r="G143" t="b">
        <v>0</v>
      </c>
      <c r="H143">
        <v>5</v>
      </c>
      <c r="I143" t="str">
        <f>_xlfn.XLOOKUP(Append15[[#This Row],[Week day]],Mappings!$B$3:$B$9,Mappings!$C$3:$C$9)</f>
        <v>Friday</v>
      </c>
      <c r="J143" t="str">
        <f t="shared" si="8"/>
        <v>Weekday</v>
      </c>
      <c r="K143">
        <v>2</v>
      </c>
      <c r="L143" t="str">
        <f>_xlfn.XLOOKUP(Append15[[#This Row],[WeatherSituation]],Mappings!$E$3:$E$6,Mappings!$F$3:$F$6)</f>
        <v>Mist/Cloudy</v>
      </c>
      <c r="M143">
        <v>0.2</v>
      </c>
      <c r="N143">
        <v>0.21210000000000001</v>
      </c>
      <c r="O143">
        <v>0.69</v>
      </c>
      <c r="P143">
        <v>0.1343</v>
      </c>
      <c r="Q143">
        <v>0</v>
      </c>
      <c r="R143">
        <v>1</v>
      </c>
      <c r="S143">
        <v>1</v>
      </c>
    </row>
    <row r="144" spans="1:19" x14ac:dyDescent="0.3">
      <c r="A144">
        <v>143</v>
      </c>
      <c r="B144" s="4">
        <v>40550</v>
      </c>
      <c r="C144">
        <v>1</v>
      </c>
      <c r="D144">
        <v>5</v>
      </c>
      <c r="E144" t="str">
        <f t="shared" si="6"/>
        <v>5 AM</v>
      </c>
      <c r="F144" t="str">
        <f t="shared" si="7"/>
        <v>Morning</v>
      </c>
      <c r="G144" t="b">
        <v>0</v>
      </c>
      <c r="H144">
        <v>5</v>
      </c>
      <c r="I144" t="str">
        <f>_xlfn.XLOOKUP(Append15[[#This Row],[Week day]],Mappings!$B$3:$B$9,Mappings!$C$3:$C$9)</f>
        <v>Friday</v>
      </c>
      <c r="J144" t="str">
        <f t="shared" si="8"/>
        <v>Weekday</v>
      </c>
      <c r="K144">
        <v>3</v>
      </c>
      <c r="L144" t="str">
        <f>_xlfn.XLOOKUP(Append15[[#This Row],[WeatherSituation]],Mappings!$E$3:$E$6,Mappings!$F$3:$F$6)</f>
        <v>Light Rain</v>
      </c>
      <c r="M144">
        <v>0.22</v>
      </c>
      <c r="N144">
        <v>0.2727</v>
      </c>
      <c r="O144">
        <v>0.55000000000000004</v>
      </c>
      <c r="P144">
        <v>0</v>
      </c>
      <c r="Q144">
        <v>0</v>
      </c>
      <c r="R144">
        <v>5</v>
      </c>
      <c r="S144">
        <v>5</v>
      </c>
    </row>
    <row r="145" spans="1:19" x14ac:dyDescent="0.3">
      <c r="A145">
        <v>144</v>
      </c>
      <c r="B145" s="4">
        <v>40550</v>
      </c>
      <c r="C145">
        <v>1</v>
      </c>
      <c r="D145">
        <v>6</v>
      </c>
      <c r="E145" t="str">
        <f t="shared" si="6"/>
        <v>6 AM</v>
      </c>
      <c r="F145" t="str">
        <f t="shared" si="7"/>
        <v>Morning</v>
      </c>
      <c r="G145" t="b">
        <v>0</v>
      </c>
      <c r="H145">
        <v>5</v>
      </c>
      <c r="I145" t="str">
        <f>_xlfn.XLOOKUP(Append15[[#This Row],[Week day]],Mappings!$B$3:$B$9,Mappings!$C$3:$C$9)</f>
        <v>Friday</v>
      </c>
      <c r="J145" t="str">
        <f t="shared" si="8"/>
        <v>Weekday</v>
      </c>
      <c r="K145">
        <v>2</v>
      </c>
      <c r="L145" t="str">
        <f>_xlfn.XLOOKUP(Append15[[#This Row],[WeatherSituation]],Mappings!$E$3:$E$6,Mappings!$F$3:$F$6)</f>
        <v>Mist/Cloudy</v>
      </c>
      <c r="M145">
        <v>0.2</v>
      </c>
      <c r="N145">
        <v>0.2576</v>
      </c>
      <c r="O145">
        <v>0.69</v>
      </c>
      <c r="P145">
        <v>0</v>
      </c>
      <c r="Q145">
        <v>8</v>
      </c>
      <c r="R145">
        <v>26</v>
      </c>
      <c r="S145">
        <v>34</v>
      </c>
    </row>
    <row r="146" spans="1:19" x14ac:dyDescent="0.3">
      <c r="A146">
        <v>145</v>
      </c>
      <c r="B146" s="4">
        <v>40550</v>
      </c>
      <c r="C146">
        <v>1</v>
      </c>
      <c r="D146">
        <v>7</v>
      </c>
      <c r="E146" t="str">
        <f t="shared" si="6"/>
        <v>7 AM</v>
      </c>
      <c r="F146" t="str">
        <f t="shared" si="7"/>
        <v>Morning</v>
      </c>
      <c r="G146" t="b">
        <v>0</v>
      </c>
      <c r="H146">
        <v>5</v>
      </c>
      <c r="I146" t="str">
        <f>_xlfn.XLOOKUP(Append15[[#This Row],[Week day]],Mappings!$B$3:$B$9,Mappings!$C$3:$C$9)</f>
        <v>Friday</v>
      </c>
      <c r="J146" t="str">
        <f t="shared" si="8"/>
        <v>Weekday</v>
      </c>
      <c r="K146">
        <v>1</v>
      </c>
      <c r="L146" t="str">
        <f>_xlfn.XLOOKUP(Append15[[#This Row],[WeatherSituation]],Mappings!$E$3:$E$6,Mappings!$F$3:$F$6)</f>
        <v>Clear Sky</v>
      </c>
      <c r="M146">
        <v>0.2</v>
      </c>
      <c r="N146">
        <v>0.21210000000000001</v>
      </c>
      <c r="O146">
        <v>0.69</v>
      </c>
      <c r="P146">
        <v>0.1343</v>
      </c>
      <c r="Q146">
        <v>8</v>
      </c>
      <c r="R146">
        <v>76</v>
      </c>
      <c r="S146">
        <v>84</v>
      </c>
    </row>
    <row r="147" spans="1:19" x14ac:dyDescent="0.3">
      <c r="A147">
        <v>146</v>
      </c>
      <c r="B147" s="4">
        <v>40550</v>
      </c>
      <c r="C147">
        <v>1</v>
      </c>
      <c r="D147">
        <v>8</v>
      </c>
      <c r="E147" t="str">
        <f t="shared" si="6"/>
        <v>8 AM</v>
      </c>
      <c r="F147" t="str">
        <f t="shared" si="7"/>
        <v>Morning</v>
      </c>
      <c r="G147" t="b">
        <v>0</v>
      </c>
      <c r="H147">
        <v>5</v>
      </c>
      <c r="I147" t="str">
        <f>_xlfn.XLOOKUP(Append15[[#This Row],[Week day]],Mappings!$B$3:$B$9,Mappings!$C$3:$C$9)</f>
        <v>Friday</v>
      </c>
      <c r="J147" t="str">
        <f t="shared" si="8"/>
        <v>Weekday</v>
      </c>
      <c r="K147">
        <v>1</v>
      </c>
      <c r="L147" t="str">
        <f>_xlfn.XLOOKUP(Append15[[#This Row],[WeatherSituation]],Mappings!$E$3:$E$6,Mappings!$F$3:$F$6)</f>
        <v>Clear Sky</v>
      </c>
      <c r="M147">
        <v>0.2</v>
      </c>
      <c r="N147">
        <v>0.19700000000000001</v>
      </c>
      <c r="O147">
        <v>0.51</v>
      </c>
      <c r="P147">
        <v>0.25369999999999998</v>
      </c>
      <c r="Q147">
        <v>20</v>
      </c>
      <c r="R147">
        <v>190</v>
      </c>
      <c r="S147">
        <v>210</v>
      </c>
    </row>
    <row r="148" spans="1:19" x14ac:dyDescent="0.3">
      <c r="A148">
        <v>147</v>
      </c>
      <c r="B148" s="4">
        <v>40550</v>
      </c>
      <c r="C148">
        <v>1</v>
      </c>
      <c r="D148">
        <v>9</v>
      </c>
      <c r="E148" t="str">
        <f t="shared" si="6"/>
        <v>9 AM</v>
      </c>
      <c r="F148" t="str">
        <f t="shared" si="7"/>
        <v>Morning</v>
      </c>
      <c r="G148" t="b">
        <v>0</v>
      </c>
      <c r="H148">
        <v>5</v>
      </c>
      <c r="I148" t="str">
        <f>_xlfn.XLOOKUP(Append15[[#This Row],[Week day]],Mappings!$B$3:$B$9,Mappings!$C$3:$C$9)</f>
        <v>Friday</v>
      </c>
      <c r="J148" t="str">
        <f t="shared" si="8"/>
        <v>Weekday</v>
      </c>
      <c r="K148">
        <v>1</v>
      </c>
      <c r="L148" t="str">
        <f>_xlfn.XLOOKUP(Append15[[#This Row],[WeatherSituation]],Mappings!$E$3:$E$6,Mappings!$F$3:$F$6)</f>
        <v>Clear Sky</v>
      </c>
      <c r="M148">
        <v>0.2</v>
      </c>
      <c r="N148">
        <v>0.18179999999999999</v>
      </c>
      <c r="O148">
        <v>0.47</v>
      </c>
      <c r="P148">
        <v>0.29849999999999999</v>
      </c>
      <c r="Q148">
        <v>9</v>
      </c>
      <c r="R148">
        <v>125</v>
      </c>
      <c r="S148">
        <v>134</v>
      </c>
    </row>
    <row r="149" spans="1:19" x14ac:dyDescent="0.3">
      <c r="A149">
        <v>148</v>
      </c>
      <c r="B149" s="4">
        <v>40550</v>
      </c>
      <c r="C149">
        <v>1</v>
      </c>
      <c r="D149">
        <v>10</v>
      </c>
      <c r="E149" t="str">
        <f t="shared" si="6"/>
        <v>10 AM</v>
      </c>
      <c r="F149" t="str">
        <f t="shared" si="7"/>
        <v>Morning</v>
      </c>
      <c r="G149" t="b">
        <v>0</v>
      </c>
      <c r="H149">
        <v>5</v>
      </c>
      <c r="I149" t="str">
        <f>_xlfn.XLOOKUP(Append15[[#This Row],[Week day]],Mappings!$B$3:$B$9,Mappings!$C$3:$C$9)</f>
        <v>Friday</v>
      </c>
      <c r="J149" t="str">
        <f t="shared" si="8"/>
        <v>Weekday</v>
      </c>
      <c r="K149">
        <v>1</v>
      </c>
      <c r="L149" t="str">
        <f>_xlfn.XLOOKUP(Append15[[#This Row],[WeatherSituation]],Mappings!$E$3:$E$6,Mappings!$F$3:$F$6)</f>
        <v>Clear Sky</v>
      </c>
      <c r="M149">
        <v>0.22</v>
      </c>
      <c r="N149">
        <v>0.19700000000000001</v>
      </c>
      <c r="O149">
        <v>0.37</v>
      </c>
      <c r="P149">
        <v>0.32840000000000003</v>
      </c>
      <c r="Q149">
        <v>16</v>
      </c>
      <c r="R149">
        <v>47</v>
      </c>
      <c r="S149">
        <v>63</v>
      </c>
    </row>
    <row r="150" spans="1:19" x14ac:dyDescent="0.3">
      <c r="A150">
        <v>149</v>
      </c>
      <c r="B150" s="4">
        <v>40550</v>
      </c>
      <c r="C150">
        <v>1</v>
      </c>
      <c r="D150">
        <v>11</v>
      </c>
      <c r="E150" t="str">
        <f t="shared" si="6"/>
        <v>11 AM</v>
      </c>
      <c r="F150" t="str">
        <f t="shared" si="7"/>
        <v>Morning</v>
      </c>
      <c r="G150" t="b">
        <v>0</v>
      </c>
      <c r="H150">
        <v>5</v>
      </c>
      <c r="I150" t="str">
        <f>_xlfn.XLOOKUP(Append15[[#This Row],[Week day]],Mappings!$B$3:$B$9,Mappings!$C$3:$C$9)</f>
        <v>Friday</v>
      </c>
      <c r="J150" t="str">
        <f t="shared" si="8"/>
        <v>Weekday</v>
      </c>
      <c r="K150">
        <v>2</v>
      </c>
      <c r="L150" t="str">
        <f>_xlfn.XLOOKUP(Append15[[#This Row],[WeatherSituation]],Mappings!$E$3:$E$6,Mappings!$F$3:$F$6)</f>
        <v>Mist/Cloudy</v>
      </c>
      <c r="M150">
        <v>0.2</v>
      </c>
      <c r="N150">
        <v>0.19700000000000001</v>
      </c>
      <c r="O150">
        <v>0.4</v>
      </c>
      <c r="P150">
        <v>0.22389999999999999</v>
      </c>
      <c r="Q150">
        <v>19</v>
      </c>
      <c r="R150">
        <v>48</v>
      </c>
      <c r="S150">
        <v>67</v>
      </c>
    </row>
    <row r="151" spans="1:19" x14ac:dyDescent="0.3">
      <c r="A151">
        <v>150</v>
      </c>
      <c r="B151" s="4">
        <v>40550</v>
      </c>
      <c r="C151">
        <v>1</v>
      </c>
      <c r="D151">
        <v>12</v>
      </c>
      <c r="E151" t="str">
        <f t="shared" si="6"/>
        <v>12 PM</v>
      </c>
      <c r="F151" t="str">
        <f t="shared" si="7"/>
        <v>AfterNoon</v>
      </c>
      <c r="G151" t="b">
        <v>0</v>
      </c>
      <c r="H151">
        <v>5</v>
      </c>
      <c r="I151" t="str">
        <f>_xlfn.XLOOKUP(Append15[[#This Row],[Week day]],Mappings!$B$3:$B$9,Mappings!$C$3:$C$9)</f>
        <v>Friday</v>
      </c>
      <c r="J151" t="str">
        <f t="shared" si="8"/>
        <v>Weekday</v>
      </c>
      <c r="K151">
        <v>2</v>
      </c>
      <c r="L151" t="str">
        <f>_xlfn.XLOOKUP(Append15[[#This Row],[WeatherSituation]],Mappings!$E$3:$E$6,Mappings!$F$3:$F$6)</f>
        <v>Mist/Cloudy</v>
      </c>
      <c r="M151">
        <v>0.2</v>
      </c>
      <c r="N151">
        <v>0.19700000000000001</v>
      </c>
      <c r="O151">
        <v>0.37</v>
      </c>
      <c r="P151">
        <v>0.25369999999999998</v>
      </c>
      <c r="Q151">
        <v>9</v>
      </c>
      <c r="R151">
        <v>50</v>
      </c>
      <c r="S151">
        <v>59</v>
      </c>
    </row>
    <row r="152" spans="1:19" x14ac:dyDescent="0.3">
      <c r="A152">
        <v>151</v>
      </c>
      <c r="B152" s="4">
        <v>40550</v>
      </c>
      <c r="C152">
        <v>1</v>
      </c>
      <c r="D152">
        <v>13</v>
      </c>
      <c r="E152" t="str">
        <f t="shared" si="6"/>
        <v>1 PM</v>
      </c>
      <c r="F152" t="str">
        <f t="shared" si="7"/>
        <v>AfterNoon</v>
      </c>
      <c r="G152" t="b">
        <v>0</v>
      </c>
      <c r="H152">
        <v>5</v>
      </c>
      <c r="I152" t="str">
        <f>_xlfn.XLOOKUP(Append15[[#This Row],[Week day]],Mappings!$B$3:$B$9,Mappings!$C$3:$C$9)</f>
        <v>Friday</v>
      </c>
      <c r="J152" t="str">
        <f t="shared" si="8"/>
        <v>Weekday</v>
      </c>
      <c r="K152">
        <v>2</v>
      </c>
      <c r="L152" t="str">
        <f>_xlfn.XLOOKUP(Append15[[#This Row],[WeatherSituation]],Mappings!$E$3:$E$6,Mappings!$F$3:$F$6)</f>
        <v>Mist/Cloudy</v>
      </c>
      <c r="M152">
        <v>0.2</v>
      </c>
      <c r="N152">
        <v>0.18179999999999999</v>
      </c>
      <c r="O152">
        <v>0.37</v>
      </c>
      <c r="P152">
        <v>0.28360000000000002</v>
      </c>
      <c r="Q152">
        <v>9</v>
      </c>
      <c r="R152">
        <v>64</v>
      </c>
      <c r="S152">
        <v>73</v>
      </c>
    </row>
    <row r="153" spans="1:19" x14ac:dyDescent="0.3">
      <c r="A153">
        <v>152</v>
      </c>
      <c r="B153" s="4">
        <v>40550</v>
      </c>
      <c r="C153">
        <v>1</v>
      </c>
      <c r="D153">
        <v>14</v>
      </c>
      <c r="E153" t="str">
        <f t="shared" si="6"/>
        <v>2 PM</v>
      </c>
      <c r="F153" t="str">
        <f t="shared" si="7"/>
        <v>AfterNoon</v>
      </c>
      <c r="G153" t="b">
        <v>0</v>
      </c>
      <c r="H153">
        <v>5</v>
      </c>
      <c r="I153" t="str">
        <f>_xlfn.XLOOKUP(Append15[[#This Row],[Week day]],Mappings!$B$3:$B$9,Mappings!$C$3:$C$9)</f>
        <v>Friday</v>
      </c>
      <c r="J153" t="str">
        <f t="shared" si="8"/>
        <v>Weekday</v>
      </c>
      <c r="K153">
        <v>2</v>
      </c>
      <c r="L153" t="str">
        <f>_xlfn.XLOOKUP(Append15[[#This Row],[WeatherSituation]],Mappings!$E$3:$E$6,Mappings!$F$3:$F$6)</f>
        <v>Mist/Cloudy</v>
      </c>
      <c r="M153">
        <v>0.2</v>
      </c>
      <c r="N153">
        <v>0.19700000000000001</v>
      </c>
      <c r="O153">
        <v>0.4</v>
      </c>
      <c r="P153">
        <v>0.25369999999999998</v>
      </c>
      <c r="Q153">
        <v>7</v>
      </c>
      <c r="R153">
        <v>43</v>
      </c>
      <c r="S153">
        <v>50</v>
      </c>
    </row>
    <row r="154" spans="1:19" x14ac:dyDescent="0.3">
      <c r="A154">
        <v>153</v>
      </c>
      <c r="B154" s="4">
        <v>40550</v>
      </c>
      <c r="C154">
        <v>1</v>
      </c>
      <c r="D154">
        <v>15</v>
      </c>
      <c r="E154" t="str">
        <f t="shared" si="6"/>
        <v>3 PM</v>
      </c>
      <c r="F154" t="str">
        <f t="shared" si="7"/>
        <v>AfterNoon</v>
      </c>
      <c r="G154" t="b">
        <v>0</v>
      </c>
      <c r="H154">
        <v>5</v>
      </c>
      <c r="I154" t="str">
        <f>_xlfn.XLOOKUP(Append15[[#This Row],[Week day]],Mappings!$B$3:$B$9,Mappings!$C$3:$C$9)</f>
        <v>Friday</v>
      </c>
      <c r="J154" t="str">
        <f t="shared" si="8"/>
        <v>Weekday</v>
      </c>
      <c r="K154">
        <v>2</v>
      </c>
      <c r="L154" t="str">
        <f>_xlfn.XLOOKUP(Append15[[#This Row],[WeatherSituation]],Mappings!$E$3:$E$6,Mappings!$F$3:$F$6)</f>
        <v>Mist/Cloudy</v>
      </c>
      <c r="M154">
        <v>0.2</v>
      </c>
      <c r="N154">
        <v>0.21210000000000001</v>
      </c>
      <c r="O154">
        <v>0.37</v>
      </c>
      <c r="P154">
        <v>0.16420000000000001</v>
      </c>
      <c r="Q154">
        <v>9</v>
      </c>
      <c r="R154">
        <v>63</v>
      </c>
      <c r="S154">
        <v>72</v>
      </c>
    </row>
    <row r="155" spans="1:19" x14ac:dyDescent="0.3">
      <c r="A155">
        <v>154</v>
      </c>
      <c r="B155" s="4">
        <v>40550</v>
      </c>
      <c r="C155">
        <v>1</v>
      </c>
      <c r="D155">
        <v>16</v>
      </c>
      <c r="E155" t="str">
        <f t="shared" si="6"/>
        <v>4 PM</v>
      </c>
      <c r="F155" t="str">
        <f t="shared" si="7"/>
        <v>Evening</v>
      </c>
      <c r="G155" t="b">
        <v>0</v>
      </c>
      <c r="H155">
        <v>5</v>
      </c>
      <c r="I155" t="str">
        <f>_xlfn.XLOOKUP(Append15[[#This Row],[Week day]],Mappings!$B$3:$B$9,Mappings!$C$3:$C$9)</f>
        <v>Friday</v>
      </c>
      <c r="J155" t="str">
        <f t="shared" si="8"/>
        <v>Weekday</v>
      </c>
      <c r="K155">
        <v>2</v>
      </c>
      <c r="L155" t="str">
        <f>_xlfn.XLOOKUP(Append15[[#This Row],[WeatherSituation]],Mappings!$E$3:$E$6,Mappings!$F$3:$F$6)</f>
        <v>Mist/Cloudy</v>
      </c>
      <c r="M155">
        <v>0.2</v>
      </c>
      <c r="N155">
        <v>0.21210000000000001</v>
      </c>
      <c r="O155">
        <v>0.37</v>
      </c>
      <c r="P155">
        <v>0.16420000000000001</v>
      </c>
      <c r="Q155">
        <v>5</v>
      </c>
      <c r="R155">
        <v>82</v>
      </c>
      <c r="S155">
        <v>87</v>
      </c>
    </row>
    <row r="156" spans="1:19" x14ac:dyDescent="0.3">
      <c r="A156">
        <v>155</v>
      </c>
      <c r="B156" s="4">
        <v>40550</v>
      </c>
      <c r="C156">
        <v>1</v>
      </c>
      <c r="D156">
        <v>17</v>
      </c>
      <c r="E156" t="str">
        <f t="shared" si="6"/>
        <v>5 PM</v>
      </c>
      <c r="F156" t="str">
        <f t="shared" si="7"/>
        <v>Evening</v>
      </c>
      <c r="G156" t="b">
        <v>0</v>
      </c>
      <c r="H156">
        <v>5</v>
      </c>
      <c r="I156" t="str">
        <f>_xlfn.XLOOKUP(Append15[[#This Row],[Week day]],Mappings!$B$3:$B$9,Mappings!$C$3:$C$9)</f>
        <v>Friday</v>
      </c>
      <c r="J156" t="str">
        <f t="shared" si="8"/>
        <v>Weekday</v>
      </c>
      <c r="K156">
        <v>2</v>
      </c>
      <c r="L156" t="str">
        <f>_xlfn.XLOOKUP(Append15[[#This Row],[WeatherSituation]],Mappings!$E$3:$E$6,Mappings!$F$3:$F$6)</f>
        <v>Mist/Cloudy</v>
      </c>
      <c r="M156">
        <v>0.2</v>
      </c>
      <c r="N156">
        <v>0.2576</v>
      </c>
      <c r="O156">
        <v>0.37</v>
      </c>
      <c r="P156">
        <v>0</v>
      </c>
      <c r="Q156">
        <v>9</v>
      </c>
      <c r="R156">
        <v>178</v>
      </c>
      <c r="S156">
        <v>187</v>
      </c>
    </row>
    <row r="157" spans="1:19" x14ac:dyDescent="0.3">
      <c r="A157">
        <v>156</v>
      </c>
      <c r="B157" s="4">
        <v>40550</v>
      </c>
      <c r="C157">
        <v>1</v>
      </c>
      <c r="D157">
        <v>18</v>
      </c>
      <c r="E157" t="str">
        <f t="shared" si="6"/>
        <v>6 PM</v>
      </c>
      <c r="F157" t="str">
        <f t="shared" si="7"/>
        <v>Evening</v>
      </c>
      <c r="G157" t="b">
        <v>0</v>
      </c>
      <c r="H157">
        <v>5</v>
      </c>
      <c r="I157" t="str">
        <f>_xlfn.XLOOKUP(Append15[[#This Row],[Week day]],Mappings!$B$3:$B$9,Mappings!$C$3:$C$9)</f>
        <v>Friday</v>
      </c>
      <c r="J157" t="str">
        <f t="shared" si="8"/>
        <v>Weekday</v>
      </c>
      <c r="K157">
        <v>1</v>
      </c>
      <c r="L157" t="str">
        <f>_xlfn.XLOOKUP(Append15[[#This Row],[WeatherSituation]],Mappings!$E$3:$E$6,Mappings!$F$3:$F$6)</f>
        <v>Clear Sky</v>
      </c>
      <c r="M157">
        <v>0.2</v>
      </c>
      <c r="N157">
        <v>0.2273</v>
      </c>
      <c r="O157">
        <v>0.4</v>
      </c>
      <c r="P157">
        <v>8.9599999999999999E-2</v>
      </c>
      <c r="Q157">
        <v>7</v>
      </c>
      <c r="R157">
        <v>116</v>
      </c>
      <c r="S157">
        <v>123</v>
      </c>
    </row>
    <row r="158" spans="1:19" x14ac:dyDescent="0.3">
      <c r="A158">
        <v>157</v>
      </c>
      <c r="B158" s="4">
        <v>40550</v>
      </c>
      <c r="C158">
        <v>1</v>
      </c>
      <c r="D158">
        <v>19</v>
      </c>
      <c r="E158" t="str">
        <f t="shared" si="6"/>
        <v>7 PM</v>
      </c>
      <c r="F158" t="str">
        <f t="shared" si="7"/>
        <v>Evening</v>
      </c>
      <c r="G158" t="b">
        <v>0</v>
      </c>
      <c r="H158">
        <v>5</v>
      </c>
      <c r="I158" t="str">
        <f>_xlfn.XLOOKUP(Append15[[#This Row],[Week day]],Mappings!$B$3:$B$9,Mappings!$C$3:$C$9)</f>
        <v>Friday</v>
      </c>
      <c r="J158" t="str">
        <f t="shared" si="8"/>
        <v>Weekday</v>
      </c>
      <c r="K158">
        <v>1</v>
      </c>
      <c r="L158" t="str">
        <f>_xlfn.XLOOKUP(Append15[[#This Row],[WeatherSituation]],Mappings!$E$3:$E$6,Mappings!$F$3:$F$6)</f>
        <v>Clear Sky</v>
      </c>
      <c r="M158">
        <v>0.16</v>
      </c>
      <c r="N158">
        <v>0.19700000000000001</v>
      </c>
      <c r="O158">
        <v>0.55000000000000004</v>
      </c>
      <c r="P158">
        <v>8.9599999999999999E-2</v>
      </c>
      <c r="Q158">
        <v>3</v>
      </c>
      <c r="R158">
        <v>92</v>
      </c>
      <c r="S158">
        <v>95</v>
      </c>
    </row>
    <row r="159" spans="1:19" x14ac:dyDescent="0.3">
      <c r="A159">
        <v>158</v>
      </c>
      <c r="B159" s="4">
        <v>40550</v>
      </c>
      <c r="C159">
        <v>1</v>
      </c>
      <c r="D159">
        <v>20</v>
      </c>
      <c r="E159" t="str">
        <f t="shared" si="6"/>
        <v>8 PM</v>
      </c>
      <c r="F159" t="str">
        <f t="shared" si="7"/>
        <v>Night</v>
      </c>
      <c r="G159" t="b">
        <v>0</v>
      </c>
      <c r="H159">
        <v>5</v>
      </c>
      <c r="I159" t="str">
        <f>_xlfn.XLOOKUP(Append15[[#This Row],[Week day]],Mappings!$B$3:$B$9,Mappings!$C$3:$C$9)</f>
        <v>Friday</v>
      </c>
      <c r="J159" t="str">
        <f t="shared" si="8"/>
        <v>Weekday</v>
      </c>
      <c r="K159">
        <v>1</v>
      </c>
      <c r="L159" t="str">
        <f>_xlfn.XLOOKUP(Append15[[#This Row],[WeatherSituation]],Mappings!$E$3:$E$6,Mappings!$F$3:$F$6)</f>
        <v>Clear Sky</v>
      </c>
      <c r="M159">
        <v>0.18</v>
      </c>
      <c r="N159">
        <v>0.21210000000000001</v>
      </c>
      <c r="O159">
        <v>0.47</v>
      </c>
      <c r="P159">
        <v>0.1045</v>
      </c>
      <c r="Q159">
        <v>1</v>
      </c>
      <c r="R159">
        <v>50</v>
      </c>
      <c r="S159">
        <v>51</v>
      </c>
    </row>
    <row r="160" spans="1:19" x14ac:dyDescent="0.3">
      <c r="A160">
        <v>159</v>
      </c>
      <c r="B160" s="4">
        <v>40550</v>
      </c>
      <c r="C160">
        <v>1</v>
      </c>
      <c r="D160">
        <v>21</v>
      </c>
      <c r="E160" t="str">
        <f t="shared" si="6"/>
        <v>9 PM</v>
      </c>
      <c r="F160" t="str">
        <f t="shared" si="7"/>
        <v>Night</v>
      </c>
      <c r="G160" t="b">
        <v>0</v>
      </c>
      <c r="H160">
        <v>5</v>
      </c>
      <c r="I160" t="str">
        <f>_xlfn.XLOOKUP(Append15[[#This Row],[Week day]],Mappings!$B$3:$B$9,Mappings!$C$3:$C$9)</f>
        <v>Friday</v>
      </c>
      <c r="J160" t="str">
        <f t="shared" si="8"/>
        <v>Weekday</v>
      </c>
      <c r="K160">
        <v>1</v>
      </c>
      <c r="L160" t="str">
        <f>_xlfn.XLOOKUP(Append15[[#This Row],[WeatherSituation]],Mappings!$E$3:$E$6,Mappings!$F$3:$F$6)</f>
        <v>Clear Sky</v>
      </c>
      <c r="M160">
        <v>0.18</v>
      </c>
      <c r="N160">
        <v>0.19700000000000001</v>
      </c>
      <c r="O160">
        <v>0.47</v>
      </c>
      <c r="P160">
        <v>0.1343</v>
      </c>
      <c r="Q160">
        <v>0</v>
      </c>
      <c r="R160">
        <v>39</v>
      </c>
      <c r="S160">
        <v>39</v>
      </c>
    </row>
    <row r="161" spans="1:19" x14ac:dyDescent="0.3">
      <c r="A161">
        <v>160</v>
      </c>
      <c r="B161" s="4">
        <v>40550</v>
      </c>
      <c r="C161">
        <v>1</v>
      </c>
      <c r="D161">
        <v>22</v>
      </c>
      <c r="E161" t="str">
        <f t="shared" si="6"/>
        <v>10 PM</v>
      </c>
      <c r="F161" t="str">
        <f t="shared" si="7"/>
        <v>Night</v>
      </c>
      <c r="G161" t="b">
        <v>0</v>
      </c>
      <c r="H161">
        <v>5</v>
      </c>
      <c r="I161" t="str">
        <f>_xlfn.XLOOKUP(Append15[[#This Row],[Week day]],Mappings!$B$3:$B$9,Mappings!$C$3:$C$9)</f>
        <v>Friday</v>
      </c>
      <c r="J161" t="str">
        <f t="shared" si="8"/>
        <v>Weekday</v>
      </c>
      <c r="K161">
        <v>2</v>
      </c>
      <c r="L161" t="str">
        <f>_xlfn.XLOOKUP(Append15[[#This Row],[WeatherSituation]],Mappings!$E$3:$E$6,Mappings!$F$3:$F$6)</f>
        <v>Mist/Cloudy</v>
      </c>
      <c r="M161">
        <v>0.18</v>
      </c>
      <c r="N161">
        <v>0.19700000000000001</v>
      </c>
      <c r="O161">
        <v>0.43</v>
      </c>
      <c r="P161">
        <v>0.16420000000000001</v>
      </c>
      <c r="Q161">
        <v>2</v>
      </c>
      <c r="R161">
        <v>34</v>
      </c>
      <c r="S161">
        <v>36</v>
      </c>
    </row>
    <row r="162" spans="1:19" x14ac:dyDescent="0.3">
      <c r="A162">
        <v>161</v>
      </c>
      <c r="B162" s="4">
        <v>40550</v>
      </c>
      <c r="C162">
        <v>1</v>
      </c>
      <c r="D162">
        <v>23</v>
      </c>
      <c r="E162" t="str">
        <f t="shared" si="6"/>
        <v>11 PM</v>
      </c>
      <c r="F162" t="str">
        <f t="shared" si="7"/>
        <v>Night</v>
      </c>
      <c r="G162" t="b">
        <v>0</v>
      </c>
      <c r="H162">
        <v>5</v>
      </c>
      <c r="I162" t="str">
        <f>_xlfn.XLOOKUP(Append15[[#This Row],[Week day]],Mappings!$B$3:$B$9,Mappings!$C$3:$C$9)</f>
        <v>Friday</v>
      </c>
      <c r="J162" t="str">
        <f t="shared" si="8"/>
        <v>Weekday</v>
      </c>
      <c r="K162">
        <v>2</v>
      </c>
      <c r="L162" t="str">
        <f>_xlfn.XLOOKUP(Append15[[#This Row],[WeatherSituation]],Mappings!$E$3:$E$6,Mappings!$F$3:$F$6)</f>
        <v>Mist/Cloudy</v>
      </c>
      <c r="M162">
        <v>0.18</v>
      </c>
      <c r="N162">
        <v>0.19700000000000001</v>
      </c>
      <c r="O162">
        <v>0.51</v>
      </c>
      <c r="P162">
        <v>0.16420000000000001</v>
      </c>
      <c r="Q162">
        <v>1</v>
      </c>
      <c r="R162">
        <v>14</v>
      </c>
      <c r="S162">
        <v>15</v>
      </c>
    </row>
    <row r="163" spans="1:19" x14ac:dyDescent="0.3">
      <c r="A163">
        <v>162</v>
      </c>
      <c r="B163" s="4">
        <v>40551</v>
      </c>
      <c r="C163">
        <v>1</v>
      </c>
      <c r="D163">
        <v>0</v>
      </c>
      <c r="E163" t="str">
        <f t="shared" si="6"/>
        <v>12 AM</v>
      </c>
      <c r="F163" t="str">
        <f t="shared" si="7"/>
        <v>Night</v>
      </c>
      <c r="G163" t="b">
        <v>0</v>
      </c>
      <c r="H163">
        <v>6</v>
      </c>
      <c r="I163" t="str">
        <f>_xlfn.XLOOKUP(Append15[[#This Row],[Week day]],Mappings!$B$3:$B$9,Mappings!$C$3:$C$9)</f>
        <v>Saturday</v>
      </c>
      <c r="J163" t="str">
        <f t="shared" si="8"/>
        <v>Weekend</v>
      </c>
      <c r="K163">
        <v>2</v>
      </c>
      <c r="L163" t="str">
        <f>_xlfn.XLOOKUP(Append15[[#This Row],[WeatherSituation]],Mappings!$E$3:$E$6,Mappings!$F$3:$F$6)</f>
        <v>Mist/Cloudy</v>
      </c>
      <c r="M163">
        <v>0.18</v>
      </c>
      <c r="N163">
        <v>0.19700000000000001</v>
      </c>
      <c r="O163">
        <v>0.51</v>
      </c>
      <c r="P163">
        <v>0.16420000000000001</v>
      </c>
      <c r="Q163">
        <v>1</v>
      </c>
      <c r="R163">
        <v>24</v>
      </c>
      <c r="S163">
        <v>25</v>
      </c>
    </row>
    <row r="164" spans="1:19" x14ac:dyDescent="0.3">
      <c r="A164">
        <v>163</v>
      </c>
      <c r="B164" s="4">
        <v>40551</v>
      </c>
      <c r="C164">
        <v>1</v>
      </c>
      <c r="D164">
        <v>1</v>
      </c>
      <c r="E164" t="str">
        <f t="shared" si="6"/>
        <v>1 AM</v>
      </c>
      <c r="F164" t="str">
        <f t="shared" si="7"/>
        <v>Night</v>
      </c>
      <c r="G164" t="b">
        <v>0</v>
      </c>
      <c r="H164">
        <v>6</v>
      </c>
      <c r="I164" t="str">
        <f>_xlfn.XLOOKUP(Append15[[#This Row],[Week day]],Mappings!$B$3:$B$9,Mappings!$C$3:$C$9)</f>
        <v>Saturday</v>
      </c>
      <c r="J164" t="str">
        <f t="shared" si="8"/>
        <v>Weekend</v>
      </c>
      <c r="K164">
        <v>2</v>
      </c>
      <c r="L164" t="str">
        <f>_xlfn.XLOOKUP(Append15[[#This Row],[WeatherSituation]],Mappings!$E$3:$E$6,Mappings!$F$3:$F$6)</f>
        <v>Mist/Cloudy</v>
      </c>
      <c r="M164">
        <v>0.18</v>
      </c>
      <c r="N164">
        <v>0.21210000000000001</v>
      </c>
      <c r="O164">
        <v>0.55000000000000004</v>
      </c>
      <c r="P164">
        <v>8.9599999999999999E-2</v>
      </c>
      <c r="Q164">
        <v>1</v>
      </c>
      <c r="R164">
        <v>15</v>
      </c>
      <c r="S164">
        <v>16</v>
      </c>
    </row>
    <row r="165" spans="1:19" x14ac:dyDescent="0.3">
      <c r="A165">
        <v>164</v>
      </c>
      <c r="B165" s="4">
        <v>40551</v>
      </c>
      <c r="C165">
        <v>1</v>
      </c>
      <c r="D165">
        <v>2</v>
      </c>
      <c r="E165" t="str">
        <f t="shared" si="6"/>
        <v>2 AM</v>
      </c>
      <c r="F165" t="str">
        <f t="shared" si="7"/>
        <v>Night</v>
      </c>
      <c r="G165" t="b">
        <v>0</v>
      </c>
      <c r="H165">
        <v>6</v>
      </c>
      <c r="I165" t="str">
        <f>_xlfn.XLOOKUP(Append15[[#This Row],[Week day]],Mappings!$B$3:$B$9,Mappings!$C$3:$C$9)</f>
        <v>Saturday</v>
      </c>
      <c r="J165" t="str">
        <f t="shared" si="8"/>
        <v>Weekend</v>
      </c>
      <c r="K165">
        <v>2</v>
      </c>
      <c r="L165" t="str">
        <f>_xlfn.XLOOKUP(Append15[[#This Row],[WeatherSituation]],Mappings!$E$3:$E$6,Mappings!$F$3:$F$6)</f>
        <v>Mist/Cloudy</v>
      </c>
      <c r="M165">
        <v>0.18</v>
      </c>
      <c r="N165">
        <v>0.2424</v>
      </c>
      <c r="O165">
        <v>0.55000000000000004</v>
      </c>
      <c r="P165">
        <v>0</v>
      </c>
      <c r="Q165">
        <v>3</v>
      </c>
      <c r="R165">
        <v>13</v>
      </c>
      <c r="S165">
        <v>16</v>
      </c>
    </row>
    <row r="166" spans="1:19" x14ac:dyDescent="0.3">
      <c r="A166">
        <v>165</v>
      </c>
      <c r="B166" s="4">
        <v>40551</v>
      </c>
      <c r="C166">
        <v>1</v>
      </c>
      <c r="D166">
        <v>3</v>
      </c>
      <c r="E166" t="str">
        <f t="shared" si="6"/>
        <v>3 AM</v>
      </c>
      <c r="F166" t="str">
        <f t="shared" si="7"/>
        <v>Night</v>
      </c>
      <c r="G166" t="b">
        <v>0</v>
      </c>
      <c r="H166">
        <v>6</v>
      </c>
      <c r="I166" t="str">
        <f>_xlfn.XLOOKUP(Append15[[#This Row],[Week day]],Mappings!$B$3:$B$9,Mappings!$C$3:$C$9)</f>
        <v>Saturday</v>
      </c>
      <c r="J166" t="str">
        <f t="shared" si="8"/>
        <v>Weekend</v>
      </c>
      <c r="K166">
        <v>3</v>
      </c>
      <c r="L166" t="str">
        <f>_xlfn.XLOOKUP(Append15[[#This Row],[WeatherSituation]],Mappings!$E$3:$E$6,Mappings!$F$3:$F$6)</f>
        <v>Light Rain</v>
      </c>
      <c r="M166">
        <v>0.18</v>
      </c>
      <c r="N166">
        <v>0.19700000000000001</v>
      </c>
      <c r="O166">
        <v>0.55000000000000004</v>
      </c>
      <c r="P166">
        <v>0.16420000000000001</v>
      </c>
      <c r="Q166">
        <v>0</v>
      </c>
      <c r="R166">
        <v>7</v>
      </c>
      <c r="S166">
        <v>7</v>
      </c>
    </row>
    <row r="167" spans="1:19" x14ac:dyDescent="0.3">
      <c r="A167">
        <v>166</v>
      </c>
      <c r="B167" s="4">
        <v>40551</v>
      </c>
      <c r="C167">
        <v>1</v>
      </c>
      <c r="D167">
        <v>4</v>
      </c>
      <c r="E167" t="str">
        <f t="shared" si="6"/>
        <v>4 AM</v>
      </c>
      <c r="F167" t="str">
        <f t="shared" si="7"/>
        <v>Night</v>
      </c>
      <c r="G167" t="b">
        <v>0</v>
      </c>
      <c r="H167">
        <v>6</v>
      </c>
      <c r="I167" t="str">
        <f>_xlfn.XLOOKUP(Append15[[#This Row],[Week day]],Mappings!$B$3:$B$9,Mappings!$C$3:$C$9)</f>
        <v>Saturday</v>
      </c>
      <c r="J167" t="str">
        <f t="shared" si="8"/>
        <v>Weekend</v>
      </c>
      <c r="K167">
        <v>3</v>
      </c>
      <c r="L167" t="str">
        <f>_xlfn.XLOOKUP(Append15[[#This Row],[WeatherSituation]],Mappings!$E$3:$E$6,Mappings!$F$3:$F$6)</f>
        <v>Light Rain</v>
      </c>
      <c r="M167">
        <v>0.18</v>
      </c>
      <c r="N167">
        <v>0.19700000000000001</v>
      </c>
      <c r="O167">
        <v>0.55000000000000004</v>
      </c>
      <c r="P167">
        <v>0.16420000000000001</v>
      </c>
      <c r="Q167">
        <v>0</v>
      </c>
      <c r="R167">
        <v>1</v>
      </c>
      <c r="S167">
        <v>1</v>
      </c>
    </row>
    <row r="168" spans="1:19" x14ac:dyDescent="0.3">
      <c r="A168">
        <v>167</v>
      </c>
      <c r="B168" s="4">
        <v>40551</v>
      </c>
      <c r="C168">
        <v>1</v>
      </c>
      <c r="D168">
        <v>5</v>
      </c>
      <c r="E168" t="str">
        <f t="shared" si="6"/>
        <v>5 AM</v>
      </c>
      <c r="F168" t="str">
        <f t="shared" si="7"/>
        <v>Morning</v>
      </c>
      <c r="G168" t="b">
        <v>0</v>
      </c>
      <c r="H168">
        <v>6</v>
      </c>
      <c r="I168" t="str">
        <f>_xlfn.XLOOKUP(Append15[[#This Row],[Week day]],Mappings!$B$3:$B$9,Mappings!$C$3:$C$9)</f>
        <v>Saturday</v>
      </c>
      <c r="J168" t="str">
        <f t="shared" si="8"/>
        <v>Weekend</v>
      </c>
      <c r="K168">
        <v>2</v>
      </c>
      <c r="L168" t="str">
        <f>_xlfn.XLOOKUP(Append15[[#This Row],[WeatherSituation]],Mappings!$E$3:$E$6,Mappings!$F$3:$F$6)</f>
        <v>Mist/Cloudy</v>
      </c>
      <c r="M168">
        <v>0.16</v>
      </c>
      <c r="N168">
        <v>0.16669999999999999</v>
      </c>
      <c r="O168">
        <v>0.74</v>
      </c>
      <c r="P168">
        <v>0.16420000000000001</v>
      </c>
      <c r="Q168">
        <v>0</v>
      </c>
      <c r="R168">
        <v>5</v>
      </c>
      <c r="S168">
        <v>5</v>
      </c>
    </row>
    <row r="169" spans="1:19" x14ac:dyDescent="0.3">
      <c r="A169">
        <v>168</v>
      </c>
      <c r="B169" s="4">
        <v>40551</v>
      </c>
      <c r="C169">
        <v>1</v>
      </c>
      <c r="D169">
        <v>6</v>
      </c>
      <c r="E169" t="str">
        <f t="shared" si="6"/>
        <v>6 AM</v>
      </c>
      <c r="F169" t="str">
        <f t="shared" si="7"/>
        <v>Morning</v>
      </c>
      <c r="G169" t="b">
        <v>0</v>
      </c>
      <c r="H169">
        <v>6</v>
      </c>
      <c r="I169" t="str">
        <f>_xlfn.XLOOKUP(Append15[[#This Row],[Week day]],Mappings!$B$3:$B$9,Mappings!$C$3:$C$9)</f>
        <v>Saturday</v>
      </c>
      <c r="J169" t="str">
        <f t="shared" si="8"/>
        <v>Weekend</v>
      </c>
      <c r="K169">
        <v>2</v>
      </c>
      <c r="L169" t="str">
        <f>_xlfn.XLOOKUP(Append15[[#This Row],[WeatherSituation]],Mappings!$E$3:$E$6,Mappings!$F$3:$F$6)</f>
        <v>Mist/Cloudy</v>
      </c>
      <c r="M169">
        <v>0.16</v>
      </c>
      <c r="N169">
        <v>0.16669999999999999</v>
      </c>
      <c r="O169">
        <v>0.74</v>
      </c>
      <c r="P169">
        <v>0.16420000000000001</v>
      </c>
      <c r="Q169">
        <v>0</v>
      </c>
      <c r="R169">
        <v>2</v>
      </c>
      <c r="S169">
        <v>2</v>
      </c>
    </row>
    <row r="170" spans="1:19" x14ac:dyDescent="0.3">
      <c r="A170">
        <v>169</v>
      </c>
      <c r="B170" s="4">
        <v>40551</v>
      </c>
      <c r="C170">
        <v>1</v>
      </c>
      <c r="D170">
        <v>7</v>
      </c>
      <c r="E170" t="str">
        <f t="shared" si="6"/>
        <v>7 AM</v>
      </c>
      <c r="F170" t="str">
        <f t="shared" si="7"/>
        <v>Morning</v>
      </c>
      <c r="G170" t="b">
        <v>0</v>
      </c>
      <c r="H170">
        <v>6</v>
      </c>
      <c r="I170" t="str">
        <f>_xlfn.XLOOKUP(Append15[[#This Row],[Week day]],Mappings!$B$3:$B$9,Mappings!$C$3:$C$9)</f>
        <v>Saturday</v>
      </c>
      <c r="J170" t="str">
        <f t="shared" si="8"/>
        <v>Weekend</v>
      </c>
      <c r="K170">
        <v>2</v>
      </c>
      <c r="L170" t="str">
        <f>_xlfn.XLOOKUP(Append15[[#This Row],[WeatherSituation]],Mappings!$E$3:$E$6,Mappings!$F$3:$F$6)</f>
        <v>Mist/Cloudy</v>
      </c>
      <c r="M170">
        <v>0.16</v>
      </c>
      <c r="N170">
        <v>0.18179999999999999</v>
      </c>
      <c r="O170">
        <v>0.74</v>
      </c>
      <c r="P170">
        <v>0.1045</v>
      </c>
      <c r="Q170">
        <v>1</v>
      </c>
      <c r="R170">
        <v>8</v>
      </c>
      <c r="S170">
        <v>9</v>
      </c>
    </row>
    <row r="171" spans="1:19" x14ac:dyDescent="0.3">
      <c r="A171">
        <v>170</v>
      </c>
      <c r="B171" s="4">
        <v>40551</v>
      </c>
      <c r="C171">
        <v>1</v>
      </c>
      <c r="D171">
        <v>8</v>
      </c>
      <c r="E171" t="str">
        <f t="shared" si="6"/>
        <v>8 AM</v>
      </c>
      <c r="F171" t="str">
        <f t="shared" si="7"/>
        <v>Morning</v>
      </c>
      <c r="G171" t="b">
        <v>0</v>
      </c>
      <c r="H171">
        <v>6</v>
      </c>
      <c r="I171" t="str">
        <f>_xlfn.XLOOKUP(Append15[[#This Row],[Week day]],Mappings!$B$3:$B$9,Mappings!$C$3:$C$9)</f>
        <v>Saturday</v>
      </c>
      <c r="J171" t="str">
        <f t="shared" si="8"/>
        <v>Weekend</v>
      </c>
      <c r="K171">
        <v>3</v>
      </c>
      <c r="L171" t="str">
        <f>_xlfn.XLOOKUP(Append15[[#This Row],[WeatherSituation]],Mappings!$E$3:$E$6,Mappings!$F$3:$F$6)</f>
        <v>Light Rain</v>
      </c>
      <c r="M171">
        <v>0.16</v>
      </c>
      <c r="N171">
        <v>0.18179999999999999</v>
      </c>
      <c r="O171">
        <v>0.93</v>
      </c>
      <c r="P171">
        <v>0.1045</v>
      </c>
      <c r="Q171">
        <v>0</v>
      </c>
      <c r="R171">
        <v>15</v>
      </c>
      <c r="S171">
        <v>15</v>
      </c>
    </row>
    <row r="172" spans="1:19" x14ac:dyDescent="0.3">
      <c r="A172">
        <v>171</v>
      </c>
      <c r="B172" s="4">
        <v>40551</v>
      </c>
      <c r="C172">
        <v>1</v>
      </c>
      <c r="D172">
        <v>9</v>
      </c>
      <c r="E172" t="str">
        <f t="shared" si="6"/>
        <v>9 AM</v>
      </c>
      <c r="F172" t="str">
        <f t="shared" si="7"/>
        <v>Morning</v>
      </c>
      <c r="G172" t="b">
        <v>0</v>
      </c>
      <c r="H172">
        <v>6</v>
      </c>
      <c r="I172" t="str">
        <f>_xlfn.XLOOKUP(Append15[[#This Row],[Week day]],Mappings!$B$3:$B$9,Mappings!$C$3:$C$9)</f>
        <v>Saturday</v>
      </c>
      <c r="J172" t="str">
        <f t="shared" si="8"/>
        <v>Weekend</v>
      </c>
      <c r="K172">
        <v>3</v>
      </c>
      <c r="L172" t="str">
        <f>_xlfn.XLOOKUP(Append15[[#This Row],[WeatherSituation]],Mappings!$E$3:$E$6,Mappings!$F$3:$F$6)</f>
        <v>Light Rain</v>
      </c>
      <c r="M172">
        <v>0.16</v>
      </c>
      <c r="N172">
        <v>0.18179999999999999</v>
      </c>
      <c r="O172">
        <v>0.93</v>
      </c>
      <c r="P172">
        <v>0.1045</v>
      </c>
      <c r="Q172">
        <v>0</v>
      </c>
      <c r="R172">
        <v>20</v>
      </c>
      <c r="S172">
        <v>20</v>
      </c>
    </row>
    <row r="173" spans="1:19" x14ac:dyDescent="0.3">
      <c r="A173">
        <v>172</v>
      </c>
      <c r="B173" s="4">
        <v>40551</v>
      </c>
      <c r="C173">
        <v>1</v>
      </c>
      <c r="D173">
        <v>10</v>
      </c>
      <c r="E173" t="str">
        <f t="shared" si="6"/>
        <v>10 AM</v>
      </c>
      <c r="F173" t="str">
        <f t="shared" si="7"/>
        <v>Morning</v>
      </c>
      <c r="G173" t="b">
        <v>0</v>
      </c>
      <c r="H173">
        <v>6</v>
      </c>
      <c r="I173" t="str">
        <f>_xlfn.XLOOKUP(Append15[[#This Row],[Week day]],Mappings!$B$3:$B$9,Mappings!$C$3:$C$9)</f>
        <v>Saturday</v>
      </c>
      <c r="J173" t="str">
        <f t="shared" si="8"/>
        <v>Weekend</v>
      </c>
      <c r="K173">
        <v>2</v>
      </c>
      <c r="L173" t="str">
        <f>_xlfn.XLOOKUP(Append15[[#This Row],[WeatherSituation]],Mappings!$E$3:$E$6,Mappings!$F$3:$F$6)</f>
        <v>Mist/Cloudy</v>
      </c>
      <c r="M173">
        <v>0.18</v>
      </c>
      <c r="N173">
        <v>0.19700000000000001</v>
      </c>
      <c r="O173">
        <v>0.8</v>
      </c>
      <c r="P173">
        <v>0.16420000000000001</v>
      </c>
      <c r="Q173">
        <v>5</v>
      </c>
      <c r="R173">
        <v>56</v>
      </c>
      <c r="S173">
        <v>61</v>
      </c>
    </row>
    <row r="174" spans="1:19" x14ac:dyDescent="0.3">
      <c r="A174">
        <v>173</v>
      </c>
      <c r="B174" s="4">
        <v>40551</v>
      </c>
      <c r="C174">
        <v>1</v>
      </c>
      <c r="D174">
        <v>11</v>
      </c>
      <c r="E174" t="str">
        <f t="shared" si="6"/>
        <v>11 AM</v>
      </c>
      <c r="F174" t="str">
        <f t="shared" si="7"/>
        <v>Morning</v>
      </c>
      <c r="G174" t="b">
        <v>0</v>
      </c>
      <c r="H174">
        <v>6</v>
      </c>
      <c r="I174" t="str">
        <f>_xlfn.XLOOKUP(Append15[[#This Row],[Week day]],Mappings!$B$3:$B$9,Mappings!$C$3:$C$9)</f>
        <v>Saturday</v>
      </c>
      <c r="J174" t="str">
        <f t="shared" si="8"/>
        <v>Weekend</v>
      </c>
      <c r="K174">
        <v>2</v>
      </c>
      <c r="L174" t="str">
        <f>_xlfn.XLOOKUP(Append15[[#This Row],[WeatherSituation]],Mappings!$E$3:$E$6,Mappings!$F$3:$F$6)</f>
        <v>Mist/Cloudy</v>
      </c>
      <c r="M174">
        <v>0.2</v>
      </c>
      <c r="N174">
        <v>0.18179999999999999</v>
      </c>
      <c r="O174">
        <v>0.69</v>
      </c>
      <c r="P174">
        <v>0.3881</v>
      </c>
      <c r="Q174">
        <v>2</v>
      </c>
      <c r="R174">
        <v>60</v>
      </c>
      <c r="S174">
        <v>62</v>
      </c>
    </row>
    <row r="175" spans="1:19" x14ac:dyDescent="0.3">
      <c r="A175">
        <v>174</v>
      </c>
      <c r="B175" s="4">
        <v>40551</v>
      </c>
      <c r="C175">
        <v>1</v>
      </c>
      <c r="D175">
        <v>12</v>
      </c>
      <c r="E175" t="str">
        <f t="shared" si="6"/>
        <v>12 PM</v>
      </c>
      <c r="F175" t="str">
        <f t="shared" si="7"/>
        <v>AfterNoon</v>
      </c>
      <c r="G175" t="b">
        <v>0</v>
      </c>
      <c r="H175">
        <v>6</v>
      </c>
      <c r="I175" t="str">
        <f>_xlfn.XLOOKUP(Append15[[#This Row],[Week day]],Mappings!$B$3:$B$9,Mappings!$C$3:$C$9)</f>
        <v>Saturday</v>
      </c>
      <c r="J175" t="str">
        <f t="shared" si="8"/>
        <v>Weekend</v>
      </c>
      <c r="K175">
        <v>2</v>
      </c>
      <c r="L175" t="str">
        <f>_xlfn.XLOOKUP(Append15[[#This Row],[WeatherSituation]],Mappings!$E$3:$E$6,Mappings!$F$3:$F$6)</f>
        <v>Mist/Cloudy</v>
      </c>
      <c r="M175">
        <v>0.2</v>
      </c>
      <c r="N175">
        <v>0.18179999999999999</v>
      </c>
      <c r="O175">
        <v>0.59</v>
      </c>
      <c r="P175">
        <v>0.35820000000000002</v>
      </c>
      <c r="Q175">
        <v>8</v>
      </c>
      <c r="R175">
        <v>90</v>
      </c>
      <c r="S175">
        <v>98</v>
      </c>
    </row>
    <row r="176" spans="1:19" x14ac:dyDescent="0.3">
      <c r="A176">
        <v>175</v>
      </c>
      <c r="B176" s="4">
        <v>40551</v>
      </c>
      <c r="C176">
        <v>1</v>
      </c>
      <c r="D176">
        <v>13</v>
      </c>
      <c r="E176" t="str">
        <f t="shared" si="6"/>
        <v>1 PM</v>
      </c>
      <c r="F176" t="str">
        <f t="shared" si="7"/>
        <v>AfterNoon</v>
      </c>
      <c r="G176" t="b">
        <v>0</v>
      </c>
      <c r="H176">
        <v>6</v>
      </c>
      <c r="I176" t="str">
        <f>_xlfn.XLOOKUP(Append15[[#This Row],[Week day]],Mappings!$B$3:$B$9,Mappings!$C$3:$C$9)</f>
        <v>Saturday</v>
      </c>
      <c r="J176" t="str">
        <f t="shared" si="8"/>
        <v>Weekend</v>
      </c>
      <c r="K176">
        <v>1</v>
      </c>
      <c r="L176" t="str">
        <f>_xlfn.XLOOKUP(Append15[[#This Row],[WeatherSituation]],Mappings!$E$3:$E$6,Mappings!$F$3:$F$6)</f>
        <v>Clear Sky</v>
      </c>
      <c r="M176">
        <v>0.2</v>
      </c>
      <c r="N176">
        <v>0.18179999999999999</v>
      </c>
      <c r="O176">
        <v>0.44</v>
      </c>
      <c r="P176">
        <v>0.32840000000000003</v>
      </c>
      <c r="Q176">
        <v>7</v>
      </c>
      <c r="R176">
        <v>95</v>
      </c>
      <c r="S176">
        <v>102</v>
      </c>
    </row>
    <row r="177" spans="1:19" x14ac:dyDescent="0.3">
      <c r="A177">
        <v>176</v>
      </c>
      <c r="B177" s="4">
        <v>40551</v>
      </c>
      <c r="C177">
        <v>1</v>
      </c>
      <c r="D177">
        <v>14</v>
      </c>
      <c r="E177" t="str">
        <f t="shared" si="6"/>
        <v>2 PM</v>
      </c>
      <c r="F177" t="str">
        <f t="shared" si="7"/>
        <v>AfterNoon</v>
      </c>
      <c r="G177" t="b">
        <v>0</v>
      </c>
      <c r="H177">
        <v>6</v>
      </c>
      <c r="I177" t="str">
        <f>_xlfn.XLOOKUP(Append15[[#This Row],[Week day]],Mappings!$B$3:$B$9,Mappings!$C$3:$C$9)</f>
        <v>Saturday</v>
      </c>
      <c r="J177" t="str">
        <f t="shared" si="8"/>
        <v>Weekend</v>
      </c>
      <c r="K177">
        <v>1</v>
      </c>
      <c r="L177" t="str">
        <f>_xlfn.XLOOKUP(Append15[[#This Row],[WeatherSituation]],Mappings!$E$3:$E$6,Mappings!$F$3:$F$6)</f>
        <v>Clear Sky</v>
      </c>
      <c r="M177">
        <v>0.2</v>
      </c>
      <c r="N177">
        <v>0.16669999999999999</v>
      </c>
      <c r="O177">
        <v>0.32</v>
      </c>
      <c r="P177">
        <v>0.49249999999999999</v>
      </c>
      <c r="Q177">
        <v>12</v>
      </c>
      <c r="R177">
        <v>83</v>
      </c>
      <c r="S177">
        <v>95</v>
      </c>
    </row>
    <row r="178" spans="1:19" x14ac:dyDescent="0.3">
      <c r="A178">
        <v>177</v>
      </c>
      <c r="B178" s="4">
        <v>40551</v>
      </c>
      <c r="C178">
        <v>1</v>
      </c>
      <c r="D178">
        <v>15</v>
      </c>
      <c r="E178" t="str">
        <f t="shared" si="6"/>
        <v>3 PM</v>
      </c>
      <c r="F178" t="str">
        <f t="shared" si="7"/>
        <v>AfterNoon</v>
      </c>
      <c r="G178" t="b">
        <v>0</v>
      </c>
      <c r="H178">
        <v>6</v>
      </c>
      <c r="I178" t="str">
        <f>_xlfn.XLOOKUP(Append15[[#This Row],[Week day]],Mappings!$B$3:$B$9,Mappings!$C$3:$C$9)</f>
        <v>Saturday</v>
      </c>
      <c r="J178" t="str">
        <f t="shared" si="8"/>
        <v>Weekend</v>
      </c>
      <c r="K178">
        <v>1</v>
      </c>
      <c r="L178" t="str">
        <f>_xlfn.XLOOKUP(Append15[[#This Row],[WeatherSituation]],Mappings!$E$3:$E$6,Mappings!$F$3:$F$6)</f>
        <v>Clear Sky</v>
      </c>
      <c r="M178">
        <v>0.2</v>
      </c>
      <c r="N178">
        <v>0.16669999999999999</v>
      </c>
      <c r="O178">
        <v>0.32</v>
      </c>
      <c r="P178">
        <v>0.44779999999999998</v>
      </c>
      <c r="Q178">
        <v>5</v>
      </c>
      <c r="R178">
        <v>69</v>
      </c>
      <c r="S178">
        <v>74</v>
      </c>
    </row>
    <row r="179" spans="1:19" x14ac:dyDescent="0.3">
      <c r="A179">
        <v>178</v>
      </c>
      <c r="B179" s="4">
        <v>40551</v>
      </c>
      <c r="C179">
        <v>1</v>
      </c>
      <c r="D179">
        <v>16</v>
      </c>
      <c r="E179" t="str">
        <f t="shared" si="6"/>
        <v>4 PM</v>
      </c>
      <c r="F179" t="str">
        <f t="shared" si="7"/>
        <v>Evening</v>
      </c>
      <c r="G179" t="b">
        <v>0</v>
      </c>
      <c r="H179">
        <v>6</v>
      </c>
      <c r="I179" t="str">
        <f>_xlfn.XLOOKUP(Append15[[#This Row],[Week day]],Mappings!$B$3:$B$9,Mappings!$C$3:$C$9)</f>
        <v>Saturday</v>
      </c>
      <c r="J179" t="str">
        <f t="shared" si="8"/>
        <v>Weekend</v>
      </c>
      <c r="K179">
        <v>1</v>
      </c>
      <c r="L179" t="str">
        <f>_xlfn.XLOOKUP(Append15[[#This Row],[WeatherSituation]],Mappings!$E$3:$E$6,Mappings!$F$3:$F$6)</f>
        <v>Clear Sky</v>
      </c>
      <c r="M179">
        <v>0.18</v>
      </c>
      <c r="N179">
        <v>0.13639999999999999</v>
      </c>
      <c r="O179">
        <v>0.28999999999999998</v>
      </c>
      <c r="P179">
        <v>0.44779999999999998</v>
      </c>
      <c r="Q179">
        <v>8</v>
      </c>
      <c r="R179">
        <v>68</v>
      </c>
      <c r="S179">
        <v>76</v>
      </c>
    </row>
    <row r="180" spans="1:19" x14ac:dyDescent="0.3">
      <c r="A180">
        <v>179</v>
      </c>
      <c r="B180" s="4">
        <v>40551</v>
      </c>
      <c r="C180">
        <v>1</v>
      </c>
      <c r="D180">
        <v>17</v>
      </c>
      <c r="E180" t="str">
        <f t="shared" si="6"/>
        <v>5 PM</v>
      </c>
      <c r="F180" t="str">
        <f t="shared" si="7"/>
        <v>Evening</v>
      </c>
      <c r="G180" t="b">
        <v>0</v>
      </c>
      <c r="H180">
        <v>6</v>
      </c>
      <c r="I180" t="str">
        <f>_xlfn.XLOOKUP(Append15[[#This Row],[Week day]],Mappings!$B$3:$B$9,Mappings!$C$3:$C$9)</f>
        <v>Saturday</v>
      </c>
      <c r="J180" t="str">
        <f t="shared" si="8"/>
        <v>Weekend</v>
      </c>
      <c r="K180">
        <v>1</v>
      </c>
      <c r="L180" t="str">
        <f>_xlfn.XLOOKUP(Append15[[#This Row],[WeatherSituation]],Mappings!$E$3:$E$6,Mappings!$F$3:$F$6)</f>
        <v>Clear Sky</v>
      </c>
      <c r="M180">
        <v>0.16</v>
      </c>
      <c r="N180">
        <v>0.1212</v>
      </c>
      <c r="O180">
        <v>0.37</v>
      </c>
      <c r="P180">
        <v>0.55220000000000002</v>
      </c>
      <c r="Q180">
        <v>5</v>
      </c>
      <c r="R180">
        <v>64</v>
      </c>
      <c r="S180">
        <v>69</v>
      </c>
    </row>
    <row r="181" spans="1:19" x14ac:dyDescent="0.3">
      <c r="A181">
        <v>180</v>
      </c>
      <c r="B181" s="4">
        <v>40551</v>
      </c>
      <c r="C181">
        <v>1</v>
      </c>
      <c r="D181">
        <v>18</v>
      </c>
      <c r="E181" t="str">
        <f t="shared" si="6"/>
        <v>6 PM</v>
      </c>
      <c r="F181" t="str">
        <f t="shared" si="7"/>
        <v>Evening</v>
      </c>
      <c r="G181" t="b">
        <v>0</v>
      </c>
      <c r="H181">
        <v>6</v>
      </c>
      <c r="I181" t="str">
        <f>_xlfn.XLOOKUP(Append15[[#This Row],[Week day]],Mappings!$B$3:$B$9,Mappings!$C$3:$C$9)</f>
        <v>Saturday</v>
      </c>
      <c r="J181" t="str">
        <f t="shared" si="8"/>
        <v>Weekend</v>
      </c>
      <c r="K181">
        <v>1</v>
      </c>
      <c r="L181" t="str">
        <f>_xlfn.XLOOKUP(Append15[[#This Row],[WeatherSituation]],Mappings!$E$3:$E$6,Mappings!$F$3:$F$6)</f>
        <v>Clear Sky</v>
      </c>
      <c r="M181">
        <v>0.14000000000000001</v>
      </c>
      <c r="N181">
        <v>0.1212</v>
      </c>
      <c r="O181">
        <v>0.39</v>
      </c>
      <c r="P181">
        <v>0.29849999999999999</v>
      </c>
      <c r="Q181">
        <v>3</v>
      </c>
      <c r="R181">
        <v>52</v>
      </c>
      <c r="S181">
        <v>55</v>
      </c>
    </row>
    <row r="182" spans="1:19" x14ac:dyDescent="0.3">
      <c r="A182">
        <v>181</v>
      </c>
      <c r="B182" s="4">
        <v>40551</v>
      </c>
      <c r="C182">
        <v>1</v>
      </c>
      <c r="D182">
        <v>19</v>
      </c>
      <c r="E182" t="str">
        <f t="shared" si="6"/>
        <v>7 PM</v>
      </c>
      <c r="F182" t="str">
        <f t="shared" si="7"/>
        <v>Evening</v>
      </c>
      <c r="G182" t="b">
        <v>0</v>
      </c>
      <c r="H182">
        <v>6</v>
      </c>
      <c r="I182" t="str">
        <f>_xlfn.XLOOKUP(Append15[[#This Row],[Week day]],Mappings!$B$3:$B$9,Mappings!$C$3:$C$9)</f>
        <v>Saturday</v>
      </c>
      <c r="J182" t="str">
        <f t="shared" si="8"/>
        <v>Weekend</v>
      </c>
      <c r="K182">
        <v>1</v>
      </c>
      <c r="L182" t="str">
        <f>_xlfn.XLOOKUP(Append15[[#This Row],[WeatherSituation]],Mappings!$E$3:$E$6,Mappings!$F$3:$F$6)</f>
        <v>Clear Sky</v>
      </c>
      <c r="M182">
        <v>0.14000000000000001</v>
      </c>
      <c r="N182">
        <v>0.1212</v>
      </c>
      <c r="O182">
        <v>0.36</v>
      </c>
      <c r="P182">
        <v>0.25369999999999998</v>
      </c>
      <c r="Q182">
        <v>4</v>
      </c>
      <c r="R182">
        <v>26</v>
      </c>
      <c r="S182">
        <v>30</v>
      </c>
    </row>
    <row r="183" spans="1:19" x14ac:dyDescent="0.3">
      <c r="A183">
        <v>182</v>
      </c>
      <c r="B183" s="4">
        <v>40551</v>
      </c>
      <c r="C183">
        <v>1</v>
      </c>
      <c r="D183">
        <v>20</v>
      </c>
      <c r="E183" t="str">
        <f t="shared" si="6"/>
        <v>8 PM</v>
      </c>
      <c r="F183" t="str">
        <f t="shared" si="7"/>
        <v>Night</v>
      </c>
      <c r="G183" t="b">
        <v>0</v>
      </c>
      <c r="H183">
        <v>6</v>
      </c>
      <c r="I183" t="str">
        <f>_xlfn.XLOOKUP(Append15[[#This Row],[Week day]],Mappings!$B$3:$B$9,Mappings!$C$3:$C$9)</f>
        <v>Saturday</v>
      </c>
      <c r="J183" t="str">
        <f t="shared" si="8"/>
        <v>Weekend</v>
      </c>
      <c r="K183">
        <v>1</v>
      </c>
      <c r="L183" t="str">
        <f>_xlfn.XLOOKUP(Append15[[#This Row],[WeatherSituation]],Mappings!$E$3:$E$6,Mappings!$F$3:$F$6)</f>
        <v>Clear Sky</v>
      </c>
      <c r="M183">
        <v>0.12</v>
      </c>
      <c r="N183">
        <v>0.1212</v>
      </c>
      <c r="O183">
        <v>0.36</v>
      </c>
      <c r="P183">
        <v>0.25369999999999998</v>
      </c>
      <c r="Q183">
        <v>0</v>
      </c>
      <c r="R183">
        <v>28</v>
      </c>
      <c r="S183">
        <v>28</v>
      </c>
    </row>
    <row r="184" spans="1:19" x14ac:dyDescent="0.3">
      <c r="A184">
        <v>183</v>
      </c>
      <c r="B184" s="4">
        <v>40551</v>
      </c>
      <c r="C184">
        <v>1</v>
      </c>
      <c r="D184">
        <v>21</v>
      </c>
      <c r="E184" t="str">
        <f t="shared" si="6"/>
        <v>9 PM</v>
      </c>
      <c r="F184" t="str">
        <f t="shared" si="7"/>
        <v>Night</v>
      </c>
      <c r="G184" t="b">
        <v>0</v>
      </c>
      <c r="H184">
        <v>6</v>
      </c>
      <c r="I184" t="str">
        <f>_xlfn.XLOOKUP(Append15[[#This Row],[Week day]],Mappings!$B$3:$B$9,Mappings!$C$3:$C$9)</f>
        <v>Saturday</v>
      </c>
      <c r="J184" t="str">
        <f t="shared" si="8"/>
        <v>Weekend</v>
      </c>
      <c r="K184">
        <v>1</v>
      </c>
      <c r="L184" t="str">
        <f>_xlfn.XLOOKUP(Append15[[#This Row],[WeatherSituation]],Mappings!$E$3:$E$6,Mappings!$F$3:$F$6)</f>
        <v>Clear Sky</v>
      </c>
      <c r="M184">
        <v>0.12</v>
      </c>
      <c r="N184">
        <v>0.1061</v>
      </c>
      <c r="O184">
        <v>0.39</v>
      </c>
      <c r="P184">
        <v>0.35820000000000002</v>
      </c>
      <c r="Q184">
        <v>2</v>
      </c>
      <c r="R184">
        <v>35</v>
      </c>
      <c r="S184">
        <v>37</v>
      </c>
    </row>
    <row r="185" spans="1:19" x14ac:dyDescent="0.3">
      <c r="A185">
        <v>184</v>
      </c>
      <c r="B185" s="4">
        <v>40551</v>
      </c>
      <c r="C185">
        <v>1</v>
      </c>
      <c r="D185">
        <v>22</v>
      </c>
      <c r="E185" t="str">
        <f t="shared" si="6"/>
        <v>10 PM</v>
      </c>
      <c r="F185" t="str">
        <f t="shared" si="7"/>
        <v>Night</v>
      </c>
      <c r="G185" t="b">
        <v>0</v>
      </c>
      <c r="H185">
        <v>6</v>
      </c>
      <c r="I185" t="str">
        <f>_xlfn.XLOOKUP(Append15[[#This Row],[Week day]],Mappings!$B$3:$B$9,Mappings!$C$3:$C$9)</f>
        <v>Saturday</v>
      </c>
      <c r="J185" t="str">
        <f t="shared" si="8"/>
        <v>Weekend</v>
      </c>
      <c r="K185">
        <v>1</v>
      </c>
      <c r="L185" t="str">
        <f>_xlfn.XLOOKUP(Append15[[#This Row],[WeatherSituation]],Mappings!$E$3:$E$6,Mappings!$F$3:$F$6)</f>
        <v>Clear Sky</v>
      </c>
      <c r="M185">
        <v>0.12</v>
      </c>
      <c r="N185">
        <v>0.1061</v>
      </c>
      <c r="O185">
        <v>0.36</v>
      </c>
      <c r="P185">
        <v>0.3881</v>
      </c>
      <c r="Q185">
        <v>1</v>
      </c>
      <c r="R185">
        <v>33</v>
      </c>
      <c r="S185">
        <v>34</v>
      </c>
    </row>
    <row r="186" spans="1:19" x14ac:dyDescent="0.3">
      <c r="A186">
        <v>185</v>
      </c>
      <c r="B186" s="4">
        <v>40551</v>
      </c>
      <c r="C186">
        <v>1</v>
      </c>
      <c r="D186">
        <v>23</v>
      </c>
      <c r="E186" t="str">
        <f t="shared" si="6"/>
        <v>11 PM</v>
      </c>
      <c r="F186" t="str">
        <f t="shared" si="7"/>
        <v>Night</v>
      </c>
      <c r="G186" t="b">
        <v>0</v>
      </c>
      <c r="H186">
        <v>6</v>
      </c>
      <c r="I186" t="str">
        <f>_xlfn.XLOOKUP(Append15[[#This Row],[Week day]],Mappings!$B$3:$B$9,Mappings!$C$3:$C$9)</f>
        <v>Saturday</v>
      </c>
      <c r="J186" t="str">
        <f t="shared" si="8"/>
        <v>Weekend</v>
      </c>
      <c r="K186">
        <v>1</v>
      </c>
      <c r="L186" t="str">
        <f>_xlfn.XLOOKUP(Append15[[#This Row],[WeatherSituation]],Mappings!$E$3:$E$6,Mappings!$F$3:$F$6)</f>
        <v>Clear Sky</v>
      </c>
      <c r="M186">
        <v>0.1</v>
      </c>
      <c r="N186">
        <v>6.0600000000000001E-2</v>
      </c>
      <c r="O186">
        <v>0.39</v>
      </c>
      <c r="P186">
        <v>0.44779999999999998</v>
      </c>
      <c r="Q186">
        <v>0</v>
      </c>
      <c r="R186">
        <v>22</v>
      </c>
      <c r="S186">
        <v>22</v>
      </c>
    </row>
    <row r="187" spans="1:19" x14ac:dyDescent="0.3">
      <c r="A187">
        <v>186</v>
      </c>
      <c r="B187" s="4">
        <v>40552</v>
      </c>
      <c r="C187">
        <v>1</v>
      </c>
      <c r="D187">
        <v>0</v>
      </c>
      <c r="E187" t="str">
        <f t="shared" si="6"/>
        <v>12 AM</v>
      </c>
      <c r="F187" t="str">
        <f t="shared" si="7"/>
        <v>Night</v>
      </c>
      <c r="G187" t="b">
        <v>0</v>
      </c>
      <c r="H187">
        <v>0</v>
      </c>
      <c r="I187" t="str">
        <f>_xlfn.XLOOKUP(Append15[[#This Row],[Week day]],Mappings!$B$3:$B$9,Mappings!$C$3:$C$9)</f>
        <v>Sunday</v>
      </c>
      <c r="J187" t="str">
        <f t="shared" si="8"/>
        <v>Weekend</v>
      </c>
      <c r="K187">
        <v>1</v>
      </c>
      <c r="L187" t="str">
        <f>_xlfn.XLOOKUP(Append15[[#This Row],[WeatherSituation]],Mappings!$E$3:$E$6,Mappings!$F$3:$F$6)</f>
        <v>Clear Sky</v>
      </c>
      <c r="M187">
        <v>0.1</v>
      </c>
      <c r="N187">
        <v>7.5800000000000006E-2</v>
      </c>
      <c r="O187">
        <v>0.42</v>
      </c>
      <c r="P187">
        <v>0.3881</v>
      </c>
      <c r="Q187">
        <v>1</v>
      </c>
      <c r="R187">
        <v>24</v>
      </c>
      <c r="S187">
        <v>25</v>
      </c>
    </row>
    <row r="188" spans="1:19" x14ac:dyDescent="0.3">
      <c r="A188">
        <v>187</v>
      </c>
      <c r="B188" s="4">
        <v>40552</v>
      </c>
      <c r="C188">
        <v>1</v>
      </c>
      <c r="D188">
        <v>1</v>
      </c>
      <c r="E188" t="str">
        <f t="shared" si="6"/>
        <v>1 AM</v>
      </c>
      <c r="F188" t="str">
        <f t="shared" si="7"/>
        <v>Night</v>
      </c>
      <c r="G188" t="b">
        <v>0</v>
      </c>
      <c r="H188">
        <v>0</v>
      </c>
      <c r="I188" t="str">
        <f>_xlfn.XLOOKUP(Append15[[#This Row],[Week day]],Mappings!$B$3:$B$9,Mappings!$C$3:$C$9)</f>
        <v>Sunday</v>
      </c>
      <c r="J188" t="str">
        <f t="shared" si="8"/>
        <v>Weekend</v>
      </c>
      <c r="K188">
        <v>1</v>
      </c>
      <c r="L188" t="str">
        <f>_xlfn.XLOOKUP(Append15[[#This Row],[WeatherSituation]],Mappings!$E$3:$E$6,Mappings!$F$3:$F$6)</f>
        <v>Clear Sky</v>
      </c>
      <c r="M188">
        <v>0.1</v>
      </c>
      <c r="N188">
        <v>6.0600000000000001E-2</v>
      </c>
      <c r="O188">
        <v>0.42</v>
      </c>
      <c r="P188">
        <v>0.4627</v>
      </c>
      <c r="Q188">
        <v>0</v>
      </c>
      <c r="R188">
        <v>12</v>
      </c>
      <c r="S188">
        <v>12</v>
      </c>
    </row>
    <row r="189" spans="1:19" x14ac:dyDescent="0.3">
      <c r="A189">
        <v>188</v>
      </c>
      <c r="B189" s="4">
        <v>40552</v>
      </c>
      <c r="C189">
        <v>1</v>
      </c>
      <c r="D189">
        <v>2</v>
      </c>
      <c r="E189" t="str">
        <f t="shared" si="6"/>
        <v>2 AM</v>
      </c>
      <c r="F189" t="str">
        <f t="shared" si="7"/>
        <v>Night</v>
      </c>
      <c r="G189" t="b">
        <v>0</v>
      </c>
      <c r="H189">
        <v>0</v>
      </c>
      <c r="I189" t="str">
        <f>_xlfn.XLOOKUP(Append15[[#This Row],[Week day]],Mappings!$B$3:$B$9,Mappings!$C$3:$C$9)</f>
        <v>Sunday</v>
      </c>
      <c r="J189" t="str">
        <f t="shared" si="8"/>
        <v>Weekend</v>
      </c>
      <c r="K189">
        <v>1</v>
      </c>
      <c r="L189" t="str">
        <f>_xlfn.XLOOKUP(Append15[[#This Row],[WeatherSituation]],Mappings!$E$3:$E$6,Mappings!$F$3:$F$6)</f>
        <v>Clear Sky</v>
      </c>
      <c r="M189">
        <v>0.1</v>
      </c>
      <c r="N189">
        <v>6.0600000000000001E-2</v>
      </c>
      <c r="O189">
        <v>0.46</v>
      </c>
      <c r="P189">
        <v>0.4627</v>
      </c>
      <c r="Q189">
        <v>0</v>
      </c>
      <c r="R189">
        <v>11</v>
      </c>
      <c r="S189">
        <v>11</v>
      </c>
    </row>
    <row r="190" spans="1:19" x14ac:dyDescent="0.3">
      <c r="A190">
        <v>189</v>
      </c>
      <c r="B190" s="4">
        <v>40552</v>
      </c>
      <c r="C190">
        <v>1</v>
      </c>
      <c r="D190">
        <v>3</v>
      </c>
      <c r="E190" t="str">
        <f t="shared" si="6"/>
        <v>3 AM</v>
      </c>
      <c r="F190" t="str">
        <f t="shared" si="7"/>
        <v>Night</v>
      </c>
      <c r="G190" t="b">
        <v>0</v>
      </c>
      <c r="H190">
        <v>0</v>
      </c>
      <c r="I190" t="str">
        <f>_xlfn.XLOOKUP(Append15[[#This Row],[Week day]],Mappings!$B$3:$B$9,Mappings!$C$3:$C$9)</f>
        <v>Sunday</v>
      </c>
      <c r="J190" t="str">
        <f t="shared" si="8"/>
        <v>Weekend</v>
      </c>
      <c r="K190">
        <v>1</v>
      </c>
      <c r="L190" t="str">
        <f>_xlfn.XLOOKUP(Append15[[#This Row],[WeatherSituation]],Mappings!$E$3:$E$6,Mappings!$F$3:$F$6)</f>
        <v>Clear Sky</v>
      </c>
      <c r="M190">
        <v>0.1</v>
      </c>
      <c r="N190">
        <v>7.5800000000000006E-2</v>
      </c>
      <c r="O190">
        <v>0.46</v>
      </c>
      <c r="P190">
        <v>0.41789999999999999</v>
      </c>
      <c r="Q190">
        <v>0</v>
      </c>
      <c r="R190">
        <v>4</v>
      </c>
      <c r="S190">
        <v>4</v>
      </c>
    </row>
    <row r="191" spans="1:19" x14ac:dyDescent="0.3">
      <c r="A191">
        <v>190</v>
      </c>
      <c r="B191" s="4">
        <v>40552</v>
      </c>
      <c r="C191">
        <v>1</v>
      </c>
      <c r="D191">
        <v>4</v>
      </c>
      <c r="E191" t="str">
        <f t="shared" si="6"/>
        <v>4 AM</v>
      </c>
      <c r="F191" t="str">
        <f t="shared" si="7"/>
        <v>Night</v>
      </c>
      <c r="G191" t="b">
        <v>0</v>
      </c>
      <c r="H191">
        <v>0</v>
      </c>
      <c r="I191" t="str">
        <f>_xlfn.XLOOKUP(Append15[[#This Row],[Week day]],Mappings!$B$3:$B$9,Mappings!$C$3:$C$9)</f>
        <v>Sunday</v>
      </c>
      <c r="J191" t="str">
        <f t="shared" si="8"/>
        <v>Weekend</v>
      </c>
      <c r="K191">
        <v>1</v>
      </c>
      <c r="L191" t="str">
        <f>_xlfn.XLOOKUP(Append15[[#This Row],[WeatherSituation]],Mappings!$E$3:$E$6,Mappings!$F$3:$F$6)</f>
        <v>Clear Sky</v>
      </c>
      <c r="M191">
        <v>0.08</v>
      </c>
      <c r="N191">
        <v>9.0899999999999995E-2</v>
      </c>
      <c r="O191">
        <v>0.53</v>
      </c>
      <c r="P191">
        <v>0.19400000000000001</v>
      </c>
      <c r="Q191">
        <v>0</v>
      </c>
      <c r="R191">
        <v>1</v>
      </c>
      <c r="S191">
        <v>1</v>
      </c>
    </row>
    <row r="192" spans="1:19" x14ac:dyDescent="0.3">
      <c r="A192">
        <v>191</v>
      </c>
      <c r="B192" s="4">
        <v>40552</v>
      </c>
      <c r="C192">
        <v>1</v>
      </c>
      <c r="D192">
        <v>5</v>
      </c>
      <c r="E192" t="str">
        <f t="shared" si="6"/>
        <v>5 AM</v>
      </c>
      <c r="F192" t="str">
        <f t="shared" si="7"/>
        <v>Morning</v>
      </c>
      <c r="G192" t="b">
        <v>0</v>
      </c>
      <c r="H192">
        <v>0</v>
      </c>
      <c r="I192" t="str">
        <f>_xlfn.XLOOKUP(Append15[[#This Row],[Week day]],Mappings!$B$3:$B$9,Mappings!$C$3:$C$9)</f>
        <v>Sunday</v>
      </c>
      <c r="J192" t="str">
        <f t="shared" si="8"/>
        <v>Weekend</v>
      </c>
      <c r="K192">
        <v>1</v>
      </c>
      <c r="L192" t="str">
        <f>_xlfn.XLOOKUP(Append15[[#This Row],[WeatherSituation]],Mappings!$E$3:$E$6,Mappings!$F$3:$F$6)</f>
        <v>Clear Sky</v>
      </c>
      <c r="M192">
        <v>0.08</v>
      </c>
      <c r="N192">
        <v>9.0899999999999995E-2</v>
      </c>
      <c r="O192">
        <v>0.53</v>
      </c>
      <c r="P192">
        <v>0.19400000000000001</v>
      </c>
      <c r="Q192">
        <v>0</v>
      </c>
      <c r="R192">
        <v>1</v>
      </c>
      <c r="S192">
        <v>1</v>
      </c>
    </row>
    <row r="193" spans="1:19" x14ac:dyDescent="0.3">
      <c r="A193">
        <v>192</v>
      </c>
      <c r="B193" s="4">
        <v>40552</v>
      </c>
      <c r="C193">
        <v>1</v>
      </c>
      <c r="D193">
        <v>6</v>
      </c>
      <c r="E193" t="str">
        <f t="shared" si="6"/>
        <v>6 AM</v>
      </c>
      <c r="F193" t="str">
        <f t="shared" si="7"/>
        <v>Morning</v>
      </c>
      <c r="G193" t="b">
        <v>0</v>
      </c>
      <c r="H193">
        <v>0</v>
      </c>
      <c r="I193" t="str">
        <f>_xlfn.XLOOKUP(Append15[[#This Row],[Week day]],Mappings!$B$3:$B$9,Mappings!$C$3:$C$9)</f>
        <v>Sunday</v>
      </c>
      <c r="J193" t="str">
        <f t="shared" si="8"/>
        <v>Weekend</v>
      </c>
      <c r="K193">
        <v>1</v>
      </c>
      <c r="L193" t="str">
        <f>_xlfn.XLOOKUP(Append15[[#This Row],[WeatherSituation]],Mappings!$E$3:$E$6,Mappings!$F$3:$F$6)</f>
        <v>Clear Sky</v>
      </c>
      <c r="M193">
        <v>0.1</v>
      </c>
      <c r="N193">
        <v>9.0899999999999995E-2</v>
      </c>
      <c r="O193">
        <v>0.49</v>
      </c>
      <c r="P193">
        <v>0.28360000000000002</v>
      </c>
      <c r="Q193">
        <v>0</v>
      </c>
      <c r="R193">
        <v>1</v>
      </c>
      <c r="S193">
        <v>1</v>
      </c>
    </row>
    <row r="194" spans="1:19" x14ac:dyDescent="0.3">
      <c r="A194">
        <v>193</v>
      </c>
      <c r="B194" s="4">
        <v>40552</v>
      </c>
      <c r="C194">
        <v>1</v>
      </c>
      <c r="D194">
        <v>7</v>
      </c>
      <c r="E194" t="str">
        <f t="shared" ref="E194:E257" si="9">TEXT(D194/24,"h AM/PM")</f>
        <v>7 AM</v>
      </c>
      <c r="F194" t="str">
        <f t="shared" ref="F194:F257" si="10">IF(D194&lt;5,"Night",
IF(D194&lt;=11,"Morning",
IF(D194&lt;16,"AfterNoon",
IF(D194&lt;20,"Evening","Night"))))</f>
        <v>Morning</v>
      </c>
      <c r="G194" t="b">
        <v>0</v>
      </c>
      <c r="H194">
        <v>0</v>
      </c>
      <c r="I194" t="str">
        <f>_xlfn.XLOOKUP(Append15[[#This Row],[Week day]],Mappings!$B$3:$B$9,Mappings!$C$3:$C$9)</f>
        <v>Sunday</v>
      </c>
      <c r="J194" t="str">
        <f t="shared" ref="J194:J257" si="11">IF(OR(H194=0,H194=6),"Weekend","Weekday")</f>
        <v>Weekend</v>
      </c>
      <c r="K194">
        <v>1</v>
      </c>
      <c r="L194" t="str">
        <f>_xlfn.XLOOKUP(Append15[[#This Row],[WeatherSituation]],Mappings!$E$3:$E$6,Mappings!$F$3:$F$6)</f>
        <v>Clear Sky</v>
      </c>
      <c r="M194">
        <v>0.08</v>
      </c>
      <c r="N194">
        <v>9.0899999999999995E-2</v>
      </c>
      <c r="O194">
        <v>0.53</v>
      </c>
      <c r="P194">
        <v>0.19400000000000001</v>
      </c>
      <c r="Q194">
        <v>1</v>
      </c>
      <c r="R194">
        <v>5</v>
      </c>
      <c r="S194">
        <v>6</v>
      </c>
    </row>
    <row r="195" spans="1:19" x14ac:dyDescent="0.3">
      <c r="A195">
        <v>194</v>
      </c>
      <c r="B195" s="4">
        <v>40552</v>
      </c>
      <c r="C195">
        <v>1</v>
      </c>
      <c r="D195">
        <v>8</v>
      </c>
      <c r="E195" t="str">
        <f t="shared" si="9"/>
        <v>8 AM</v>
      </c>
      <c r="F195" t="str">
        <f t="shared" si="10"/>
        <v>Morning</v>
      </c>
      <c r="G195" t="b">
        <v>0</v>
      </c>
      <c r="H195">
        <v>0</v>
      </c>
      <c r="I195" t="str">
        <f>_xlfn.XLOOKUP(Append15[[#This Row],[Week day]],Mappings!$B$3:$B$9,Mappings!$C$3:$C$9)</f>
        <v>Sunday</v>
      </c>
      <c r="J195" t="str">
        <f t="shared" si="11"/>
        <v>Weekend</v>
      </c>
      <c r="K195">
        <v>1</v>
      </c>
      <c r="L195" t="str">
        <f>_xlfn.XLOOKUP(Append15[[#This Row],[WeatherSituation]],Mappings!$E$3:$E$6,Mappings!$F$3:$F$6)</f>
        <v>Clear Sky</v>
      </c>
      <c r="M195">
        <v>0.1</v>
      </c>
      <c r="N195">
        <v>9.0899999999999995E-2</v>
      </c>
      <c r="O195">
        <v>0.49</v>
      </c>
      <c r="P195">
        <v>0.28360000000000002</v>
      </c>
      <c r="Q195">
        <v>0</v>
      </c>
      <c r="R195">
        <v>10</v>
      </c>
      <c r="S195">
        <v>10</v>
      </c>
    </row>
    <row r="196" spans="1:19" x14ac:dyDescent="0.3">
      <c r="A196">
        <v>195</v>
      </c>
      <c r="B196" s="4">
        <v>40552</v>
      </c>
      <c r="C196">
        <v>1</v>
      </c>
      <c r="D196">
        <v>9</v>
      </c>
      <c r="E196" t="str">
        <f t="shared" si="9"/>
        <v>9 AM</v>
      </c>
      <c r="F196" t="str">
        <f t="shared" si="10"/>
        <v>Morning</v>
      </c>
      <c r="G196" t="b">
        <v>0</v>
      </c>
      <c r="H196">
        <v>0</v>
      </c>
      <c r="I196" t="str">
        <f>_xlfn.XLOOKUP(Append15[[#This Row],[Week day]],Mappings!$B$3:$B$9,Mappings!$C$3:$C$9)</f>
        <v>Sunday</v>
      </c>
      <c r="J196" t="str">
        <f t="shared" si="11"/>
        <v>Weekend</v>
      </c>
      <c r="K196">
        <v>1</v>
      </c>
      <c r="L196" t="str">
        <f>_xlfn.XLOOKUP(Append15[[#This Row],[WeatherSituation]],Mappings!$E$3:$E$6,Mappings!$F$3:$F$6)</f>
        <v>Clear Sky</v>
      </c>
      <c r="M196">
        <v>0.12</v>
      </c>
      <c r="N196">
        <v>7.5800000000000006E-2</v>
      </c>
      <c r="O196">
        <v>0.46</v>
      </c>
      <c r="P196">
        <v>0.52239999999999998</v>
      </c>
      <c r="Q196">
        <v>0</v>
      </c>
      <c r="R196">
        <v>19</v>
      </c>
      <c r="S196">
        <v>19</v>
      </c>
    </row>
    <row r="197" spans="1:19" x14ac:dyDescent="0.3">
      <c r="A197">
        <v>196</v>
      </c>
      <c r="B197" s="4">
        <v>40552</v>
      </c>
      <c r="C197">
        <v>1</v>
      </c>
      <c r="D197">
        <v>10</v>
      </c>
      <c r="E197" t="str">
        <f t="shared" si="9"/>
        <v>10 AM</v>
      </c>
      <c r="F197" t="str">
        <f t="shared" si="10"/>
        <v>Morning</v>
      </c>
      <c r="G197" t="b">
        <v>0</v>
      </c>
      <c r="H197">
        <v>0</v>
      </c>
      <c r="I197" t="str">
        <f>_xlfn.XLOOKUP(Append15[[#This Row],[Week day]],Mappings!$B$3:$B$9,Mappings!$C$3:$C$9)</f>
        <v>Sunday</v>
      </c>
      <c r="J197" t="str">
        <f t="shared" si="11"/>
        <v>Weekend</v>
      </c>
      <c r="K197">
        <v>1</v>
      </c>
      <c r="L197" t="str">
        <f>_xlfn.XLOOKUP(Append15[[#This Row],[WeatherSituation]],Mappings!$E$3:$E$6,Mappings!$F$3:$F$6)</f>
        <v>Clear Sky</v>
      </c>
      <c r="M197">
        <v>0.14000000000000001</v>
      </c>
      <c r="N197">
        <v>0.1061</v>
      </c>
      <c r="O197">
        <v>0.43</v>
      </c>
      <c r="P197">
        <v>0.3881</v>
      </c>
      <c r="Q197">
        <v>0</v>
      </c>
      <c r="R197">
        <v>49</v>
      </c>
      <c r="S197">
        <v>49</v>
      </c>
    </row>
    <row r="198" spans="1:19" x14ac:dyDescent="0.3">
      <c r="A198">
        <v>197</v>
      </c>
      <c r="B198" s="4">
        <v>40552</v>
      </c>
      <c r="C198">
        <v>1</v>
      </c>
      <c r="D198">
        <v>11</v>
      </c>
      <c r="E198" t="str">
        <f t="shared" si="9"/>
        <v>11 AM</v>
      </c>
      <c r="F198" t="str">
        <f t="shared" si="10"/>
        <v>Morning</v>
      </c>
      <c r="G198" t="b">
        <v>0</v>
      </c>
      <c r="H198">
        <v>0</v>
      </c>
      <c r="I198" t="str">
        <f>_xlfn.XLOOKUP(Append15[[#This Row],[Week day]],Mappings!$B$3:$B$9,Mappings!$C$3:$C$9)</f>
        <v>Sunday</v>
      </c>
      <c r="J198" t="str">
        <f t="shared" si="11"/>
        <v>Weekend</v>
      </c>
      <c r="K198">
        <v>1</v>
      </c>
      <c r="L198" t="str">
        <f>_xlfn.XLOOKUP(Append15[[#This Row],[WeatherSituation]],Mappings!$E$3:$E$6,Mappings!$F$3:$F$6)</f>
        <v>Clear Sky</v>
      </c>
      <c r="M198">
        <v>0.16</v>
      </c>
      <c r="N198">
        <v>0.1212</v>
      </c>
      <c r="O198">
        <v>0.4</v>
      </c>
      <c r="P198">
        <v>0.52239999999999998</v>
      </c>
      <c r="Q198">
        <v>2</v>
      </c>
      <c r="R198">
        <v>47</v>
      </c>
      <c r="S198">
        <v>49</v>
      </c>
    </row>
    <row r="199" spans="1:19" x14ac:dyDescent="0.3">
      <c r="A199">
        <v>198</v>
      </c>
      <c r="B199" s="4">
        <v>40552</v>
      </c>
      <c r="C199">
        <v>1</v>
      </c>
      <c r="D199">
        <v>12</v>
      </c>
      <c r="E199" t="str">
        <f t="shared" si="9"/>
        <v>12 PM</v>
      </c>
      <c r="F199" t="str">
        <f t="shared" si="10"/>
        <v>AfterNoon</v>
      </c>
      <c r="G199" t="b">
        <v>0</v>
      </c>
      <c r="H199">
        <v>0</v>
      </c>
      <c r="I199" t="str">
        <f>_xlfn.XLOOKUP(Append15[[#This Row],[Week day]],Mappings!$B$3:$B$9,Mappings!$C$3:$C$9)</f>
        <v>Sunday</v>
      </c>
      <c r="J199" t="str">
        <f t="shared" si="11"/>
        <v>Weekend</v>
      </c>
      <c r="K199">
        <v>1</v>
      </c>
      <c r="L199" t="str">
        <f>_xlfn.XLOOKUP(Append15[[#This Row],[WeatherSituation]],Mappings!$E$3:$E$6,Mappings!$F$3:$F$6)</f>
        <v>Clear Sky</v>
      </c>
      <c r="M199">
        <v>0.18</v>
      </c>
      <c r="N199">
        <v>0.13639999999999999</v>
      </c>
      <c r="O199">
        <v>0.37</v>
      </c>
      <c r="P199">
        <v>0.44779999999999998</v>
      </c>
      <c r="Q199">
        <v>4</v>
      </c>
      <c r="R199">
        <v>79</v>
      </c>
      <c r="S199">
        <v>83</v>
      </c>
    </row>
    <row r="200" spans="1:19" x14ac:dyDescent="0.3">
      <c r="A200">
        <v>199</v>
      </c>
      <c r="B200" s="4">
        <v>40552</v>
      </c>
      <c r="C200">
        <v>1</v>
      </c>
      <c r="D200">
        <v>13</v>
      </c>
      <c r="E200" t="str">
        <f t="shared" si="9"/>
        <v>1 PM</v>
      </c>
      <c r="F200" t="str">
        <f t="shared" si="10"/>
        <v>AfterNoon</v>
      </c>
      <c r="G200" t="b">
        <v>0</v>
      </c>
      <c r="H200">
        <v>0</v>
      </c>
      <c r="I200" t="str">
        <f>_xlfn.XLOOKUP(Append15[[#This Row],[Week day]],Mappings!$B$3:$B$9,Mappings!$C$3:$C$9)</f>
        <v>Sunday</v>
      </c>
      <c r="J200" t="str">
        <f t="shared" si="11"/>
        <v>Weekend</v>
      </c>
      <c r="K200">
        <v>1</v>
      </c>
      <c r="L200" t="str">
        <f>_xlfn.XLOOKUP(Append15[[#This Row],[WeatherSituation]],Mappings!$E$3:$E$6,Mappings!$F$3:$F$6)</f>
        <v>Clear Sky</v>
      </c>
      <c r="M200">
        <v>0.2</v>
      </c>
      <c r="N200">
        <v>0.16669999999999999</v>
      </c>
      <c r="O200">
        <v>0.34</v>
      </c>
      <c r="P200">
        <v>0.44779999999999998</v>
      </c>
      <c r="Q200">
        <v>6</v>
      </c>
      <c r="R200">
        <v>69</v>
      </c>
      <c r="S200">
        <v>75</v>
      </c>
    </row>
    <row r="201" spans="1:19" x14ac:dyDescent="0.3">
      <c r="A201">
        <v>200</v>
      </c>
      <c r="B201" s="4">
        <v>40552</v>
      </c>
      <c r="C201">
        <v>1</v>
      </c>
      <c r="D201">
        <v>14</v>
      </c>
      <c r="E201" t="str">
        <f t="shared" si="9"/>
        <v>2 PM</v>
      </c>
      <c r="F201" t="str">
        <f t="shared" si="10"/>
        <v>AfterNoon</v>
      </c>
      <c r="G201" t="b">
        <v>0</v>
      </c>
      <c r="H201">
        <v>0</v>
      </c>
      <c r="I201" t="str">
        <f>_xlfn.XLOOKUP(Append15[[#This Row],[Week day]],Mappings!$B$3:$B$9,Mappings!$C$3:$C$9)</f>
        <v>Sunday</v>
      </c>
      <c r="J201" t="str">
        <f t="shared" si="11"/>
        <v>Weekend</v>
      </c>
      <c r="K201">
        <v>1</v>
      </c>
      <c r="L201" t="str">
        <f>_xlfn.XLOOKUP(Append15[[#This Row],[WeatherSituation]],Mappings!$E$3:$E$6,Mappings!$F$3:$F$6)</f>
        <v>Clear Sky</v>
      </c>
      <c r="M201">
        <v>0.22</v>
      </c>
      <c r="N201">
        <v>0.18179999999999999</v>
      </c>
      <c r="O201">
        <v>0.32</v>
      </c>
      <c r="P201">
        <v>0.4627</v>
      </c>
      <c r="Q201">
        <v>8</v>
      </c>
      <c r="R201">
        <v>64</v>
      </c>
      <c r="S201">
        <v>72</v>
      </c>
    </row>
    <row r="202" spans="1:19" x14ac:dyDescent="0.3">
      <c r="A202">
        <v>201</v>
      </c>
      <c r="B202" s="4">
        <v>40552</v>
      </c>
      <c r="C202">
        <v>1</v>
      </c>
      <c r="D202">
        <v>15</v>
      </c>
      <c r="E202" t="str">
        <f t="shared" si="9"/>
        <v>3 PM</v>
      </c>
      <c r="F202" t="str">
        <f t="shared" si="10"/>
        <v>AfterNoon</v>
      </c>
      <c r="G202" t="b">
        <v>0</v>
      </c>
      <c r="H202">
        <v>0</v>
      </c>
      <c r="I202" t="str">
        <f>_xlfn.XLOOKUP(Append15[[#This Row],[Week day]],Mappings!$B$3:$B$9,Mappings!$C$3:$C$9)</f>
        <v>Sunday</v>
      </c>
      <c r="J202" t="str">
        <f t="shared" si="11"/>
        <v>Weekend</v>
      </c>
      <c r="K202">
        <v>1</v>
      </c>
      <c r="L202" t="str">
        <f>_xlfn.XLOOKUP(Append15[[#This Row],[WeatherSituation]],Mappings!$E$3:$E$6,Mappings!$F$3:$F$6)</f>
        <v>Clear Sky</v>
      </c>
      <c r="M202">
        <v>0.22</v>
      </c>
      <c r="N202">
        <v>0.19700000000000001</v>
      </c>
      <c r="O202">
        <v>0.35</v>
      </c>
      <c r="P202">
        <v>0.35820000000000002</v>
      </c>
      <c r="Q202">
        <v>5</v>
      </c>
      <c r="R202">
        <v>77</v>
      </c>
      <c r="S202">
        <v>82</v>
      </c>
    </row>
    <row r="203" spans="1:19" x14ac:dyDescent="0.3">
      <c r="A203">
        <v>202</v>
      </c>
      <c r="B203" s="4">
        <v>40552</v>
      </c>
      <c r="C203">
        <v>1</v>
      </c>
      <c r="D203">
        <v>16</v>
      </c>
      <c r="E203" t="str">
        <f t="shared" si="9"/>
        <v>4 PM</v>
      </c>
      <c r="F203" t="str">
        <f t="shared" si="10"/>
        <v>Evening</v>
      </c>
      <c r="G203" t="b">
        <v>0</v>
      </c>
      <c r="H203">
        <v>0</v>
      </c>
      <c r="I203" t="str">
        <f>_xlfn.XLOOKUP(Append15[[#This Row],[Week day]],Mappings!$B$3:$B$9,Mappings!$C$3:$C$9)</f>
        <v>Sunday</v>
      </c>
      <c r="J203" t="str">
        <f t="shared" si="11"/>
        <v>Weekend</v>
      </c>
      <c r="K203">
        <v>1</v>
      </c>
      <c r="L203" t="str">
        <f>_xlfn.XLOOKUP(Append15[[#This Row],[WeatherSituation]],Mappings!$E$3:$E$6,Mappings!$F$3:$F$6)</f>
        <v>Clear Sky</v>
      </c>
      <c r="M203">
        <v>0.2</v>
      </c>
      <c r="N203">
        <v>0.16669999999999999</v>
      </c>
      <c r="O203">
        <v>0.34</v>
      </c>
      <c r="P203">
        <v>0.44779999999999998</v>
      </c>
      <c r="Q203">
        <v>13</v>
      </c>
      <c r="R203">
        <v>79</v>
      </c>
      <c r="S203">
        <v>92</v>
      </c>
    </row>
    <row r="204" spans="1:19" x14ac:dyDescent="0.3">
      <c r="A204">
        <v>203</v>
      </c>
      <c r="B204" s="4">
        <v>40552</v>
      </c>
      <c r="C204">
        <v>1</v>
      </c>
      <c r="D204">
        <v>17</v>
      </c>
      <c r="E204" t="str">
        <f t="shared" si="9"/>
        <v>5 PM</v>
      </c>
      <c r="F204" t="str">
        <f t="shared" si="10"/>
        <v>Evening</v>
      </c>
      <c r="G204" t="b">
        <v>0</v>
      </c>
      <c r="H204">
        <v>0</v>
      </c>
      <c r="I204" t="str">
        <f>_xlfn.XLOOKUP(Append15[[#This Row],[Week day]],Mappings!$B$3:$B$9,Mappings!$C$3:$C$9)</f>
        <v>Sunday</v>
      </c>
      <c r="J204" t="str">
        <f t="shared" si="11"/>
        <v>Weekend</v>
      </c>
      <c r="K204">
        <v>1</v>
      </c>
      <c r="L204" t="str">
        <f>_xlfn.XLOOKUP(Append15[[#This Row],[WeatherSituation]],Mappings!$E$3:$E$6,Mappings!$F$3:$F$6)</f>
        <v>Clear Sky</v>
      </c>
      <c r="M204">
        <v>0.18</v>
      </c>
      <c r="N204">
        <v>0.1515</v>
      </c>
      <c r="O204">
        <v>0.37</v>
      </c>
      <c r="P204">
        <v>0.3881</v>
      </c>
      <c r="Q204">
        <v>3</v>
      </c>
      <c r="R204">
        <v>59</v>
      </c>
      <c r="S204">
        <v>62</v>
      </c>
    </row>
    <row r="205" spans="1:19" x14ac:dyDescent="0.3">
      <c r="A205">
        <v>204</v>
      </c>
      <c r="B205" s="4">
        <v>40552</v>
      </c>
      <c r="C205">
        <v>1</v>
      </c>
      <c r="D205">
        <v>18</v>
      </c>
      <c r="E205" t="str">
        <f t="shared" si="9"/>
        <v>6 PM</v>
      </c>
      <c r="F205" t="str">
        <f t="shared" si="10"/>
        <v>Evening</v>
      </c>
      <c r="G205" t="b">
        <v>0</v>
      </c>
      <c r="H205">
        <v>0</v>
      </c>
      <c r="I205" t="str">
        <f>_xlfn.XLOOKUP(Append15[[#This Row],[Week day]],Mappings!$B$3:$B$9,Mappings!$C$3:$C$9)</f>
        <v>Sunday</v>
      </c>
      <c r="J205" t="str">
        <f t="shared" si="11"/>
        <v>Weekend</v>
      </c>
      <c r="K205">
        <v>1</v>
      </c>
      <c r="L205" t="str">
        <f>_xlfn.XLOOKUP(Append15[[#This Row],[WeatherSituation]],Mappings!$E$3:$E$6,Mappings!$F$3:$F$6)</f>
        <v>Clear Sky</v>
      </c>
      <c r="M205">
        <v>0.16</v>
      </c>
      <c r="N205">
        <v>0.13639999999999999</v>
      </c>
      <c r="O205">
        <v>0.4</v>
      </c>
      <c r="P205">
        <v>0.32840000000000003</v>
      </c>
      <c r="Q205">
        <v>4</v>
      </c>
      <c r="R205">
        <v>44</v>
      </c>
      <c r="S205">
        <v>48</v>
      </c>
    </row>
    <row r="206" spans="1:19" x14ac:dyDescent="0.3">
      <c r="A206">
        <v>205</v>
      </c>
      <c r="B206" s="4">
        <v>40552</v>
      </c>
      <c r="C206">
        <v>1</v>
      </c>
      <c r="D206">
        <v>19</v>
      </c>
      <c r="E206" t="str">
        <f t="shared" si="9"/>
        <v>7 PM</v>
      </c>
      <c r="F206" t="str">
        <f t="shared" si="10"/>
        <v>Evening</v>
      </c>
      <c r="G206" t="b">
        <v>0</v>
      </c>
      <c r="H206">
        <v>0</v>
      </c>
      <c r="I206" t="str">
        <f>_xlfn.XLOOKUP(Append15[[#This Row],[Week day]],Mappings!$B$3:$B$9,Mappings!$C$3:$C$9)</f>
        <v>Sunday</v>
      </c>
      <c r="J206" t="str">
        <f t="shared" si="11"/>
        <v>Weekend</v>
      </c>
      <c r="K206">
        <v>1</v>
      </c>
      <c r="L206" t="str">
        <f>_xlfn.XLOOKUP(Append15[[#This Row],[WeatherSituation]],Mappings!$E$3:$E$6,Mappings!$F$3:$F$6)</f>
        <v>Clear Sky</v>
      </c>
      <c r="M206">
        <v>0.16</v>
      </c>
      <c r="N206">
        <v>0.13639999999999999</v>
      </c>
      <c r="O206">
        <v>0.43</v>
      </c>
      <c r="P206">
        <v>0.32840000000000003</v>
      </c>
      <c r="Q206">
        <v>1</v>
      </c>
      <c r="R206">
        <v>40</v>
      </c>
      <c r="S206">
        <v>41</v>
      </c>
    </row>
    <row r="207" spans="1:19" x14ac:dyDescent="0.3">
      <c r="A207">
        <v>206</v>
      </c>
      <c r="B207" s="4">
        <v>40552</v>
      </c>
      <c r="C207">
        <v>1</v>
      </c>
      <c r="D207">
        <v>20</v>
      </c>
      <c r="E207" t="str">
        <f t="shared" si="9"/>
        <v>8 PM</v>
      </c>
      <c r="F207" t="str">
        <f t="shared" si="10"/>
        <v>Night</v>
      </c>
      <c r="G207" t="b">
        <v>0</v>
      </c>
      <c r="H207">
        <v>0</v>
      </c>
      <c r="I207" t="str">
        <f>_xlfn.XLOOKUP(Append15[[#This Row],[Week day]],Mappings!$B$3:$B$9,Mappings!$C$3:$C$9)</f>
        <v>Sunday</v>
      </c>
      <c r="J207" t="str">
        <f t="shared" si="11"/>
        <v>Weekend</v>
      </c>
      <c r="K207">
        <v>1</v>
      </c>
      <c r="L207" t="str">
        <f>_xlfn.XLOOKUP(Append15[[#This Row],[WeatherSituation]],Mappings!$E$3:$E$6,Mappings!$F$3:$F$6)</f>
        <v>Clear Sky</v>
      </c>
      <c r="M207">
        <v>0.14000000000000001</v>
      </c>
      <c r="N207">
        <v>0.1212</v>
      </c>
      <c r="O207">
        <v>0.46</v>
      </c>
      <c r="P207">
        <v>0.25369999999999998</v>
      </c>
      <c r="Q207">
        <v>0</v>
      </c>
      <c r="R207">
        <v>38</v>
      </c>
      <c r="S207">
        <v>38</v>
      </c>
    </row>
    <row r="208" spans="1:19" x14ac:dyDescent="0.3">
      <c r="A208">
        <v>207</v>
      </c>
      <c r="B208" s="4">
        <v>40552</v>
      </c>
      <c r="C208">
        <v>1</v>
      </c>
      <c r="D208">
        <v>21</v>
      </c>
      <c r="E208" t="str">
        <f t="shared" si="9"/>
        <v>9 PM</v>
      </c>
      <c r="F208" t="str">
        <f t="shared" si="10"/>
        <v>Night</v>
      </c>
      <c r="G208" t="b">
        <v>0</v>
      </c>
      <c r="H208">
        <v>0</v>
      </c>
      <c r="I208" t="str">
        <f>_xlfn.XLOOKUP(Append15[[#This Row],[Week day]],Mappings!$B$3:$B$9,Mappings!$C$3:$C$9)</f>
        <v>Sunday</v>
      </c>
      <c r="J208" t="str">
        <f t="shared" si="11"/>
        <v>Weekend</v>
      </c>
      <c r="K208">
        <v>1</v>
      </c>
      <c r="L208" t="str">
        <f>_xlfn.XLOOKUP(Append15[[#This Row],[WeatherSituation]],Mappings!$E$3:$E$6,Mappings!$F$3:$F$6)</f>
        <v>Clear Sky</v>
      </c>
      <c r="M208">
        <v>0.14000000000000001</v>
      </c>
      <c r="N208">
        <v>0.1061</v>
      </c>
      <c r="O208">
        <v>0.46</v>
      </c>
      <c r="P208">
        <v>0.41789999999999999</v>
      </c>
      <c r="Q208">
        <v>1</v>
      </c>
      <c r="R208">
        <v>19</v>
      </c>
      <c r="S208">
        <v>20</v>
      </c>
    </row>
    <row r="209" spans="1:19" x14ac:dyDescent="0.3">
      <c r="A209">
        <v>208</v>
      </c>
      <c r="B209" s="4">
        <v>40552</v>
      </c>
      <c r="C209">
        <v>1</v>
      </c>
      <c r="D209">
        <v>22</v>
      </c>
      <c r="E209" t="str">
        <f t="shared" si="9"/>
        <v>10 PM</v>
      </c>
      <c r="F209" t="str">
        <f t="shared" si="10"/>
        <v>Night</v>
      </c>
      <c r="G209" t="b">
        <v>0</v>
      </c>
      <c r="H209">
        <v>0</v>
      </c>
      <c r="I209" t="str">
        <f>_xlfn.XLOOKUP(Append15[[#This Row],[Week day]],Mappings!$B$3:$B$9,Mappings!$C$3:$C$9)</f>
        <v>Sunday</v>
      </c>
      <c r="J209" t="str">
        <f t="shared" si="11"/>
        <v>Weekend</v>
      </c>
      <c r="K209">
        <v>1</v>
      </c>
      <c r="L209" t="str">
        <f>_xlfn.XLOOKUP(Append15[[#This Row],[WeatherSituation]],Mappings!$E$3:$E$6,Mappings!$F$3:$F$6)</f>
        <v>Clear Sky</v>
      </c>
      <c r="M209">
        <v>0.14000000000000001</v>
      </c>
      <c r="N209">
        <v>0.1212</v>
      </c>
      <c r="O209">
        <v>0.46</v>
      </c>
      <c r="P209">
        <v>0.29849999999999999</v>
      </c>
      <c r="Q209">
        <v>5</v>
      </c>
      <c r="R209">
        <v>10</v>
      </c>
      <c r="S209">
        <v>15</v>
      </c>
    </row>
    <row r="210" spans="1:19" x14ac:dyDescent="0.3">
      <c r="A210">
        <v>209</v>
      </c>
      <c r="B210" s="4">
        <v>40552</v>
      </c>
      <c r="C210">
        <v>1</v>
      </c>
      <c r="D210">
        <v>23</v>
      </c>
      <c r="E210" t="str">
        <f t="shared" si="9"/>
        <v>11 PM</v>
      </c>
      <c r="F210" t="str">
        <f t="shared" si="10"/>
        <v>Night</v>
      </c>
      <c r="G210" t="b">
        <v>0</v>
      </c>
      <c r="H210">
        <v>0</v>
      </c>
      <c r="I210" t="str">
        <f>_xlfn.XLOOKUP(Append15[[#This Row],[Week day]],Mappings!$B$3:$B$9,Mappings!$C$3:$C$9)</f>
        <v>Sunday</v>
      </c>
      <c r="J210" t="str">
        <f t="shared" si="11"/>
        <v>Weekend</v>
      </c>
      <c r="K210">
        <v>1</v>
      </c>
      <c r="L210" t="str">
        <f>_xlfn.XLOOKUP(Append15[[#This Row],[WeatherSituation]],Mappings!$E$3:$E$6,Mappings!$F$3:$F$6)</f>
        <v>Clear Sky</v>
      </c>
      <c r="M210">
        <v>0.12</v>
      </c>
      <c r="N210">
        <v>0.13639999999999999</v>
      </c>
      <c r="O210">
        <v>0.5</v>
      </c>
      <c r="P210">
        <v>0.19400000000000001</v>
      </c>
      <c r="Q210">
        <v>0</v>
      </c>
      <c r="R210">
        <v>6</v>
      </c>
      <c r="S210">
        <v>6</v>
      </c>
    </row>
    <row r="211" spans="1:19" x14ac:dyDescent="0.3">
      <c r="A211">
        <v>210</v>
      </c>
      <c r="B211" s="4">
        <v>40553</v>
      </c>
      <c r="C211">
        <v>1</v>
      </c>
      <c r="D211">
        <v>0</v>
      </c>
      <c r="E211" t="str">
        <f t="shared" si="9"/>
        <v>12 AM</v>
      </c>
      <c r="F211" t="str">
        <f t="shared" si="10"/>
        <v>Night</v>
      </c>
      <c r="G211" t="b">
        <v>0</v>
      </c>
      <c r="H211">
        <v>1</v>
      </c>
      <c r="I211" t="str">
        <f>_xlfn.XLOOKUP(Append15[[#This Row],[Week day]],Mappings!$B$3:$B$9,Mappings!$C$3:$C$9)</f>
        <v>Monday</v>
      </c>
      <c r="J211" t="str">
        <f t="shared" si="11"/>
        <v>Weekday</v>
      </c>
      <c r="K211">
        <v>1</v>
      </c>
      <c r="L211" t="str">
        <f>_xlfn.XLOOKUP(Append15[[#This Row],[WeatherSituation]],Mappings!$E$3:$E$6,Mappings!$F$3:$F$6)</f>
        <v>Clear Sky</v>
      </c>
      <c r="M211">
        <v>0.12</v>
      </c>
      <c r="N211">
        <v>0.1212</v>
      </c>
      <c r="O211">
        <v>0.5</v>
      </c>
      <c r="P211">
        <v>0.28360000000000002</v>
      </c>
      <c r="Q211">
        <v>2</v>
      </c>
      <c r="R211">
        <v>3</v>
      </c>
      <c r="S211">
        <v>5</v>
      </c>
    </row>
    <row r="212" spans="1:19" x14ac:dyDescent="0.3">
      <c r="A212">
        <v>211</v>
      </c>
      <c r="B212" s="4">
        <v>40553</v>
      </c>
      <c r="C212">
        <v>1</v>
      </c>
      <c r="D212">
        <v>1</v>
      </c>
      <c r="E212" t="str">
        <f t="shared" si="9"/>
        <v>1 AM</v>
      </c>
      <c r="F212" t="str">
        <f t="shared" si="10"/>
        <v>Night</v>
      </c>
      <c r="G212" t="b">
        <v>0</v>
      </c>
      <c r="H212">
        <v>1</v>
      </c>
      <c r="I212" t="str">
        <f>_xlfn.XLOOKUP(Append15[[#This Row],[Week day]],Mappings!$B$3:$B$9,Mappings!$C$3:$C$9)</f>
        <v>Monday</v>
      </c>
      <c r="J212" t="str">
        <f t="shared" si="11"/>
        <v>Weekday</v>
      </c>
      <c r="K212">
        <v>1</v>
      </c>
      <c r="L212" t="str">
        <f>_xlfn.XLOOKUP(Append15[[#This Row],[WeatherSituation]],Mappings!$E$3:$E$6,Mappings!$F$3:$F$6)</f>
        <v>Clear Sky</v>
      </c>
      <c r="M212">
        <v>0.12</v>
      </c>
      <c r="N212">
        <v>0.1212</v>
      </c>
      <c r="O212">
        <v>0.5</v>
      </c>
      <c r="P212">
        <v>0.28360000000000002</v>
      </c>
      <c r="Q212">
        <v>1</v>
      </c>
      <c r="R212">
        <v>0</v>
      </c>
      <c r="S212">
        <v>1</v>
      </c>
    </row>
    <row r="213" spans="1:19" x14ac:dyDescent="0.3">
      <c r="A213">
        <v>212</v>
      </c>
      <c r="B213" s="4">
        <v>40553</v>
      </c>
      <c r="C213">
        <v>1</v>
      </c>
      <c r="D213">
        <v>2</v>
      </c>
      <c r="E213" t="str">
        <f t="shared" si="9"/>
        <v>2 AM</v>
      </c>
      <c r="F213" t="str">
        <f t="shared" si="10"/>
        <v>Night</v>
      </c>
      <c r="G213" t="b">
        <v>0</v>
      </c>
      <c r="H213">
        <v>1</v>
      </c>
      <c r="I213" t="str">
        <f>_xlfn.XLOOKUP(Append15[[#This Row],[Week day]],Mappings!$B$3:$B$9,Mappings!$C$3:$C$9)</f>
        <v>Monday</v>
      </c>
      <c r="J213" t="str">
        <f t="shared" si="11"/>
        <v>Weekday</v>
      </c>
      <c r="K213">
        <v>1</v>
      </c>
      <c r="L213" t="str">
        <f>_xlfn.XLOOKUP(Append15[[#This Row],[WeatherSituation]],Mappings!$E$3:$E$6,Mappings!$F$3:$F$6)</f>
        <v>Clear Sky</v>
      </c>
      <c r="M213">
        <v>0.12</v>
      </c>
      <c r="N213">
        <v>0.1212</v>
      </c>
      <c r="O213">
        <v>0.5</v>
      </c>
      <c r="P213">
        <v>0.22389999999999999</v>
      </c>
      <c r="Q213">
        <v>0</v>
      </c>
      <c r="R213">
        <v>3</v>
      </c>
      <c r="S213">
        <v>3</v>
      </c>
    </row>
    <row r="214" spans="1:19" x14ac:dyDescent="0.3">
      <c r="A214">
        <v>213</v>
      </c>
      <c r="B214" s="4">
        <v>40553</v>
      </c>
      <c r="C214">
        <v>1</v>
      </c>
      <c r="D214">
        <v>3</v>
      </c>
      <c r="E214" t="str">
        <f t="shared" si="9"/>
        <v>3 AM</v>
      </c>
      <c r="F214" t="str">
        <f t="shared" si="10"/>
        <v>Night</v>
      </c>
      <c r="G214" t="b">
        <v>0</v>
      </c>
      <c r="H214">
        <v>1</v>
      </c>
      <c r="I214" t="str">
        <f>_xlfn.XLOOKUP(Append15[[#This Row],[Week day]],Mappings!$B$3:$B$9,Mappings!$C$3:$C$9)</f>
        <v>Monday</v>
      </c>
      <c r="J214" t="str">
        <f t="shared" si="11"/>
        <v>Weekday</v>
      </c>
      <c r="K214">
        <v>1</v>
      </c>
      <c r="L214" t="str">
        <f>_xlfn.XLOOKUP(Append15[[#This Row],[WeatherSituation]],Mappings!$E$3:$E$6,Mappings!$F$3:$F$6)</f>
        <v>Clear Sky</v>
      </c>
      <c r="M214">
        <v>0.12</v>
      </c>
      <c r="N214">
        <v>0.1212</v>
      </c>
      <c r="O214">
        <v>0.5</v>
      </c>
      <c r="P214">
        <v>0.22389999999999999</v>
      </c>
      <c r="Q214">
        <v>0</v>
      </c>
      <c r="R214">
        <v>1</v>
      </c>
      <c r="S214">
        <v>1</v>
      </c>
    </row>
    <row r="215" spans="1:19" x14ac:dyDescent="0.3">
      <c r="A215">
        <v>214</v>
      </c>
      <c r="B215" s="4">
        <v>40553</v>
      </c>
      <c r="C215">
        <v>1</v>
      </c>
      <c r="D215">
        <v>4</v>
      </c>
      <c r="E215" t="str">
        <f t="shared" si="9"/>
        <v>4 AM</v>
      </c>
      <c r="F215" t="str">
        <f t="shared" si="10"/>
        <v>Night</v>
      </c>
      <c r="G215" t="b">
        <v>0</v>
      </c>
      <c r="H215">
        <v>1</v>
      </c>
      <c r="I215" t="str">
        <f>_xlfn.XLOOKUP(Append15[[#This Row],[Week day]],Mappings!$B$3:$B$9,Mappings!$C$3:$C$9)</f>
        <v>Monday</v>
      </c>
      <c r="J215" t="str">
        <f t="shared" si="11"/>
        <v>Weekday</v>
      </c>
      <c r="K215">
        <v>1</v>
      </c>
      <c r="L215" t="str">
        <f>_xlfn.XLOOKUP(Append15[[#This Row],[WeatherSituation]],Mappings!$E$3:$E$6,Mappings!$F$3:$F$6)</f>
        <v>Clear Sky</v>
      </c>
      <c r="M215">
        <v>0.1</v>
      </c>
      <c r="N215">
        <v>0.1212</v>
      </c>
      <c r="O215">
        <v>0.54</v>
      </c>
      <c r="P215">
        <v>0.1343</v>
      </c>
      <c r="Q215">
        <v>1</v>
      </c>
      <c r="R215">
        <v>2</v>
      </c>
      <c r="S215">
        <v>3</v>
      </c>
    </row>
    <row r="216" spans="1:19" x14ac:dyDescent="0.3">
      <c r="A216">
        <v>215</v>
      </c>
      <c r="B216" s="4">
        <v>40553</v>
      </c>
      <c r="C216">
        <v>1</v>
      </c>
      <c r="D216">
        <v>5</v>
      </c>
      <c r="E216" t="str">
        <f t="shared" si="9"/>
        <v>5 AM</v>
      </c>
      <c r="F216" t="str">
        <f t="shared" si="10"/>
        <v>Morning</v>
      </c>
      <c r="G216" t="b">
        <v>0</v>
      </c>
      <c r="H216">
        <v>1</v>
      </c>
      <c r="I216" t="str">
        <f>_xlfn.XLOOKUP(Append15[[#This Row],[Week day]],Mappings!$B$3:$B$9,Mappings!$C$3:$C$9)</f>
        <v>Monday</v>
      </c>
      <c r="J216" t="str">
        <f t="shared" si="11"/>
        <v>Weekday</v>
      </c>
      <c r="K216">
        <v>1</v>
      </c>
      <c r="L216" t="str">
        <f>_xlfn.XLOOKUP(Append15[[#This Row],[WeatherSituation]],Mappings!$E$3:$E$6,Mappings!$F$3:$F$6)</f>
        <v>Clear Sky</v>
      </c>
      <c r="M216">
        <v>0.1</v>
      </c>
      <c r="N216">
        <v>0.1061</v>
      </c>
      <c r="O216">
        <v>0.54</v>
      </c>
      <c r="P216">
        <v>0.25369999999999998</v>
      </c>
      <c r="Q216">
        <v>0</v>
      </c>
      <c r="R216">
        <v>3</v>
      </c>
      <c r="S216">
        <v>3</v>
      </c>
    </row>
    <row r="217" spans="1:19" x14ac:dyDescent="0.3">
      <c r="A217">
        <v>216</v>
      </c>
      <c r="B217" s="4">
        <v>40553</v>
      </c>
      <c r="C217">
        <v>1</v>
      </c>
      <c r="D217">
        <v>6</v>
      </c>
      <c r="E217" t="str">
        <f t="shared" si="9"/>
        <v>6 AM</v>
      </c>
      <c r="F217" t="str">
        <f t="shared" si="10"/>
        <v>Morning</v>
      </c>
      <c r="G217" t="b">
        <v>0</v>
      </c>
      <c r="H217">
        <v>1</v>
      </c>
      <c r="I217" t="str">
        <f>_xlfn.XLOOKUP(Append15[[#This Row],[Week day]],Mappings!$B$3:$B$9,Mappings!$C$3:$C$9)</f>
        <v>Monday</v>
      </c>
      <c r="J217" t="str">
        <f t="shared" si="11"/>
        <v>Weekday</v>
      </c>
      <c r="K217">
        <v>1</v>
      </c>
      <c r="L217" t="str">
        <f>_xlfn.XLOOKUP(Append15[[#This Row],[WeatherSituation]],Mappings!$E$3:$E$6,Mappings!$F$3:$F$6)</f>
        <v>Clear Sky</v>
      </c>
      <c r="M217">
        <v>0.12</v>
      </c>
      <c r="N217">
        <v>0.1212</v>
      </c>
      <c r="O217">
        <v>0.5</v>
      </c>
      <c r="P217">
        <v>0.28360000000000002</v>
      </c>
      <c r="Q217">
        <v>0</v>
      </c>
      <c r="R217">
        <v>31</v>
      </c>
      <c r="S217">
        <v>31</v>
      </c>
    </row>
    <row r="218" spans="1:19" x14ac:dyDescent="0.3">
      <c r="A218">
        <v>217</v>
      </c>
      <c r="B218" s="4">
        <v>40553</v>
      </c>
      <c r="C218">
        <v>1</v>
      </c>
      <c r="D218">
        <v>7</v>
      </c>
      <c r="E218" t="str">
        <f t="shared" si="9"/>
        <v>7 AM</v>
      </c>
      <c r="F218" t="str">
        <f t="shared" si="10"/>
        <v>Morning</v>
      </c>
      <c r="G218" t="b">
        <v>0</v>
      </c>
      <c r="H218">
        <v>1</v>
      </c>
      <c r="I218" t="str">
        <f>_xlfn.XLOOKUP(Append15[[#This Row],[Week day]],Mappings!$B$3:$B$9,Mappings!$C$3:$C$9)</f>
        <v>Monday</v>
      </c>
      <c r="J218" t="str">
        <f t="shared" si="11"/>
        <v>Weekday</v>
      </c>
      <c r="K218">
        <v>1</v>
      </c>
      <c r="L218" t="str">
        <f>_xlfn.XLOOKUP(Append15[[#This Row],[WeatherSituation]],Mappings!$E$3:$E$6,Mappings!$F$3:$F$6)</f>
        <v>Clear Sky</v>
      </c>
      <c r="M218">
        <v>0.12</v>
      </c>
      <c r="N218">
        <v>0.1212</v>
      </c>
      <c r="O218">
        <v>0.5</v>
      </c>
      <c r="P218">
        <v>0.22389999999999999</v>
      </c>
      <c r="Q218">
        <v>2</v>
      </c>
      <c r="R218">
        <v>75</v>
      </c>
      <c r="S218">
        <v>77</v>
      </c>
    </row>
    <row r="219" spans="1:19" x14ac:dyDescent="0.3">
      <c r="A219">
        <v>218</v>
      </c>
      <c r="B219" s="4">
        <v>40553</v>
      </c>
      <c r="C219">
        <v>1</v>
      </c>
      <c r="D219">
        <v>8</v>
      </c>
      <c r="E219" t="str">
        <f t="shared" si="9"/>
        <v>8 AM</v>
      </c>
      <c r="F219" t="str">
        <f t="shared" si="10"/>
        <v>Morning</v>
      </c>
      <c r="G219" t="b">
        <v>0</v>
      </c>
      <c r="H219">
        <v>1</v>
      </c>
      <c r="I219" t="str">
        <f>_xlfn.XLOOKUP(Append15[[#This Row],[Week day]],Mappings!$B$3:$B$9,Mappings!$C$3:$C$9)</f>
        <v>Monday</v>
      </c>
      <c r="J219" t="str">
        <f t="shared" si="11"/>
        <v>Weekday</v>
      </c>
      <c r="K219">
        <v>2</v>
      </c>
      <c r="L219" t="str">
        <f>_xlfn.XLOOKUP(Append15[[#This Row],[WeatherSituation]],Mappings!$E$3:$E$6,Mappings!$F$3:$F$6)</f>
        <v>Mist/Cloudy</v>
      </c>
      <c r="M219">
        <v>0.12</v>
      </c>
      <c r="N219">
        <v>0.1212</v>
      </c>
      <c r="O219">
        <v>0.5</v>
      </c>
      <c r="P219">
        <v>0.28360000000000002</v>
      </c>
      <c r="Q219">
        <v>4</v>
      </c>
      <c r="R219">
        <v>184</v>
      </c>
      <c r="S219">
        <v>188</v>
      </c>
    </row>
    <row r="220" spans="1:19" x14ac:dyDescent="0.3">
      <c r="A220">
        <v>219</v>
      </c>
      <c r="B220" s="4">
        <v>40553</v>
      </c>
      <c r="C220">
        <v>1</v>
      </c>
      <c r="D220">
        <v>9</v>
      </c>
      <c r="E220" t="str">
        <f t="shared" si="9"/>
        <v>9 AM</v>
      </c>
      <c r="F220" t="str">
        <f t="shared" si="10"/>
        <v>Morning</v>
      </c>
      <c r="G220" t="b">
        <v>0</v>
      </c>
      <c r="H220">
        <v>1</v>
      </c>
      <c r="I220" t="str">
        <f>_xlfn.XLOOKUP(Append15[[#This Row],[Week day]],Mappings!$B$3:$B$9,Mappings!$C$3:$C$9)</f>
        <v>Monday</v>
      </c>
      <c r="J220" t="str">
        <f t="shared" si="11"/>
        <v>Weekday</v>
      </c>
      <c r="K220">
        <v>2</v>
      </c>
      <c r="L220" t="str">
        <f>_xlfn.XLOOKUP(Append15[[#This Row],[WeatherSituation]],Mappings!$E$3:$E$6,Mappings!$F$3:$F$6)</f>
        <v>Mist/Cloudy</v>
      </c>
      <c r="M220">
        <v>0.14000000000000001</v>
      </c>
      <c r="N220">
        <v>0.1212</v>
      </c>
      <c r="O220">
        <v>0.5</v>
      </c>
      <c r="P220">
        <v>0.25369999999999998</v>
      </c>
      <c r="Q220">
        <v>2</v>
      </c>
      <c r="R220">
        <v>92</v>
      </c>
      <c r="S220">
        <v>94</v>
      </c>
    </row>
    <row r="221" spans="1:19" x14ac:dyDescent="0.3">
      <c r="A221">
        <v>220</v>
      </c>
      <c r="B221" s="4">
        <v>40553</v>
      </c>
      <c r="C221">
        <v>1</v>
      </c>
      <c r="D221">
        <v>10</v>
      </c>
      <c r="E221" t="str">
        <f t="shared" si="9"/>
        <v>10 AM</v>
      </c>
      <c r="F221" t="str">
        <f t="shared" si="10"/>
        <v>Morning</v>
      </c>
      <c r="G221" t="b">
        <v>0</v>
      </c>
      <c r="H221">
        <v>1</v>
      </c>
      <c r="I221" t="str">
        <f>_xlfn.XLOOKUP(Append15[[#This Row],[Week day]],Mappings!$B$3:$B$9,Mappings!$C$3:$C$9)</f>
        <v>Monday</v>
      </c>
      <c r="J221" t="str">
        <f t="shared" si="11"/>
        <v>Weekday</v>
      </c>
      <c r="K221">
        <v>2</v>
      </c>
      <c r="L221" t="str">
        <f>_xlfn.XLOOKUP(Append15[[#This Row],[WeatherSituation]],Mappings!$E$3:$E$6,Mappings!$F$3:$F$6)</f>
        <v>Mist/Cloudy</v>
      </c>
      <c r="M221">
        <v>0.14000000000000001</v>
      </c>
      <c r="N221">
        <v>0.1212</v>
      </c>
      <c r="O221">
        <v>0.5</v>
      </c>
      <c r="P221">
        <v>0.29849999999999999</v>
      </c>
      <c r="Q221">
        <v>0</v>
      </c>
      <c r="R221">
        <v>31</v>
      </c>
      <c r="S221">
        <v>31</v>
      </c>
    </row>
    <row r="222" spans="1:19" x14ac:dyDescent="0.3">
      <c r="A222">
        <v>221</v>
      </c>
      <c r="B222" s="4">
        <v>40553</v>
      </c>
      <c r="C222">
        <v>1</v>
      </c>
      <c r="D222">
        <v>11</v>
      </c>
      <c r="E222" t="str">
        <f t="shared" si="9"/>
        <v>11 AM</v>
      </c>
      <c r="F222" t="str">
        <f t="shared" si="10"/>
        <v>Morning</v>
      </c>
      <c r="G222" t="b">
        <v>0</v>
      </c>
      <c r="H222">
        <v>1</v>
      </c>
      <c r="I222" t="str">
        <f>_xlfn.XLOOKUP(Append15[[#This Row],[Week day]],Mappings!$B$3:$B$9,Mappings!$C$3:$C$9)</f>
        <v>Monday</v>
      </c>
      <c r="J222" t="str">
        <f t="shared" si="11"/>
        <v>Weekday</v>
      </c>
      <c r="K222">
        <v>2</v>
      </c>
      <c r="L222" t="str">
        <f>_xlfn.XLOOKUP(Append15[[#This Row],[WeatherSituation]],Mappings!$E$3:$E$6,Mappings!$F$3:$F$6)</f>
        <v>Mist/Cloudy</v>
      </c>
      <c r="M222">
        <v>0.16</v>
      </c>
      <c r="N222">
        <v>0.13639999999999999</v>
      </c>
      <c r="O222">
        <v>0.47</v>
      </c>
      <c r="P222">
        <v>0.28360000000000002</v>
      </c>
      <c r="Q222">
        <v>2</v>
      </c>
      <c r="R222">
        <v>28</v>
      </c>
      <c r="S222">
        <v>30</v>
      </c>
    </row>
    <row r="223" spans="1:19" x14ac:dyDescent="0.3">
      <c r="A223">
        <v>222</v>
      </c>
      <c r="B223" s="4">
        <v>40553</v>
      </c>
      <c r="C223">
        <v>1</v>
      </c>
      <c r="D223">
        <v>12</v>
      </c>
      <c r="E223" t="str">
        <f t="shared" si="9"/>
        <v>12 PM</v>
      </c>
      <c r="F223" t="str">
        <f t="shared" si="10"/>
        <v>AfterNoon</v>
      </c>
      <c r="G223" t="b">
        <v>0</v>
      </c>
      <c r="H223">
        <v>1</v>
      </c>
      <c r="I223" t="str">
        <f>_xlfn.XLOOKUP(Append15[[#This Row],[Week day]],Mappings!$B$3:$B$9,Mappings!$C$3:$C$9)</f>
        <v>Monday</v>
      </c>
      <c r="J223" t="str">
        <f t="shared" si="11"/>
        <v>Weekday</v>
      </c>
      <c r="K223">
        <v>2</v>
      </c>
      <c r="L223" t="str">
        <f>_xlfn.XLOOKUP(Append15[[#This Row],[WeatherSituation]],Mappings!$E$3:$E$6,Mappings!$F$3:$F$6)</f>
        <v>Mist/Cloudy</v>
      </c>
      <c r="M223">
        <v>0.2</v>
      </c>
      <c r="N223">
        <v>0.18179999999999999</v>
      </c>
      <c r="O223">
        <v>0.4</v>
      </c>
      <c r="P223">
        <v>0.28360000000000002</v>
      </c>
      <c r="Q223">
        <v>5</v>
      </c>
      <c r="R223">
        <v>47</v>
      </c>
      <c r="S223">
        <v>52</v>
      </c>
    </row>
    <row r="224" spans="1:19" x14ac:dyDescent="0.3">
      <c r="A224">
        <v>223</v>
      </c>
      <c r="B224" s="4">
        <v>40553</v>
      </c>
      <c r="C224">
        <v>1</v>
      </c>
      <c r="D224">
        <v>13</v>
      </c>
      <c r="E224" t="str">
        <f t="shared" si="9"/>
        <v>1 PM</v>
      </c>
      <c r="F224" t="str">
        <f t="shared" si="10"/>
        <v>AfterNoon</v>
      </c>
      <c r="G224" t="b">
        <v>0</v>
      </c>
      <c r="H224">
        <v>1</v>
      </c>
      <c r="I224" t="str">
        <f>_xlfn.XLOOKUP(Append15[[#This Row],[Week day]],Mappings!$B$3:$B$9,Mappings!$C$3:$C$9)</f>
        <v>Monday</v>
      </c>
      <c r="J224" t="str">
        <f t="shared" si="11"/>
        <v>Weekday</v>
      </c>
      <c r="K224">
        <v>2</v>
      </c>
      <c r="L224" t="str">
        <f>_xlfn.XLOOKUP(Append15[[#This Row],[WeatherSituation]],Mappings!$E$3:$E$6,Mappings!$F$3:$F$6)</f>
        <v>Mist/Cloudy</v>
      </c>
      <c r="M224">
        <v>0.2</v>
      </c>
      <c r="N224">
        <v>0.18179999999999999</v>
      </c>
      <c r="O224">
        <v>0.4</v>
      </c>
      <c r="P224">
        <v>0.28360000000000002</v>
      </c>
      <c r="Q224">
        <v>4</v>
      </c>
      <c r="R224">
        <v>50</v>
      </c>
      <c r="S224">
        <v>54</v>
      </c>
    </row>
    <row r="225" spans="1:19" x14ac:dyDescent="0.3">
      <c r="A225">
        <v>224</v>
      </c>
      <c r="B225" s="4">
        <v>40553</v>
      </c>
      <c r="C225">
        <v>1</v>
      </c>
      <c r="D225">
        <v>14</v>
      </c>
      <c r="E225" t="str">
        <f t="shared" si="9"/>
        <v>2 PM</v>
      </c>
      <c r="F225" t="str">
        <f t="shared" si="10"/>
        <v>AfterNoon</v>
      </c>
      <c r="G225" t="b">
        <v>0</v>
      </c>
      <c r="H225">
        <v>1</v>
      </c>
      <c r="I225" t="str">
        <f>_xlfn.XLOOKUP(Append15[[#This Row],[Week day]],Mappings!$B$3:$B$9,Mappings!$C$3:$C$9)</f>
        <v>Monday</v>
      </c>
      <c r="J225" t="str">
        <f t="shared" si="11"/>
        <v>Weekday</v>
      </c>
      <c r="K225">
        <v>2</v>
      </c>
      <c r="L225" t="str">
        <f>_xlfn.XLOOKUP(Append15[[#This Row],[WeatherSituation]],Mappings!$E$3:$E$6,Mappings!$F$3:$F$6)</f>
        <v>Mist/Cloudy</v>
      </c>
      <c r="M225">
        <v>0.2</v>
      </c>
      <c r="N225">
        <v>0.19700000000000001</v>
      </c>
      <c r="O225">
        <v>0.4</v>
      </c>
      <c r="P225">
        <v>0.22389999999999999</v>
      </c>
      <c r="Q225">
        <v>0</v>
      </c>
      <c r="R225">
        <v>47</v>
      </c>
      <c r="S225">
        <v>47</v>
      </c>
    </row>
    <row r="226" spans="1:19" x14ac:dyDescent="0.3">
      <c r="A226">
        <v>225</v>
      </c>
      <c r="B226" s="4">
        <v>40553</v>
      </c>
      <c r="C226">
        <v>1</v>
      </c>
      <c r="D226">
        <v>15</v>
      </c>
      <c r="E226" t="str">
        <f t="shared" si="9"/>
        <v>3 PM</v>
      </c>
      <c r="F226" t="str">
        <f t="shared" si="10"/>
        <v>AfterNoon</v>
      </c>
      <c r="G226" t="b">
        <v>0</v>
      </c>
      <c r="H226">
        <v>1</v>
      </c>
      <c r="I226" t="str">
        <f>_xlfn.XLOOKUP(Append15[[#This Row],[Week day]],Mappings!$B$3:$B$9,Mappings!$C$3:$C$9)</f>
        <v>Monday</v>
      </c>
      <c r="J226" t="str">
        <f t="shared" si="11"/>
        <v>Weekday</v>
      </c>
      <c r="K226">
        <v>2</v>
      </c>
      <c r="L226" t="str">
        <f>_xlfn.XLOOKUP(Append15[[#This Row],[WeatherSituation]],Mappings!$E$3:$E$6,Mappings!$F$3:$F$6)</f>
        <v>Mist/Cloudy</v>
      </c>
      <c r="M226">
        <v>0.2</v>
      </c>
      <c r="N226">
        <v>0.19700000000000001</v>
      </c>
      <c r="O226">
        <v>0.4</v>
      </c>
      <c r="P226">
        <v>0.22389999999999999</v>
      </c>
      <c r="Q226">
        <v>2</v>
      </c>
      <c r="R226">
        <v>43</v>
      </c>
      <c r="S226">
        <v>45</v>
      </c>
    </row>
    <row r="227" spans="1:19" x14ac:dyDescent="0.3">
      <c r="A227">
        <v>226</v>
      </c>
      <c r="B227" s="4">
        <v>40553</v>
      </c>
      <c r="C227">
        <v>1</v>
      </c>
      <c r="D227">
        <v>16</v>
      </c>
      <c r="E227" t="str">
        <f t="shared" si="9"/>
        <v>4 PM</v>
      </c>
      <c r="F227" t="str">
        <f t="shared" si="10"/>
        <v>Evening</v>
      </c>
      <c r="G227" t="b">
        <v>0</v>
      </c>
      <c r="H227">
        <v>1</v>
      </c>
      <c r="I227" t="str">
        <f>_xlfn.XLOOKUP(Append15[[#This Row],[Week day]],Mappings!$B$3:$B$9,Mappings!$C$3:$C$9)</f>
        <v>Monday</v>
      </c>
      <c r="J227" t="str">
        <f t="shared" si="11"/>
        <v>Weekday</v>
      </c>
      <c r="K227">
        <v>1</v>
      </c>
      <c r="L227" t="str">
        <f>_xlfn.XLOOKUP(Append15[[#This Row],[WeatherSituation]],Mappings!$E$3:$E$6,Mappings!$F$3:$F$6)</f>
        <v>Clear Sky</v>
      </c>
      <c r="M227">
        <v>0.2</v>
      </c>
      <c r="N227">
        <v>0.21210000000000001</v>
      </c>
      <c r="O227">
        <v>0.4</v>
      </c>
      <c r="P227">
        <v>0.1343</v>
      </c>
      <c r="Q227">
        <v>4</v>
      </c>
      <c r="R227">
        <v>70</v>
      </c>
      <c r="S227">
        <v>74</v>
      </c>
    </row>
    <row r="228" spans="1:19" x14ac:dyDescent="0.3">
      <c r="A228">
        <v>227</v>
      </c>
      <c r="B228" s="4">
        <v>40553</v>
      </c>
      <c r="C228">
        <v>1</v>
      </c>
      <c r="D228">
        <v>17</v>
      </c>
      <c r="E228" t="str">
        <f t="shared" si="9"/>
        <v>5 PM</v>
      </c>
      <c r="F228" t="str">
        <f t="shared" si="10"/>
        <v>Evening</v>
      </c>
      <c r="G228" t="b">
        <v>0</v>
      </c>
      <c r="H228">
        <v>1</v>
      </c>
      <c r="I228" t="str">
        <f>_xlfn.XLOOKUP(Append15[[#This Row],[Week day]],Mappings!$B$3:$B$9,Mappings!$C$3:$C$9)</f>
        <v>Monday</v>
      </c>
      <c r="J228" t="str">
        <f t="shared" si="11"/>
        <v>Weekday</v>
      </c>
      <c r="K228">
        <v>1</v>
      </c>
      <c r="L228" t="str">
        <f>_xlfn.XLOOKUP(Append15[[#This Row],[WeatherSituation]],Mappings!$E$3:$E$6,Mappings!$F$3:$F$6)</f>
        <v>Clear Sky</v>
      </c>
      <c r="M228">
        <v>0.2</v>
      </c>
      <c r="N228">
        <v>0.2273</v>
      </c>
      <c r="O228">
        <v>0.4</v>
      </c>
      <c r="P228">
        <v>0.1045</v>
      </c>
      <c r="Q228">
        <v>4</v>
      </c>
      <c r="R228">
        <v>174</v>
      </c>
      <c r="S228">
        <v>178</v>
      </c>
    </row>
    <row r="229" spans="1:19" x14ac:dyDescent="0.3">
      <c r="A229">
        <v>228</v>
      </c>
      <c r="B229" s="4">
        <v>40553</v>
      </c>
      <c r="C229">
        <v>1</v>
      </c>
      <c r="D229">
        <v>18</v>
      </c>
      <c r="E229" t="str">
        <f t="shared" si="9"/>
        <v>6 PM</v>
      </c>
      <c r="F229" t="str">
        <f t="shared" si="10"/>
        <v>Evening</v>
      </c>
      <c r="G229" t="b">
        <v>0</v>
      </c>
      <c r="H229">
        <v>1</v>
      </c>
      <c r="I229" t="str">
        <f>_xlfn.XLOOKUP(Append15[[#This Row],[Week day]],Mappings!$B$3:$B$9,Mappings!$C$3:$C$9)</f>
        <v>Monday</v>
      </c>
      <c r="J229" t="str">
        <f t="shared" si="11"/>
        <v>Weekday</v>
      </c>
      <c r="K229">
        <v>1</v>
      </c>
      <c r="L229" t="str">
        <f>_xlfn.XLOOKUP(Append15[[#This Row],[WeatherSituation]],Mappings!$E$3:$E$6,Mappings!$F$3:$F$6)</f>
        <v>Clear Sky</v>
      </c>
      <c r="M229">
        <v>0.2</v>
      </c>
      <c r="N229">
        <v>0.19700000000000001</v>
      </c>
      <c r="O229">
        <v>0.4</v>
      </c>
      <c r="P229">
        <v>0.22389999999999999</v>
      </c>
      <c r="Q229">
        <v>1</v>
      </c>
      <c r="R229">
        <v>154</v>
      </c>
      <c r="S229">
        <v>155</v>
      </c>
    </row>
    <row r="230" spans="1:19" x14ac:dyDescent="0.3">
      <c r="A230">
        <v>229</v>
      </c>
      <c r="B230" s="4">
        <v>40553</v>
      </c>
      <c r="C230">
        <v>1</v>
      </c>
      <c r="D230">
        <v>19</v>
      </c>
      <c r="E230" t="str">
        <f t="shared" si="9"/>
        <v>7 PM</v>
      </c>
      <c r="F230" t="str">
        <f t="shared" si="10"/>
        <v>Evening</v>
      </c>
      <c r="G230" t="b">
        <v>0</v>
      </c>
      <c r="H230">
        <v>1</v>
      </c>
      <c r="I230" t="str">
        <f>_xlfn.XLOOKUP(Append15[[#This Row],[Week day]],Mappings!$B$3:$B$9,Mappings!$C$3:$C$9)</f>
        <v>Monday</v>
      </c>
      <c r="J230" t="str">
        <f t="shared" si="11"/>
        <v>Weekday</v>
      </c>
      <c r="K230">
        <v>1</v>
      </c>
      <c r="L230" t="str">
        <f>_xlfn.XLOOKUP(Append15[[#This Row],[WeatherSituation]],Mappings!$E$3:$E$6,Mappings!$F$3:$F$6)</f>
        <v>Clear Sky</v>
      </c>
      <c r="M230">
        <v>0.16</v>
      </c>
      <c r="N230">
        <v>0.16669999999999999</v>
      </c>
      <c r="O230">
        <v>0.47</v>
      </c>
      <c r="P230">
        <v>0.16420000000000001</v>
      </c>
      <c r="Q230">
        <v>3</v>
      </c>
      <c r="R230">
        <v>92</v>
      </c>
      <c r="S230">
        <v>95</v>
      </c>
    </row>
    <row r="231" spans="1:19" x14ac:dyDescent="0.3">
      <c r="A231">
        <v>230</v>
      </c>
      <c r="B231" s="4">
        <v>40553</v>
      </c>
      <c r="C231">
        <v>1</v>
      </c>
      <c r="D231">
        <v>20</v>
      </c>
      <c r="E231" t="str">
        <f t="shared" si="9"/>
        <v>8 PM</v>
      </c>
      <c r="F231" t="str">
        <f t="shared" si="10"/>
        <v>Night</v>
      </c>
      <c r="G231" t="b">
        <v>0</v>
      </c>
      <c r="H231">
        <v>1</v>
      </c>
      <c r="I231" t="str">
        <f>_xlfn.XLOOKUP(Append15[[#This Row],[Week day]],Mappings!$B$3:$B$9,Mappings!$C$3:$C$9)</f>
        <v>Monday</v>
      </c>
      <c r="J231" t="str">
        <f t="shared" si="11"/>
        <v>Weekday</v>
      </c>
      <c r="K231">
        <v>1</v>
      </c>
      <c r="L231" t="str">
        <f>_xlfn.XLOOKUP(Append15[[#This Row],[WeatherSituation]],Mappings!$E$3:$E$6,Mappings!$F$3:$F$6)</f>
        <v>Clear Sky</v>
      </c>
      <c r="M231">
        <v>0.16</v>
      </c>
      <c r="N231">
        <v>0.16669999999999999</v>
      </c>
      <c r="O231">
        <v>0.5</v>
      </c>
      <c r="P231">
        <v>0.16420000000000001</v>
      </c>
      <c r="Q231">
        <v>1</v>
      </c>
      <c r="R231">
        <v>73</v>
      </c>
      <c r="S231">
        <v>74</v>
      </c>
    </row>
    <row r="232" spans="1:19" x14ac:dyDescent="0.3">
      <c r="A232">
        <v>231</v>
      </c>
      <c r="B232" s="4">
        <v>40553</v>
      </c>
      <c r="C232">
        <v>1</v>
      </c>
      <c r="D232">
        <v>21</v>
      </c>
      <c r="E232" t="str">
        <f t="shared" si="9"/>
        <v>9 PM</v>
      </c>
      <c r="F232" t="str">
        <f t="shared" si="10"/>
        <v>Night</v>
      </c>
      <c r="G232" t="b">
        <v>0</v>
      </c>
      <c r="H232">
        <v>1</v>
      </c>
      <c r="I232" t="str">
        <f>_xlfn.XLOOKUP(Append15[[#This Row],[Week day]],Mappings!$B$3:$B$9,Mappings!$C$3:$C$9)</f>
        <v>Monday</v>
      </c>
      <c r="J232" t="str">
        <f t="shared" si="11"/>
        <v>Weekday</v>
      </c>
      <c r="K232">
        <v>1</v>
      </c>
      <c r="L232" t="str">
        <f>_xlfn.XLOOKUP(Append15[[#This Row],[WeatherSituation]],Mappings!$E$3:$E$6,Mappings!$F$3:$F$6)</f>
        <v>Clear Sky</v>
      </c>
      <c r="M232">
        <v>0.14000000000000001</v>
      </c>
      <c r="N232">
        <v>0.13639999999999999</v>
      </c>
      <c r="O232">
        <v>0.59</v>
      </c>
      <c r="P232">
        <v>0.19400000000000001</v>
      </c>
      <c r="Q232">
        <v>1</v>
      </c>
      <c r="R232">
        <v>37</v>
      </c>
      <c r="S232">
        <v>38</v>
      </c>
    </row>
    <row r="233" spans="1:19" x14ac:dyDescent="0.3">
      <c r="A233">
        <v>232</v>
      </c>
      <c r="B233" s="4">
        <v>40553</v>
      </c>
      <c r="C233">
        <v>1</v>
      </c>
      <c r="D233">
        <v>22</v>
      </c>
      <c r="E233" t="str">
        <f t="shared" si="9"/>
        <v>10 PM</v>
      </c>
      <c r="F233" t="str">
        <f t="shared" si="10"/>
        <v>Night</v>
      </c>
      <c r="G233" t="b">
        <v>0</v>
      </c>
      <c r="H233">
        <v>1</v>
      </c>
      <c r="I233" t="str">
        <f>_xlfn.XLOOKUP(Append15[[#This Row],[Week day]],Mappings!$B$3:$B$9,Mappings!$C$3:$C$9)</f>
        <v>Monday</v>
      </c>
      <c r="J233" t="str">
        <f t="shared" si="11"/>
        <v>Weekday</v>
      </c>
      <c r="K233">
        <v>1</v>
      </c>
      <c r="L233" t="str">
        <f>_xlfn.XLOOKUP(Append15[[#This Row],[WeatherSituation]],Mappings!$E$3:$E$6,Mappings!$F$3:$F$6)</f>
        <v>Clear Sky</v>
      </c>
      <c r="M233">
        <v>0.14000000000000001</v>
      </c>
      <c r="N233">
        <v>0.1515</v>
      </c>
      <c r="O233">
        <v>0.59</v>
      </c>
      <c r="P233">
        <v>0.16420000000000001</v>
      </c>
      <c r="Q233">
        <v>2</v>
      </c>
      <c r="R233">
        <v>22</v>
      </c>
      <c r="S233">
        <v>24</v>
      </c>
    </row>
    <row r="234" spans="1:19" x14ac:dyDescent="0.3">
      <c r="A234">
        <v>233</v>
      </c>
      <c r="B234" s="4">
        <v>40553</v>
      </c>
      <c r="C234">
        <v>1</v>
      </c>
      <c r="D234">
        <v>23</v>
      </c>
      <c r="E234" t="str">
        <f t="shared" si="9"/>
        <v>11 PM</v>
      </c>
      <c r="F234" t="str">
        <f t="shared" si="10"/>
        <v>Night</v>
      </c>
      <c r="G234" t="b">
        <v>0</v>
      </c>
      <c r="H234">
        <v>1</v>
      </c>
      <c r="I234" t="str">
        <f>_xlfn.XLOOKUP(Append15[[#This Row],[Week day]],Mappings!$B$3:$B$9,Mappings!$C$3:$C$9)</f>
        <v>Monday</v>
      </c>
      <c r="J234" t="str">
        <f t="shared" si="11"/>
        <v>Weekday</v>
      </c>
      <c r="K234">
        <v>1</v>
      </c>
      <c r="L234" t="str">
        <f>_xlfn.XLOOKUP(Append15[[#This Row],[WeatherSituation]],Mappings!$E$3:$E$6,Mappings!$F$3:$F$6)</f>
        <v>Clear Sky</v>
      </c>
      <c r="M234">
        <v>0.14000000000000001</v>
      </c>
      <c r="N234">
        <v>0.1515</v>
      </c>
      <c r="O234">
        <v>0.59</v>
      </c>
      <c r="P234">
        <v>0.16420000000000001</v>
      </c>
      <c r="Q234">
        <v>0</v>
      </c>
      <c r="R234">
        <v>18</v>
      </c>
      <c r="S234">
        <v>18</v>
      </c>
    </row>
    <row r="235" spans="1:19" x14ac:dyDescent="0.3">
      <c r="A235">
        <v>234</v>
      </c>
      <c r="B235" s="4">
        <v>40554</v>
      </c>
      <c r="C235">
        <v>1</v>
      </c>
      <c r="D235">
        <v>0</v>
      </c>
      <c r="E235" t="str">
        <f t="shared" si="9"/>
        <v>12 AM</v>
      </c>
      <c r="F235" t="str">
        <f t="shared" si="10"/>
        <v>Night</v>
      </c>
      <c r="G235" t="b">
        <v>0</v>
      </c>
      <c r="H235">
        <v>2</v>
      </c>
      <c r="I235" t="str">
        <f>_xlfn.XLOOKUP(Append15[[#This Row],[Week day]],Mappings!$B$3:$B$9,Mappings!$C$3:$C$9)</f>
        <v>Tuesday</v>
      </c>
      <c r="J235" t="str">
        <f t="shared" si="11"/>
        <v>Weekday</v>
      </c>
      <c r="K235">
        <v>1</v>
      </c>
      <c r="L235" t="str">
        <f>_xlfn.XLOOKUP(Append15[[#This Row],[WeatherSituation]],Mappings!$E$3:$E$6,Mappings!$F$3:$F$6)</f>
        <v>Clear Sky</v>
      </c>
      <c r="M235">
        <v>0.14000000000000001</v>
      </c>
      <c r="N235">
        <v>0.16669999999999999</v>
      </c>
      <c r="O235">
        <v>0.59</v>
      </c>
      <c r="P235">
        <v>0.1045</v>
      </c>
      <c r="Q235">
        <v>2</v>
      </c>
      <c r="R235">
        <v>10</v>
      </c>
      <c r="S235">
        <v>12</v>
      </c>
    </row>
    <row r="236" spans="1:19" x14ac:dyDescent="0.3">
      <c r="A236">
        <v>235</v>
      </c>
      <c r="B236" s="4">
        <v>40554</v>
      </c>
      <c r="C236">
        <v>1</v>
      </c>
      <c r="D236">
        <v>1</v>
      </c>
      <c r="E236" t="str">
        <f t="shared" si="9"/>
        <v>1 AM</v>
      </c>
      <c r="F236" t="str">
        <f t="shared" si="10"/>
        <v>Night</v>
      </c>
      <c r="G236" t="b">
        <v>0</v>
      </c>
      <c r="H236">
        <v>2</v>
      </c>
      <c r="I236" t="str">
        <f>_xlfn.XLOOKUP(Append15[[#This Row],[Week day]],Mappings!$B$3:$B$9,Mappings!$C$3:$C$9)</f>
        <v>Tuesday</v>
      </c>
      <c r="J236" t="str">
        <f t="shared" si="11"/>
        <v>Weekday</v>
      </c>
      <c r="K236">
        <v>1</v>
      </c>
      <c r="L236" t="str">
        <f>_xlfn.XLOOKUP(Append15[[#This Row],[WeatherSituation]],Mappings!$E$3:$E$6,Mappings!$F$3:$F$6)</f>
        <v>Clear Sky</v>
      </c>
      <c r="M236">
        <v>0.14000000000000001</v>
      </c>
      <c r="N236">
        <v>0.1515</v>
      </c>
      <c r="O236">
        <v>0.59</v>
      </c>
      <c r="P236">
        <v>0.16420000000000001</v>
      </c>
      <c r="Q236">
        <v>0</v>
      </c>
      <c r="R236">
        <v>3</v>
      </c>
      <c r="S236">
        <v>3</v>
      </c>
    </row>
    <row r="237" spans="1:19" x14ac:dyDescent="0.3">
      <c r="A237">
        <v>236</v>
      </c>
      <c r="B237" s="4">
        <v>40554</v>
      </c>
      <c r="C237">
        <v>1</v>
      </c>
      <c r="D237">
        <v>2</v>
      </c>
      <c r="E237" t="str">
        <f t="shared" si="9"/>
        <v>2 AM</v>
      </c>
      <c r="F237" t="str">
        <f t="shared" si="10"/>
        <v>Night</v>
      </c>
      <c r="G237" t="b">
        <v>0</v>
      </c>
      <c r="H237">
        <v>2</v>
      </c>
      <c r="I237" t="str">
        <f>_xlfn.XLOOKUP(Append15[[#This Row],[Week day]],Mappings!$B$3:$B$9,Mappings!$C$3:$C$9)</f>
        <v>Tuesday</v>
      </c>
      <c r="J237" t="str">
        <f t="shared" si="11"/>
        <v>Weekday</v>
      </c>
      <c r="K237">
        <v>2</v>
      </c>
      <c r="L237" t="str">
        <f>_xlfn.XLOOKUP(Append15[[#This Row],[WeatherSituation]],Mappings!$E$3:$E$6,Mappings!$F$3:$F$6)</f>
        <v>Mist/Cloudy</v>
      </c>
      <c r="M237">
        <v>0.16</v>
      </c>
      <c r="N237">
        <v>0.1515</v>
      </c>
      <c r="O237">
        <v>0.55000000000000004</v>
      </c>
      <c r="P237">
        <v>0.19400000000000001</v>
      </c>
      <c r="Q237">
        <v>0</v>
      </c>
      <c r="R237">
        <v>3</v>
      </c>
      <c r="S237">
        <v>3</v>
      </c>
    </row>
    <row r="238" spans="1:19" x14ac:dyDescent="0.3">
      <c r="A238">
        <v>237</v>
      </c>
      <c r="B238" s="4">
        <v>40554</v>
      </c>
      <c r="C238">
        <v>1</v>
      </c>
      <c r="D238">
        <v>5</v>
      </c>
      <c r="E238" t="str">
        <f t="shared" si="9"/>
        <v>5 AM</v>
      </c>
      <c r="F238" t="str">
        <f t="shared" si="10"/>
        <v>Morning</v>
      </c>
      <c r="G238" t="b">
        <v>0</v>
      </c>
      <c r="H238">
        <v>2</v>
      </c>
      <c r="I238" t="str">
        <f>_xlfn.XLOOKUP(Append15[[#This Row],[Week day]],Mappings!$B$3:$B$9,Mappings!$C$3:$C$9)</f>
        <v>Tuesday</v>
      </c>
      <c r="J238" t="str">
        <f t="shared" si="11"/>
        <v>Weekday</v>
      </c>
      <c r="K238">
        <v>2</v>
      </c>
      <c r="L238" t="str">
        <f>_xlfn.XLOOKUP(Append15[[#This Row],[WeatherSituation]],Mappings!$E$3:$E$6,Mappings!$F$3:$F$6)</f>
        <v>Mist/Cloudy</v>
      </c>
      <c r="M238">
        <v>0.16</v>
      </c>
      <c r="N238">
        <v>0.18179999999999999</v>
      </c>
      <c r="O238">
        <v>0.55000000000000004</v>
      </c>
      <c r="P238">
        <v>0.1343</v>
      </c>
      <c r="Q238">
        <v>0</v>
      </c>
      <c r="R238">
        <v>6</v>
      </c>
      <c r="S238">
        <v>6</v>
      </c>
    </row>
    <row r="239" spans="1:19" x14ac:dyDescent="0.3">
      <c r="A239">
        <v>238</v>
      </c>
      <c r="B239" s="4">
        <v>40554</v>
      </c>
      <c r="C239">
        <v>1</v>
      </c>
      <c r="D239">
        <v>6</v>
      </c>
      <c r="E239" t="str">
        <f t="shared" si="9"/>
        <v>6 AM</v>
      </c>
      <c r="F239" t="str">
        <f t="shared" si="10"/>
        <v>Morning</v>
      </c>
      <c r="G239" t="b">
        <v>0</v>
      </c>
      <c r="H239">
        <v>2</v>
      </c>
      <c r="I239" t="str">
        <f>_xlfn.XLOOKUP(Append15[[#This Row],[Week day]],Mappings!$B$3:$B$9,Mappings!$C$3:$C$9)</f>
        <v>Tuesday</v>
      </c>
      <c r="J239" t="str">
        <f t="shared" si="11"/>
        <v>Weekday</v>
      </c>
      <c r="K239">
        <v>2</v>
      </c>
      <c r="L239" t="str">
        <f>_xlfn.XLOOKUP(Append15[[#This Row],[WeatherSituation]],Mappings!$E$3:$E$6,Mappings!$F$3:$F$6)</f>
        <v>Mist/Cloudy</v>
      </c>
      <c r="M239">
        <v>0.16</v>
      </c>
      <c r="N239">
        <v>0.18179999999999999</v>
      </c>
      <c r="O239">
        <v>0.55000000000000004</v>
      </c>
      <c r="P239">
        <v>0.1343</v>
      </c>
      <c r="Q239">
        <v>0</v>
      </c>
      <c r="R239">
        <v>27</v>
      </c>
      <c r="S239">
        <v>27</v>
      </c>
    </row>
    <row r="240" spans="1:19" x14ac:dyDescent="0.3">
      <c r="A240">
        <v>239</v>
      </c>
      <c r="B240" s="4">
        <v>40554</v>
      </c>
      <c r="C240">
        <v>1</v>
      </c>
      <c r="D240">
        <v>7</v>
      </c>
      <c r="E240" t="str">
        <f t="shared" si="9"/>
        <v>7 AM</v>
      </c>
      <c r="F240" t="str">
        <f t="shared" si="10"/>
        <v>Morning</v>
      </c>
      <c r="G240" t="b">
        <v>0</v>
      </c>
      <c r="H240">
        <v>2</v>
      </c>
      <c r="I240" t="str">
        <f>_xlfn.XLOOKUP(Append15[[#This Row],[Week day]],Mappings!$B$3:$B$9,Mappings!$C$3:$C$9)</f>
        <v>Tuesday</v>
      </c>
      <c r="J240" t="str">
        <f t="shared" si="11"/>
        <v>Weekday</v>
      </c>
      <c r="K240">
        <v>2</v>
      </c>
      <c r="L240" t="str">
        <f>_xlfn.XLOOKUP(Append15[[#This Row],[WeatherSituation]],Mappings!$E$3:$E$6,Mappings!$F$3:$F$6)</f>
        <v>Mist/Cloudy</v>
      </c>
      <c r="M240">
        <v>0.16</v>
      </c>
      <c r="N240">
        <v>0.2273</v>
      </c>
      <c r="O240">
        <v>0.55000000000000004</v>
      </c>
      <c r="P240">
        <v>0</v>
      </c>
      <c r="Q240">
        <v>2</v>
      </c>
      <c r="R240">
        <v>97</v>
      </c>
      <c r="S240">
        <v>99</v>
      </c>
    </row>
    <row r="241" spans="1:19" x14ac:dyDescent="0.3">
      <c r="A241">
        <v>240</v>
      </c>
      <c r="B241" s="4">
        <v>40554</v>
      </c>
      <c r="C241">
        <v>1</v>
      </c>
      <c r="D241">
        <v>8</v>
      </c>
      <c r="E241" t="str">
        <f t="shared" si="9"/>
        <v>8 AM</v>
      </c>
      <c r="F241" t="str">
        <f t="shared" si="10"/>
        <v>Morning</v>
      </c>
      <c r="G241" t="b">
        <v>0</v>
      </c>
      <c r="H241">
        <v>2</v>
      </c>
      <c r="I241" t="str">
        <f>_xlfn.XLOOKUP(Append15[[#This Row],[Week day]],Mappings!$B$3:$B$9,Mappings!$C$3:$C$9)</f>
        <v>Tuesday</v>
      </c>
      <c r="J241" t="str">
        <f t="shared" si="11"/>
        <v>Weekday</v>
      </c>
      <c r="K241">
        <v>2</v>
      </c>
      <c r="L241" t="str">
        <f>_xlfn.XLOOKUP(Append15[[#This Row],[WeatherSituation]],Mappings!$E$3:$E$6,Mappings!$F$3:$F$6)</f>
        <v>Mist/Cloudy</v>
      </c>
      <c r="M241">
        <v>0.18</v>
      </c>
      <c r="N241">
        <v>0.21210000000000001</v>
      </c>
      <c r="O241">
        <v>0.51</v>
      </c>
      <c r="P241">
        <v>8.9599999999999999E-2</v>
      </c>
      <c r="Q241">
        <v>3</v>
      </c>
      <c r="R241">
        <v>214</v>
      </c>
      <c r="S241">
        <v>217</v>
      </c>
    </row>
    <row r="242" spans="1:19" x14ac:dyDescent="0.3">
      <c r="A242">
        <v>241</v>
      </c>
      <c r="B242" s="4">
        <v>40554</v>
      </c>
      <c r="C242">
        <v>1</v>
      </c>
      <c r="D242">
        <v>9</v>
      </c>
      <c r="E242" t="str">
        <f t="shared" si="9"/>
        <v>9 AM</v>
      </c>
      <c r="F242" t="str">
        <f t="shared" si="10"/>
        <v>Morning</v>
      </c>
      <c r="G242" t="b">
        <v>0</v>
      </c>
      <c r="H242">
        <v>2</v>
      </c>
      <c r="I242" t="str">
        <f>_xlfn.XLOOKUP(Append15[[#This Row],[Week day]],Mappings!$B$3:$B$9,Mappings!$C$3:$C$9)</f>
        <v>Tuesday</v>
      </c>
      <c r="J242" t="str">
        <f t="shared" si="11"/>
        <v>Weekday</v>
      </c>
      <c r="K242">
        <v>2</v>
      </c>
      <c r="L242" t="str">
        <f>_xlfn.XLOOKUP(Append15[[#This Row],[WeatherSituation]],Mappings!$E$3:$E$6,Mappings!$F$3:$F$6)</f>
        <v>Mist/Cloudy</v>
      </c>
      <c r="M242">
        <v>0.18</v>
      </c>
      <c r="N242">
        <v>0.19700000000000001</v>
      </c>
      <c r="O242">
        <v>0.51</v>
      </c>
      <c r="P242">
        <v>0.16420000000000001</v>
      </c>
      <c r="Q242">
        <v>3</v>
      </c>
      <c r="R242">
        <v>127</v>
      </c>
      <c r="S242">
        <v>130</v>
      </c>
    </row>
    <row r="243" spans="1:19" x14ac:dyDescent="0.3">
      <c r="A243">
        <v>242</v>
      </c>
      <c r="B243" s="4">
        <v>40554</v>
      </c>
      <c r="C243">
        <v>1</v>
      </c>
      <c r="D243">
        <v>10</v>
      </c>
      <c r="E243" t="str">
        <f t="shared" si="9"/>
        <v>10 AM</v>
      </c>
      <c r="F243" t="str">
        <f t="shared" si="10"/>
        <v>Morning</v>
      </c>
      <c r="G243" t="b">
        <v>0</v>
      </c>
      <c r="H243">
        <v>2</v>
      </c>
      <c r="I243" t="str">
        <f>_xlfn.XLOOKUP(Append15[[#This Row],[Week day]],Mappings!$B$3:$B$9,Mappings!$C$3:$C$9)</f>
        <v>Tuesday</v>
      </c>
      <c r="J243" t="str">
        <f t="shared" si="11"/>
        <v>Weekday</v>
      </c>
      <c r="K243">
        <v>2</v>
      </c>
      <c r="L243" t="str">
        <f>_xlfn.XLOOKUP(Append15[[#This Row],[WeatherSituation]],Mappings!$E$3:$E$6,Mappings!$F$3:$F$6)</f>
        <v>Mist/Cloudy</v>
      </c>
      <c r="M243">
        <v>0.2</v>
      </c>
      <c r="N243">
        <v>0.21210000000000001</v>
      </c>
      <c r="O243">
        <v>0.51</v>
      </c>
      <c r="P243">
        <v>0.16420000000000001</v>
      </c>
      <c r="Q243">
        <v>3</v>
      </c>
      <c r="R243">
        <v>51</v>
      </c>
      <c r="S243">
        <v>54</v>
      </c>
    </row>
    <row r="244" spans="1:19" x14ac:dyDescent="0.3">
      <c r="A244">
        <v>243</v>
      </c>
      <c r="B244" s="4">
        <v>40554</v>
      </c>
      <c r="C244">
        <v>1</v>
      </c>
      <c r="D244">
        <v>11</v>
      </c>
      <c r="E244" t="str">
        <f t="shared" si="9"/>
        <v>11 AM</v>
      </c>
      <c r="F244" t="str">
        <f t="shared" si="10"/>
        <v>Morning</v>
      </c>
      <c r="G244" t="b">
        <v>0</v>
      </c>
      <c r="H244">
        <v>2</v>
      </c>
      <c r="I244" t="str">
        <f>_xlfn.XLOOKUP(Append15[[#This Row],[Week day]],Mappings!$B$3:$B$9,Mappings!$C$3:$C$9)</f>
        <v>Tuesday</v>
      </c>
      <c r="J244" t="str">
        <f t="shared" si="11"/>
        <v>Weekday</v>
      </c>
      <c r="K244">
        <v>2</v>
      </c>
      <c r="L244" t="str">
        <f>_xlfn.XLOOKUP(Append15[[#This Row],[WeatherSituation]],Mappings!$E$3:$E$6,Mappings!$F$3:$F$6)</f>
        <v>Mist/Cloudy</v>
      </c>
      <c r="M244">
        <v>0.2</v>
      </c>
      <c r="N244">
        <v>0.21210000000000001</v>
      </c>
      <c r="O244">
        <v>0.47</v>
      </c>
      <c r="P244">
        <v>0.1343</v>
      </c>
      <c r="Q244">
        <v>4</v>
      </c>
      <c r="R244">
        <v>31</v>
      </c>
      <c r="S244">
        <v>35</v>
      </c>
    </row>
    <row r="245" spans="1:19" x14ac:dyDescent="0.3">
      <c r="A245">
        <v>244</v>
      </c>
      <c r="B245" s="4">
        <v>40554</v>
      </c>
      <c r="C245">
        <v>1</v>
      </c>
      <c r="D245">
        <v>12</v>
      </c>
      <c r="E245" t="str">
        <f t="shared" si="9"/>
        <v>12 PM</v>
      </c>
      <c r="F245" t="str">
        <f t="shared" si="10"/>
        <v>AfterNoon</v>
      </c>
      <c r="G245" t="b">
        <v>0</v>
      </c>
      <c r="H245">
        <v>2</v>
      </c>
      <c r="I245" t="str">
        <f>_xlfn.XLOOKUP(Append15[[#This Row],[Week day]],Mappings!$B$3:$B$9,Mappings!$C$3:$C$9)</f>
        <v>Tuesday</v>
      </c>
      <c r="J245" t="str">
        <f t="shared" si="11"/>
        <v>Weekday</v>
      </c>
      <c r="K245">
        <v>2</v>
      </c>
      <c r="L245" t="str">
        <f>_xlfn.XLOOKUP(Append15[[#This Row],[WeatherSituation]],Mappings!$E$3:$E$6,Mappings!$F$3:$F$6)</f>
        <v>Mist/Cloudy</v>
      </c>
      <c r="M245">
        <v>0.2</v>
      </c>
      <c r="N245">
        <v>0.2273</v>
      </c>
      <c r="O245">
        <v>0.51</v>
      </c>
      <c r="P245">
        <v>0.1045</v>
      </c>
      <c r="Q245">
        <v>2</v>
      </c>
      <c r="R245">
        <v>55</v>
      </c>
      <c r="S245">
        <v>57</v>
      </c>
    </row>
    <row r="246" spans="1:19" x14ac:dyDescent="0.3">
      <c r="A246">
        <v>245</v>
      </c>
      <c r="B246" s="4">
        <v>40554</v>
      </c>
      <c r="C246">
        <v>1</v>
      </c>
      <c r="D246">
        <v>13</v>
      </c>
      <c r="E246" t="str">
        <f t="shared" si="9"/>
        <v>1 PM</v>
      </c>
      <c r="F246" t="str">
        <f t="shared" si="10"/>
        <v>AfterNoon</v>
      </c>
      <c r="G246" t="b">
        <v>0</v>
      </c>
      <c r="H246">
        <v>2</v>
      </c>
      <c r="I246" t="str">
        <f>_xlfn.XLOOKUP(Append15[[#This Row],[Week day]],Mappings!$B$3:$B$9,Mappings!$C$3:$C$9)</f>
        <v>Tuesday</v>
      </c>
      <c r="J246" t="str">
        <f t="shared" si="11"/>
        <v>Weekday</v>
      </c>
      <c r="K246">
        <v>2</v>
      </c>
      <c r="L246" t="str">
        <f>_xlfn.XLOOKUP(Append15[[#This Row],[WeatherSituation]],Mappings!$E$3:$E$6,Mappings!$F$3:$F$6)</f>
        <v>Mist/Cloudy</v>
      </c>
      <c r="M246">
        <v>0.2</v>
      </c>
      <c r="N246">
        <v>0.2273</v>
      </c>
      <c r="O246">
        <v>0.59</v>
      </c>
      <c r="P246">
        <v>8.9599999999999999E-2</v>
      </c>
      <c r="Q246">
        <v>6</v>
      </c>
      <c r="R246">
        <v>46</v>
      </c>
      <c r="S246">
        <v>52</v>
      </c>
    </row>
    <row r="247" spans="1:19" x14ac:dyDescent="0.3">
      <c r="A247">
        <v>246</v>
      </c>
      <c r="B247" s="4">
        <v>40554</v>
      </c>
      <c r="C247">
        <v>1</v>
      </c>
      <c r="D247">
        <v>14</v>
      </c>
      <c r="E247" t="str">
        <f t="shared" si="9"/>
        <v>2 PM</v>
      </c>
      <c r="F247" t="str">
        <f t="shared" si="10"/>
        <v>AfterNoon</v>
      </c>
      <c r="G247" t="b">
        <v>0</v>
      </c>
      <c r="H247">
        <v>2</v>
      </c>
      <c r="I247" t="str">
        <f>_xlfn.XLOOKUP(Append15[[#This Row],[Week day]],Mappings!$B$3:$B$9,Mappings!$C$3:$C$9)</f>
        <v>Tuesday</v>
      </c>
      <c r="J247" t="str">
        <f t="shared" si="11"/>
        <v>Weekday</v>
      </c>
      <c r="K247">
        <v>2</v>
      </c>
      <c r="L247" t="str">
        <f>_xlfn.XLOOKUP(Append15[[#This Row],[WeatherSituation]],Mappings!$E$3:$E$6,Mappings!$F$3:$F$6)</f>
        <v>Mist/Cloudy</v>
      </c>
      <c r="M247">
        <v>0.2</v>
      </c>
      <c r="N247">
        <v>0.2273</v>
      </c>
      <c r="O247">
        <v>0.59</v>
      </c>
      <c r="P247">
        <v>8.9599999999999999E-2</v>
      </c>
      <c r="Q247">
        <v>3</v>
      </c>
      <c r="R247">
        <v>60</v>
      </c>
      <c r="S247">
        <v>63</v>
      </c>
    </row>
    <row r="248" spans="1:19" x14ac:dyDescent="0.3">
      <c r="A248">
        <v>247</v>
      </c>
      <c r="B248" s="4">
        <v>40554</v>
      </c>
      <c r="C248">
        <v>1</v>
      </c>
      <c r="D248">
        <v>15</v>
      </c>
      <c r="E248" t="str">
        <f t="shared" si="9"/>
        <v>3 PM</v>
      </c>
      <c r="F248" t="str">
        <f t="shared" si="10"/>
        <v>AfterNoon</v>
      </c>
      <c r="G248" t="b">
        <v>0</v>
      </c>
      <c r="H248">
        <v>2</v>
      </c>
      <c r="I248" t="str">
        <f>_xlfn.XLOOKUP(Append15[[#This Row],[Week day]],Mappings!$B$3:$B$9,Mappings!$C$3:$C$9)</f>
        <v>Tuesday</v>
      </c>
      <c r="J248" t="str">
        <f t="shared" si="11"/>
        <v>Weekday</v>
      </c>
      <c r="K248">
        <v>2</v>
      </c>
      <c r="L248" t="str">
        <f>_xlfn.XLOOKUP(Append15[[#This Row],[WeatherSituation]],Mappings!$E$3:$E$6,Mappings!$F$3:$F$6)</f>
        <v>Mist/Cloudy</v>
      </c>
      <c r="M248">
        <v>0.16</v>
      </c>
      <c r="N248">
        <v>0.19700000000000001</v>
      </c>
      <c r="O248">
        <v>0.8</v>
      </c>
      <c r="P248">
        <v>8.9599999999999999E-2</v>
      </c>
      <c r="Q248">
        <v>2</v>
      </c>
      <c r="R248">
        <v>45</v>
      </c>
      <c r="S248">
        <v>47</v>
      </c>
    </row>
    <row r="249" spans="1:19" x14ac:dyDescent="0.3">
      <c r="A249">
        <v>248</v>
      </c>
      <c r="B249" s="4">
        <v>40554</v>
      </c>
      <c r="C249">
        <v>1</v>
      </c>
      <c r="D249">
        <v>16</v>
      </c>
      <c r="E249" t="str">
        <f t="shared" si="9"/>
        <v>4 PM</v>
      </c>
      <c r="F249" t="str">
        <f t="shared" si="10"/>
        <v>Evening</v>
      </c>
      <c r="G249" t="b">
        <v>0</v>
      </c>
      <c r="H249">
        <v>2</v>
      </c>
      <c r="I249" t="str">
        <f>_xlfn.XLOOKUP(Append15[[#This Row],[Week day]],Mappings!$B$3:$B$9,Mappings!$C$3:$C$9)</f>
        <v>Tuesday</v>
      </c>
      <c r="J249" t="str">
        <f t="shared" si="11"/>
        <v>Weekday</v>
      </c>
      <c r="K249">
        <v>2</v>
      </c>
      <c r="L249" t="str">
        <f>_xlfn.XLOOKUP(Append15[[#This Row],[WeatherSituation]],Mappings!$E$3:$E$6,Mappings!$F$3:$F$6)</f>
        <v>Mist/Cloudy</v>
      </c>
      <c r="M249">
        <v>0.16</v>
      </c>
      <c r="N249">
        <v>0.1515</v>
      </c>
      <c r="O249">
        <v>0.86</v>
      </c>
      <c r="P249">
        <v>0.22389999999999999</v>
      </c>
      <c r="Q249">
        <v>4</v>
      </c>
      <c r="R249">
        <v>72</v>
      </c>
      <c r="S249">
        <v>76</v>
      </c>
    </row>
    <row r="250" spans="1:19" x14ac:dyDescent="0.3">
      <c r="A250">
        <v>249</v>
      </c>
      <c r="B250" s="4">
        <v>40554</v>
      </c>
      <c r="C250">
        <v>1</v>
      </c>
      <c r="D250">
        <v>17</v>
      </c>
      <c r="E250" t="str">
        <f t="shared" si="9"/>
        <v>5 PM</v>
      </c>
      <c r="F250" t="str">
        <f t="shared" si="10"/>
        <v>Evening</v>
      </c>
      <c r="G250" t="b">
        <v>0</v>
      </c>
      <c r="H250">
        <v>2</v>
      </c>
      <c r="I250" t="str">
        <f>_xlfn.XLOOKUP(Append15[[#This Row],[Week day]],Mappings!$B$3:$B$9,Mappings!$C$3:$C$9)</f>
        <v>Tuesday</v>
      </c>
      <c r="J250" t="str">
        <f t="shared" si="11"/>
        <v>Weekday</v>
      </c>
      <c r="K250">
        <v>2</v>
      </c>
      <c r="L250" t="str">
        <f>_xlfn.XLOOKUP(Append15[[#This Row],[WeatherSituation]],Mappings!$E$3:$E$6,Mappings!$F$3:$F$6)</f>
        <v>Mist/Cloudy</v>
      </c>
      <c r="M250">
        <v>0.16</v>
      </c>
      <c r="N250">
        <v>0.1515</v>
      </c>
      <c r="O250">
        <v>0.86</v>
      </c>
      <c r="P250">
        <v>0.22389999999999999</v>
      </c>
      <c r="Q250">
        <v>6</v>
      </c>
      <c r="R250">
        <v>130</v>
      </c>
      <c r="S250">
        <v>136</v>
      </c>
    </row>
    <row r="251" spans="1:19" x14ac:dyDescent="0.3">
      <c r="A251">
        <v>250</v>
      </c>
      <c r="B251" s="4">
        <v>40554</v>
      </c>
      <c r="C251">
        <v>1</v>
      </c>
      <c r="D251">
        <v>18</v>
      </c>
      <c r="E251" t="str">
        <f t="shared" si="9"/>
        <v>6 PM</v>
      </c>
      <c r="F251" t="str">
        <f t="shared" si="10"/>
        <v>Evening</v>
      </c>
      <c r="G251" t="b">
        <v>0</v>
      </c>
      <c r="H251">
        <v>2</v>
      </c>
      <c r="I251" t="str">
        <f>_xlfn.XLOOKUP(Append15[[#This Row],[Week day]],Mappings!$B$3:$B$9,Mappings!$C$3:$C$9)</f>
        <v>Tuesday</v>
      </c>
      <c r="J251" t="str">
        <f t="shared" si="11"/>
        <v>Weekday</v>
      </c>
      <c r="K251">
        <v>3</v>
      </c>
      <c r="L251" t="str">
        <f>_xlfn.XLOOKUP(Append15[[#This Row],[WeatherSituation]],Mappings!$E$3:$E$6,Mappings!$F$3:$F$6)</f>
        <v>Light Rain</v>
      </c>
      <c r="M251">
        <v>0.16</v>
      </c>
      <c r="N251">
        <v>0.18179999999999999</v>
      </c>
      <c r="O251">
        <v>0.93</v>
      </c>
      <c r="P251">
        <v>0.1045</v>
      </c>
      <c r="Q251">
        <v>1</v>
      </c>
      <c r="R251">
        <v>94</v>
      </c>
      <c r="S251">
        <v>95</v>
      </c>
    </row>
    <row r="252" spans="1:19" x14ac:dyDescent="0.3">
      <c r="A252">
        <v>251</v>
      </c>
      <c r="B252" s="4">
        <v>40554</v>
      </c>
      <c r="C252">
        <v>1</v>
      </c>
      <c r="D252">
        <v>19</v>
      </c>
      <c r="E252" t="str">
        <f t="shared" si="9"/>
        <v>7 PM</v>
      </c>
      <c r="F252" t="str">
        <f t="shared" si="10"/>
        <v>Evening</v>
      </c>
      <c r="G252" t="b">
        <v>0</v>
      </c>
      <c r="H252">
        <v>2</v>
      </c>
      <c r="I252" t="str">
        <f>_xlfn.XLOOKUP(Append15[[#This Row],[Week day]],Mappings!$B$3:$B$9,Mappings!$C$3:$C$9)</f>
        <v>Tuesday</v>
      </c>
      <c r="J252" t="str">
        <f t="shared" si="11"/>
        <v>Weekday</v>
      </c>
      <c r="K252">
        <v>3</v>
      </c>
      <c r="L252" t="str">
        <f>_xlfn.XLOOKUP(Append15[[#This Row],[WeatherSituation]],Mappings!$E$3:$E$6,Mappings!$F$3:$F$6)</f>
        <v>Light Rain</v>
      </c>
      <c r="M252">
        <v>0.16</v>
      </c>
      <c r="N252">
        <v>0.2273</v>
      </c>
      <c r="O252">
        <v>0.93</v>
      </c>
      <c r="P252">
        <v>0</v>
      </c>
      <c r="Q252">
        <v>0</v>
      </c>
      <c r="R252">
        <v>51</v>
      </c>
      <c r="S252">
        <v>51</v>
      </c>
    </row>
    <row r="253" spans="1:19" x14ac:dyDescent="0.3">
      <c r="A253">
        <v>252</v>
      </c>
      <c r="B253" s="4">
        <v>40554</v>
      </c>
      <c r="C253">
        <v>1</v>
      </c>
      <c r="D253">
        <v>20</v>
      </c>
      <c r="E253" t="str">
        <f t="shared" si="9"/>
        <v>8 PM</v>
      </c>
      <c r="F253" t="str">
        <f t="shared" si="10"/>
        <v>Night</v>
      </c>
      <c r="G253" t="b">
        <v>0</v>
      </c>
      <c r="H253">
        <v>2</v>
      </c>
      <c r="I253" t="str">
        <f>_xlfn.XLOOKUP(Append15[[#This Row],[Week day]],Mappings!$B$3:$B$9,Mappings!$C$3:$C$9)</f>
        <v>Tuesday</v>
      </c>
      <c r="J253" t="str">
        <f t="shared" si="11"/>
        <v>Weekday</v>
      </c>
      <c r="K253">
        <v>3</v>
      </c>
      <c r="L253" t="str">
        <f>_xlfn.XLOOKUP(Append15[[#This Row],[WeatherSituation]],Mappings!$E$3:$E$6,Mappings!$F$3:$F$6)</f>
        <v>Light Rain</v>
      </c>
      <c r="M253">
        <v>0.16</v>
      </c>
      <c r="N253">
        <v>0.1515</v>
      </c>
      <c r="O253">
        <v>0.93</v>
      </c>
      <c r="P253">
        <v>0.19400000000000001</v>
      </c>
      <c r="Q253">
        <v>0</v>
      </c>
      <c r="R253">
        <v>32</v>
      </c>
      <c r="S253">
        <v>32</v>
      </c>
    </row>
    <row r="254" spans="1:19" x14ac:dyDescent="0.3">
      <c r="A254">
        <v>253</v>
      </c>
      <c r="B254" s="4">
        <v>40554</v>
      </c>
      <c r="C254">
        <v>1</v>
      </c>
      <c r="D254">
        <v>21</v>
      </c>
      <c r="E254" t="str">
        <f t="shared" si="9"/>
        <v>9 PM</v>
      </c>
      <c r="F254" t="str">
        <f t="shared" si="10"/>
        <v>Night</v>
      </c>
      <c r="G254" t="b">
        <v>0</v>
      </c>
      <c r="H254">
        <v>2</v>
      </c>
      <c r="I254" t="str">
        <f>_xlfn.XLOOKUP(Append15[[#This Row],[Week day]],Mappings!$B$3:$B$9,Mappings!$C$3:$C$9)</f>
        <v>Tuesday</v>
      </c>
      <c r="J254" t="str">
        <f t="shared" si="11"/>
        <v>Weekday</v>
      </c>
      <c r="K254">
        <v>3</v>
      </c>
      <c r="L254" t="str">
        <f>_xlfn.XLOOKUP(Append15[[#This Row],[WeatherSituation]],Mappings!$E$3:$E$6,Mappings!$F$3:$F$6)</f>
        <v>Light Rain</v>
      </c>
      <c r="M254">
        <v>0.16</v>
      </c>
      <c r="N254">
        <v>0.19700000000000001</v>
      </c>
      <c r="O254">
        <v>0.86</v>
      </c>
      <c r="P254">
        <v>8.9599999999999999E-2</v>
      </c>
      <c r="Q254">
        <v>0</v>
      </c>
      <c r="R254">
        <v>20</v>
      </c>
      <c r="S254">
        <v>20</v>
      </c>
    </row>
    <row r="255" spans="1:19" x14ac:dyDescent="0.3">
      <c r="A255">
        <v>254</v>
      </c>
      <c r="B255" s="4">
        <v>40554</v>
      </c>
      <c r="C255">
        <v>1</v>
      </c>
      <c r="D255">
        <v>22</v>
      </c>
      <c r="E255" t="str">
        <f t="shared" si="9"/>
        <v>10 PM</v>
      </c>
      <c r="F255" t="str">
        <f t="shared" si="10"/>
        <v>Night</v>
      </c>
      <c r="G255" t="b">
        <v>0</v>
      </c>
      <c r="H255">
        <v>2</v>
      </c>
      <c r="I255" t="str">
        <f>_xlfn.XLOOKUP(Append15[[#This Row],[Week day]],Mappings!$B$3:$B$9,Mappings!$C$3:$C$9)</f>
        <v>Tuesday</v>
      </c>
      <c r="J255" t="str">
        <f t="shared" si="11"/>
        <v>Weekday</v>
      </c>
      <c r="K255">
        <v>3</v>
      </c>
      <c r="L255" t="str">
        <f>_xlfn.XLOOKUP(Append15[[#This Row],[WeatherSituation]],Mappings!$E$3:$E$6,Mappings!$F$3:$F$6)</f>
        <v>Light Rain</v>
      </c>
      <c r="M255">
        <v>0.16</v>
      </c>
      <c r="N255">
        <v>0.18179999999999999</v>
      </c>
      <c r="O255">
        <v>0.93</v>
      </c>
      <c r="P255">
        <v>0.1045</v>
      </c>
      <c r="Q255">
        <v>1</v>
      </c>
      <c r="R255">
        <v>28</v>
      </c>
      <c r="S255">
        <v>29</v>
      </c>
    </row>
    <row r="256" spans="1:19" x14ac:dyDescent="0.3">
      <c r="A256">
        <v>255</v>
      </c>
      <c r="B256" s="4">
        <v>40554</v>
      </c>
      <c r="C256">
        <v>1</v>
      </c>
      <c r="D256">
        <v>23</v>
      </c>
      <c r="E256" t="str">
        <f t="shared" si="9"/>
        <v>11 PM</v>
      </c>
      <c r="F256" t="str">
        <f t="shared" si="10"/>
        <v>Night</v>
      </c>
      <c r="G256" t="b">
        <v>0</v>
      </c>
      <c r="H256">
        <v>2</v>
      </c>
      <c r="I256" t="str">
        <f>_xlfn.XLOOKUP(Append15[[#This Row],[Week day]],Mappings!$B$3:$B$9,Mappings!$C$3:$C$9)</f>
        <v>Tuesday</v>
      </c>
      <c r="J256" t="str">
        <f t="shared" si="11"/>
        <v>Weekday</v>
      </c>
      <c r="K256">
        <v>3</v>
      </c>
      <c r="L256" t="str">
        <f>_xlfn.XLOOKUP(Append15[[#This Row],[WeatherSituation]],Mappings!$E$3:$E$6,Mappings!$F$3:$F$6)</f>
        <v>Light Rain</v>
      </c>
      <c r="M256">
        <v>0.16</v>
      </c>
      <c r="N256">
        <v>0.19700000000000001</v>
      </c>
      <c r="O256">
        <v>0.93</v>
      </c>
      <c r="P256">
        <v>8.9599999999999999E-2</v>
      </c>
      <c r="Q256">
        <v>1</v>
      </c>
      <c r="R256">
        <v>18</v>
      </c>
      <c r="S256">
        <v>19</v>
      </c>
    </row>
    <row r="257" spans="1:19" x14ac:dyDescent="0.3">
      <c r="A257">
        <v>256</v>
      </c>
      <c r="B257" s="4">
        <v>40555</v>
      </c>
      <c r="C257">
        <v>1</v>
      </c>
      <c r="D257">
        <v>0</v>
      </c>
      <c r="E257" t="str">
        <f t="shared" si="9"/>
        <v>12 AM</v>
      </c>
      <c r="F257" t="str">
        <f t="shared" si="10"/>
        <v>Night</v>
      </c>
      <c r="G257" t="b">
        <v>0</v>
      </c>
      <c r="H257">
        <v>3</v>
      </c>
      <c r="I257" t="str">
        <f>_xlfn.XLOOKUP(Append15[[#This Row],[Week day]],Mappings!$B$3:$B$9,Mappings!$C$3:$C$9)</f>
        <v>Wednesday</v>
      </c>
      <c r="J257" t="str">
        <f t="shared" si="11"/>
        <v>Weekday</v>
      </c>
      <c r="K257">
        <v>2</v>
      </c>
      <c r="L257" t="str">
        <f>_xlfn.XLOOKUP(Append15[[#This Row],[WeatherSituation]],Mappings!$E$3:$E$6,Mappings!$F$3:$F$6)</f>
        <v>Mist/Cloudy</v>
      </c>
      <c r="M257">
        <v>0.16</v>
      </c>
      <c r="N257">
        <v>0.19700000000000001</v>
      </c>
      <c r="O257">
        <v>0.86</v>
      </c>
      <c r="P257">
        <v>8.9599999999999999E-2</v>
      </c>
      <c r="Q257">
        <v>0</v>
      </c>
      <c r="R257">
        <v>7</v>
      </c>
      <c r="S257">
        <v>7</v>
      </c>
    </row>
    <row r="258" spans="1:19" x14ac:dyDescent="0.3">
      <c r="A258">
        <v>257</v>
      </c>
      <c r="B258" s="4">
        <v>40555</v>
      </c>
      <c r="C258">
        <v>1</v>
      </c>
      <c r="D258">
        <v>1</v>
      </c>
      <c r="E258" t="str">
        <f t="shared" ref="E258:E321" si="12">TEXT(D258/24,"h AM/PM")</f>
        <v>1 AM</v>
      </c>
      <c r="F258" t="str">
        <f t="shared" ref="F258:F321" si="13">IF(D258&lt;5,"Night",
IF(D258&lt;=11,"Morning",
IF(D258&lt;16,"AfterNoon",
IF(D258&lt;20,"Evening","Night"))))</f>
        <v>Night</v>
      </c>
      <c r="G258" t="b">
        <v>0</v>
      </c>
      <c r="H258">
        <v>3</v>
      </c>
      <c r="I258" t="str">
        <f>_xlfn.XLOOKUP(Append15[[#This Row],[Week day]],Mappings!$B$3:$B$9,Mappings!$C$3:$C$9)</f>
        <v>Wednesday</v>
      </c>
      <c r="J258" t="str">
        <f t="shared" ref="J258:J321" si="14">IF(OR(H258=0,H258=6),"Weekend","Weekday")</f>
        <v>Weekday</v>
      </c>
      <c r="K258">
        <v>2</v>
      </c>
      <c r="L258" t="str">
        <f>_xlfn.XLOOKUP(Append15[[#This Row],[WeatherSituation]],Mappings!$E$3:$E$6,Mappings!$F$3:$F$6)</f>
        <v>Mist/Cloudy</v>
      </c>
      <c r="M258">
        <v>0.16</v>
      </c>
      <c r="N258">
        <v>0.18179999999999999</v>
      </c>
      <c r="O258">
        <v>0.86</v>
      </c>
      <c r="P258">
        <v>0.1045</v>
      </c>
      <c r="Q258">
        <v>0</v>
      </c>
      <c r="R258">
        <v>6</v>
      </c>
      <c r="S258">
        <v>6</v>
      </c>
    </row>
    <row r="259" spans="1:19" x14ac:dyDescent="0.3">
      <c r="A259">
        <v>258</v>
      </c>
      <c r="B259" s="4">
        <v>40555</v>
      </c>
      <c r="C259">
        <v>1</v>
      </c>
      <c r="D259">
        <v>2</v>
      </c>
      <c r="E259" t="str">
        <f t="shared" si="12"/>
        <v>2 AM</v>
      </c>
      <c r="F259" t="str">
        <f t="shared" si="13"/>
        <v>Night</v>
      </c>
      <c r="G259" t="b">
        <v>0</v>
      </c>
      <c r="H259">
        <v>3</v>
      </c>
      <c r="I259" t="str">
        <f>_xlfn.XLOOKUP(Append15[[#This Row],[Week day]],Mappings!$B$3:$B$9,Mappings!$C$3:$C$9)</f>
        <v>Wednesday</v>
      </c>
      <c r="J259" t="str">
        <f t="shared" si="14"/>
        <v>Weekday</v>
      </c>
      <c r="K259">
        <v>1</v>
      </c>
      <c r="L259" t="str">
        <f>_xlfn.XLOOKUP(Append15[[#This Row],[WeatherSituation]],Mappings!$E$3:$E$6,Mappings!$F$3:$F$6)</f>
        <v>Clear Sky</v>
      </c>
      <c r="M259">
        <v>0.14000000000000001</v>
      </c>
      <c r="N259">
        <v>0.1515</v>
      </c>
      <c r="O259">
        <v>0.86</v>
      </c>
      <c r="P259">
        <v>0.1343</v>
      </c>
      <c r="Q259">
        <v>0</v>
      </c>
      <c r="R259">
        <v>1</v>
      </c>
      <c r="S259">
        <v>1</v>
      </c>
    </row>
    <row r="260" spans="1:19" x14ac:dyDescent="0.3">
      <c r="A260">
        <v>259</v>
      </c>
      <c r="B260" s="4">
        <v>40555</v>
      </c>
      <c r="C260">
        <v>1</v>
      </c>
      <c r="D260">
        <v>5</v>
      </c>
      <c r="E260" t="str">
        <f t="shared" si="12"/>
        <v>5 AM</v>
      </c>
      <c r="F260" t="str">
        <f t="shared" si="13"/>
        <v>Morning</v>
      </c>
      <c r="G260" t="b">
        <v>0</v>
      </c>
      <c r="H260">
        <v>3</v>
      </c>
      <c r="I260" t="str">
        <f>_xlfn.XLOOKUP(Append15[[#This Row],[Week day]],Mappings!$B$3:$B$9,Mappings!$C$3:$C$9)</f>
        <v>Wednesday</v>
      </c>
      <c r="J260" t="str">
        <f t="shared" si="14"/>
        <v>Weekday</v>
      </c>
      <c r="K260">
        <v>1</v>
      </c>
      <c r="L260" t="str">
        <f>_xlfn.XLOOKUP(Append15[[#This Row],[WeatherSituation]],Mappings!$E$3:$E$6,Mappings!$F$3:$F$6)</f>
        <v>Clear Sky</v>
      </c>
      <c r="M260">
        <v>0.14000000000000001</v>
      </c>
      <c r="N260">
        <v>0.1515</v>
      </c>
      <c r="O260">
        <v>0.86</v>
      </c>
      <c r="P260">
        <v>0.16420000000000001</v>
      </c>
      <c r="Q260">
        <v>0</v>
      </c>
      <c r="R260">
        <v>5</v>
      </c>
      <c r="S260">
        <v>5</v>
      </c>
    </row>
    <row r="261" spans="1:19" x14ac:dyDescent="0.3">
      <c r="A261">
        <v>260</v>
      </c>
      <c r="B261" s="4">
        <v>40555</v>
      </c>
      <c r="C261">
        <v>1</v>
      </c>
      <c r="D261">
        <v>6</v>
      </c>
      <c r="E261" t="str">
        <f t="shared" si="12"/>
        <v>6 AM</v>
      </c>
      <c r="F261" t="str">
        <f t="shared" si="13"/>
        <v>Morning</v>
      </c>
      <c r="G261" t="b">
        <v>0</v>
      </c>
      <c r="H261">
        <v>3</v>
      </c>
      <c r="I261" t="str">
        <f>_xlfn.XLOOKUP(Append15[[#This Row],[Week day]],Mappings!$B$3:$B$9,Mappings!$C$3:$C$9)</f>
        <v>Wednesday</v>
      </c>
      <c r="J261" t="str">
        <f t="shared" si="14"/>
        <v>Weekday</v>
      </c>
      <c r="K261">
        <v>1</v>
      </c>
      <c r="L261" t="str">
        <f>_xlfn.XLOOKUP(Append15[[#This Row],[WeatherSituation]],Mappings!$E$3:$E$6,Mappings!$F$3:$F$6)</f>
        <v>Clear Sky</v>
      </c>
      <c r="M261">
        <v>0.12</v>
      </c>
      <c r="N261">
        <v>0.1515</v>
      </c>
      <c r="O261">
        <v>0.93</v>
      </c>
      <c r="P261">
        <v>0.1343</v>
      </c>
      <c r="Q261">
        <v>0</v>
      </c>
      <c r="R261">
        <v>16</v>
      </c>
      <c r="S261">
        <v>16</v>
      </c>
    </row>
    <row r="262" spans="1:19" x14ac:dyDescent="0.3">
      <c r="A262">
        <v>261</v>
      </c>
      <c r="B262" s="4">
        <v>40555</v>
      </c>
      <c r="C262">
        <v>1</v>
      </c>
      <c r="D262">
        <v>7</v>
      </c>
      <c r="E262" t="str">
        <f t="shared" si="12"/>
        <v>7 AM</v>
      </c>
      <c r="F262" t="str">
        <f t="shared" si="13"/>
        <v>Morning</v>
      </c>
      <c r="G262" t="b">
        <v>0</v>
      </c>
      <c r="H262">
        <v>3</v>
      </c>
      <c r="I262" t="str">
        <f>_xlfn.XLOOKUP(Append15[[#This Row],[Week day]],Mappings!$B$3:$B$9,Mappings!$C$3:$C$9)</f>
        <v>Wednesday</v>
      </c>
      <c r="J262" t="str">
        <f t="shared" si="14"/>
        <v>Weekday</v>
      </c>
      <c r="K262">
        <v>1</v>
      </c>
      <c r="L262" t="str">
        <f>_xlfn.XLOOKUP(Append15[[#This Row],[WeatherSituation]],Mappings!$E$3:$E$6,Mappings!$F$3:$F$6)</f>
        <v>Clear Sky</v>
      </c>
      <c r="M262">
        <v>0.14000000000000001</v>
      </c>
      <c r="N262">
        <v>0.1515</v>
      </c>
      <c r="O262">
        <v>0.69</v>
      </c>
      <c r="P262">
        <v>0.1343</v>
      </c>
      <c r="Q262">
        <v>0</v>
      </c>
      <c r="R262">
        <v>54</v>
      </c>
      <c r="S262">
        <v>54</v>
      </c>
    </row>
    <row r="263" spans="1:19" x14ac:dyDescent="0.3">
      <c r="A263">
        <v>262</v>
      </c>
      <c r="B263" s="4">
        <v>40555</v>
      </c>
      <c r="C263">
        <v>1</v>
      </c>
      <c r="D263">
        <v>8</v>
      </c>
      <c r="E263" t="str">
        <f t="shared" si="12"/>
        <v>8 AM</v>
      </c>
      <c r="F263" t="str">
        <f t="shared" si="13"/>
        <v>Morning</v>
      </c>
      <c r="G263" t="b">
        <v>0</v>
      </c>
      <c r="H263">
        <v>3</v>
      </c>
      <c r="I263" t="str">
        <f>_xlfn.XLOOKUP(Append15[[#This Row],[Week day]],Mappings!$B$3:$B$9,Mappings!$C$3:$C$9)</f>
        <v>Wednesday</v>
      </c>
      <c r="J263" t="str">
        <f t="shared" si="14"/>
        <v>Weekday</v>
      </c>
      <c r="K263">
        <v>1</v>
      </c>
      <c r="L263" t="str">
        <f>_xlfn.XLOOKUP(Append15[[#This Row],[WeatherSituation]],Mappings!$E$3:$E$6,Mappings!$F$3:$F$6)</f>
        <v>Clear Sky</v>
      </c>
      <c r="M263">
        <v>0.16</v>
      </c>
      <c r="N263">
        <v>0.16669999999999999</v>
      </c>
      <c r="O263">
        <v>0.59</v>
      </c>
      <c r="P263">
        <v>0.16420000000000001</v>
      </c>
      <c r="Q263">
        <v>3</v>
      </c>
      <c r="R263">
        <v>125</v>
      </c>
      <c r="S263">
        <v>128</v>
      </c>
    </row>
    <row r="264" spans="1:19" x14ac:dyDescent="0.3">
      <c r="A264">
        <v>263</v>
      </c>
      <c r="B264" s="4">
        <v>40555</v>
      </c>
      <c r="C264">
        <v>1</v>
      </c>
      <c r="D264">
        <v>9</v>
      </c>
      <c r="E264" t="str">
        <f t="shared" si="12"/>
        <v>9 AM</v>
      </c>
      <c r="F264" t="str">
        <f t="shared" si="13"/>
        <v>Morning</v>
      </c>
      <c r="G264" t="b">
        <v>0</v>
      </c>
      <c r="H264">
        <v>3</v>
      </c>
      <c r="I264" t="str">
        <f>_xlfn.XLOOKUP(Append15[[#This Row],[Week day]],Mappings!$B$3:$B$9,Mappings!$C$3:$C$9)</f>
        <v>Wednesday</v>
      </c>
      <c r="J264" t="str">
        <f t="shared" si="14"/>
        <v>Weekday</v>
      </c>
      <c r="K264">
        <v>1</v>
      </c>
      <c r="L264" t="str">
        <f>_xlfn.XLOOKUP(Append15[[#This Row],[WeatherSituation]],Mappings!$E$3:$E$6,Mappings!$F$3:$F$6)</f>
        <v>Clear Sky</v>
      </c>
      <c r="M264">
        <v>0.16</v>
      </c>
      <c r="N264">
        <v>0.13639999999999999</v>
      </c>
      <c r="O264">
        <v>0.59</v>
      </c>
      <c r="P264">
        <v>0.32840000000000003</v>
      </c>
      <c r="Q264">
        <v>3</v>
      </c>
      <c r="R264">
        <v>78</v>
      </c>
      <c r="S264">
        <v>81</v>
      </c>
    </row>
    <row r="265" spans="1:19" x14ac:dyDescent="0.3">
      <c r="A265">
        <v>264</v>
      </c>
      <c r="B265" s="4">
        <v>40555</v>
      </c>
      <c r="C265">
        <v>1</v>
      </c>
      <c r="D265">
        <v>10</v>
      </c>
      <c r="E265" t="str">
        <f t="shared" si="12"/>
        <v>10 AM</v>
      </c>
      <c r="F265" t="str">
        <f t="shared" si="13"/>
        <v>Morning</v>
      </c>
      <c r="G265" t="b">
        <v>0</v>
      </c>
      <c r="H265">
        <v>3</v>
      </c>
      <c r="I265" t="str">
        <f>_xlfn.XLOOKUP(Append15[[#This Row],[Week day]],Mappings!$B$3:$B$9,Mappings!$C$3:$C$9)</f>
        <v>Wednesday</v>
      </c>
      <c r="J265" t="str">
        <f t="shared" si="14"/>
        <v>Weekday</v>
      </c>
      <c r="K265">
        <v>1</v>
      </c>
      <c r="L265" t="str">
        <f>_xlfn.XLOOKUP(Append15[[#This Row],[WeatherSituation]],Mappings!$E$3:$E$6,Mappings!$F$3:$F$6)</f>
        <v>Clear Sky</v>
      </c>
      <c r="M265">
        <v>0.18</v>
      </c>
      <c r="N265">
        <v>0.18179999999999999</v>
      </c>
      <c r="O265">
        <v>0.55000000000000004</v>
      </c>
      <c r="P265">
        <v>0.22389999999999999</v>
      </c>
      <c r="Q265">
        <v>0</v>
      </c>
      <c r="R265">
        <v>39</v>
      </c>
      <c r="S265">
        <v>39</v>
      </c>
    </row>
    <row r="266" spans="1:19" x14ac:dyDescent="0.3">
      <c r="A266">
        <v>265</v>
      </c>
      <c r="B266" s="4">
        <v>40555</v>
      </c>
      <c r="C266">
        <v>1</v>
      </c>
      <c r="D266">
        <v>11</v>
      </c>
      <c r="E266" t="str">
        <f t="shared" si="12"/>
        <v>11 AM</v>
      </c>
      <c r="F266" t="str">
        <f t="shared" si="13"/>
        <v>Morning</v>
      </c>
      <c r="G266" t="b">
        <v>0</v>
      </c>
      <c r="H266">
        <v>3</v>
      </c>
      <c r="I266" t="str">
        <f>_xlfn.XLOOKUP(Append15[[#This Row],[Week day]],Mappings!$B$3:$B$9,Mappings!$C$3:$C$9)</f>
        <v>Wednesday</v>
      </c>
      <c r="J266" t="str">
        <f t="shared" si="14"/>
        <v>Weekday</v>
      </c>
      <c r="K266">
        <v>1</v>
      </c>
      <c r="L266" t="str">
        <f>_xlfn.XLOOKUP(Append15[[#This Row],[WeatherSituation]],Mappings!$E$3:$E$6,Mappings!$F$3:$F$6)</f>
        <v>Clear Sky</v>
      </c>
      <c r="M266">
        <v>0.2</v>
      </c>
      <c r="N266">
        <v>0.18179999999999999</v>
      </c>
      <c r="O266">
        <v>0.51</v>
      </c>
      <c r="P266">
        <v>0.3881</v>
      </c>
      <c r="Q266">
        <v>3</v>
      </c>
      <c r="R266">
        <v>32</v>
      </c>
      <c r="S266">
        <v>35</v>
      </c>
    </row>
    <row r="267" spans="1:19" x14ac:dyDescent="0.3">
      <c r="A267">
        <v>266</v>
      </c>
      <c r="B267" s="4">
        <v>40555</v>
      </c>
      <c r="C267">
        <v>1</v>
      </c>
      <c r="D267">
        <v>12</v>
      </c>
      <c r="E267" t="str">
        <f t="shared" si="12"/>
        <v>12 PM</v>
      </c>
      <c r="F267" t="str">
        <f t="shared" si="13"/>
        <v>AfterNoon</v>
      </c>
      <c r="G267" t="b">
        <v>0</v>
      </c>
      <c r="H267">
        <v>3</v>
      </c>
      <c r="I267" t="str">
        <f>_xlfn.XLOOKUP(Append15[[#This Row],[Week day]],Mappings!$B$3:$B$9,Mappings!$C$3:$C$9)</f>
        <v>Wednesday</v>
      </c>
      <c r="J267" t="str">
        <f t="shared" si="14"/>
        <v>Weekday</v>
      </c>
      <c r="K267">
        <v>1</v>
      </c>
      <c r="L267" t="str">
        <f>_xlfn.XLOOKUP(Append15[[#This Row],[WeatherSituation]],Mappings!$E$3:$E$6,Mappings!$F$3:$F$6)</f>
        <v>Clear Sky</v>
      </c>
      <c r="M267">
        <v>0.2</v>
      </c>
      <c r="N267">
        <v>0.1515</v>
      </c>
      <c r="O267">
        <v>0.47</v>
      </c>
      <c r="P267">
        <v>0.58209999999999995</v>
      </c>
      <c r="Q267">
        <v>3</v>
      </c>
      <c r="R267">
        <v>52</v>
      </c>
      <c r="S267">
        <v>55</v>
      </c>
    </row>
    <row r="268" spans="1:19" x14ac:dyDescent="0.3">
      <c r="A268">
        <v>267</v>
      </c>
      <c r="B268" s="4">
        <v>40555</v>
      </c>
      <c r="C268">
        <v>1</v>
      </c>
      <c r="D268">
        <v>13</v>
      </c>
      <c r="E268" t="str">
        <f t="shared" si="12"/>
        <v>1 PM</v>
      </c>
      <c r="F268" t="str">
        <f t="shared" si="13"/>
        <v>AfterNoon</v>
      </c>
      <c r="G268" t="b">
        <v>0</v>
      </c>
      <c r="H268">
        <v>3</v>
      </c>
      <c r="I268" t="str">
        <f>_xlfn.XLOOKUP(Append15[[#This Row],[Week day]],Mappings!$B$3:$B$9,Mappings!$C$3:$C$9)</f>
        <v>Wednesday</v>
      </c>
      <c r="J268" t="str">
        <f t="shared" si="14"/>
        <v>Weekday</v>
      </c>
      <c r="K268">
        <v>1</v>
      </c>
      <c r="L268" t="str">
        <f>_xlfn.XLOOKUP(Append15[[#This Row],[WeatherSituation]],Mappings!$E$3:$E$6,Mappings!$F$3:$F$6)</f>
        <v>Clear Sky</v>
      </c>
      <c r="M268">
        <v>0.22</v>
      </c>
      <c r="N268">
        <v>0.19700000000000001</v>
      </c>
      <c r="O268">
        <v>0.44</v>
      </c>
      <c r="P268">
        <v>0.35820000000000002</v>
      </c>
      <c r="Q268">
        <v>0</v>
      </c>
      <c r="R268">
        <v>49</v>
      </c>
      <c r="S268">
        <v>49</v>
      </c>
    </row>
    <row r="269" spans="1:19" x14ac:dyDescent="0.3">
      <c r="A269">
        <v>268</v>
      </c>
      <c r="B269" s="4">
        <v>40555</v>
      </c>
      <c r="C269">
        <v>1</v>
      </c>
      <c r="D269">
        <v>14</v>
      </c>
      <c r="E269" t="str">
        <f t="shared" si="12"/>
        <v>2 PM</v>
      </c>
      <c r="F269" t="str">
        <f t="shared" si="13"/>
        <v>AfterNoon</v>
      </c>
      <c r="G269" t="b">
        <v>0</v>
      </c>
      <c r="H269">
        <v>3</v>
      </c>
      <c r="I269" t="str">
        <f>_xlfn.XLOOKUP(Append15[[#This Row],[Week day]],Mappings!$B$3:$B$9,Mappings!$C$3:$C$9)</f>
        <v>Wednesday</v>
      </c>
      <c r="J269" t="str">
        <f t="shared" si="14"/>
        <v>Weekday</v>
      </c>
      <c r="K269">
        <v>1</v>
      </c>
      <c r="L269" t="str">
        <f>_xlfn.XLOOKUP(Append15[[#This Row],[WeatherSituation]],Mappings!$E$3:$E$6,Mappings!$F$3:$F$6)</f>
        <v>Clear Sky</v>
      </c>
      <c r="M269">
        <v>0.2</v>
      </c>
      <c r="N269">
        <v>0.18179999999999999</v>
      </c>
      <c r="O269">
        <v>0.47</v>
      </c>
      <c r="P269">
        <v>0.32840000000000003</v>
      </c>
      <c r="Q269">
        <v>0</v>
      </c>
      <c r="R269">
        <v>44</v>
      </c>
      <c r="S269">
        <v>44</v>
      </c>
    </row>
    <row r="270" spans="1:19" x14ac:dyDescent="0.3">
      <c r="A270">
        <v>269</v>
      </c>
      <c r="B270" s="4">
        <v>40555</v>
      </c>
      <c r="C270">
        <v>1</v>
      </c>
      <c r="D270">
        <v>15</v>
      </c>
      <c r="E270" t="str">
        <f t="shared" si="12"/>
        <v>3 PM</v>
      </c>
      <c r="F270" t="str">
        <f t="shared" si="13"/>
        <v>AfterNoon</v>
      </c>
      <c r="G270" t="b">
        <v>0</v>
      </c>
      <c r="H270">
        <v>3</v>
      </c>
      <c r="I270" t="str">
        <f>_xlfn.XLOOKUP(Append15[[#This Row],[Week day]],Mappings!$B$3:$B$9,Mappings!$C$3:$C$9)</f>
        <v>Wednesday</v>
      </c>
      <c r="J270" t="str">
        <f t="shared" si="14"/>
        <v>Weekday</v>
      </c>
      <c r="K270">
        <v>1</v>
      </c>
      <c r="L270" t="str">
        <f>_xlfn.XLOOKUP(Append15[[#This Row],[WeatherSituation]],Mappings!$E$3:$E$6,Mappings!$F$3:$F$6)</f>
        <v>Clear Sky</v>
      </c>
      <c r="M270">
        <v>0.2</v>
      </c>
      <c r="N270">
        <v>0.16669999999999999</v>
      </c>
      <c r="O270">
        <v>0.47</v>
      </c>
      <c r="P270">
        <v>0.41789999999999999</v>
      </c>
      <c r="Q270">
        <v>1</v>
      </c>
      <c r="R270">
        <v>48</v>
      </c>
      <c r="S270">
        <v>49</v>
      </c>
    </row>
    <row r="271" spans="1:19" x14ac:dyDescent="0.3">
      <c r="A271">
        <v>270</v>
      </c>
      <c r="B271" s="4">
        <v>40555</v>
      </c>
      <c r="C271">
        <v>1</v>
      </c>
      <c r="D271">
        <v>16</v>
      </c>
      <c r="E271" t="str">
        <f t="shared" si="12"/>
        <v>4 PM</v>
      </c>
      <c r="F271" t="str">
        <f t="shared" si="13"/>
        <v>Evening</v>
      </c>
      <c r="G271" t="b">
        <v>0</v>
      </c>
      <c r="H271">
        <v>3</v>
      </c>
      <c r="I271" t="str">
        <f>_xlfn.XLOOKUP(Append15[[#This Row],[Week day]],Mappings!$B$3:$B$9,Mappings!$C$3:$C$9)</f>
        <v>Wednesday</v>
      </c>
      <c r="J271" t="str">
        <f t="shared" si="14"/>
        <v>Weekday</v>
      </c>
      <c r="K271">
        <v>1</v>
      </c>
      <c r="L271" t="str">
        <f>_xlfn.XLOOKUP(Append15[[#This Row],[WeatherSituation]],Mappings!$E$3:$E$6,Mappings!$F$3:$F$6)</f>
        <v>Clear Sky</v>
      </c>
      <c r="M271">
        <v>0.22</v>
      </c>
      <c r="N271">
        <v>0.19700000000000001</v>
      </c>
      <c r="O271">
        <v>0.44</v>
      </c>
      <c r="P271">
        <v>0.32840000000000003</v>
      </c>
      <c r="Q271">
        <v>5</v>
      </c>
      <c r="R271">
        <v>63</v>
      </c>
      <c r="S271">
        <v>68</v>
      </c>
    </row>
    <row r="272" spans="1:19" x14ac:dyDescent="0.3">
      <c r="A272">
        <v>271</v>
      </c>
      <c r="B272" s="4">
        <v>40555</v>
      </c>
      <c r="C272">
        <v>1</v>
      </c>
      <c r="D272">
        <v>17</v>
      </c>
      <c r="E272" t="str">
        <f t="shared" si="12"/>
        <v>5 PM</v>
      </c>
      <c r="F272" t="str">
        <f t="shared" si="13"/>
        <v>Evening</v>
      </c>
      <c r="G272" t="b">
        <v>0</v>
      </c>
      <c r="H272">
        <v>3</v>
      </c>
      <c r="I272" t="str">
        <f>_xlfn.XLOOKUP(Append15[[#This Row],[Week day]],Mappings!$B$3:$B$9,Mappings!$C$3:$C$9)</f>
        <v>Wednesday</v>
      </c>
      <c r="J272" t="str">
        <f t="shared" si="14"/>
        <v>Weekday</v>
      </c>
      <c r="K272">
        <v>1</v>
      </c>
      <c r="L272" t="str">
        <f>_xlfn.XLOOKUP(Append15[[#This Row],[WeatherSituation]],Mappings!$E$3:$E$6,Mappings!$F$3:$F$6)</f>
        <v>Clear Sky</v>
      </c>
      <c r="M272">
        <v>0.2</v>
      </c>
      <c r="N272">
        <v>0.18179999999999999</v>
      </c>
      <c r="O272">
        <v>0.47</v>
      </c>
      <c r="P272">
        <v>0.35820000000000002</v>
      </c>
      <c r="Q272">
        <v>0</v>
      </c>
      <c r="R272">
        <v>139</v>
      </c>
      <c r="S272">
        <v>139</v>
      </c>
    </row>
    <row r="273" spans="1:19" x14ac:dyDescent="0.3">
      <c r="A273">
        <v>272</v>
      </c>
      <c r="B273" s="4">
        <v>40555</v>
      </c>
      <c r="C273">
        <v>1</v>
      </c>
      <c r="D273">
        <v>18</v>
      </c>
      <c r="E273" t="str">
        <f t="shared" si="12"/>
        <v>6 PM</v>
      </c>
      <c r="F273" t="str">
        <f t="shared" si="13"/>
        <v>Evening</v>
      </c>
      <c r="G273" t="b">
        <v>0</v>
      </c>
      <c r="H273">
        <v>3</v>
      </c>
      <c r="I273" t="str">
        <f>_xlfn.XLOOKUP(Append15[[#This Row],[Week day]],Mappings!$B$3:$B$9,Mappings!$C$3:$C$9)</f>
        <v>Wednesday</v>
      </c>
      <c r="J273" t="str">
        <f t="shared" si="14"/>
        <v>Weekday</v>
      </c>
      <c r="K273">
        <v>1</v>
      </c>
      <c r="L273" t="str">
        <f>_xlfn.XLOOKUP(Append15[[#This Row],[WeatherSituation]],Mappings!$E$3:$E$6,Mappings!$F$3:$F$6)</f>
        <v>Clear Sky</v>
      </c>
      <c r="M273">
        <v>0.2</v>
      </c>
      <c r="N273">
        <v>0.1515</v>
      </c>
      <c r="O273">
        <v>0.47</v>
      </c>
      <c r="P273">
        <v>0.52239999999999998</v>
      </c>
      <c r="Q273">
        <v>2</v>
      </c>
      <c r="R273">
        <v>135</v>
      </c>
      <c r="S273">
        <v>137</v>
      </c>
    </row>
    <row r="274" spans="1:19" x14ac:dyDescent="0.3">
      <c r="A274">
        <v>273</v>
      </c>
      <c r="B274" s="4">
        <v>40555</v>
      </c>
      <c r="C274">
        <v>1</v>
      </c>
      <c r="D274">
        <v>19</v>
      </c>
      <c r="E274" t="str">
        <f t="shared" si="12"/>
        <v>7 PM</v>
      </c>
      <c r="F274" t="str">
        <f t="shared" si="13"/>
        <v>Evening</v>
      </c>
      <c r="G274" t="b">
        <v>0</v>
      </c>
      <c r="H274">
        <v>3</v>
      </c>
      <c r="I274" t="str">
        <f>_xlfn.XLOOKUP(Append15[[#This Row],[Week day]],Mappings!$B$3:$B$9,Mappings!$C$3:$C$9)</f>
        <v>Wednesday</v>
      </c>
      <c r="J274" t="str">
        <f t="shared" si="14"/>
        <v>Weekday</v>
      </c>
      <c r="K274">
        <v>1</v>
      </c>
      <c r="L274" t="str">
        <f>_xlfn.XLOOKUP(Append15[[#This Row],[WeatherSituation]],Mappings!$E$3:$E$6,Mappings!$F$3:$F$6)</f>
        <v>Clear Sky</v>
      </c>
      <c r="M274">
        <v>0.18</v>
      </c>
      <c r="N274">
        <v>0.1515</v>
      </c>
      <c r="O274">
        <v>0.47</v>
      </c>
      <c r="P274">
        <v>0.41789999999999999</v>
      </c>
      <c r="Q274">
        <v>1</v>
      </c>
      <c r="R274">
        <v>82</v>
      </c>
      <c r="S274">
        <v>83</v>
      </c>
    </row>
    <row r="275" spans="1:19" x14ac:dyDescent="0.3">
      <c r="A275">
        <v>274</v>
      </c>
      <c r="B275" s="4">
        <v>40555</v>
      </c>
      <c r="C275">
        <v>1</v>
      </c>
      <c r="D275">
        <v>20</v>
      </c>
      <c r="E275" t="str">
        <f t="shared" si="12"/>
        <v>8 PM</v>
      </c>
      <c r="F275" t="str">
        <f t="shared" si="13"/>
        <v>Night</v>
      </c>
      <c r="G275" t="b">
        <v>0</v>
      </c>
      <c r="H275">
        <v>3</v>
      </c>
      <c r="I275" t="str">
        <f>_xlfn.XLOOKUP(Append15[[#This Row],[Week day]],Mappings!$B$3:$B$9,Mappings!$C$3:$C$9)</f>
        <v>Wednesday</v>
      </c>
      <c r="J275" t="str">
        <f t="shared" si="14"/>
        <v>Weekday</v>
      </c>
      <c r="K275">
        <v>1</v>
      </c>
      <c r="L275" t="str">
        <f>_xlfn.XLOOKUP(Append15[[#This Row],[WeatherSituation]],Mappings!$E$3:$E$6,Mappings!$F$3:$F$6)</f>
        <v>Clear Sky</v>
      </c>
      <c r="M275">
        <v>0.16</v>
      </c>
      <c r="N275">
        <v>0.13639999999999999</v>
      </c>
      <c r="O275">
        <v>0.5</v>
      </c>
      <c r="P275">
        <v>0.32840000000000003</v>
      </c>
      <c r="Q275">
        <v>2</v>
      </c>
      <c r="R275">
        <v>54</v>
      </c>
      <c r="S275">
        <v>56</v>
      </c>
    </row>
    <row r="276" spans="1:19" x14ac:dyDescent="0.3">
      <c r="A276">
        <v>275</v>
      </c>
      <c r="B276" s="4">
        <v>40555</v>
      </c>
      <c r="C276">
        <v>1</v>
      </c>
      <c r="D276">
        <v>21</v>
      </c>
      <c r="E276" t="str">
        <f t="shared" si="12"/>
        <v>9 PM</v>
      </c>
      <c r="F276" t="str">
        <f t="shared" si="13"/>
        <v>Night</v>
      </c>
      <c r="G276" t="b">
        <v>0</v>
      </c>
      <c r="H276">
        <v>3</v>
      </c>
      <c r="I276" t="str">
        <f>_xlfn.XLOOKUP(Append15[[#This Row],[Week day]],Mappings!$B$3:$B$9,Mappings!$C$3:$C$9)</f>
        <v>Wednesday</v>
      </c>
      <c r="J276" t="str">
        <f t="shared" si="14"/>
        <v>Weekday</v>
      </c>
      <c r="K276">
        <v>1</v>
      </c>
      <c r="L276" t="str">
        <f>_xlfn.XLOOKUP(Append15[[#This Row],[WeatherSituation]],Mappings!$E$3:$E$6,Mappings!$F$3:$F$6)</f>
        <v>Clear Sky</v>
      </c>
      <c r="M276">
        <v>0.16</v>
      </c>
      <c r="N276">
        <v>0.13639999999999999</v>
      </c>
      <c r="O276">
        <v>0.55000000000000004</v>
      </c>
      <c r="P276">
        <v>0.32840000000000003</v>
      </c>
      <c r="Q276">
        <v>0</v>
      </c>
      <c r="R276">
        <v>57</v>
      </c>
      <c r="S276">
        <v>57</v>
      </c>
    </row>
    <row r="277" spans="1:19" x14ac:dyDescent="0.3">
      <c r="A277">
        <v>276</v>
      </c>
      <c r="B277" s="4">
        <v>40555</v>
      </c>
      <c r="C277">
        <v>1</v>
      </c>
      <c r="D277">
        <v>22</v>
      </c>
      <c r="E277" t="str">
        <f t="shared" si="12"/>
        <v>10 PM</v>
      </c>
      <c r="F277" t="str">
        <f t="shared" si="13"/>
        <v>Night</v>
      </c>
      <c r="G277" t="b">
        <v>0</v>
      </c>
      <c r="H277">
        <v>3</v>
      </c>
      <c r="I277" t="str">
        <f>_xlfn.XLOOKUP(Append15[[#This Row],[Week day]],Mappings!$B$3:$B$9,Mappings!$C$3:$C$9)</f>
        <v>Wednesday</v>
      </c>
      <c r="J277" t="str">
        <f t="shared" si="14"/>
        <v>Weekday</v>
      </c>
      <c r="K277">
        <v>1</v>
      </c>
      <c r="L277" t="str">
        <f>_xlfn.XLOOKUP(Append15[[#This Row],[WeatherSituation]],Mappings!$E$3:$E$6,Mappings!$F$3:$F$6)</f>
        <v>Clear Sky</v>
      </c>
      <c r="M277">
        <v>0.16</v>
      </c>
      <c r="N277">
        <v>0.1212</v>
      </c>
      <c r="O277">
        <v>0.55000000000000004</v>
      </c>
      <c r="P277">
        <v>0.44779999999999998</v>
      </c>
      <c r="Q277">
        <v>1</v>
      </c>
      <c r="R277">
        <v>32</v>
      </c>
      <c r="S277">
        <v>33</v>
      </c>
    </row>
    <row r="278" spans="1:19" x14ac:dyDescent="0.3">
      <c r="A278">
        <v>277</v>
      </c>
      <c r="B278" s="4">
        <v>40555</v>
      </c>
      <c r="C278">
        <v>1</v>
      </c>
      <c r="D278">
        <v>23</v>
      </c>
      <c r="E278" t="str">
        <f t="shared" si="12"/>
        <v>11 PM</v>
      </c>
      <c r="F278" t="str">
        <f t="shared" si="13"/>
        <v>Night</v>
      </c>
      <c r="G278" t="b">
        <v>0</v>
      </c>
      <c r="H278">
        <v>3</v>
      </c>
      <c r="I278" t="str">
        <f>_xlfn.XLOOKUP(Append15[[#This Row],[Week day]],Mappings!$B$3:$B$9,Mappings!$C$3:$C$9)</f>
        <v>Wednesday</v>
      </c>
      <c r="J278" t="str">
        <f t="shared" si="14"/>
        <v>Weekday</v>
      </c>
      <c r="K278">
        <v>1</v>
      </c>
      <c r="L278" t="str">
        <f>_xlfn.XLOOKUP(Append15[[#This Row],[WeatherSituation]],Mappings!$E$3:$E$6,Mappings!$F$3:$F$6)</f>
        <v>Clear Sky</v>
      </c>
      <c r="M278">
        <v>0.14000000000000001</v>
      </c>
      <c r="N278">
        <v>0.1061</v>
      </c>
      <c r="O278">
        <v>0.59</v>
      </c>
      <c r="P278">
        <v>0.41789999999999999</v>
      </c>
      <c r="Q278">
        <v>1</v>
      </c>
      <c r="R278">
        <v>19</v>
      </c>
      <c r="S278">
        <v>20</v>
      </c>
    </row>
    <row r="279" spans="1:19" x14ac:dyDescent="0.3">
      <c r="A279">
        <v>278</v>
      </c>
      <c r="B279" s="4">
        <v>40556</v>
      </c>
      <c r="C279">
        <v>1</v>
      </c>
      <c r="D279">
        <v>0</v>
      </c>
      <c r="E279" t="str">
        <f t="shared" si="12"/>
        <v>12 AM</v>
      </c>
      <c r="F279" t="str">
        <f t="shared" si="13"/>
        <v>Night</v>
      </c>
      <c r="G279" t="b">
        <v>0</v>
      </c>
      <c r="H279">
        <v>4</v>
      </c>
      <c r="I279" t="str">
        <f>_xlfn.XLOOKUP(Append15[[#This Row],[Week day]],Mappings!$B$3:$B$9,Mappings!$C$3:$C$9)</f>
        <v>Thursday</v>
      </c>
      <c r="J279" t="str">
        <f t="shared" si="14"/>
        <v>Weekday</v>
      </c>
      <c r="K279">
        <v>1</v>
      </c>
      <c r="L279" t="str">
        <f>_xlfn.XLOOKUP(Append15[[#This Row],[WeatherSituation]],Mappings!$E$3:$E$6,Mappings!$F$3:$F$6)</f>
        <v>Clear Sky</v>
      </c>
      <c r="M279">
        <v>0.14000000000000001</v>
      </c>
      <c r="N279">
        <v>0.1212</v>
      </c>
      <c r="O279">
        <v>0.59</v>
      </c>
      <c r="P279">
        <v>0.28360000000000002</v>
      </c>
      <c r="Q279">
        <v>1</v>
      </c>
      <c r="R279">
        <v>6</v>
      </c>
      <c r="S279">
        <v>7</v>
      </c>
    </row>
    <row r="280" spans="1:19" x14ac:dyDescent="0.3">
      <c r="A280">
        <v>279</v>
      </c>
      <c r="B280" s="4">
        <v>40556</v>
      </c>
      <c r="C280">
        <v>1</v>
      </c>
      <c r="D280">
        <v>1</v>
      </c>
      <c r="E280" t="str">
        <f t="shared" si="12"/>
        <v>1 AM</v>
      </c>
      <c r="F280" t="str">
        <f t="shared" si="13"/>
        <v>Night</v>
      </c>
      <c r="G280" t="b">
        <v>0</v>
      </c>
      <c r="H280">
        <v>4</v>
      </c>
      <c r="I280" t="str">
        <f>_xlfn.XLOOKUP(Append15[[#This Row],[Week day]],Mappings!$B$3:$B$9,Mappings!$C$3:$C$9)</f>
        <v>Thursday</v>
      </c>
      <c r="J280" t="str">
        <f t="shared" si="14"/>
        <v>Weekday</v>
      </c>
      <c r="K280">
        <v>1</v>
      </c>
      <c r="L280" t="str">
        <f>_xlfn.XLOOKUP(Append15[[#This Row],[WeatherSituation]],Mappings!$E$3:$E$6,Mappings!$F$3:$F$6)</f>
        <v>Clear Sky</v>
      </c>
      <c r="M280">
        <v>0.14000000000000001</v>
      </c>
      <c r="N280">
        <v>0.1212</v>
      </c>
      <c r="O280">
        <v>0.5</v>
      </c>
      <c r="P280">
        <v>0.28360000000000002</v>
      </c>
      <c r="Q280">
        <v>0</v>
      </c>
      <c r="R280">
        <v>2</v>
      </c>
      <c r="S280">
        <v>2</v>
      </c>
    </row>
    <row r="281" spans="1:19" x14ac:dyDescent="0.3">
      <c r="A281">
        <v>280</v>
      </c>
      <c r="B281" s="4">
        <v>40556</v>
      </c>
      <c r="C281">
        <v>1</v>
      </c>
      <c r="D281">
        <v>2</v>
      </c>
      <c r="E281" t="str">
        <f t="shared" si="12"/>
        <v>2 AM</v>
      </c>
      <c r="F281" t="str">
        <f t="shared" si="13"/>
        <v>Night</v>
      </c>
      <c r="G281" t="b">
        <v>0</v>
      </c>
      <c r="H281">
        <v>4</v>
      </c>
      <c r="I281" t="str">
        <f>_xlfn.XLOOKUP(Append15[[#This Row],[Week day]],Mappings!$B$3:$B$9,Mappings!$C$3:$C$9)</f>
        <v>Thursday</v>
      </c>
      <c r="J281" t="str">
        <f t="shared" si="14"/>
        <v>Weekday</v>
      </c>
      <c r="K281">
        <v>1</v>
      </c>
      <c r="L281" t="str">
        <f>_xlfn.XLOOKUP(Append15[[#This Row],[WeatherSituation]],Mappings!$E$3:$E$6,Mappings!$F$3:$F$6)</f>
        <v>Clear Sky</v>
      </c>
      <c r="M281">
        <v>0.14000000000000001</v>
      </c>
      <c r="N281">
        <v>0.1212</v>
      </c>
      <c r="O281">
        <v>0.5</v>
      </c>
      <c r="P281">
        <v>0.35820000000000002</v>
      </c>
      <c r="Q281">
        <v>0</v>
      </c>
      <c r="R281">
        <v>2</v>
      </c>
      <c r="S281">
        <v>2</v>
      </c>
    </row>
    <row r="282" spans="1:19" x14ac:dyDescent="0.3">
      <c r="A282">
        <v>281</v>
      </c>
      <c r="B282" s="4">
        <v>40556</v>
      </c>
      <c r="C282">
        <v>1</v>
      </c>
      <c r="D282">
        <v>3</v>
      </c>
      <c r="E282" t="str">
        <f t="shared" si="12"/>
        <v>3 AM</v>
      </c>
      <c r="F282" t="str">
        <f t="shared" si="13"/>
        <v>Night</v>
      </c>
      <c r="G282" t="b">
        <v>0</v>
      </c>
      <c r="H282">
        <v>4</v>
      </c>
      <c r="I282" t="str">
        <f>_xlfn.XLOOKUP(Append15[[#This Row],[Week day]],Mappings!$B$3:$B$9,Mappings!$C$3:$C$9)</f>
        <v>Thursday</v>
      </c>
      <c r="J282" t="str">
        <f t="shared" si="14"/>
        <v>Weekday</v>
      </c>
      <c r="K282">
        <v>1</v>
      </c>
      <c r="L282" t="str">
        <f>_xlfn.XLOOKUP(Append15[[#This Row],[WeatherSituation]],Mappings!$E$3:$E$6,Mappings!$F$3:$F$6)</f>
        <v>Clear Sky</v>
      </c>
      <c r="M282">
        <v>0.14000000000000001</v>
      </c>
      <c r="N282">
        <v>0.1212</v>
      </c>
      <c r="O282">
        <v>0.5</v>
      </c>
      <c r="P282">
        <v>0.32840000000000003</v>
      </c>
      <c r="Q282">
        <v>0</v>
      </c>
      <c r="R282">
        <v>3</v>
      </c>
      <c r="S282">
        <v>3</v>
      </c>
    </row>
    <row r="283" spans="1:19" x14ac:dyDescent="0.3">
      <c r="A283">
        <v>282</v>
      </c>
      <c r="B283" s="4">
        <v>40556</v>
      </c>
      <c r="C283">
        <v>1</v>
      </c>
      <c r="D283">
        <v>4</v>
      </c>
      <c r="E283" t="str">
        <f t="shared" si="12"/>
        <v>4 AM</v>
      </c>
      <c r="F283" t="str">
        <f t="shared" si="13"/>
        <v>Night</v>
      </c>
      <c r="G283" t="b">
        <v>0</v>
      </c>
      <c r="H283">
        <v>4</v>
      </c>
      <c r="I283" t="str">
        <f>_xlfn.XLOOKUP(Append15[[#This Row],[Week day]],Mappings!$B$3:$B$9,Mappings!$C$3:$C$9)</f>
        <v>Thursday</v>
      </c>
      <c r="J283" t="str">
        <f t="shared" si="14"/>
        <v>Weekday</v>
      </c>
      <c r="K283">
        <v>1</v>
      </c>
      <c r="L283" t="str">
        <f>_xlfn.XLOOKUP(Append15[[#This Row],[WeatherSituation]],Mappings!$E$3:$E$6,Mappings!$F$3:$F$6)</f>
        <v>Clear Sky</v>
      </c>
      <c r="M283">
        <v>0.14000000000000001</v>
      </c>
      <c r="N283">
        <v>0.1212</v>
      </c>
      <c r="O283">
        <v>0.5</v>
      </c>
      <c r="P283">
        <v>0.25369999999999998</v>
      </c>
      <c r="Q283">
        <v>0</v>
      </c>
      <c r="R283">
        <v>4</v>
      </c>
      <c r="S283">
        <v>4</v>
      </c>
    </row>
    <row r="284" spans="1:19" x14ac:dyDescent="0.3">
      <c r="A284">
        <v>283</v>
      </c>
      <c r="B284" s="4">
        <v>40556</v>
      </c>
      <c r="C284">
        <v>1</v>
      </c>
      <c r="D284">
        <v>5</v>
      </c>
      <c r="E284" t="str">
        <f t="shared" si="12"/>
        <v>5 AM</v>
      </c>
      <c r="F284" t="str">
        <f t="shared" si="13"/>
        <v>Morning</v>
      </c>
      <c r="G284" t="b">
        <v>0</v>
      </c>
      <c r="H284">
        <v>4</v>
      </c>
      <c r="I284" t="str">
        <f>_xlfn.XLOOKUP(Append15[[#This Row],[Week day]],Mappings!$B$3:$B$9,Mappings!$C$3:$C$9)</f>
        <v>Thursday</v>
      </c>
      <c r="J284" t="str">
        <f t="shared" si="14"/>
        <v>Weekday</v>
      </c>
      <c r="K284">
        <v>1</v>
      </c>
      <c r="L284" t="str">
        <f>_xlfn.XLOOKUP(Append15[[#This Row],[WeatherSituation]],Mappings!$E$3:$E$6,Mappings!$F$3:$F$6)</f>
        <v>Clear Sky</v>
      </c>
      <c r="M284">
        <v>0.14000000000000001</v>
      </c>
      <c r="N284">
        <v>0.1212</v>
      </c>
      <c r="O284">
        <v>0.5</v>
      </c>
      <c r="P284">
        <v>0.29849999999999999</v>
      </c>
      <c r="Q284">
        <v>0</v>
      </c>
      <c r="R284">
        <v>3</v>
      </c>
      <c r="S284">
        <v>3</v>
      </c>
    </row>
    <row r="285" spans="1:19" x14ac:dyDescent="0.3">
      <c r="A285">
        <v>284</v>
      </c>
      <c r="B285" s="4">
        <v>40556</v>
      </c>
      <c r="C285">
        <v>1</v>
      </c>
      <c r="D285">
        <v>6</v>
      </c>
      <c r="E285" t="str">
        <f t="shared" si="12"/>
        <v>6 AM</v>
      </c>
      <c r="F285" t="str">
        <f t="shared" si="13"/>
        <v>Morning</v>
      </c>
      <c r="G285" t="b">
        <v>0</v>
      </c>
      <c r="H285">
        <v>4</v>
      </c>
      <c r="I285" t="str">
        <f>_xlfn.XLOOKUP(Append15[[#This Row],[Week day]],Mappings!$B$3:$B$9,Mappings!$C$3:$C$9)</f>
        <v>Thursday</v>
      </c>
      <c r="J285" t="str">
        <f t="shared" si="14"/>
        <v>Weekday</v>
      </c>
      <c r="K285">
        <v>1</v>
      </c>
      <c r="L285" t="str">
        <f>_xlfn.XLOOKUP(Append15[[#This Row],[WeatherSituation]],Mappings!$E$3:$E$6,Mappings!$F$3:$F$6)</f>
        <v>Clear Sky</v>
      </c>
      <c r="M285">
        <v>0.12</v>
      </c>
      <c r="N285">
        <v>0.1515</v>
      </c>
      <c r="O285">
        <v>0.54</v>
      </c>
      <c r="P285">
        <v>0.1343</v>
      </c>
      <c r="Q285">
        <v>0</v>
      </c>
      <c r="R285">
        <v>28</v>
      </c>
      <c r="S285">
        <v>28</v>
      </c>
    </row>
    <row r="286" spans="1:19" x14ac:dyDescent="0.3">
      <c r="A286">
        <v>285</v>
      </c>
      <c r="B286" s="4">
        <v>40556</v>
      </c>
      <c r="C286">
        <v>1</v>
      </c>
      <c r="D286">
        <v>7</v>
      </c>
      <c r="E286" t="str">
        <f t="shared" si="12"/>
        <v>7 AM</v>
      </c>
      <c r="F286" t="str">
        <f t="shared" si="13"/>
        <v>Morning</v>
      </c>
      <c r="G286" t="b">
        <v>0</v>
      </c>
      <c r="H286">
        <v>4</v>
      </c>
      <c r="I286" t="str">
        <f>_xlfn.XLOOKUP(Append15[[#This Row],[Week day]],Mappings!$B$3:$B$9,Mappings!$C$3:$C$9)</f>
        <v>Thursday</v>
      </c>
      <c r="J286" t="str">
        <f t="shared" si="14"/>
        <v>Weekday</v>
      </c>
      <c r="K286">
        <v>1</v>
      </c>
      <c r="L286" t="str">
        <f>_xlfn.XLOOKUP(Append15[[#This Row],[WeatherSituation]],Mappings!$E$3:$E$6,Mappings!$F$3:$F$6)</f>
        <v>Clear Sky</v>
      </c>
      <c r="M286">
        <v>0.12</v>
      </c>
      <c r="N286">
        <v>0.1515</v>
      </c>
      <c r="O286">
        <v>0.54</v>
      </c>
      <c r="P286">
        <v>0.1343</v>
      </c>
      <c r="Q286">
        <v>0</v>
      </c>
      <c r="R286">
        <v>72</v>
      </c>
      <c r="S286">
        <v>72</v>
      </c>
    </row>
    <row r="287" spans="1:19" x14ac:dyDescent="0.3">
      <c r="A287">
        <v>286</v>
      </c>
      <c r="B287" s="4">
        <v>40556</v>
      </c>
      <c r="C287">
        <v>1</v>
      </c>
      <c r="D287">
        <v>8</v>
      </c>
      <c r="E287" t="str">
        <f t="shared" si="12"/>
        <v>8 AM</v>
      </c>
      <c r="F287" t="str">
        <f t="shared" si="13"/>
        <v>Morning</v>
      </c>
      <c r="G287" t="b">
        <v>0</v>
      </c>
      <c r="H287">
        <v>4</v>
      </c>
      <c r="I287" t="str">
        <f>_xlfn.XLOOKUP(Append15[[#This Row],[Week day]],Mappings!$B$3:$B$9,Mappings!$C$3:$C$9)</f>
        <v>Thursday</v>
      </c>
      <c r="J287" t="str">
        <f t="shared" si="14"/>
        <v>Weekday</v>
      </c>
      <c r="K287">
        <v>1</v>
      </c>
      <c r="L287" t="str">
        <f>_xlfn.XLOOKUP(Append15[[#This Row],[WeatherSituation]],Mappings!$E$3:$E$6,Mappings!$F$3:$F$6)</f>
        <v>Clear Sky</v>
      </c>
      <c r="M287">
        <v>0.14000000000000001</v>
      </c>
      <c r="N287">
        <v>0.13639999999999999</v>
      </c>
      <c r="O287">
        <v>0.5</v>
      </c>
      <c r="P287">
        <v>0.19400000000000001</v>
      </c>
      <c r="Q287">
        <v>5</v>
      </c>
      <c r="R287">
        <v>197</v>
      </c>
      <c r="S287">
        <v>202</v>
      </c>
    </row>
    <row r="288" spans="1:19" x14ac:dyDescent="0.3">
      <c r="A288">
        <v>287</v>
      </c>
      <c r="B288" s="4">
        <v>40556</v>
      </c>
      <c r="C288">
        <v>1</v>
      </c>
      <c r="D288">
        <v>9</v>
      </c>
      <c r="E288" t="str">
        <f t="shared" si="12"/>
        <v>9 AM</v>
      </c>
      <c r="F288" t="str">
        <f t="shared" si="13"/>
        <v>Morning</v>
      </c>
      <c r="G288" t="b">
        <v>0</v>
      </c>
      <c r="H288">
        <v>4</v>
      </c>
      <c r="I288" t="str">
        <f>_xlfn.XLOOKUP(Append15[[#This Row],[Week day]],Mappings!$B$3:$B$9,Mappings!$C$3:$C$9)</f>
        <v>Thursday</v>
      </c>
      <c r="J288" t="str">
        <f t="shared" si="14"/>
        <v>Weekday</v>
      </c>
      <c r="K288">
        <v>1</v>
      </c>
      <c r="L288" t="str">
        <f>_xlfn.XLOOKUP(Append15[[#This Row],[WeatherSituation]],Mappings!$E$3:$E$6,Mappings!$F$3:$F$6)</f>
        <v>Clear Sky</v>
      </c>
      <c r="M288">
        <v>0.14000000000000001</v>
      </c>
      <c r="N288">
        <v>0.1212</v>
      </c>
      <c r="O288">
        <v>0.5</v>
      </c>
      <c r="P288">
        <v>0.32840000000000003</v>
      </c>
      <c r="Q288">
        <v>2</v>
      </c>
      <c r="R288">
        <v>137</v>
      </c>
      <c r="S288">
        <v>139</v>
      </c>
    </row>
    <row r="289" spans="1:19" x14ac:dyDescent="0.3">
      <c r="A289">
        <v>288</v>
      </c>
      <c r="B289" s="4">
        <v>40556</v>
      </c>
      <c r="C289">
        <v>1</v>
      </c>
      <c r="D289">
        <v>10</v>
      </c>
      <c r="E289" t="str">
        <f t="shared" si="12"/>
        <v>10 AM</v>
      </c>
      <c r="F289" t="str">
        <f t="shared" si="13"/>
        <v>Morning</v>
      </c>
      <c r="G289" t="b">
        <v>0</v>
      </c>
      <c r="H289">
        <v>4</v>
      </c>
      <c r="I289" t="str">
        <f>_xlfn.XLOOKUP(Append15[[#This Row],[Week day]],Mappings!$B$3:$B$9,Mappings!$C$3:$C$9)</f>
        <v>Thursday</v>
      </c>
      <c r="J289" t="str">
        <f t="shared" si="14"/>
        <v>Weekday</v>
      </c>
      <c r="K289">
        <v>2</v>
      </c>
      <c r="L289" t="str">
        <f>_xlfn.XLOOKUP(Append15[[#This Row],[WeatherSituation]],Mappings!$E$3:$E$6,Mappings!$F$3:$F$6)</f>
        <v>Mist/Cloudy</v>
      </c>
      <c r="M289">
        <v>0.16</v>
      </c>
      <c r="N289">
        <v>0.13639999999999999</v>
      </c>
      <c r="O289">
        <v>0.5</v>
      </c>
      <c r="P289">
        <v>0.35820000000000002</v>
      </c>
      <c r="Q289">
        <v>2</v>
      </c>
      <c r="R289">
        <v>36</v>
      </c>
      <c r="S289">
        <v>38</v>
      </c>
    </row>
    <row r="290" spans="1:19" x14ac:dyDescent="0.3">
      <c r="A290">
        <v>289</v>
      </c>
      <c r="B290" s="4">
        <v>40556</v>
      </c>
      <c r="C290">
        <v>1</v>
      </c>
      <c r="D290">
        <v>11</v>
      </c>
      <c r="E290" t="str">
        <f t="shared" si="12"/>
        <v>11 AM</v>
      </c>
      <c r="F290" t="str">
        <f t="shared" si="13"/>
        <v>Morning</v>
      </c>
      <c r="G290" t="b">
        <v>0</v>
      </c>
      <c r="H290">
        <v>4</v>
      </c>
      <c r="I290" t="str">
        <f>_xlfn.XLOOKUP(Append15[[#This Row],[Week day]],Mappings!$B$3:$B$9,Mappings!$C$3:$C$9)</f>
        <v>Thursday</v>
      </c>
      <c r="J290" t="str">
        <f t="shared" si="14"/>
        <v>Weekday</v>
      </c>
      <c r="K290">
        <v>2</v>
      </c>
      <c r="L290" t="str">
        <f>_xlfn.XLOOKUP(Append15[[#This Row],[WeatherSituation]],Mappings!$E$3:$E$6,Mappings!$F$3:$F$6)</f>
        <v>Mist/Cloudy</v>
      </c>
      <c r="M290">
        <v>0.2</v>
      </c>
      <c r="N290">
        <v>0.16669999999999999</v>
      </c>
      <c r="O290">
        <v>0.44</v>
      </c>
      <c r="P290">
        <v>0.44779999999999998</v>
      </c>
      <c r="Q290">
        <v>4</v>
      </c>
      <c r="R290">
        <v>33</v>
      </c>
      <c r="S290">
        <v>37</v>
      </c>
    </row>
    <row r="291" spans="1:19" x14ac:dyDescent="0.3">
      <c r="A291">
        <v>290</v>
      </c>
      <c r="B291" s="4">
        <v>40556</v>
      </c>
      <c r="C291">
        <v>1</v>
      </c>
      <c r="D291">
        <v>12</v>
      </c>
      <c r="E291" t="str">
        <f t="shared" si="12"/>
        <v>12 PM</v>
      </c>
      <c r="F291" t="str">
        <f t="shared" si="13"/>
        <v>AfterNoon</v>
      </c>
      <c r="G291" t="b">
        <v>0</v>
      </c>
      <c r="H291">
        <v>4</v>
      </c>
      <c r="I291" t="str">
        <f>_xlfn.XLOOKUP(Append15[[#This Row],[Week day]],Mappings!$B$3:$B$9,Mappings!$C$3:$C$9)</f>
        <v>Thursday</v>
      </c>
      <c r="J291" t="str">
        <f t="shared" si="14"/>
        <v>Weekday</v>
      </c>
      <c r="K291">
        <v>1</v>
      </c>
      <c r="L291" t="str">
        <f>_xlfn.XLOOKUP(Append15[[#This Row],[WeatherSituation]],Mappings!$E$3:$E$6,Mappings!$F$3:$F$6)</f>
        <v>Clear Sky</v>
      </c>
      <c r="M291">
        <v>0.2</v>
      </c>
      <c r="N291">
        <v>0.16669999999999999</v>
      </c>
      <c r="O291">
        <v>0.44</v>
      </c>
      <c r="P291">
        <v>0.41789999999999999</v>
      </c>
      <c r="Q291">
        <v>3</v>
      </c>
      <c r="R291">
        <v>49</v>
      </c>
      <c r="S291">
        <v>52</v>
      </c>
    </row>
    <row r="292" spans="1:19" x14ac:dyDescent="0.3">
      <c r="A292">
        <v>291</v>
      </c>
      <c r="B292" s="4">
        <v>40556</v>
      </c>
      <c r="C292">
        <v>1</v>
      </c>
      <c r="D292">
        <v>13</v>
      </c>
      <c r="E292" t="str">
        <f t="shared" si="12"/>
        <v>1 PM</v>
      </c>
      <c r="F292" t="str">
        <f t="shared" si="13"/>
        <v>AfterNoon</v>
      </c>
      <c r="G292" t="b">
        <v>0</v>
      </c>
      <c r="H292">
        <v>4</v>
      </c>
      <c r="I292" t="str">
        <f>_xlfn.XLOOKUP(Append15[[#This Row],[Week day]],Mappings!$B$3:$B$9,Mappings!$C$3:$C$9)</f>
        <v>Thursday</v>
      </c>
      <c r="J292" t="str">
        <f t="shared" si="14"/>
        <v>Weekday</v>
      </c>
      <c r="K292">
        <v>1</v>
      </c>
      <c r="L292" t="str">
        <f>_xlfn.XLOOKUP(Append15[[#This Row],[WeatherSituation]],Mappings!$E$3:$E$6,Mappings!$F$3:$F$6)</f>
        <v>Clear Sky</v>
      </c>
      <c r="M292">
        <v>0.22</v>
      </c>
      <c r="N292">
        <v>0.19700000000000001</v>
      </c>
      <c r="O292">
        <v>0.41</v>
      </c>
      <c r="P292">
        <v>0.44779999999999998</v>
      </c>
      <c r="Q292">
        <v>2</v>
      </c>
      <c r="R292">
        <v>81</v>
      </c>
      <c r="S292">
        <v>83</v>
      </c>
    </row>
    <row r="293" spans="1:19" x14ac:dyDescent="0.3">
      <c r="A293">
        <v>292</v>
      </c>
      <c r="B293" s="4">
        <v>40556</v>
      </c>
      <c r="C293">
        <v>1</v>
      </c>
      <c r="D293">
        <v>14</v>
      </c>
      <c r="E293" t="str">
        <f t="shared" si="12"/>
        <v>2 PM</v>
      </c>
      <c r="F293" t="str">
        <f t="shared" si="13"/>
        <v>AfterNoon</v>
      </c>
      <c r="G293" t="b">
        <v>0</v>
      </c>
      <c r="H293">
        <v>4</v>
      </c>
      <c r="I293" t="str">
        <f>_xlfn.XLOOKUP(Append15[[#This Row],[Week day]],Mappings!$B$3:$B$9,Mappings!$C$3:$C$9)</f>
        <v>Thursday</v>
      </c>
      <c r="J293" t="str">
        <f t="shared" si="14"/>
        <v>Weekday</v>
      </c>
      <c r="K293">
        <v>1</v>
      </c>
      <c r="L293" t="str">
        <f>_xlfn.XLOOKUP(Append15[[#This Row],[WeatherSituation]],Mappings!$E$3:$E$6,Mappings!$F$3:$F$6)</f>
        <v>Clear Sky</v>
      </c>
      <c r="M293">
        <v>0.22</v>
      </c>
      <c r="N293">
        <v>0.19700000000000001</v>
      </c>
      <c r="O293">
        <v>0.41</v>
      </c>
      <c r="P293">
        <v>0.3881</v>
      </c>
      <c r="Q293">
        <v>3</v>
      </c>
      <c r="R293">
        <v>39</v>
      </c>
      <c r="S293">
        <v>42</v>
      </c>
    </row>
    <row r="294" spans="1:19" x14ac:dyDescent="0.3">
      <c r="A294">
        <v>293</v>
      </c>
      <c r="B294" s="4">
        <v>40556</v>
      </c>
      <c r="C294">
        <v>1</v>
      </c>
      <c r="D294">
        <v>15</v>
      </c>
      <c r="E294" t="str">
        <f t="shared" si="12"/>
        <v>3 PM</v>
      </c>
      <c r="F294" t="str">
        <f t="shared" si="13"/>
        <v>AfterNoon</v>
      </c>
      <c r="G294" t="b">
        <v>0</v>
      </c>
      <c r="H294">
        <v>4</v>
      </c>
      <c r="I294" t="str">
        <f>_xlfn.XLOOKUP(Append15[[#This Row],[Week day]],Mappings!$B$3:$B$9,Mappings!$C$3:$C$9)</f>
        <v>Thursday</v>
      </c>
      <c r="J294" t="str">
        <f t="shared" si="14"/>
        <v>Weekday</v>
      </c>
      <c r="K294">
        <v>1</v>
      </c>
      <c r="L294" t="str">
        <f>_xlfn.XLOOKUP(Append15[[#This Row],[WeatherSituation]],Mappings!$E$3:$E$6,Mappings!$F$3:$F$6)</f>
        <v>Clear Sky</v>
      </c>
      <c r="M294">
        <v>0.24</v>
      </c>
      <c r="N294">
        <v>0.21210000000000001</v>
      </c>
      <c r="O294">
        <v>0.38</v>
      </c>
      <c r="P294">
        <v>0.29849999999999999</v>
      </c>
      <c r="Q294">
        <v>5</v>
      </c>
      <c r="R294">
        <v>55</v>
      </c>
      <c r="S294">
        <v>60</v>
      </c>
    </row>
    <row r="295" spans="1:19" x14ac:dyDescent="0.3">
      <c r="A295">
        <v>294</v>
      </c>
      <c r="B295" s="4">
        <v>40556</v>
      </c>
      <c r="C295">
        <v>1</v>
      </c>
      <c r="D295">
        <v>16</v>
      </c>
      <c r="E295" t="str">
        <f t="shared" si="12"/>
        <v>4 PM</v>
      </c>
      <c r="F295" t="str">
        <f t="shared" si="13"/>
        <v>Evening</v>
      </c>
      <c r="G295" t="b">
        <v>0</v>
      </c>
      <c r="H295">
        <v>4</v>
      </c>
      <c r="I295" t="str">
        <f>_xlfn.XLOOKUP(Append15[[#This Row],[Week day]],Mappings!$B$3:$B$9,Mappings!$C$3:$C$9)</f>
        <v>Thursday</v>
      </c>
      <c r="J295" t="str">
        <f t="shared" si="14"/>
        <v>Weekday</v>
      </c>
      <c r="K295">
        <v>1</v>
      </c>
      <c r="L295" t="str">
        <f>_xlfn.XLOOKUP(Append15[[#This Row],[WeatherSituation]],Mappings!$E$3:$E$6,Mappings!$F$3:$F$6)</f>
        <v>Clear Sky</v>
      </c>
      <c r="M295">
        <v>0.24</v>
      </c>
      <c r="N295">
        <v>0.21210000000000001</v>
      </c>
      <c r="O295">
        <v>0.38</v>
      </c>
      <c r="P295">
        <v>0.35820000000000002</v>
      </c>
      <c r="Q295">
        <v>2</v>
      </c>
      <c r="R295">
        <v>76</v>
      </c>
      <c r="S295">
        <v>78</v>
      </c>
    </row>
    <row r="296" spans="1:19" x14ac:dyDescent="0.3">
      <c r="A296">
        <v>295</v>
      </c>
      <c r="B296" s="4">
        <v>40556</v>
      </c>
      <c r="C296">
        <v>1</v>
      </c>
      <c r="D296">
        <v>17</v>
      </c>
      <c r="E296" t="str">
        <f t="shared" si="12"/>
        <v>5 PM</v>
      </c>
      <c r="F296" t="str">
        <f t="shared" si="13"/>
        <v>Evening</v>
      </c>
      <c r="G296" t="b">
        <v>0</v>
      </c>
      <c r="H296">
        <v>4</v>
      </c>
      <c r="I296" t="str">
        <f>_xlfn.XLOOKUP(Append15[[#This Row],[Week day]],Mappings!$B$3:$B$9,Mappings!$C$3:$C$9)</f>
        <v>Thursday</v>
      </c>
      <c r="J296" t="str">
        <f t="shared" si="14"/>
        <v>Weekday</v>
      </c>
      <c r="K296">
        <v>1</v>
      </c>
      <c r="L296" t="str">
        <f>_xlfn.XLOOKUP(Append15[[#This Row],[WeatherSituation]],Mappings!$E$3:$E$6,Mappings!$F$3:$F$6)</f>
        <v>Clear Sky</v>
      </c>
      <c r="M296">
        <v>0.2</v>
      </c>
      <c r="N296">
        <v>0.18179999999999999</v>
      </c>
      <c r="O296">
        <v>0.4</v>
      </c>
      <c r="P296">
        <v>0.28360000000000002</v>
      </c>
      <c r="Q296">
        <v>4</v>
      </c>
      <c r="R296">
        <v>158</v>
      </c>
      <c r="S296">
        <v>162</v>
      </c>
    </row>
    <row r="297" spans="1:19" x14ac:dyDescent="0.3">
      <c r="A297">
        <v>296</v>
      </c>
      <c r="B297" s="4">
        <v>40556</v>
      </c>
      <c r="C297">
        <v>1</v>
      </c>
      <c r="D297">
        <v>18</v>
      </c>
      <c r="E297" t="str">
        <f t="shared" si="12"/>
        <v>6 PM</v>
      </c>
      <c r="F297" t="str">
        <f t="shared" si="13"/>
        <v>Evening</v>
      </c>
      <c r="G297" t="b">
        <v>0</v>
      </c>
      <c r="H297">
        <v>4</v>
      </c>
      <c r="I297" t="str">
        <f>_xlfn.XLOOKUP(Append15[[#This Row],[Week day]],Mappings!$B$3:$B$9,Mappings!$C$3:$C$9)</f>
        <v>Thursday</v>
      </c>
      <c r="J297" t="str">
        <f t="shared" si="14"/>
        <v>Weekday</v>
      </c>
      <c r="K297">
        <v>1</v>
      </c>
      <c r="L297" t="str">
        <f>_xlfn.XLOOKUP(Append15[[#This Row],[WeatherSituation]],Mappings!$E$3:$E$6,Mappings!$F$3:$F$6)</f>
        <v>Clear Sky</v>
      </c>
      <c r="M297">
        <v>0.2</v>
      </c>
      <c r="N297">
        <v>0.18179999999999999</v>
      </c>
      <c r="O297">
        <v>0.4</v>
      </c>
      <c r="P297">
        <v>0.32840000000000003</v>
      </c>
      <c r="Q297">
        <v>3</v>
      </c>
      <c r="R297">
        <v>141</v>
      </c>
      <c r="S297">
        <v>144</v>
      </c>
    </row>
    <row r="298" spans="1:19" x14ac:dyDescent="0.3">
      <c r="A298">
        <v>297</v>
      </c>
      <c r="B298" s="4">
        <v>40556</v>
      </c>
      <c r="C298">
        <v>1</v>
      </c>
      <c r="D298">
        <v>19</v>
      </c>
      <c r="E298" t="str">
        <f t="shared" si="12"/>
        <v>7 PM</v>
      </c>
      <c r="F298" t="str">
        <f t="shared" si="13"/>
        <v>Evening</v>
      </c>
      <c r="G298" t="b">
        <v>0</v>
      </c>
      <c r="H298">
        <v>4</v>
      </c>
      <c r="I298" t="str">
        <f>_xlfn.XLOOKUP(Append15[[#This Row],[Week day]],Mappings!$B$3:$B$9,Mappings!$C$3:$C$9)</f>
        <v>Thursday</v>
      </c>
      <c r="J298" t="str">
        <f t="shared" si="14"/>
        <v>Weekday</v>
      </c>
      <c r="K298">
        <v>1</v>
      </c>
      <c r="L298" t="str">
        <f>_xlfn.XLOOKUP(Append15[[#This Row],[WeatherSituation]],Mappings!$E$3:$E$6,Mappings!$F$3:$F$6)</f>
        <v>Clear Sky</v>
      </c>
      <c r="M298">
        <v>0.16</v>
      </c>
      <c r="N298">
        <v>0.1515</v>
      </c>
      <c r="O298">
        <v>0.47</v>
      </c>
      <c r="P298">
        <v>0.25369999999999998</v>
      </c>
      <c r="Q298">
        <v>1</v>
      </c>
      <c r="R298">
        <v>98</v>
      </c>
      <c r="S298">
        <v>99</v>
      </c>
    </row>
    <row r="299" spans="1:19" x14ac:dyDescent="0.3">
      <c r="A299">
        <v>298</v>
      </c>
      <c r="B299" s="4">
        <v>40556</v>
      </c>
      <c r="C299">
        <v>1</v>
      </c>
      <c r="D299">
        <v>20</v>
      </c>
      <c r="E299" t="str">
        <f t="shared" si="12"/>
        <v>8 PM</v>
      </c>
      <c r="F299" t="str">
        <f t="shared" si="13"/>
        <v>Night</v>
      </c>
      <c r="G299" t="b">
        <v>0</v>
      </c>
      <c r="H299">
        <v>4</v>
      </c>
      <c r="I299" t="str">
        <f>_xlfn.XLOOKUP(Append15[[#This Row],[Week day]],Mappings!$B$3:$B$9,Mappings!$C$3:$C$9)</f>
        <v>Thursday</v>
      </c>
      <c r="J299" t="str">
        <f t="shared" si="14"/>
        <v>Weekday</v>
      </c>
      <c r="K299">
        <v>1</v>
      </c>
      <c r="L299" t="str">
        <f>_xlfn.XLOOKUP(Append15[[#This Row],[WeatherSituation]],Mappings!$E$3:$E$6,Mappings!$F$3:$F$6)</f>
        <v>Clear Sky</v>
      </c>
      <c r="M299">
        <v>0.16</v>
      </c>
      <c r="N299">
        <v>0.1515</v>
      </c>
      <c r="O299">
        <v>0.47</v>
      </c>
      <c r="P299">
        <v>0.22389999999999999</v>
      </c>
      <c r="Q299">
        <v>0</v>
      </c>
      <c r="R299">
        <v>64</v>
      </c>
      <c r="S299">
        <v>64</v>
      </c>
    </row>
    <row r="300" spans="1:19" x14ac:dyDescent="0.3">
      <c r="A300">
        <v>299</v>
      </c>
      <c r="B300" s="4">
        <v>40556</v>
      </c>
      <c r="C300">
        <v>1</v>
      </c>
      <c r="D300">
        <v>21</v>
      </c>
      <c r="E300" t="str">
        <f t="shared" si="12"/>
        <v>9 PM</v>
      </c>
      <c r="F300" t="str">
        <f t="shared" si="13"/>
        <v>Night</v>
      </c>
      <c r="G300" t="b">
        <v>0</v>
      </c>
      <c r="H300">
        <v>4</v>
      </c>
      <c r="I300" t="str">
        <f>_xlfn.XLOOKUP(Append15[[#This Row],[Week day]],Mappings!$B$3:$B$9,Mappings!$C$3:$C$9)</f>
        <v>Thursday</v>
      </c>
      <c r="J300" t="str">
        <f t="shared" si="14"/>
        <v>Weekday</v>
      </c>
      <c r="K300">
        <v>1</v>
      </c>
      <c r="L300" t="str">
        <f>_xlfn.XLOOKUP(Append15[[#This Row],[WeatherSituation]],Mappings!$E$3:$E$6,Mappings!$F$3:$F$6)</f>
        <v>Clear Sky</v>
      </c>
      <c r="M300">
        <v>0.14000000000000001</v>
      </c>
      <c r="N300">
        <v>0.1212</v>
      </c>
      <c r="O300">
        <v>0.46</v>
      </c>
      <c r="P300">
        <v>0.29849999999999999</v>
      </c>
      <c r="Q300">
        <v>0</v>
      </c>
      <c r="R300">
        <v>40</v>
      </c>
      <c r="S300">
        <v>40</v>
      </c>
    </row>
    <row r="301" spans="1:19" x14ac:dyDescent="0.3">
      <c r="A301">
        <v>300</v>
      </c>
      <c r="B301" s="4">
        <v>40556</v>
      </c>
      <c r="C301">
        <v>1</v>
      </c>
      <c r="D301">
        <v>22</v>
      </c>
      <c r="E301" t="str">
        <f t="shared" si="12"/>
        <v>10 PM</v>
      </c>
      <c r="F301" t="str">
        <f t="shared" si="13"/>
        <v>Night</v>
      </c>
      <c r="G301" t="b">
        <v>0</v>
      </c>
      <c r="H301">
        <v>4</v>
      </c>
      <c r="I301" t="str">
        <f>_xlfn.XLOOKUP(Append15[[#This Row],[Week day]],Mappings!$B$3:$B$9,Mappings!$C$3:$C$9)</f>
        <v>Thursday</v>
      </c>
      <c r="J301" t="str">
        <f t="shared" si="14"/>
        <v>Weekday</v>
      </c>
      <c r="K301">
        <v>1</v>
      </c>
      <c r="L301" t="str">
        <f>_xlfn.XLOOKUP(Append15[[#This Row],[WeatherSituation]],Mappings!$E$3:$E$6,Mappings!$F$3:$F$6)</f>
        <v>Clear Sky</v>
      </c>
      <c r="M301">
        <v>0.14000000000000001</v>
      </c>
      <c r="N301">
        <v>0.1212</v>
      </c>
      <c r="O301">
        <v>0.46</v>
      </c>
      <c r="P301">
        <v>0.32840000000000003</v>
      </c>
      <c r="Q301">
        <v>0</v>
      </c>
      <c r="R301">
        <v>30</v>
      </c>
      <c r="S301">
        <v>30</v>
      </c>
    </row>
    <row r="302" spans="1:19" x14ac:dyDescent="0.3">
      <c r="A302">
        <v>301</v>
      </c>
      <c r="B302" s="4">
        <v>40556</v>
      </c>
      <c r="C302">
        <v>1</v>
      </c>
      <c r="D302">
        <v>23</v>
      </c>
      <c r="E302" t="str">
        <f t="shared" si="12"/>
        <v>11 PM</v>
      </c>
      <c r="F302" t="str">
        <f t="shared" si="13"/>
        <v>Night</v>
      </c>
      <c r="G302" t="b">
        <v>0</v>
      </c>
      <c r="H302">
        <v>4</v>
      </c>
      <c r="I302" t="str">
        <f>_xlfn.XLOOKUP(Append15[[#This Row],[Week day]],Mappings!$B$3:$B$9,Mappings!$C$3:$C$9)</f>
        <v>Thursday</v>
      </c>
      <c r="J302" t="str">
        <f t="shared" si="14"/>
        <v>Weekday</v>
      </c>
      <c r="K302">
        <v>1</v>
      </c>
      <c r="L302" t="str">
        <f>_xlfn.XLOOKUP(Append15[[#This Row],[WeatherSituation]],Mappings!$E$3:$E$6,Mappings!$F$3:$F$6)</f>
        <v>Clear Sky</v>
      </c>
      <c r="M302">
        <v>0.12</v>
      </c>
      <c r="N302">
        <v>0.13639999999999999</v>
      </c>
      <c r="O302">
        <v>0.5</v>
      </c>
      <c r="P302">
        <v>0.19400000000000001</v>
      </c>
      <c r="Q302">
        <v>1</v>
      </c>
      <c r="R302">
        <v>14</v>
      </c>
      <c r="S302">
        <v>15</v>
      </c>
    </row>
    <row r="303" spans="1:19" x14ac:dyDescent="0.3">
      <c r="A303">
        <v>302</v>
      </c>
      <c r="B303" s="4">
        <v>40557</v>
      </c>
      <c r="C303">
        <v>1</v>
      </c>
      <c r="D303">
        <v>0</v>
      </c>
      <c r="E303" t="str">
        <f t="shared" si="12"/>
        <v>12 AM</v>
      </c>
      <c r="F303" t="str">
        <f t="shared" si="13"/>
        <v>Night</v>
      </c>
      <c r="G303" t="b">
        <v>0</v>
      </c>
      <c r="H303">
        <v>5</v>
      </c>
      <c r="I303" t="str">
        <f>_xlfn.XLOOKUP(Append15[[#This Row],[Week day]],Mappings!$B$3:$B$9,Mappings!$C$3:$C$9)</f>
        <v>Friday</v>
      </c>
      <c r="J303" t="str">
        <f t="shared" si="14"/>
        <v>Weekday</v>
      </c>
      <c r="K303">
        <v>1</v>
      </c>
      <c r="L303" t="str">
        <f>_xlfn.XLOOKUP(Append15[[#This Row],[WeatherSituation]],Mappings!$E$3:$E$6,Mappings!$F$3:$F$6)</f>
        <v>Clear Sky</v>
      </c>
      <c r="M303">
        <v>0.12</v>
      </c>
      <c r="N303">
        <v>0.13639999999999999</v>
      </c>
      <c r="O303">
        <v>0.5</v>
      </c>
      <c r="P303">
        <v>0.19400000000000001</v>
      </c>
      <c r="Q303">
        <v>0</v>
      </c>
      <c r="R303">
        <v>14</v>
      </c>
      <c r="S303">
        <v>14</v>
      </c>
    </row>
    <row r="304" spans="1:19" x14ac:dyDescent="0.3">
      <c r="A304">
        <v>303</v>
      </c>
      <c r="B304" s="4">
        <v>40557</v>
      </c>
      <c r="C304">
        <v>1</v>
      </c>
      <c r="D304">
        <v>1</v>
      </c>
      <c r="E304" t="str">
        <f t="shared" si="12"/>
        <v>1 AM</v>
      </c>
      <c r="F304" t="str">
        <f t="shared" si="13"/>
        <v>Night</v>
      </c>
      <c r="G304" t="b">
        <v>0</v>
      </c>
      <c r="H304">
        <v>5</v>
      </c>
      <c r="I304" t="str">
        <f>_xlfn.XLOOKUP(Append15[[#This Row],[Week day]],Mappings!$B$3:$B$9,Mappings!$C$3:$C$9)</f>
        <v>Friday</v>
      </c>
      <c r="J304" t="str">
        <f t="shared" si="14"/>
        <v>Weekday</v>
      </c>
      <c r="K304">
        <v>1</v>
      </c>
      <c r="L304" t="str">
        <f>_xlfn.XLOOKUP(Append15[[#This Row],[WeatherSituation]],Mappings!$E$3:$E$6,Mappings!$F$3:$F$6)</f>
        <v>Clear Sky</v>
      </c>
      <c r="M304">
        <v>0.1</v>
      </c>
      <c r="N304">
        <v>0.1212</v>
      </c>
      <c r="O304">
        <v>0.54</v>
      </c>
      <c r="P304">
        <v>0.16420000000000001</v>
      </c>
      <c r="Q304">
        <v>0</v>
      </c>
      <c r="R304">
        <v>5</v>
      </c>
      <c r="S304">
        <v>5</v>
      </c>
    </row>
    <row r="305" spans="1:19" x14ac:dyDescent="0.3">
      <c r="A305">
        <v>304</v>
      </c>
      <c r="B305" s="4">
        <v>40557</v>
      </c>
      <c r="C305">
        <v>1</v>
      </c>
      <c r="D305">
        <v>2</v>
      </c>
      <c r="E305" t="str">
        <f t="shared" si="12"/>
        <v>2 AM</v>
      </c>
      <c r="F305" t="str">
        <f t="shared" si="13"/>
        <v>Night</v>
      </c>
      <c r="G305" t="b">
        <v>0</v>
      </c>
      <c r="H305">
        <v>5</v>
      </c>
      <c r="I305" t="str">
        <f>_xlfn.XLOOKUP(Append15[[#This Row],[Week day]],Mappings!$B$3:$B$9,Mappings!$C$3:$C$9)</f>
        <v>Friday</v>
      </c>
      <c r="J305" t="str">
        <f t="shared" si="14"/>
        <v>Weekday</v>
      </c>
      <c r="K305">
        <v>1</v>
      </c>
      <c r="L305" t="str">
        <f>_xlfn.XLOOKUP(Append15[[#This Row],[WeatherSituation]],Mappings!$E$3:$E$6,Mappings!$F$3:$F$6)</f>
        <v>Clear Sky</v>
      </c>
      <c r="M305">
        <v>0.1</v>
      </c>
      <c r="N305">
        <v>0.1212</v>
      </c>
      <c r="O305">
        <v>0.54</v>
      </c>
      <c r="P305">
        <v>0.1343</v>
      </c>
      <c r="Q305">
        <v>0</v>
      </c>
      <c r="R305">
        <v>1</v>
      </c>
      <c r="S305">
        <v>1</v>
      </c>
    </row>
    <row r="306" spans="1:19" x14ac:dyDescent="0.3">
      <c r="A306">
        <v>305</v>
      </c>
      <c r="B306" s="4">
        <v>40557</v>
      </c>
      <c r="C306">
        <v>1</v>
      </c>
      <c r="D306">
        <v>3</v>
      </c>
      <c r="E306" t="str">
        <f t="shared" si="12"/>
        <v>3 AM</v>
      </c>
      <c r="F306" t="str">
        <f t="shared" si="13"/>
        <v>Night</v>
      </c>
      <c r="G306" t="b">
        <v>0</v>
      </c>
      <c r="H306">
        <v>5</v>
      </c>
      <c r="I306" t="str">
        <f>_xlfn.XLOOKUP(Append15[[#This Row],[Week day]],Mappings!$B$3:$B$9,Mappings!$C$3:$C$9)</f>
        <v>Friday</v>
      </c>
      <c r="J306" t="str">
        <f t="shared" si="14"/>
        <v>Weekday</v>
      </c>
      <c r="K306">
        <v>1</v>
      </c>
      <c r="L306" t="str">
        <f>_xlfn.XLOOKUP(Append15[[#This Row],[WeatherSituation]],Mappings!$E$3:$E$6,Mappings!$F$3:$F$6)</f>
        <v>Clear Sky</v>
      </c>
      <c r="M306">
        <v>0.1</v>
      </c>
      <c r="N306">
        <v>0.13639999999999999</v>
      </c>
      <c r="O306">
        <v>0.54</v>
      </c>
      <c r="P306">
        <v>0.1045</v>
      </c>
      <c r="Q306">
        <v>0</v>
      </c>
      <c r="R306">
        <v>1</v>
      </c>
      <c r="S306">
        <v>1</v>
      </c>
    </row>
    <row r="307" spans="1:19" x14ac:dyDescent="0.3">
      <c r="A307">
        <v>306</v>
      </c>
      <c r="B307" s="4">
        <v>40557</v>
      </c>
      <c r="C307">
        <v>1</v>
      </c>
      <c r="D307">
        <v>5</v>
      </c>
      <c r="E307" t="str">
        <f t="shared" si="12"/>
        <v>5 AM</v>
      </c>
      <c r="F307" t="str">
        <f t="shared" si="13"/>
        <v>Morning</v>
      </c>
      <c r="G307" t="b">
        <v>0</v>
      </c>
      <c r="H307">
        <v>5</v>
      </c>
      <c r="I307" t="str">
        <f>_xlfn.XLOOKUP(Append15[[#This Row],[Week day]],Mappings!$B$3:$B$9,Mappings!$C$3:$C$9)</f>
        <v>Friday</v>
      </c>
      <c r="J307" t="str">
        <f t="shared" si="14"/>
        <v>Weekday</v>
      </c>
      <c r="K307">
        <v>1</v>
      </c>
      <c r="L307" t="str">
        <f>_xlfn.XLOOKUP(Append15[[#This Row],[WeatherSituation]],Mappings!$E$3:$E$6,Mappings!$F$3:$F$6)</f>
        <v>Clear Sky</v>
      </c>
      <c r="M307">
        <v>0.1</v>
      </c>
      <c r="N307">
        <v>0.13639999999999999</v>
      </c>
      <c r="O307">
        <v>0.54</v>
      </c>
      <c r="P307">
        <v>8.9599999999999999E-2</v>
      </c>
      <c r="Q307">
        <v>0</v>
      </c>
      <c r="R307">
        <v>8</v>
      </c>
      <c r="S307">
        <v>8</v>
      </c>
    </row>
    <row r="308" spans="1:19" x14ac:dyDescent="0.3">
      <c r="A308">
        <v>307</v>
      </c>
      <c r="B308" s="4">
        <v>40557</v>
      </c>
      <c r="C308">
        <v>1</v>
      </c>
      <c r="D308">
        <v>6</v>
      </c>
      <c r="E308" t="str">
        <f t="shared" si="12"/>
        <v>6 AM</v>
      </c>
      <c r="F308" t="str">
        <f t="shared" si="13"/>
        <v>Morning</v>
      </c>
      <c r="G308" t="b">
        <v>0</v>
      </c>
      <c r="H308">
        <v>5</v>
      </c>
      <c r="I308" t="str">
        <f>_xlfn.XLOOKUP(Append15[[#This Row],[Week day]],Mappings!$B$3:$B$9,Mappings!$C$3:$C$9)</f>
        <v>Friday</v>
      </c>
      <c r="J308" t="str">
        <f t="shared" si="14"/>
        <v>Weekday</v>
      </c>
      <c r="K308">
        <v>1</v>
      </c>
      <c r="L308" t="str">
        <f>_xlfn.XLOOKUP(Append15[[#This Row],[WeatherSituation]],Mappings!$E$3:$E$6,Mappings!$F$3:$F$6)</f>
        <v>Clear Sky</v>
      </c>
      <c r="M308">
        <v>0.1</v>
      </c>
      <c r="N308">
        <v>0.18179999999999999</v>
      </c>
      <c r="O308">
        <v>0.54</v>
      </c>
      <c r="P308">
        <v>0</v>
      </c>
      <c r="Q308">
        <v>0</v>
      </c>
      <c r="R308">
        <v>17</v>
      </c>
      <c r="S308">
        <v>17</v>
      </c>
    </row>
    <row r="309" spans="1:19" x14ac:dyDescent="0.3">
      <c r="A309">
        <v>308</v>
      </c>
      <c r="B309" s="4">
        <v>40557</v>
      </c>
      <c r="C309">
        <v>1</v>
      </c>
      <c r="D309">
        <v>7</v>
      </c>
      <c r="E309" t="str">
        <f t="shared" si="12"/>
        <v>7 AM</v>
      </c>
      <c r="F309" t="str">
        <f t="shared" si="13"/>
        <v>Morning</v>
      </c>
      <c r="G309" t="b">
        <v>0</v>
      </c>
      <c r="H309">
        <v>5</v>
      </c>
      <c r="I309" t="str">
        <f>_xlfn.XLOOKUP(Append15[[#This Row],[Week day]],Mappings!$B$3:$B$9,Mappings!$C$3:$C$9)</f>
        <v>Friday</v>
      </c>
      <c r="J309" t="str">
        <f t="shared" si="14"/>
        <v>Weekday</v>
      </c>
      <c r="K309">
        <v>1</v>
      </c>
      <c r="L309" t="str">
        <f>_xlfn.XLOOKUP(Append15[[#This Row],[WeatherSituation]],Mappings!$E$3:$E$6,Mappings!$F$3:$F$6)</f>
        <v>Clear Sky</v>
      </c>
      <c r="M309">
        <v>0.1</v>
      </c>
      <c r="N309">
        <v>0.1212</v>
      </c>
      <c r="O309">
        <v>0.74</v>
      </c>
      <c r="P309">
        <v>0.16420000000000001</v>
      </c>
      <c r="Q309">
        <v>0</v>
      </c>
      <c r="R309">
        <v>70</v>
      </c>
      <c r="S309">
        <v>70</v>
      </c>
    </row>
    <row r="310" spans="1:19" x14ac:dyDescent="0.3">
      <c r="A310">
        <v>309</v>
      </c>
      <c r="B310" s="4">
        <v>40557</v>
      </c>
      <c r="C310">
        <v>1</v>
      </c>
      <c r="D310">
        <v>8</v>
      </c>
      <c r="E310" t="str">
        <f t="shared" si="12"/>
        <v>8 AM</v>
      </c>
      <c r="F310" t="str">
        <f t="shared" si="13"/>
        <v>Morning</v>
      </c>
      <c r="G310" t="b">
        <v>0</v>
      </c>
      <c r="H310">
        <v>5</v>
      </c>
      <c r="I310" t="str">
        <f>_xlfn.XLOOKUP(Append15[[#This Row],[Week day]],Mappings!$B$3:$B$9,Mappings!$C$3:$C$9)</f>
        <v>Friday</v>
      </c>
      <c r="J310" t="str">
        <f t="shared" si="14"/>
        <v>Weekday</v>
      </c>
      <c r="K310">
        <v>1</v>
      </c>
      <c r="L310" t="str">
        <f>_xlfn.XLOOKUP(Append15[[#This Row],[WeatherSituation]],Mappings!$E$3:$E$6,Mappings!$F$3:$F$6)</f>
        <v>Clear Sky</v>
      </c>
      <c r="M310">
        <v>0.12</v>
      </c>
      <c r="N310">
        <v>0.16669999999999999</v>
      </c>
      <c r="O310">
        <v>0.68</v>
      </c>
      <c r="P310">
        <v>0</v>
      </c>
      <c r="Q310">
        <v>2</v>
      </c>
      <c r="R310">
        <v>156</v>
      </c>
      <c r="S310">
        <v>158</v>
      </c>
    </row>
    <row r="311" spans="1:19" x14ac:dyDescent="0.3">
      <c r="A311">
        <v>310</v>
      </c>
      <c r="B311" s="4">
        <v>40557</v>
      </c>
      <c r="C311">
        <v>1</v>
      </c>
      <c r="D311">
        <v>9</v>
      </c>
      <c r="E311" t="str">
        <f t="shared" si="12"/>
        <v>9 AM</v>
      </c>
      <c r="F311" t="str">
        <f t="shared" si="13"/>
        <v>Morning</v>
      </c>
      <c r="G311" t="b">
        <v>0</v>
      </c>
      <c r="H311">
        <v>5</v>
      </c>
      <c r="I311" t="str">
        <f>_xlfn.XLOOKUP(Append15[[#This Row],[Week day]],Mappings!$B$3:$B$9,Mappings!$C$3:$C$9)</f>
        <v>Friday</v>
      </c>
      <c r="J311" t="str">
        <f t="shared" si="14"/>
        <v>Weekday</v>
      </c>
      <c r="K311">
        <v>1</v>
      </c>
      <c r="L311" t="str">
        <f>_xlfn.XLOOKUP(Append15[[#This Row],[WeatherSituation]],Mappings!$E$3:$E$6,Mappings!$F$3:$F$6)</f>
        <v>Clear Sky</v>
      </c>
      <c r="M311">
        <v>0.14000000000000001</v>
      </c>
      <c r="N311">
        <v>0.1515</v>
      </c>
      <c r="O311">
        <v>0.69</v>
      </c>
      <c r="P311">
        <v>0.1343</v>
      </c>
      <c r="Q311">
        <v>0</v>
      </c>
      <c r="R311">
        <v>117</v>
      </c>
      <c r="S311">
        <v>117</v>
      </c>
    </row>
    <row r="312" spans="1:19" x14ac:dyDescent="0.3">
      <c r="A312">
        <v>311</v>
      </c>
      <c r="B312" s="4">
        <v>40557</v>
      </c>
      <c r="C312">
        <v>1</v>
      </c>
      <c r="D312">
        <v>10</v>
      </c>
      <c r="E312" t="str">
        <f t="shared" si="12"/>
        <v>10 AM</v>
      </c>
      <c r="F312" t="str">
        <f t="shared" si="13"/>
        <v>Morning</v>
      </c>
      <c r="G312" t="b">
        <v>0</v>
      </c>
      <c r="H312">
        <v>5</v>
      </c>
      <c r="I312" t="str">
        <f>_xlfn.XLOOKUP(Append15[[#This Row],[Week day]],Mappings!$B$3:$B$9,Mappings!$C$3:$C$9)</f>
        <v>Friday</v>
      </c>
      <c r="J312" t="str">
        <f t="shared" si="14"/>
        <v>Weekday</v>
      </c>
      <c r="K312">
        <v>1</v>
      </c>
      <c r="L312" t="str">
        <f>_xlfn.XLOOKUP(Append15[[#This Row],[WeatherSituation]],Mappings!$E$3:$E$6,Mappings!$F$3:$F$6)</f>
        <v>Clear Sky</v>
      </c>
      <c r="M312">
        <v>0.18</v>
      </c>
      <c r="N312">
        <v>0.18179999999999999</v>
      </c>
      <c r="O312">
        <v>0.55000000000000004</v>
      </c>
      <c r="P312">
        <v>0.19400000000000001</v>
      </c>
      <c r="Q312">
        <v>4</v>
      </c>
      <c r="R312">
        <v>40</v>
      </c>
      <c r="S312">
        <v>44</v>
      </c>
    </row>
    <row r="313" spans="1:19" x14ac:dyDescent="0.3">
      <c r="A313">
        <v>312</v>
      </c>
      <c r="B313" s="4">
        <v>40557</v>
      </c>
      <c r="C313">
        <v>1</v>
      </c>
      <c r="D313">
        <v>11</v>
      </c>
      <c r="E313" t="str">
        <f t="shared" si="12"/>
        <v>11 AM</v>
      </c>
      <c r="F313" t="str">
        <f t="shared" si="13"/>
        <v>Morning</v>
      </c>
      <c r="G313" t="b">
        <v>0</v>
      </c>
      <c r="H313">
        <v>5</v>
      </c>
      <c r="I313" t="str">
        <f>_xlfn.XLOOKUP(Append15[[#This Row],[Week day]],Mappings!$B$3:$B$9,Mappings!$C$3:$C$9)</f>
        <v>Friday</v>
      </c>
      <c r="J313" t="str">
        <f t="shared" si="14"/>
        <v>Weekday</v>
      </c>
      <c r="K313">
        <v>1</v>
      </c>
      <c r="L313" t="str">
        <f>_xlfn.XLOOKUP(Append15[[#This Row],[WeatherSituation]],Mappings!$E$3:$E$6,Mappings!$F$3:$F$6)</f>
        <v>Clear Sky</v>
      </c>
      <c r="M313">
        <v>0.18</v>
      </c>
      <c r="N313">
        <v>0.16669999999999999</v>
      </c>
      <c r="O313">
        <v>0.51</v>
      </c>
      <c r="P313">
        <v>0.28360000000000002</v>
      </c>
      <c r="Q313">
        <v>6</v>
      </c>
      <c r="R313">
        <v>47</v>
      </c>
      <c r="S313">
        <v>53</v>
      </c>
    </row>
    <row r="314" spans="1:19" x14ac:dyDescent="0.3">
      <c r="A314">
        <v>313</v>
      </c>
      <c r="B314" s="4">
        <v>40557</v>
      </c>
      <c r="C314">
        <v>1</v>
      </c>
      <c r="D314">
        <v>12</v>
      </c>
      <c r="E314" t="str">
        <f t="shared" si="12"/>
        <v>12 PM</v>
      </c>
      <c r="F314" t="str">
        <f t="shared" si="13"/>
        <v>AfterNoon</v>
      </c>
      <c r="G314" t="b">
        <v>0</v>
      </c>
      <c r="H314">
        <v>5</v>
      </c>
      <c r="I314" t="str">
        <f>_xlfn.XLOOKUP(Append15[[#This Row],[Week day]],Mappings!$B$3:$B$9,Mappings!$C$3:$C$9)</f>
        <v>Friday</v>
      </c>
      <c r="J314" t="str">
        <f t="shared" si="14"/>
        <v>Weekday</v>
      </c>
      <c r="K314">
        <v>1</v>
      </c>
      <c r="L314" t="str">
        <f>_xlfn.XLOOKUP(Append15[[#This Row],[WeatherSituation]],Mappings!$E$3:$E$6,Mappings!$F$3:$F$6)</f>
        <v>Clear Sky</v>
      </c>
      <c r="M314">
        <v>0.2</v>
      </c>
      <c r="N314">
        <v>0.19700000000000001</v>
      </c>
      <c r="O314">
        <v>0.44</v>
      </c>
      <c r="P314">
        <v>0.25369999999999998</v>
      </c>
      <c r="Q314">
        <v>2</v>
      </c>
      <c r="R314">
        <v>59</v>
      </c>
      <c r="S314">
        <v>61</v>
      </c>
    </row>
    <row r="315" spans="1:19" x14ac:dyDescent="0.3">
      <c r="A315">
        <v>314</v>
      </c>
      <c r="B315" s="4">
        <v>40557</v>
      </c>
      <c r="C315">
        <v>1</v>
      </c>
      <c r="D315">
        <v>13</v>
      </c>
      <c r="E315" t="str">
        <f t="shared" si="12"/>
        <v>1 PM</v>
      </c>
      <c r="F315" t="str">
        <f t="shared" si="13"/>
        <v>AfterNoon</v>
      </c>
      <c r="G315" t="b">
        <v>0</v>
      </c>
      <c r="H315">
        <v>5</v>
      </c>
      <c r="I315" t="str">
        <f>_xlfn.XLOOKUP(Append15[[#This Row],[Week day]],Mappings!$B$3:$B$9,Mappings!$C$3:$C$9)</f>
        <v>Friday</v>
      </c>
      <c r="J315" t="str">
        <f t="shared" si="14"/>
        <v>Weekday</v>
      </c>
      <c r="K315">
        <v>1</v>
      </c>
      <c r="L315" t="str">
        <f>_xlfn.XLOOKUP(Append15[[#This Row],[WeatherSituation]],Mappings!$E$3:$E$6,Mappings!$F$3:$F$6)</f>
        <v>Clear Sky</v>
      </c>
      <c r="M315">
        <v>0.22</v>
      </c>
      <c r="N315">
        <v>0.19700000000000001</v>
      </c>
      <c r="O315">
        <v>0.37</v>
      </c>
      <c r="P315">
        <v>0.3881</v>
      </c>
      <c r="Q315">
        <v>4</v>
      </c>
      <c r="R315">
        <v>73</v>
      </c>
      <c r="S315">
        <v>77</v>
      </c>
    </row>
    <row r="316" spans="1:19" x14ac:dyDescent="0.3">
      <c r="A316">
        <v>315</v>
      </c>
      <c r="B316" s="4">
        <v>40557</v>
      </c>
      <c r="C316">
        <v>1</v>
      </c>
      <c r="D316">
        <v>14</v>
      </c>
      <c r="E316" t="str">
        <f t="shared" si="12"/>
        <v>2 PM</v>
      </c>
      <c r="F316" t="str">
        <f t="shared" si="13"/>
        <v>AfterNoon</v>
      </c>
      <c r="G316" t="b">
        <v>0</v>
      </c>
      <c r="H316">
        <v>5</v>
      </c>
      <c r="I316" t="str">
        <f>_xlfn.XLOOKUP(Append15[[#This Row],[Week day]],Mappings!$B$3:$B$9,Mappings!$C$3:$C$9)</f>
        <v>Friday</v>
      </c>
      <c r="J316" t="str">
        <f t="shared" si="14"/>
        <v>Weekday</v>
      </c>
      <c r="K316">
        <v>1</v>
      </c>
      <c r="L316" t="str">
        <f>_xlfn.XLOOKUP(Append15[[#This Row],[WeatherSituation]],Mappings!$E$3:$E$6,Mappings!$F$3:$F$6)</f>
        <v>Clear Sky</v>
      </c>
      <c r="M316">
        <v>0.22</v>
      </c>
      <c r="N316">
        <v>0.21210000000000001</v>
      </c>
      <c r="O316">
        <v>0.41</v>
      </c>
      <c r="P316">
        <v>0.28360000000000002</v>
      </c>
      <c r="Q316">
        <v>5</v>
      </c>
      <c r="R316">
        <v>59</v>
      </c>
      <c r="S316">
        <v>64</v>
      </c>
    </row>
    <row r="317" spans="1:19" x14ac:dyDescent="0.3">
      <c r="A317">
        <v>316</v>
      </c>
      <c r="B317" s="4">
        <v>40557</v>
      </c>
      <c r="C317">
        <v>1</v>
      </c>
      <c r="D317">
        <v>15</v>
      </c>
      <c r="E317" t="str">
        <f t="shared" si="12"/>
        <v>3 PM</v>
      </c>
      <c r="F317" t="str">
        <f t="shared" si="13"/>
        <v>AfterNoon</v>
      </c>
      <c r="G317" t="b">
        <v>0</v>
      </c>
      <c r="H317">
        <v>5</v>
      </c>
      <c r="I317" t="str">
        <f>_xlfn.XLOOKUP(Append15[[#This Row],[Week day]],Mappings!$B$3:$B$9,Mappings!$C$3:$C$9)</f>
        <v>Friday</v>
      </c>
      <c r="J317" t="str">
        <f t="shared" si="14"/>
        <v>Weekday</v>
      </c>
      <c r="K317">
        <v>1</v>
      </c>
      <c r="L317" t="str">
        <f>_xlfn.XLOOKUP(Append15[[#This Row],[WeatherSituation]],Mappings!$E$3:$E$6,Mappings!$F$3:$F$6)</f>
        <v>Clear Sky</v>
      </c>
      <c r="M317">
        <v>0.24</v>
      </c>
      <c r="N317">
        <v>0.2424</v>
      </c>
      <c r="O317">
        <v>0.38</v>
      </c>
      <c r="P317">
        <v>0.16420000000000001</v>
      </c>
      <c r="Q317">
        <v>9</v>
      </c>
      <c r="R317">
        <v>59</v>
      </c>
      <c r="S317">
        <v>68</v>
      </c>
    </row>
    <row r="318" spans="1:19" x14ac:dyDescent="0.3">
      <c r="A318">
        <v>317</v>
      </c>
      <c r="B318" s="4">
        <v>40557</v>
      </c>
      <c r="C318">
        <v>1</v>
      </c>
      <c r="D318">
        <v>16</v>
      </c>
      <c r="E318" t="str">
        <f t="shared" si="12"/>
        <v>4 PM</v>
      </c>
      <c r="F318" t="str">
        <f t="shared" si="13"/>
        <v>Evening</v>
      </c>
      <c r="G318" t="b">
        <v>0</v>
      </c>
      <c r="H318">
        <v>5</v>
      </c>
      <c r="I318" t="str">
        <f>_xlfn.XLOOKUP(Append15[[#This Row],[Week day]],Mappings!$B$3:$B$9,Mappings!$C$3:$C$9)</f>
        <v>Friday</v>
      </c>
      <c r="J318" t="str">
        <f t="shared" si="14"/>
        <v>Weekday</v>
      </c>
      <c r="K318">
        <v>1</v>
      </c>
      <c r="L318" t="str">
        <f>_xlfn.XLOOKUP(Append15[[#This Row],[WeatherSituation]],Mappings!$E$3:$E$6,Mappings!$F$3:$F$6)</f>
        <v>Clear Sky</v>
      </c>
      <c r="M318">
        <v>0.22</v>
      </c>
      <c r="N318">
        <v>0.2424</v>
      </c>
      <c r="O318">
        <v>0.41</v>
      </c>
      <c r="P318">
        <v>0.1045</v>
      </c>
      <c r="Q318">
        <v>3</v>
      </c>
      <c r="R318">
        <v>87</v>
      </c>
      <c r="S318">
        <v>90</v>
      </c>
    </row>
    <row r="319" spans="1:19" x14ac:dyDescent="0.3">
      <c r="A319">
        <v>318</v>
      </c>
      <c r="B319" s="4">
        <v>40557</v>
      </c>
      <c r="C319">
        <v>1</v>
      </c>
      <c r="D319">
        <v>17</v>
      </c>
      <c r="E319" t="str">
        <f t="shared" si="12"/>
        <v>5 PM</v>
      </c>
      <c r="F319" t="str">
        <f t="shared" si="13"/>
        <v>Evening</v>
      </c>
      <c r="G319" t="b">
        <v>0</v>
      </c>
      <c r="H319">
        <v>5</v>
      </c>
      <c r="I319" t="str">
        <f>_xlfn.XLOOKUP(Append15[[#This Row],[Week day]],Mappings!$B$3:$B$9,Mappings!$C$3:$C$9)</f>
        <v>Friday</v>
      </c>
      <c r="J319" t="str">
        <f t="shared" si="14"/>
        <v>Weekday</v>
      </c>
      <c r="K319">
        <v>1</v>
      </c>
      <c r="L319" t="str">
        <f>_xlfn.XLOOKUP(Append15[[#This Row],[WeatherSituation]],Mappings!$E$3:$E$6,Mappings!$F$3:$F$6)</f>
        <v>Clear Sky</v>
      </c>
      <c r="M319">
        <v>0.22</v>
      </c>
      <c r="N319">
        <v>0.2273</v>
      </c>
      <c r="O319">
        <v>0.41</v>
      </c>
      <c r="P319">
        <v>0.16420000000000001</v>
      </c>
      <c r="Q319">
        <v>4</v>
      </c>
      <c r="R319">
        <v>155</v>
      </c>
      <c r="S319">
        <v>159</v>
      </c>
    </row>
    <row r="320" spans="1:19" x14ac:dyDescent="0.3">
      <c r="A320">
        <v>319</v>
      </c>
      <c r="B320" s="4">
        <v>40557</v>
      </c>
      <c r="C320">
        <v>1</v>
      </c>
      <c r="D320">
        <v>18</v>
      </c>
      <c r="E320" t="str">
        <f t="shared" si="12"/>
        <v>6 PM</v>
      </c>
      <c r="F320" t="str">
        <f t="shared" si="13"/>
        <v>Evening</v>
      </c>
      <c r="G320" t="b">
        <v>0</v>
      </c>
      <c r="H320">
        <v>5</v>
      </c>
      <c r="I320" t="str">
        <f>_xlfn.XLOOKUP(Append15[[#This Row],[Week day]],Mappings!$B$3:$B$9,Mappings!$C$3:$C$9)</f>
        <v>Friday</v>
      </c>
      <c r="J320" t="str">
        <f t="shared" si="14"/>
        <v>Weekday</v>
      </c>
      <c r="K320">
        <v>1</v>
      </c>
      <c r="L320" t="str">
        <f>_xlfn.XLOOKUP(Append15[[#This Row],[WeatherSituation]],Mappings!$E$3:$E$6,Mappings!$F$3:$F$6)</f>
        <v>Clear Sky</v>
      </c>
      <c r="M320">
        <v>0.2</v>
      </c>
      <c r="N320">
        <v>0.2576</v>
      </c>
      <c r="O320">
        <v>0.47</v>
      </c>
      <c r="P320">
        <v>0</v>
      </c>
      <c r="Q320">
        <v>5</v>
      </c>
      <c r="R320">
        <v>134</v>
      </c>
      <c r="S320">
        <v>139</v>
      </c>
    </row>
    <row r="321" spans="1:19" x14ac:dyDescent="0.3">
      <c r="A321">
        <v>320</v>
      </c>
      <c r="B321" s="4">
        <v>40557</v>
      </c>
      <c r="C321">
        <v>1</v>
      </c>
      <c r="D321">
        <v>19</v>
      </c>
      <c r="E321" t="str">
        <f t="shared" si="12"/>
        <v>7 PM</v>
      </c>
      <c r="F321" t="str">
        <f t="shared" si="13"/>
        <v>Evening</v>
      </c>
      <c r="G321" t="b">
        <v>0</v>
      </c>
      <c r="H321">
        <v>5</v>
      </c>
      <c r="I321" t="str">
        <f>_xlfn.XLOOKUP(Append15[[#This Row],[Week day]],Mappings!$B$3:$B$9,Mappings!$C$3:$C$9)</f>
        <v>Friday</v>
      </c>
      <c r="J321" t="str">
        <f t="shared" si="14"/>
        <v>Weekday</v>
      </c>
      <c r="K321">
        <v>1</v>
      </c>
      <c r="L321" t="str">
        <f>_xlfn.XLOOKUP(Append15[[#This Row],[WeatherSituation]],Mappings!$E$3:$E$6,Mappings!$F$3:$F$6)</f>
        <v>Clear Sky</v>
      </c>
      <c r="M321">
        <v>0.16</v>
      </c>
      <c r="N321">
        <v>0.19700000000000001</v>
      </c>
      <c r="O321">
        <v>0.59</v>
      </c>
      <c r="P321">
        <v>8.9599999999999999E-2</v>
      </c>
      <c r="Q321">
        <v>3</v>
      </c>
      <c r="R321">
        <v>89</v>
      </c>
      <c r="S321">
        <v>92</v>
      </c>
    </row>
    <row r="322" spans="1:19" x14ac:dyDescent="0.3">
      <c r="A322">
        <v>321</v>
      </c>
      <c r="B322" s="4">
        <v>40557</v>
      </c>
      <c r="C322">
        <v>1</v>
      </c>
      <c r="D322">
        <v>20</v>
      </c>
      <c r="E322" t="str">
        <f t="shared" ref="E322:E385" si="15">TEXT(D322/24,"h AM/PM")</f>
        <v>8 PM</v>
      </c>
      <c r="F322" t="str">
        <f t="shared" ref="F322:F385" si="16">IF(D322&lt;5,"Night",
IF(D322&lt;=11,"Morning",
IF(D322&lt;16,"AfterNoon",
IF(D322&lt;20,"Evening","Night"))))</f>
        <v>Night</v>
      </c>
      <c r="G322" t="b">
        <v>0</v>
      </c>
      <c r="H322">
        <v>5</v>
      </c>
      <c r="I322" t="str">
        <f>_xlfn.XLOOKUP(Append15[[#This Row],[Week day]],Mappings!$B$3:$B$9,Mappings!$C$3:$C$9)</f>
        <v>Friday</v>
      </c>
      <c r="J322" t="str">
        <f t="shared" ref="J322:J385" si="17">IF(OR(H322=0,H322=6),"Weekend","Weekday")</f>
        <v>Weekday</v>
      </c>
      <c r="K322">
        <v>1</v>
      </c>
      <c r="L322" t="str">
        <f>_xlfn.XLOOKUP(Append15[[#This Row],[WeatherSituation]],Mappings!$E$3:$E$6,Mappings!$F$3:$F$6)</f>
        <v>Clear Sky</v>
      </c>
      <c r="M322">
        <v>0.18</v>
      </c>
      <c r="N322">
        <v>0.2424</v>
      </c>
      <c r="O322">
        <v>0.59</v>
      </c>
      <c r="P322">
        <v>0</v>
      </c>
      <c r="Q322">
        <v>0</v>
      </c>
      <c r="R322">
        <v>68</v>
      </c>
      <c r="S322">
        <v>68</v>
      </c>
    </row>
    <row r="323" spans="1:19" x14ac:dyDescent="0.3">
      <c r="A323">
        <v>322</v>
      </c>
      <c r="B323" s="4">
        <v>40557</v>
      </c>
      <c r="C323">
        <v>1</v>
      </c>
      <c r="D323">
        <v>21</v>
      </c>
      <c r="E323" t="str">
        <f t="shared" si="15"/>
        <v>9 PM</v>
      </c>
      <c r="F323" t="str">
        <f t="shared" si="16"/>
        <v>Night</v>
      </c>
      <c r="G323" t="b">
        <v>0</v>
      </c>
      <c r="H323">
        <v>5</v>
      </c>
      <c r="I323" t="str">
        <f>_xlfn.XLOOKUP(Append15[[#This Row],[Week day]],Mappings!$B$3:$B$9,Mappings!$C$3:$C$9)</f>
        <v>Friday</v>
      </c>
      <c r="J323" t="str">
        <f t="shared" si="17"/>
        <v>Weekday</v>
      </c>
      <c r="K323">
        <v>1</v>
      </c>
      <c r="L323" t="str">
        <f>_xlfn.XLOOKUP(Append15[[#This Row],[WeatherSituation]],Mappings!$E$3:$E$6,Mappings!$F$3:$F$6)</f>
        <v>Clear Sky</v>
      </c>
      <c r="M323">
        <v>0.16</v>
      </c>
      <c r="N323">
        <v>0.2273</v>
      </c>
      <c r="O323">
        <v>0.69</v>
      </c>
      <c r="P323">
        <v>0</v>
      </c>
      <c r="Q323">
        <v>4</v>
      </c>
      <c r="R323">
        <v>48</v>
      </c>
      <c r="S323">
        <v>52</v>
      </c>
    </row>
    <row r="324" spans="1:19" x14ac:dyDescent="0.3">
      <c r="A324">
        <v>323</v>
      </c>
      <c r="B324" s="4">
        <v>40557</v>
      </c>
      <c r="C324">
        <v>1</v>
      </c>
      <c r="D324">
        <v>22</v>
      </c>
      <c r="E324" t="str">
        <f t="shared" si="15"/>
        <v>10 PM</v>
      </c>
      <c r="F324" t="str">
        <f t="shared" si="16"/>
        <v>Night</v>
      </c>
      <c r="G324" t="b">
        <v>0</v>
      </c>
      <c r="H324">
        <v>5</v>
      </c>
      <c r="I324" t="str">
        <f>_xlfn.XLOOKUP(Append15[[#This Row],[Week day]],Mappings!$B$3:$B$9,Mappings!$C$3:$C$9)</f>
        <v>Friday</v>
      </c>
      <c r="J324" t="str">
        <f t="shared" si="17"/>
        <v>Weekday</v>
      </c>
      <c r="K324">
        <v>2</v>
      </c>
      <c r="L324" t="str">
        <f>_xlfn.XLOOKUP(Append15[[#This Row],[WeatherSituation]],Mappings!$E$3:$E$6,Mappings!$F$3:$F$6)</f>
        <v>Mist/Cloudy</v>
      </c>
      <c r="M324">
        <v>0.16</v>
      </c>
      <c r="N324">
        <v>0.2273</v>
      </c>
      <c r="O324">
        <v>0.69</v>
      </c>
      <c r="P324">
        <v>0</v>
      </c>
      <c r="Q324">
        <v>2</v>
      </c>
      <c r="R324">
        <v>34</v>
      </c>
      <c r="S324">
        <v>36</v>
      </c>
    </row>
    <row r="325" spans="1:19" x14ac:dyDescent="0.3">
      <c r="A325">
        <v>324</v>
      </c>
      <c r="B325" s="4">
        <v>40557</v>
      </c>
      <c r="C325">
        <v>1</v>
      </c>
      <c r="D325">
        <v>23</v>
      </c>
      <c r="E325" t="str">
        <f t="shared" si="15"/>
        <v>11 PM</v>
      </c>
      <c r="F325" t="str">
        <f t="shared" si="16"/>
        <v>Night</v>
      </c>
      <c r="G325" t="b">
        <v>0</v>
      </c>
      <c r="H325">
        <v>5</v>
      </c>
      <c r="I325" t="str">
        <f>_xlfn.XLOOKUP(Append15[[#This Row],[Week day]],Mappings!$B$3:$B$9,Mappings!$C$3:$C$9)</f>
        <v>Friday</v>
      </c>
      <c r="J325" t="str">
        <f t="shared" si="17"/>
        <v>Weekday</v>
      </c>
      <c r="K325">
        <v>2</v>
      </c>
      <c r="L325" t="str">
        <f>_xlfn.XLOOKUP(Append15[[#This Row],[WeatherSituation]],Mappings!$E$3:$E$6,Mappings!$F$3:$F$6)</f>
        <v>Mist/Cloudy</v>
      </c>
      <c r="M325">
        <v>0.18</v>
      </c>
      <c r="N325">
        <v>0.2424</v>
      </c>
      <c r="O325">
        <v>0.55000000000000004</v>
      </c>
      <c r="P325">
        <v>0</v>
      </c>
      <c r="Q325">
        <v>1</v>
      </c>
      <c r="R325">
        <v>26</v>
      </c>
      <c r="S325">
        <v>27</v>
      </c>
    </row>
    <row r="326" spans="1:19" x14ac:dyDescent="0.3">
      <c r="A326">
        <v>325</v>
      </c>
      <c r="B326" s="4">
        <v>40558</v>
      </c>
      <c r="C326">
        <v>1</v>
      </c>
      <c r="D326">
        <v>0</v>
      </c>
      <c r="E326" t="str">
        <f t="shared" si="15"/>
        <v>12 AM</v>
      </c>
      <c r="F326" t="str">
        <f t="shared" si="16"/>
        <v>Night</v>
      </c>
      <c r="G326" t="b">
        <v>0</v>
      </c>
      <c r="H326">
        <v>6</v>
      </c>
      <c r="I326" t="str">
        <f>_xlfn.XLOOKUP(Append15[[#This Row],[Week day]],Mappings!$B$3:$B$9,Mappings!$C$3:$C$9)</f>
        <v>Saturday</v>
      </c>
      <c r="J326" t="str">
        <f t="shared" si="17"/>
        <v>Weekend</v>
      </c>
      <c r="K326">
        <v>1</v>
      </c>
      <c r="L326" t="str">
        <f>_xlfn.XLOOKUP(Append15[[#This Row],[WeatherSituation]],Mappings!$E$3:$E$6,Mappings!$F$3:$F$6)</f>
        <v>Clear Sky</v>
      </c>
      <c r="M326">
        <v>0.18</v>
      </c>
      <c r="N326">
        <v>0.2424</v>
      </c>
      <c r="O326">
        <v>0.55000000000000004</v>
      </c>
      <c r="P326">
        <v>0</v>
      </c>
      <c r="Q326">
        <v>3</v>
      </c>
      <c r="R326">
        <v>25</v>
      </c>
      <c r="S326">
        <v>28</v>
      </c>
    </row>
    <row r="327" spans="1:19" x14ac:dyDescent="0.3">
      <c r="A327">
        <v>326</v>
      </c>
      <c r="B327" s="4">
        <v>40558</v>
      </c>
      <c r="C327">
        <v>1</v>
      </c>
      <c r="D327">
        <v>1</v>
      </c>
      <c r="E327" t="str">
        <f t="shared" si="15"/>
        <v>1 AM</v>
      </c>
      <c r="F327" t="str">
        <f t="shared" si="16"/>
        <v>Night</v>
      </c>
      <c r="G327" t="b">
        <v>0</v>
      </c>
      <c r="H327">
        <v>6</v>
      </c>
      <c r="I327" t="str">
        <f>_xlfn.XLOOKUP(Append15[[#This Row],[Week day]],Mappings!$B$3:$B$9,Mappings!$C$3:$C$9)</f>
        <v>Saturday</v>
      </c>
      <c r="J327" t="str">
        <f t="shared" si="17"/>
        <v>Weekend</v>
      </c>
      <c r="K327">
        <v>2</v>
      </c>
      <c r="L327" t="str">
        <f>_xlfn.XLOOKUP(Append15[[#This Row],[WeatherSituation]],Mappings!$E$3:$E$6,Mappings!$F$3:$F$6)</f>
        <v>Mist/Cloudy</v>
      </c>
      <c r="M327">
        <v>0.16</v>
      </c>
      <c r="N327">
        <v>0.19700000000000001</v>
      </c>
      <c r="O327">
        <v>0.59</v>
      </c>
      <c r="P327">
        <v>8.9599999999999999E-2</v>
      </c>
      <c r="Q327">
        <v>2</v>
      </c>
      <c r="R327">
        <v>18</v>
      </c>
      <c r="S327">
        <v>20</v>
      </c>
    </row>
    <row r="328" spans="1:19" x14ac:dyDescent="0.3">
      <c r="A328">
        <v>327</v>
      </c>
      <c r="B328" s="4">
        <v>40558</v>
      </c>
      <c r="C328">
        <v>1</v>
      </c>
      <c r="D328">
        <v>2</v>
      </c>
      <c r="E328" t="str">
        <f t="shared" si="15"/>
        <v>2 AM</v>
      </c>
      <c r="F328" t="str">
        <f t="shared" si="16"/>
        <v>Night</v>
      </c>
      <c r="G328" t="b">
        <v>0</v>
      </c>
      <c r="H328">
        <v>6</v>
      </c>
      <c r="I328" t="str">
        <f>_xlfn.XLOOKUP(Append15[[#This Row],[Week day]],Mappings!$B$3:$B$9,Mappings!$C$3:$C$9)</f>
        <v>Saturday</v>
      </c>
      <c r="J328" t="str">
        <f t="shared" si="17"/>
        <v>Weekend</v>
      </c>
      <c r="K328">
        <v>2</v>
      </c>
      <c r="L328" t="str">
        <f>_xlfn.XLOOKUP(Append15[[#This Row],[WeatherSituation]],Mappings!$E$3:$E$6,Mappings!$F$3:$F$6)</f>
        <v>Mist/Cloudy</v>
      </c>
      <c r="M328">
        <v>0.16</v>
      </c>
      <c r="N328">
        <v>0.19700000000000001</v>
      </c>
      <c r="O328">
        <v>0.59</v>
      </c>
      <c r="P328">
        <v>8.9599999999999999E-2</v>
      </c>
      <c r="Q328">
        <v>0</v>
      </c>
      <c r="R328">
        <v>12</v>
      </c>
      <c r="S328">
        <v>12</v>
      </c>
    </row>
    <row r="329" spans="1:19" x14ac:dyDescent="0.3">
      <c r="A329">
        <v>328</v>
      </c>
      <c r="B329" s="4">
        <v>40558</v>
      </c>
      <c r="C329">
        <v>1</v>
      </c>
      <c r="D329">
        <v>3</v>
      </c>
      <c r="E329" t="str">
        <f t="shared" si="15"/>
        <v>3 AM</v>
      </c>
      <c r="F329" t="str">
        <f t="shared" si="16"/>
        <v>Night</v>
      </c>
      <c r="G329" t="b">
        <v>0</v>
      </c>
      <c r="H329">
        <v>6</v>
      </c>
      <c r="I329" t="str">
        <f>_xlfn.XLOOKUP(Append15[[#This Row],[Week day]],Mappings!$B$3:$B$9,Mappings!$C$3:$C$9)</f>
        <v>Saturday</v>
      </c>
      <c r="J329" t="str">
        <f t="shared" si="17"/>
        <v>Weekend</v>
      </c>
      <c r="K329">
        <v>2</v>
      </c>
      <c r="L329" t="str">
        <f>_xlfn.XLOOKUP(Append15[[#This Row],[WeatherSituation]],Mappings!$E$3:$E$6,Mappings!$F$3:$F$6)</f>
        <v>Mist/Cloudy</v>
      </c>
      <c r="M329">
        <v>0.16</v>
      </c>
      <c r="N329">
        <v>0.2273</v>
      </c>
      <c r="O329">
        <v>0.59</v>
      </c>
      <c r="P329">
        <v>0</v>
      </c>
      <c r="Q329">
        <v>1</v>
      </c>
      <c r="R329">
        <v>7</v>
      </c>
      <c r="S329">
        <v>8</v>
      </c>
    </row>
    <row r="330" spans="1:19" x14ac:dyDescent="0.3">
      <c r="A330">
        <v>329</v>
      </c>
      <c r="B330" s="4">
        <v>40558</v>
      </c>
      <c r="C330">
        <v>1</v>
      </c>
      <c r="D330">
        <v>4</v>
      </c>
      <c r="E330" t="str">
        <f t="shared" si="15"/>
        <v>4 AM</v>
      </c>
      <c r="F330" t="str">
        <f t="shared" si="16"/>
        <v>Night</v>
      </c>
      <c r="G330" t="b">
        <v>0</v>
      </c>
      <c r="H330">
        <v>6</v>
      </c>
      <c r="I330" t="str">
        <f>_xlfn.XLOOKUP(Append15[[#This Row],[Week day]],Mappings!$B$3:$B$9,Mappings!$C$3:$C$9)</f>
        <v>Saturday</v>
      </c>
      <c r="J330" t="str">
        <f t="shared" si="17"/>
        <v>Weekend</v>
      </c>
      <c r="K330">
        <v>2</v>
      </c>
      <c r="L330" t="str">
        <f>_xlfn.XLOOKUP(Append15[[#This Row],[WeatherSituation]],Mappings!$E$3:$E$6,Mappings!$F$3:$F$6)</f>
        <v>Mist/Cloudy</v>
      </c>
      <c r="M330">
        <v>0.16</v>
      </c>
      <c r="N330">
        <v>0.2273</v>
      </c>
      <c r="O330">
        <v>0.59</v>
      </c>
      <c r="P330">
        <v>0</v>
      </c>
      <c r="Q330">
        <v>0</v>
      </c>
      <c r="R330">
        <v>5</v>
      </c>
      <c r="S330">
        <v>5</v>
      </c>
    </row>
    <row r="331" spans="1:19" x14ac:dyDescent="0.3">
      <c r="A331">
        <v>330</v>
      </c>
      <c r="B331" s="4">
        <v>40558</v>
      </c>
      <c r="C331">
        <v>1</v>
      </c>
      <c r="D331">
        <v>5</v>
      </c>
      <c r="E331" t="str">
        <f t="shared" si="15"/>
        <v>5 AM</v>
      </c>
      <c r="F331" t="str">
        <f t="shared" si="16"/>
        <v>Morning</v>
      </c>
      <c r="G331" t="b">
        <v>0</v>
      </c>
      <c r="H331">
        <v>6</v>
      </c>
      <c r="I331" t="str">
        <f>_xlfn.XLOOKUP(Append15[[#This Row],[Week day]],Mappings!$B$3:$B$9,Mappings!$C$3:$C$9)</f>
        <v>Saturday</v>
      </c>
      <c r="J331" t="str">
        <f t="shared" si="17"/>
        <v>Weekend</v>
      </c>
      <c r="K331">
        <v>1</v>
      </c>
      <c r="L331" t="str">
        <f>_xlfn.XLOOKUP(Append15[[#This Row],[WeatherSituation]],Mappings!$E$3:$E$6,Mappings!$F$3:$F$6)</f>
        <v>Clear Sky</v>
      </c>
      <c r="M331">
        <v>0.16</v>
      </c>
      <c r="N331">
        <v>0.2273</v>
      </c>
      <c r="O331">
        <v>0.59</v>
      </c>
      <c r="P331">
        <v>0</v>
      </c>
      <c r="Q331">
        <v>0</v>
      </c>
      <c r="R331">
        <v>1</v>
      </c>
      <c r="S331">
        <v>1</v>
      </c>
    </row>
    <row r="332" spans="1:19" x14ac:dyDescent="0.3">
      <c r="A332">
        <v>331</v>
      </c>
      <c r="B332" s="4">
        <v>40558</v>
      </c>
      <c r="C332">
        <v>1</v>
      </c>
      <c r="D332">
        <v>6</v>
      </c>
      <c r="E332" t="str">
        <f t="shared" si="15"/>
        <v>6 AM</v>
      </c>
      <c r="F332" t="str">
        <f t="shared" si="16"/>
        <v>Morning</v>
      </c>
      <c r="G332" t="b">
        <v>0</v>
      </c>
      <c r="H332">
        <v>6</v>
      </c>
      <c r="I332" t="str">
        <f>_xlfn.XLOOKUP(Append15[[#This Row],[Week day]],Mappings!$B$3:$B$9,Mappings!$C$3:$C$9)</f>
        <v>Saturday</v>
      </c>
      <c r="J332" t="str">
        <f t="shared" si="17"/>
        <v>Weekend</v>
      </c>
      <c r="K332">
        <v>1</v>
      </c>
      <c r="L332" t="str">
        <f>_xlfn.XLOOKUP(Append15[[#This Row],[WeatherSituation]],Mappings!$E$3:$E$6,Mappings!$F$3:$F$6)</f>
        <v>Clear Sky</v>
      </c>
      <c r="M332">
        <v>0.14000000000000001</v>
      </c>
      <c r="N332">
        <v>0.16669999999999999</v>
      </c>
      <c r="O332">
        <v>0.63</v>
      </c>
      <c r="P332">
        <v>0.1045</v>
      </c>
      <c r="Q332">
        <v>1</v>
      </c>
      <c r="R332">
        <v>2</v>
      </c>
      <c r="S332">
        <v>3</v>
      </c>
    </row>
    <row r="333" spans="1:19" x14ac:dyDescent="0.3">
      <c r="A333">
        <v>332</v>
      </c>
      <c r="B333" s="4">
        <v>40558</v>
      </c>
      <c r="C333">
        <v>1</v>
      </c>
      <c r="D333">
        <v>7</v>
      </c>
      <c r="E333" t="str">
        <f t="shared" si="15"/>
        <v>7 AM</v>
      </c>
      <c r="F333" t="str">
        <f t="shared" si="16"/>
        <v>Morning</v>
      </c>
      <c r="G333" t="b">
        <v>0</v>
      </c>
      <c r="H333">
        <v>6</v>
      </c>
      <c r="I333" t="str">
        <f>_xlfn.XLOOKUP(Append15[[#This Row],[Week day]],Mappings!$B$3:$B$9,Mappings!$C$3:$C$9)</f>
        <v>Saturday</v>
      </c>
      <c r="J333" t="str">
        <f t="shared" si="17"/>
        <v>Weekend</v>
      </c>
      <c r="K333">
        <v>1</v>
      </c>
      <c r="L333" t="str">
        <f>_xlfn.XLOOKUP(Append15[[#This Row],[WeatherSituation]],Mappings!$E$3:$E$6,Mappings!$F$3:$F$6)</f>
        <v>Clear Sky</v>
      </c>
      <c r="M333">
        <v>0.14000000000000001</v>
      </c>
      <c r="N333">
        <v>0.21210000000000001</v>
      </c>
      <c r="O333">
        <v>0.63</v>
      </c>
      <c r="P333">
        <v>0</v>
      </c>
      <c r="Q333">
        <v>1</v>
      </c>
      <c r="R333">
        <v>9</v>
      </c>
      <c r="S333">
        <v>10</v>
      </c>
    </row>
    <row r="334" spans="1:19" x14ac:dyDescent="0.3">
      <c r="A334">
        <v>333</v>
      </c>
      <c r="B334" s="4">
        <v>40558</v>
      </c>
      <c r="C334">
        <v>1</v>
      </c>
      <c r="D334">
        <v>8</v>
      </c>
      <c r="E334" t="str">
        <f t="shared" si="15"/>
        <v>8 AM</v>
      </c>
      <c r="F334" t="str">
        <f t="shared" si="16"/>
        <v>Morning</v>
      </c>
      <c r="G334" t="b">
        <v>0</v>
      </c>
      <c r="H334">
        <v>6</v>
      </c>
      <c r="I334" t="str">
        <f>_xlfn.XLOOKUP(Append15[[#This Row],[Week day]],Mappings!$B$3:$B$9,Mappings!$C$3:$C$9)</f>
        <v>Saturday</v>
      </c>
      <c r="J334" t="str">
        <f t="shared" si="17"/>
        <v>Weekend</v>
      </c>
      <c r="K334">
        <v>1</v>
      </c>
      <c r="L334" t="str">
        <f>_xlfn.XLOOKUP(Append15[[#This Row],[WeatherSituation]],Mappings!$E$3:$E$6,Mappings!$F$3:$F$6)</f>
        <v>Clear Sky</v>
      </c>
      <c r="M334">
        <v>0.14000000000000001</v>
      </c>
      <c r="N334">
        <v>0.1515</v>
      </c>
      <c r="O334">
        <v>0.63</v>
      </c>
      <c r="P334">
        <v>0.1343</v>
      </c>
      <c r="Q334">
        <v>1</v>
      </c>
      <c r="R334">
        <v>22</v>
      </c>
      <c r="S334">
        <v>23</v>
      </c>
    </row>
    <row r="335" spans="1:19" x14ac:dyDescent="0.3">
      <c r="A335">
        <v>334</v>
      </c>
      <c r="B335" s="4">
        <v>40558</v>
      </c>
      <c r="C335">
        <v>1</v>
      </c>
      <c r="D335">
        <v>9</v>
      </c>
      <c r="E335" t="str">
        <f t="shared" si="15"/>
        <v>9 AM</v>
      </c>
      <c r="F335" t="str">
        <f t="shared" si="16"/>
        <v>Morning</v>
      </c>
      <c r="G335" t="b">
        <v>0</v>
      </c>
      <c r="H335">
        <v>6</v>
      </c>
      <c r="I335" t="str">
        <f>_xlfn.XLOOKUP(Append15[[#This Row],[Week day]],Mappings!$B$3:$B$9,Mappings!$C$3:$C$9)</f>
        <v>Saturday</v>
      </c>
      <c r="J335" t="str">
        <f t="shared" si="17"/>
        <v>Weekend</v>
      </c>
      <c r="K335">
        <v>1</v>
      </c>
      <c r="L335" t="str">
        <f>_xlfn.XLOOKUP(Append15[[#This Row],[WeatherSituation]],Mappings!$E$3:$E$6,Mappings!$F$3:$F$6)</f>
        <v>Clear Sky</v>
      </c>
      <c r="M335">
        <v>0.16</v>
      </c>
      <c r="N335">
        <v>0.18179999999999999</v>
      </c>
      <c r="O335">
        <v>0.64</v>
      </c>
      <c r="P335">
        <v>0.1343</v>
      </c>
      <c r="Q335">
        <v>2</v>
      </c>
      <c r="R335">
        <v>31</v>
      </c>
      <c r="S335">
        <v>33</v>
      </c>
    </row>
    <row r="336" spans="1:19" x14ac:dyDescent="0.3">
      <c r="A336">
        <v>335</v>
      </c>
      <c r="B336" s="4">
        <v>40558</v>
      </c>
      <c r="C336">
        <v>1</v>
      </c>
      <c r="D336">
        <v>10</v>
      </c>
      <c r="E336" t="str">
        <f t="shared" si="15"/>
        <v>10 AM</v>
      </c>
      <c r="F336" t="str">
        <f t="shared" si="16"/>
        <v>Morning</v>
      </c>
      <c r="G336" t="b">
        <v>0</v>
      </c>
      <c r="H336">
        <v>6</v>
      </c>
      <c r="I336" t="str">
        <f>_xlfn.XLOOKUP(Append15[[#This Row],[Week day]],Mappings!$B$3:$B$9,Mappings!$C$3:$C$9)</f>
        <v>Saturday</v>
      </c>
      <c r="J336" t="str">
        <f t="shared" si="17"/>
        <v>Weekend</v>
      </c>
      <c r="K336">
        <v>1</v>
      </c>
      <c r="L336" t="str">
        <f>_xlfn.XLOOKUP(Append15[[#This Row],[WeatherSituation]],Mappings!$E$3:$E$6,Mappings!$F$3:$F$6)</f>
        <v>Clear Sky</v>
      </c>
      <c r="M336">
        <v>0.18</v>
      </c>
      <c r="N336">
        <v>0.19700000000000001</v>
      </c>
      <c r="O336">
        <v>0.59</v>
      </c>
      <c r="P336">
        <v>0.16420000000000001</v>
      </c>
      <c r="Q336">
        <v>2</v>
      </c>
      <c r="R336">
        <v>57</v>
      </c>
      <c r="S336">
        <v>59</v>
      </c>
    </row>
    <row r="337" spans="1:19" x14ac:dyDescent="0.3">
      <c r="A337">
        <v>336</v>
      </c>
      <c r="B337" s="4">
        <v>40558</v>
      </c>
      <c r="C337">
        <v>1</v>
      </c>
      <c r="D337">
        <v>11</v>
      </c>
      <c r="E337" t="str">
        <f t="shared" si="15"/>
        <v>11 AM</v>
      </c>
      <c r="F337" t="str">
        <f t="shared" si="16"/>
        <v>Morning</v>
      </c>
      <c r="G337" t="b">
        <v>0</v>
      </c>
      <c r="H337">
        <v>6</v>
      </c>
      <c r="I337" t="str">
        <f>_xlfn.XLOOKUP(Append15[[#This Row],[Week day]],Mappings!$B$3:$B$9,Mappings!$C$3:$C$9)</f>
        <v>Saturday</v>
      </c>
      <c r="J337" t="str">
        <f t="shared" si="17"/>
        <v>Weekend</v>
      </c>
      <c r="K337">
        <v>1</v>
      </c>
      <c r="L337" t="str">
        <f>_xlfn.XLOOKUP(Append15[[#This Row],[WeatherSituation]],Mappings!$E$3:$E$6,Mappings!$F$3:$F$6)</f>
        <v>Clear Sky</v>
      </c>
      <c r="M337">
        <v>0.2</v>
      </c>
      <c r="N337">
        <v>0.19700000000000001</v>
      </c>
      <c r="O337">
        <v>0.55000000000000004</v>
      </c>
      <c r="P337">
        <v>0.22389999999999999</v>
      </c>
      <c r="Q337">
        <v>18</v>
      </c>
      <c r="R337">
        <v>54</v>
      </c>
      <c r="S337">
        <v>72</v>
      </c>
    </row>
    <row r="338" spans="1:19" x14ac:dyDescent="0.3">
      <c r="A338">
        <v>337</v>
      </c>
      <c r="B338" s="4">
        <v>40558</v>
      </c>
      <c r="C338">
        <v>1</v>
      </c>
      <c r="D338">
        <v>12</v>
      </c>
      <c r="E338" t="str">
        <f t="shared" si="15"/>
        <v>12 PM</v>
      </c>
      <c r="F338" t="str">
        <f t="shared" si="16"/>
        <v>AfterNoon</v>
      </c>
      <c r="G338" t="b">
        <v>0</v>
      </c>
      <c r="H338">
        <v>6</v>
      </c>
      <c r="I338" t="str">
        <f>_xlfn.XLOOKUP(Append15[[#This Row],[Week day]],Mappings!$B$3:$B$9,Mappings!$C$3:$C$9)</f>
        <v>Saturday</v>
      </c>
      <c r="J338" t="str">
        <f t="shared" si="17"/>
        <v>Weekend</v>
      </c>
      <c r="K338">
        <v>1</v>
      </c>
      <c r="L338" t="str">
        <f>_xlfn.XLOOKUP(Append15[[#This Row],[WeatherSituation]],Mappings!$E$3:$E$6,Mappings!$F$3:$F$6)</f>
        <v>Clear Sky</v>
      </c>
      <c r="M338">
        <v>0.24</v>
      </c>
      <c r="N338">
        <v>0.2273</v>
      </c>
      <c r="O338">
        <v>0.48</v>
      </c>
      <c r="P338">
        <v>0.22389999999999999</v>
      </c>
      <c r="Q338">
        <v>15</v>
      </c>
      <c r="R338">
        <v>74</v>
      </c>
      <c r="S338">
        <v>89</v>
      </c>
    </row>
    <row r="339" spans="1:19" x14ac:dyDescent="0.3">
      <c r="A339">
        <v>338</v>
      </c>
      <c r="B339" s="4">
        <v>40558</v>
      </c>
      <c r="C339">
        <v>1</v>
      </c>
      <c r="D339">
        <v>13</v>
      </c>
      <c r="E339" t="str">
        <f t="shared" si="15"/>
        <v>1 PM</v>
      </c>
      <c r="F339" t="str">
        <f t="shared" si="16"/>
        <v>AfterNoon</v>
      </c>
      <c r="G339" t="b">
        <v>0</v>
      </c>
      <c r="H339">
        <v>6</v>
      </c>
      <c r="I339" t="str">
        <f>_xlfn.XLOOKUP(Append15[[#This Row],[Week day]],Mappings!$B$3:$B$9,Mappings!$C$3:$C$9)</f>
        <v>Saturday</v>
      </c>
      <c r="J339" t="str">
        <f t="shared" si="17"/>
        <v>Weekend</v>
      </c>
      <c r="K339">
        <v>1</v>
      </c>
      <c r="L339" t="str">
        <f>_xlfn.XLOOKUP(Append15[[#This Row],[WeatherSituation]],Mappings!$E$3:$E$6,Mappings!$F$3:$F$6)</f>
        <v>Clear Sky</v>
      </c>
      <c r="M339">
        <v>0.28000000000000003</v>
      </c>
      <c r="N339">
        <v>0.2576</v>
      </c>
      <c r="O339">
        <v>0.38</v>
      </c>
      <c r="P339">
        <v>0.29849999999999999</v>
      </c>
      <c r="Q339">
        <v>21</v>
      </c>
      <c r="R339">
        <v>80</v>
      </c>
      <c r="S339">
        <v>101</v>
      </c>
    </row>
    <row r="340" spans="1:19" x14ac:dyDescent="0.3">
      <c r="A340">
        <v>339</v>
      </c>
      <c r="B340" s="4">
        <v>40558</v>
      </c>
      <c r="C340">
        <v>1</v>
      </c>
      <c r="D340">
        <v>14</v>
      </c>
      <c r="E340" t="str">
        <f t="shared" si="15"/>
        <v>2 PM</v>
      </c>
      <c r="F340" t="str">
        <f t="shared" si="16"/>
        <v>AfterNoon</v>
      </c>
      <c r="G340" t="b">
        <v>0</v>
      </c>
      <c r="H340">
        <v>6</v>
      </c>
      <c r="I340" t="str">
        <f>_xlfn.XLOOKUP(Append15[[#This Row],[Week day]],Mappings!$B$3:$B$9,Mappings!$C$3:$C$9)</f>
        <v>Saturday</v>
      </c>
      <c r="J340" t="str">
        <f t="shared" si="17"/>
        <v>Weekend</v>
      </c>
      <c r="K340">
        <v>1</v>
      </c>
      <c r="L340" t="str">
        <f>_xlfn.XLOOKUP(Append15[[#This Row],[WeatherSituation]],Mappings!$E$3:$E$6,Mappings!$F$3:$F$6)</f>
        <v>Clear Sky</v>
      </c>
      <c r="M340">
        <v>0.3</v>
      </c>
      <c r="N340">
        <v>0.28789999999999999</v>
      </c>
      <c r="O340">
        <v>0.39</v>
      </c>
      <c r="P340">
        <v>0.28360000000000002</v>
      </c>
      <c r="Q340">
        <v>26</v>
      </c>
      <c r="R340">
        <v>92</v>
      </c>
      <c r="S340">
        <v>118</v>
      </c>
    </row>
    <row r="341" spans="1:19" x14ac:dyDescent="0.3">
      <c r="A341">
        <v>340</v>
      </c>
      <c r="B341" s="4">
        <v>40558</v>
      </c>
      <c r="C341">
        <v>1</v>
      </c>
      <c r="D341">
        <v>15</v>
      </c>
      <c r="E341" t="str">
        <f t="shared" si="15"/>
        <v>3 PM</v>
      </c>
      <c r="F341" t="str">
        <f t="shared" si="16"/>
        <v>AfterNoon</v>
      </c>
      <c r="G341" t="b">
        <v>0</v>
      </c>
      <c r="H341">
        <v>6</v>
      </c>
      <c r="I341" t="str">
        <f>_xlfn.XLOOKUP(Append15[[#This Row],[Week day]],Mappings!$B$3:$B$9,Mappings!$C$3:$C$9)</f>
        <v>Saturday</v>
      </c>
      <c r="J341" t="str">
        <f t="shared" si="17"/>
        <v>Weekend</v>
      </c>
      <c r="K341">
        <v>2</v>
      </c>
      <c r="L341" t="str">
        <f>_xlfn.XLOOKUP(Append15[[#This Row],[WeatherSituation]],Mappings!$E$3:$E$6,Mappings!$F$3:$F$6)</f>
        <v>Mist/Cloudy</v>
      </c>
      <c r="M341">
        <v>0.32</v>
      </c>
      <c r="N341">
        <v>0.31819999999999998</v>
      </c>
      <c r="O341">
        <v>0.36</v>
      </c>
      <c r="P341">
        <v>0.19400000000000001</v>
      </c>
      <c r="Q341">
        <v>21</v>
      </c>
      <c r="R341">
        <v>108</v>
      </c>
      <c r="S341">
        <v>129</v>
      </c>
    </row>
    <row r="342" spans="1:19" x14ac:dyDescent="0.3">
      <c r="A342">
        <v>341</v>
      </c>
      <c r="B342" s="4">
        <v>40558</v>
      </c>
      <c r="C342">
        <v>1</v>
      </c>
      <c r="D342">
        <v>16</v>
      </c>
      <c r="E342" t="str">
        <f t="shared" si="15"/>
        <v>4 PM</v>
      </c>
      <c r="F342" t="str">
        <f t="shared" si="16"/>
        <v>Evening</v>
      </c>
      <c r="G342" t="b">
        <v>0</v>
      </c>
      <c r="H342">
        <v>6</v>
      </c>
      <c r="I342" t="str">
        <f>_xlfn.XLOOKUP(Append15[[#This Row],[Week day]],Mappings!$B$3:$B$9,Mappings!$C$3:$C$9)</f>
        <v>Saturday</v>
      </c>
      <c r="J342" t="str">
        <f t="shared" si="17"/>
        <v>Weekend</v>
      </c>
      <c r="K342">
        <v>2</v>
      </c>
      <c r="L342" t="str">
        <f>_xlfn.XLOOKUP(Append15[[#This Row],[WeatherSituation]],Mappings!$E$3:$E$6,Mappings!$F$3:$F$6)</f>
        <v>Mist/Cloudy</v>
      </c>
      <c r="M342">
        <v>0.34</v>
      </c>
      <c r="N342">
        <v>0.33329999999999999</v>
      </c>
      <c r="O342">
        <v>0.34</v>
      </c>
      <c r="P342">
        <v>0.19400000000000001</v>
      </c>
      <c r="Q342">
        <v>33</v>
      </c>
      <c r="R342">
        <v>95</v>
      </c>
      <c r="S342">
        <v>128</v>
      </c>
    </row>
    <row r="343" spans="1:19" x14ac:dyDescent="0.3">
      <c r="A343">
        <v>342</v>
      </c>
      <c r="B343" s="4">
        <v>40558</v>
      </c>
      <c r="C343">
        <v>1</v>
      </c>
      <c r="D343">
        <v>17</v>
      </c>
      <c r="E343" t="str">
        <f t="shared" si="15"/>
        <v>5 PM</v>
      </c>
      <c r="F343" t="str">
        <f t="shared" si="16"/>
        <v>Evening</v>
      </c>
      <c r="G343" t="b">
        <v>0</v>
      </c>
      <c r="H343">
        <v>6</v>
      </c>
      <c r="I343" t="str">
        <f>_xlfn.XLOOKUP(Append15[[#This Row],[Week day]],Mappings!$B$3:$B$9,Mappings!$C$3:$C$9)</f>
        <v>Saturday</v>
      </c>
      <c r="J343" t="str">
        <f t="shared" si="17"/>
        <v>Weekend</v>
      </c>
      <c r="K343">
        <v>2</v>
      </c>
      <c r="L343" t="str">
        <f>_xlfn.XLOOKUP(Append15[[#This Row],[WeatherSituation]],Mappings!$E$3:$E$6,Mappings!$F$3:$F$6)</f>
        <v>Mist/Cloudy</v>
      </c>
      <c r="M343">
        <v>0.32</v>
      </c>
      <c r="N343">
        <v>0.30299999999999999</v>
      </c>
      <c r="O343">
        <v>0.36</v>
      </c>
      <c r="P343">
        <v>0.28360000000000002</v>
      </c>
      <c r="Q343">
        <v>29</v>
      </c>
      <c r="R343">
        <v>54</v>
      </c>
      <c r="S343">
        <v>83</v>
      </c>
    </row>
    <row r="344" spans="1:19" x14ac:dyDescent="0.3">
      <c r="A344">
        <v>343</v>
      </c>
      <c r="B344" s="4">
        <v>40558</v>
      </c>
      <c r="C344">
        <v>1</v>
      </c>
      <c r="D344">
        <v>18</v>
      </c>
      <c r="E344" t="str">
        <f t="shared" si="15"/>
        <v>6 PM</v>
      </c>
      <c r="F344" t="str">
        <f t="shared" si="16"/>
        <v>Evening</v>
      </c>
      <c r="G344" t="b">
        <v>0</v>
      </c>
      <c r="H344">
        <v>6</v>
      </c>
      <c r="I344" t="str">
        <f>_xlfn.XLOOKUP(Append15[[#This Row],[Week day]],Mappings!$B$3:$B$9,Mappings!$C$3:$C$9)</f>
        <v>Saturday</v>
      </c>
      <c r="J344" t="str">
        <f t="shared" si="17"/>
        <v>Weekend</v>
      </c>
      <c r="K344">
        <v>2</v>
      </c>
      <c r="L344" t="str">
        <f>_xlfn.XLOOKUP(Append15[[#This Row],[WeatherSituation]],Mappings!$E$3:$E$6,Mappings!$F$3:$F$6)</f>
        <v>Mist/Cloudy</v>
      </c>
      <c r="M344">
        <v>0.3</v>
      </c>
      <c r="N344">
        <v>0.28789999999999999</v>
      </c>
      <c r="O344">
        <v>0.45</v>
      </c>
      <c r="P344">
        <v>0.25369999999999998</v>
      </c>
      <c r="Q344">
        <v>15</v>
      </c>
      <c r="R344">
        <v>69</v>
      </c>
      <c r="S344">
        <v>84</v>
      </c>
    </row>
    <row r="345" spans="1:19" x14ac:dyDescent="0.3">
      <c r="A345">
        <v>344</v>
      </c>
      <c r="B345" s="4">
        <v>40558</v>
      </c>
      <c r="C345">
        <v>1</v>
      </c>
      <c r="D345">
        <v>19</v>
      </c>
      <c r="E345" t="str">
        <f t="shared" si="15"/>
        <v>7 PM</v>
      </c>
      <c r="F345" t="str">
        <f t="shared" si="16"/>
        <v>Evening</v>
      </c>
      <c r="G345" t="b">
        <v>0</v>
      </c>
      <c r="H345">
        <v>6</v>
      </c>
      <c r="I345" t="str">
        <f>_xlfn.XLOOKUP(Append15[[#This Row],[Week day]],Mappings!$B$3:$B$9,Mappings!$C$3:$C$9)</f>
        <v>Saturday</v>
      </c>
      <c r="J345" t="str">
        <f t="shared" si="17"/>
        <v>Weekend</v>
      </c>
      <c r="K345">
        <v>2</v>
      </c>
      <c r="L345" t="str">
        <f>_xlfn.XLOOKUP(Append15[[#This Row],[WeatherSituation]],Mappings!$E$3:$E$6,Mappings!$F$3:$F$6)</f>
        <v>Mist/Cloudy</v>
      </c>
      <c r="M345">
        <v>0.32</v>
      </c>
      <c r="N345">
        <v>0.30299999999999999</v>
      </c>
      <c r="O345">
        <v>0.39</v>
      </c>
      <c r="P345">
        <v>0.25369999999999998</v>
      </c>
      <c r="Q345">
        <v>14</v>
      </c>
      <c r="R345">
        <v>60</v>
      </c>
      <c r="S345">
        <v>74</v>
      </c>
    </row>
    <row r="346" spans="1:19" x14ac:dyDescent="0.3">
      <c r="A346">
        <v>345</v>
      </c>
      <c r="B346" s="4">
        <v>40558</v>
      </c>
      <c r="C346">
        <v>1</v>
      </c>
      <c r="D346">
        <v>20</v>
      </c>
      <c r="E346" t="str">
        <f t="shared" si="15"/>
        <v>8 PM</v>
      </c>
      <c r="F346" t="str">
        <f t="shared" si="16"/>
        <v>Night</v>
      </c>
      <c r="G346" t="b">
        <v>0</v>
      </c>
      <c r="H346">
        <v>6</v>
      </c>
      <c r="I346" t="str">
        <f>_xlfn.XLOOKUP(Append15[[#This Row],[Week day]],Mappings!$B$3:$B$9,Mappings!$C$3:$C$9)</f>
        <v>Saturday</v>
      </c>
      <c r="J346" t="str">
        <f t="shared" si="17"/>
        <v>Weekend</v>
      </c>
      <c r="K346">
        <v>2</v>
      </c>
      <c r="L346" t="str">
        <f>_xlfn.XLOOKUP(Append15[[#This Row],[WeatherSituation]],Mappings!$E$3:$E$6,Mappings!$F$3:$F$6)</f>
        <v>Mist/Cloudy</v>
      </c>
      <c r="M346">
        <v>0.32</v>
      </c>
      <c r="N346">
        <v>0.30299999999999999</v>
      </c>
      <c r="O346">
        <v>0.39</v>
      </c>
      <c r="P346">
        <v>0.25369999999999998</v>
      </c>
      <c r="Q346">
        <v>6</v>
      </c>
      <c r="R346">
        <v>35</v>
      </c>
      <c r="S346">
        <v>41</v>
      </c>
    </row>
    <row r="347" spans="1:19" x14ac:dyDescent="0.3">
      <c r="A347">
        <v>346</v>
      </c>
      <c r="B347" s="4">
        <v>40558</v>
      </c>
      <c r="C347">
        <v>1</v>
      </c>
      <c r="D347">
        <v>21</v>
      </c>
      <c r="E347" t="str">
        <f t="shared" si="15"/>
        <v>9 PM</v>
      </c>
      <c r="F347" t="str">
        <f t="shared" si="16"/>
        <v>Night</v>
      </c>
      <c r="G347" t="b">
        <v>0</v>
      </c>
      <c r="H347">
        <v>6</v>
      </c>
      <c r="I347" t="str">
        <f>_xlfn.XLOOKUP(Append15[[#This Row],[Week day]],Mappings!$B$3:$B$9,Mappings!$C$3:$C$9)</f>
        <v>Saturday</v>
      </c>
      <c r="J347" t="str">
        <f t="shared" si="17"/>
        <v>Weekend</v>
      </c>
      <c r="K347">
        <v>2</v>
      </c>
      <c r="L347" t="str">
        <f>_xlfn.XLOOKUP(Append15[[#This Row],[WeatherSituation]],Mappings!$E$3:$E$6,Mappings!$F$3:$F$6)</f>
        <v>Mist/Cloudy</v>
      </c>
      <c r="M347">
        <v>0.32</v>
      </c>
      <c r="N347">
        <v>0.30299999999999999</v>
      </c>
      <c r="O347">
        <v>0.39</v>
      </c>
      <c r="P347">
        <v>0.22389999999999999</v>
      </c>
      <c r="Q347">
        <v>6</v>
      </c>
      <c r="R347">
        <v>51</v>
      </c>
      <c r="S347">
        <v>57</v>
      </c>
    </row>
    <row r="348" spans="1:19" x14ac:dyDescent="0.3">
      <c r="A348">
        <v>347</v>
      </c>
      <c r="B348" s="4">
        <v>40558</v>
      </c>
      <c r="C348">
        <v>1</v>
      </c>
      <c r="D348">
        <v>22</v>
      </c>
      <c r="E348" t="str">
        <f t="shared" si="15"/>
        <v>10 PM</v>
      </c>
      <c r="F348" t="str">
        <f t="shared" si="16"/>
        <v>Night</v>
      </c>
      <c r="G348" t="b">
        <v>0</v>
      </c>
      <c r="H348">
        <v>6</v>
      </c>
      <c r="I348" t="str">
        <f>_xlfn.XLOOKUP(Append15[[#This Row],[Week day]],Mappings!$B$3:$B$9,Mappings!$C$3:$C$9)</f>
        <v>Saturday</v>
      </c>
      <c r="J348" t="str">
        <f t="shared" si="17"/>
        <v>Weekend</v>
      </c>
      <c r="K348">
        <v>2</v>
      </c>
      <c r="L348" t="str">
        <f>_xlfn.XLOOKUP(Append15[[#This Row],[WeatherSituation]],Mappings!$E$3:$E$6,Mappings!$F$3:$F$6)</f>
        <v>Mist/Cloudy</v>
      </c>
      <c r="M348">
        <v>0.3</v>
      </c>
      <c r="N348">
        <v>0.31819999999999998</v>
      </c>
      <c r="O348">
        <v>0.42</v>
      </c>
      <c r="P348">
        <v>0.1045</v>
      </c>
      <c r="Q348">
        <v>0</v>
      </c>
      <c r="R348">
        <v>26</v>
      </c>
      <c r="S348">
        <v>26</v>
      </c>
    </row>
    <row r="349" spans="1:19" x14ac:dyDescent="0.3">
      <c r="A349">
        <v>348</v>
      </c>
      <c r="B349" s="4">
        <v>40558</v>
      </c>
      <c r="C349">
        <v>1</v>
      </c>
      <c r="D349">
        <v>23</v>
      </c>
      <c r="E349" t="str">
        <f t="shared" si="15"/>
        <v>11 PM</v>
      </c>
      <c r="F349" t="str">
        <f t="shared" si="16"/>
        <v>Night</v>
      </c>
      <c r="G349" t="b">
        <v>0</v>
      </c>
      <c r="H349">
        <v>6</v>
      </c>
      <c r="I349" t="str">
        <f>_xlfn.XLOOKUP(Append15[[#This Row],[Week day]],Mappings!$B$3:$B$9,Mappings!$C$3:$C$9)</f>
        <v>Saturday</v>
      </c>
      <c r="J349" t="str">
        <f t="shared" si="17"/>
        <v>Weekend</v>
      </c>
      <c r="K349">
        <v>1</v>
      </c>
      <c r="L349" t="str">
        <f>_xlfn.XLOOKUP(Append15[[#This Row],[WeatherSituation]],Mappings!$E$3:$E$6,Mappings!$F$3:$F$6)</f>
        <v>Clear Sky</v>
      </c>
      <c r="M349">
        <v>0.3</v>
      </c>
      <c r="N349">
        <v>0.28789999999999999</v>
      </c>
      <c r="O349">
        <v>0.45</v>
      </c>
      <c r="P349">
        <v>0.28360000000000002</v>
      </c>
      <c r="Q349">
        <v>5</v>
      </c>
      <c r="R349">
        <v>39</v>
      </c>
      <c r="S349">
        <v>44</v>
      </c>
    </row>
    <row r="350" spans="1:19" x14ac:dyDescent="0.3">
      <c r="A350">
        <v>349</v>
      </c>
      <c r="B350" s="4">
        <v>40559</v>
      </c>
      <c r="C350">
        <v>1</v>
      </c>
      <c r="D350">
        <v>0</v>
      </c>
      <c r="E350" t="str">
        <f t="shared" si="15"/>
        <v>12 AM</v>
      </c>
      <c r="F350" t="str">
        <f t="shared" si="16"/>
        <v>Night</v>
      </c>
      <c r="G350" t="b">
        <v>0</v>
      </c>
      <c r="H350">
        <v>0</v>
      </c>
      <c r="I350" t="str">
        <f>_xlfn.XLOOKUP(Append15[[#This Row],[Week day]],Mappings!$B$3:$B$9,Mappings!$C$3:$C$9)</f>
        <v>Sunday</v>
      </c>
      <c r="J350" t="str">
        <f t="shared" si="17"/>
        <v>Weekend</v>
      </c>
      <c r="K350">
        <v>1</v>
      </c>
      <c r="L350" t="str">
        <f>_xlfn.XLOOKUP(Append15[[#This Row],[WeatherSituation]],Mappings!$E$3:$E$6,Mappings!$F$3:$F$6)</f>
        <v>Clear Sky</v>
      </c>
      <c r="M350">
        <v>0.26</v>
      </c>
      <c r="N350">
        <v>0.30299999999999999</v>
      </c>
      <c r="O350">
        <v>0.56000000000000005</v>
      </c>
      <c r="P350">
        <v>0</v>
      </c>
      <c r="Q350">
        <v>6</v>
      </c>
      <c r="R350">
        <v>33</v>
      </c>
      <c r="S350">
        <v>39</v>
      </c>
    </row>
    <row r="351" spans="1:19" x14ac:dyDescent="0.3">
      <c r="A351">
        <v>350</v>
      </c>
      <c r="B351" s="4">
        <v>40559</v>
      </c>
      <c r="C351">
        <v>1</v>
      </c>
      <c r="D351">
        <v>1</v>
      </c>
      <c r="E351" t="str">
        <f t="shared" si="15"/>
        <v>1 AM</v>
      </c>
      <c r="F351" t="str">
        <f t="shared" si="16"/>
        <v>Night</v>
      </c>
      <c r="G351" t="b">
        <v>0</v>
      </c>
      <c r="H351">
        <v>0</v>
      </c>
      <c r="I351" t="str">
        <f>_xlfn.XLOOKUP(Append15[[#This Row],[Week day]],Mappings!$B$3:$B$9,Mappings!$C$3:$C$9)</f>
        <v>Sunday</v>
      </c>
      <c r="J351" t="str">
        <f t="shared" si="17"/>
        <v>Weekend</v>
      </c>
      <c r="K351">
        <v>1</v>
      </c>
      <c r="L351" t="str">
        <f>_xlfn.XLOOKUP(Append15[[#This Row],[WeatherSituation]],Mappings!$E$3:$E$6,Mappings!$F$3:$F$6)</f>
        <v>Clear Sky</v>
      </c>
      <c r="M351">
        <v>0.26</v>
      </c>
      <c r="N351">
        <v>0.2727</v>
      </c>
      <c r="O351">
        <v>0.56000000000000005</v>
      </c>
      <c r="P351">
        <v>0.1343</v>
      </c>
      <c r="Q351">
        <v>4</v>
      </c>
      <c r="R351">
        <v>19</v>
      </c>
      <c r="S351">
        <v>23</v>
      </c>
    </row>
    <row r="352" spans="1:19" x14ac:dyDescent="0.3">
      <c r="A352">
        <v>351</v>
      </c>
      <c r="B352" s="4">
        <v>40559</v>
      </c>
      <c r="C352">
        <v>1</v>
      </c>
      <c r="D352">
        <v>2</v>
      </c>
      <c r="E352" t="str">
        <f t="shared" si="15"/>
        <v>2 AM</v>
      </c>
      <c r="F352" t="str">
        <f t="shared" si="16"/>
        <v>Night</v>
      </c>
      <c r="G352" t="b">
        <v>0</v>
      </c>
      <c r="H352">
        <v>0</v>
      </c>
      <c r="I352" t="str">
        <f>_xlfn.XLOOKUP(Append15[[#This Row],[Week day]],Mappings!$B$3:$B$9,Mappings!$C$3:$C$9)</f>
        <v>Sunday</v>
      </c>
      <c r="J352" t="str">
        <f t="shared" si="17"/>
        <v>Weekend</v>
      </c>
      <c r="K352">
        <v>1</v>
      </c>
      <c r="L352" t="str">
        <f>_xlfn.XLOOKUP(Append15[[#This Row],[WeatherSituation]],Mappings!$E$3:$E$6,Mappings!$F$3:$F$6)</f>
        <v>Clear Sky</v>
      </c>
      <c r="M352">
        <v>0.26</v>
      </c>
      <c r="N352">
        <v>0.28789999999999999</v>
      </c>
      <c r="O352">
        <v>0.56000000000000005</v>
      </c>
      <c r="P352">
        <v>8.9599999999999999E-2</v>
      </c>
      <c r="Q352">
        <v>3</v>
      </c>
      <c r="R352">
        <v>13</v>
      </c>
      <c r="S352">
        <v>16</v>
      </c>
    </row>
    <row r="353" spans="1:19" x14ac:dyDescent="0.3">
      <c r="A353">
        <v>352</v>
      </c>
      <c r="B353" s="4">
        <v>40559</v>
      </c>
      <c r="C353">
        <v>1</v>
      </c>
      <c r="D353">
        <v>3</v>
      </c>
      <c r="E353" t="str">
        <f t="shared" si="15"/>
        <v>3 AM</v>
      </c>
      <c r="F353" t="str">
        <f t="shared" si="16"/>
        <v>Night</v>
      </c>
      <c r="G353" t="b">
        <v>0</v>
      </c>
      <c r="H353">
        <v>0</v>
      </c>
      <c r="I353" t="str">
        <f>_xlfn.XLOOKUP(Append15[[#This Row],[Week day]],Mappings!$B$3:$B$9,Mappings!$C$3:$C$9)</f>
        <v>Sunday</v>
      </c>
      <c r="J353" t="str">
        <f t="shared" si="17"/>
        <v>Weekend</v>
      </c>
      <c r="K353">
        <v>1</v>
      </c>
      <c r="L353" t="str">
        <f>_xlfn.XLOOKUP(Append15[[#This Row],[WeatherSituation]],Mappings!$E$3:$E$6,Mappings!$F$3:$F$6)</f>
        <v>Clear Sky</v>
      </c>
      <c r="M353">
        <v>0.22</v>
      </c>
      <c r="N353">
        <v>0.2727</v>
      </c>
      <c r="O353">
        <v>0.69</v>
      </c>
      <c r="P353">
        <v>0</v>
      </c>
      <c r="Q353">
        <v>9</v>
      </c>
      <c r="R353">
        <v>6</v>
      </c>
      <c r="S353">
        <v>15</v>
      </c>
    </row>
    <row r="354" spans="1:19" x14ac:dyDescent="0.3">
      <c r="A354">
        <v>353</v>
      </c>
      <c r="B354" s="4">
        <v>40559</v>
      </c>
      <c r="C354">
        <v>1</v>
      </c>
      <c r="D354">
        <v>4</v>
      </c>
      <c r="E354" t="str">
        <f t="shared" si="15"/>
        <v>4 AM</v>
      </c>
      <c r="F354" t="str">
        <f t="shared" si="16"/>
        <v>Night</v>
      </c>
      <c r="G354" t="b">
        <v>0</v>
      </c>
      <c r="H354">
        <v>0</v>
      </c>
      <c r="I354" t="str">
        <f>_xlfn.XLOOKUP(Append15[[#This Row],[Week day]],Mappings!$B$3:$B$9,Mappings!$C$3:$C$9)</f>
        <v>Sunday</v>
      </c>
      <c r="J354" t="str">
        <f t="shared" si="17"/>
        <v>Weekend</v>
      </c>
      <c r="K354">
        <v>1</v>
      </c>
      <c r="L354" t="str">
        <f>_xlfn.XLOOKUP(Append15[[#This Row],[WeatherSituation]],Mappings!$E$3:$E$6,Mappings!$F$3:$F$6)</f>
        <v>Clear Sky</v>
      </c>
      <c r="M354">
        <v>0.26</v>
      </c>
      <c r="N354">
        <v>0.2576</v>
      </c>
      <c r="O354">
        <v>0.56000000000000005</v>
      </c>
      <c r="P354">
        <v>0.16420000000000001</v>
      </c>
      <c r="Q354">
        <v>0</v>
      </c>
      <c r="R354">
        <v>1</v>
      </c>
      <c r="S354">
        <v>1</v>
      </c>
    </row>
    <row r="355" spans="1:19" x14ac:dyDescent="0.3">
      <c r="A355">
        <v>354</v>
      </c>
      <c r="B355" s="4">
        <v>40559</v>
      </c>
      <c r="C355">
        <v>1</v>
      </c>
      <c r="D355">
        <v>5</v>
      </c>
      <c r="E355" t="str">
        <f t="shared" si="15"/>
        <v>5 AM</v>
      </c>
      <c r="F355" t="str">
        <f t="shared" si="16"/>
        <v>Morning</v>
      </c>
      <c r="G355" t="b">
        <v>0</v>
      </c>
      <c r="H355">
        <v>0</v>
      </c>
      <c r="I355" t="str">
        <f>_xlfn.XLOOKUP(Append15[[#This Row],[Week day]],Mappings!$B$3:$B$9,Mappings!$C$3:$C$9)</f>
        <v>Sunday</v>
      </c>
      <c r="J355" t="str">
        <f t="shared" si="17"/>
        <v>Weekend</v>
      </c>
      <c r="K355">
        <v>2</v>
      </c>
      <c r="L355" t="str">
        <f>_xlfn.XLOOKUP(Append15[[#This Row],[WeatherSituation]],Mappings!$E$3:$E$6,Mappings!$F$3:$F$6)</f>
        <v>Mist/Cloudy</v>
      </c>
      <c r="M355">
        <v>0.26</v>
      </c>
      <c r="N355">
        <v>0.2576</v>
      </c>
      <c r="O355">
        <v>0.56000000000000005</v>
      </c>
      <c r="P355">
        <v>0.16420000000000001</v>
      </c>
      <c r="Q355">
        <v>1</v>
      </c>
      <c r="R355">
        <v>1</v>
      </c>
      <c r="S355">
        <v>2</v>
      </c>
    </row>
    <row r="356" spans="1:19" x14ac:dyDescent="0.3">
      <c r="A356">
        <v>355</v>
      </c>
      <c r="B356" s="4">
        <v>40559</v>
      </c>
      <c r="C356">
        <v>1</v>
      </c>
      <c r="D356">
        <v>6</v>
      </c>
      <c r="E356" t="str">
        <f t="shared" si="15"/>
        <v>6 AM</v>
      </c>
      <c r="F356" t="str">
        <f t="shared" si="16"/>
        <v>Morning</v>
      </c>
      <c r="G356" t="b">
        <v>0</v>
      </c>
      <c r="H356">
        <v>0</v>
      </c>
      <c r="I356" t="str">
        <f>_xlfn.XLOOKUP(Append15[[#This Row],[Week day]],Mappings!$B$3:$B$9,Mappings!$C$3:$C$9)</f>
        <v>Sunday</v>
      </c>
      <c r="J356" t="str">
        <f t="shared" si="17"/>
        <v>Weekend</v>
      </c>
      <c r="K356">
        <v>2</v>
      </c>
      <c r="L356" t="str">
        <f>_xlfn.XLOOKUP(Append15[[#This Row],[WeatherSituation]],Mappings!$E$3:$E$6,Mappings!$F$3:$F$6)</f>
        <v>Mist/Cloudy</v>
      </c>
      <c r="M356">
        <v>0.26</v>
      </c>
      <c r="N356">
        <v>0.2576</v>
      </c>
      <c r="O356">
        <v>0.56000000000000005</v>
      </c>
      <c r="P356">
        <v>0.16420000000000001</v>
      </c>
      <c r="Q356">
        <v>0</v>
      </c>
      <c r="R356">
        <v>1</v>
      </c>
      <c r="S356">
        <v>1</v>
      </c>
    </row>
    <row r="357" spans="1:19" x14ac:dyDescent="0.3">
      <c r="A357">
        <v>356</v>
      </c>
      <c r="B357" s="4">
        <v>40559</v>
      </c>
      <c r="C357">
        <v>1</v>
      </c>
      <c r="D357">
        <v>7</v>
      </c>
      <c r="E357" t="str">
        <f t="shared" si="15"/>
        <v>7 AM</v>
      </c>
      <c r="F357" t="str">
        <f t="shared" si="16"/>
        <v>Morning</v>
      </c>
      <c r="G357" t="b">
        <v>0</v>
      </c>
      <c r="H357">
        <v>0</v>
      </c>
      <c r="I357" t="str">
        <f>_xlfn.XLOOKUP(Append15[[#This Row],[Week day]],Mappings!$B$3:$B$9,Mappings!$C$3:$C$9)</f>
        <v>Sunday</v>
      </c>
      <c r="J357" t="str">
        <f t="shared" si="17"/>
        <v>Weekend</v>
      </c>
      <c r="K357">
        <v>2</v>
      </c>
      <c r="L357" t="str">
        <f>_xlfn.XLOOKUP(Append15[[#This Row],[WeatherSituation]],Mappings!$E$3:$E$6,Mappings!$F$3:$F$6)</f>
        <v>Mist/Cloudy</v>
      </c>
      <c r="M357">
        <v>0.24</v>
      </c>
      <c r="N357">
        <v>0.21210000000000001</v>
      </c>
      <c r="O357">
        <v>0.56000000000000005</v>
      </c>
      <c r="P357">
        <v>0.29849999999999999</v>
      </c>
      <c r="Q357">
        <v>0</v>
      </c>
      <c r="R357">
        <v>3</v>
      </c>
      <c r="S357">
        <v>3</v>
      </c>
    </row>
    <row r="358" spans="1:19" x14ac:dyDescent="0.3">
      <c r="A358">
        <v>357</v>
      </c>
      <c r="B358" s="4">
        <v>40559</v>
      </c>
      <c r="C358">
        <v>1</v>
      </c>
      <c r="D358">
        <v>8</v>
      </c>
      <c r="E358" t="str">
        <f t="shared" si="15"/>
        <v>8 AM</v>
      </c>
      <c r="F358" t="str">
        <f t="shared" si="16"/>
        <v>Morning</v>
      </c>
      <c r="G358" t="b">
        <v>0</v>
      </c>
      <c r="H358">
        <v>0</v>
      </c>
      <c r="I358" t="str">
        <f>_xlfn.XLOOKUP(Append15[[#This Row],[Week day]],Mappings!$B$3:$B$9,Mappings!$C$3:$C$9)</f>
        <v>Sunday</v>
      </c>
      <c r="J358" t="str">
        <f t="shared" si="17"/>
        <v>Weekend</v>
      </c>
      <c r="K358">
        <v>1</v>
      </c>
      <c r="L358" t="str">
        <f>_xlfn.XLOOKUP(Append15[[#This Row],[WeatherSituation]],Mappings!$E$3:$E$6,Mappings!$F$3:$F$6)</f>
        <v>Clear Sky</v>
      </c>
      <c r="M358">
        <v>0.22</v>
      </c>
      <c r="N358">
        <v>0.21210000000000001</v>
      </c>
      <c r="O358">
        <v>0.55000000000000004</v>
      </c>
      <c r="P358">
        <v>0.28360000000000002</v>
      </c>
      <c r="Q358">
        <v>0</v>
      </c>
      <c r="R358">
        <v>18</v>
      </c>
      <c r="S358">
        <v>18</v>
      </c>
    </row>
    <row r="359" spans="1:19" x14ac:dyDescent="0.3">
      <c r="A359">
        <v>358</v>
      </c>
      <c r="B359" s="4">
        <v>40559</v>
      </c>
      <c r="C359">
        <v>1</v>
      </c>
      <c r="D359">
        <v>9</v>
      </c>
      <c r="E359" t="str">
        <f t="shared" si="15"/>
        <v>9 AM</v>
      </c>
      <c r="F359" t="str">
        <f t="shared" si="16"/>
        <v>Morning</v>
      </c>
      <c r="G359" t="b">
        <v>0</v>
      </c>
      <c r="H359">
        <v>0</v>
      </c>
      <c r="I359" t="str">
        <f>_xlfn.XLOOKUP(Append15[[#This Row],[Week day]],Mappings!$B$3:$B$9,Mappings!$C$3:$C$9)</f>
        <v>Sunday</v>
      </c>
      <c r="J359" t="str">
        <f t="shared" si="17"/>
        <v>Weekend</v>
      </c>
      <c r="K359">
        <v>1</v>
      </c>
      <c r="L359" t="str">
        <f>_xlfn.XLOOKUP(Append15[[#This Row],[WeatherSituation]],Mappings!$E$3:$E$6,Mappings!$F$3:$F$6)</f>
        <v>Clear Sky</v>
      </c>
      <c r="M359">
        <v>0.22</v>
      </c>
      <c r="N359">
        <v>0.21210000000000001</v>
      </c>
      <c r="O359">
        <v>0.51</v>
      </c>
      <c r="P359">
        <v>0.25369999999999998</v>
      </c>
      <c r="Q359">
        <v>3</v>
      </c>
      <c r="R359">
        <v>29</v>
      </c>
      <c r="S359">
        <v>32</v>
      </c>
    </row>
    <row r="360" spans="1:19" x14ac:dyDescent="0.3">
      <c r="A360">
        <v>359</v>
      </c>
      <c r="B360" s="4">
        <v>40559</v>
      </c>
      <c r="C360">
        <v>1</v>
      </c>
      <c r="D360">
        <v>10</v>
      </c>
      <c r="E360" t="str">
        <f t="shared" si="15"/>
        <v>10 AM</v>
      </c>
      <c r="F360" t="str">
        <f t="shared" si="16"/>
        <v>Morning</v>
      </c>
      <c r="G360" t="b">
        <v>0</v>
      </c>
      <c r="H360">
        <v>0</v>
      </c>
      <c r="I360" t="str">
        <f>_xlfn.XLOOKUP(Append15[[#This Row],[Week day]],Mappings!$B$3:$B$9,Mappings!$C$3:$C$9)</f>
        <v>Sunday</v>
      </c>
      <c r="J360" t="str">
        <f t="shared" si="17"/>
        <v>Weekend</v>
      </c>
      <c r="K360">
        <v>1</v>
      </c>
      <c r="L360" t="str">
        <f>_xlfn.XLOOKUP(Append15[[#This Row],[WeatherSituation]],Mappings!$E$3:$E$6,Mappings!$F$3:$F$6)</f>
        <v>Clear Sky</v>
      </c>
      <c r="M360">
        <v>0.22</v>
      </c>
      <c r="N360">
        <v>0.21210000000000001</v>
      </c>
      <c r="O360">
        <v>0.51</v>
      </c>
      <c r="P360">
        <v>0.28360000000000002</v>
      </c>
      <c r="Q360">
        <v>8</v>
      </c>
      <c r="R360">
        <v>71</v>
      </c>
      <c r="S360">
        <v>79</v>
      </c>
    </row>
    <row r="361" spans="1:19" x14ac:dyDescent="0.3">
      <c r="A361">
        <v>360</v>
      </c>
      <c r="B361" s="4">
        <v>40559</v>
      </c>
      <c r="C361">
        <v>1</v>
      </c>
      <c r="D361">
        <v>11</v>
      </c>
      <c r="E361" t="str">
        <f t="shared" si="15"/>
        <v>11 AM</v>
      </c>
      <c r="F361" t="str">
        <f t="shared" si="16"/>
        <v>Morning</v>
      </c>
      <c r="G361" t="b">
        <v>0</v>
      </c>
      <c r="H361">
        <v>0</v>
      </c>
      <c r="I361" t="str">
        <f>_xlfn.XLOOKUP(Append15[[#This Row],[Week day]],Mappings!$B$3:$B$9,Mappings!$C$3:$C$9)</f>
        <v>Sunday</v>
      </c>
      <c r="J361" t="str">
        <f t="shared" si="17"/>
        <v>Weekend</v>
      </c>
      <c r="K361">
        <v>1</v>
      </c>
      <c r="L361" t="str">
        <f>_xlfn.XLOOKUP(Append15[[#This Row],[WeatherSituation]],Mappings!$E$3:$E$6,Mappings!$F$3:$F$6)</f>
        <v>Clear Sky</v>
      </c>
      <c r="M361">
        <v>0.24</v>
      </c>
      <c r="N361">
        <v>0.2273</v>
      </c>
      <c r="O361">
        <v>0.44</v>
      </c>
      <c r="P361">
        <v>0.25369999999999998</v>
      </c>
      <c r="Q361">
        <v>23</v>
      </c>
      <c r="R361">
        <v>70</v>
      </c>
      <c r="S361">
        <v>93</v>
      </c>
    </row>
    <row r="362" spans="1:19" x14ac:dyDescent="0.3">
      <c r="A362">
        <v>361</v>
      </c>
      <c r="B362" s="4">
        <v>40559</v>
      </c>
      <c r="C362">
        <v>1</v>
      </c>
      <c r="D362">
        <v>12</v>
      </c>
      <c r="E362" t="str">
        <f t="shared" si="15"/>
        <v>12 PM</v>
      </c>
      <c r="F362" t="str">
        <f t="shared" si="16"/>
        <v>AfterNoon</v>
      </c>
      <c r="G362" t="b">
        <v>0</v>
      </c>
      <c r="H362">
        <v>0</v>
      </c>
      <c r="I362" t="str">
        <f>_xlfn.XLOOKUP(Append15[[#This Row],[Week day]],Mappings!$B$3:$B$9,Mappings!$C$3:$C$9)</f>
        <v>Sunday</v>
      </c>
      <c r="J362" t="str">
        <f t="shared" si="17"/>
        <v>Weekend</v>
      </c>
      <c r="K362">
        <v>1</v>
      </c>
      <c r="L362" t="str">
        <f>_xlfn.XLOOKUP(Append15[[#This Row],[WeatherSituation]],Mappings!$E$3:$E$6,Mappings!$F$3:$F$6)</f>
        <v>Clear Sky</v>
      </c>
      <c r="M362">
        <v>0.24</v>
      </c>
      <c r="N362">
        <v>0.21210000000000001</v>
      </c>
      <c r="O362">
        <v>0.41</v>
      </c>
      <c r="P362">
        <v>0.28360000000000002</v>
      </c>
      <c r="Q362">
        <v>29</v>
      </c>
      <c r="R362">
        <v>75</v>
      </c>
      <c r="S362">
        <v>104</v>
      </c>
    </row>
    <row r="363" spans="1:19" x14ac:dyDescent="0.3">
      <c r="A363">
        <v>362</v>
      </c>
      <c r="B363" s="4">
        <v>40559</v>
      </c>
      <c r="C363">
        <v>1</v>
      </c>
      <c r="D363">
        <v>13</v>
      </c>
      <c r="E363" t="str">
        <f t="shared" si="15"/>
        <v>1 PM</v>
      </c>
      <c r="F363" t="str">
        <f t="shared" si="16"/>
        <v>AfterNoon</v>
      </c>
      <c r="G363" t="b">
        <v>0</v>
      </c>
      <c r="H363">
        <v>0</v>
      </c>
      <c r="I363" t="str">
        <f>_xlfn.XLOOKUP(Append15[[#This Row],[Week day]],Mappings!$B$3:$B$9,Mappings!$C$3:$C$9)</f>
        <v>Sunday</v>
      </c>
      <c r="J363" t="str">
        <f t="shared" si="17"/>
        <v>Weekend</v>
      </c>
      <c r="K363">
        <v>1</v>
      </c>
      <c r="L363" t="str">
        <f>_xlfn.XLOOKUP(Append15[[#This Row],[WeatherSituation]],Mappings!$E$3:$E$6,Mappings!$F$3:$F$6)</f>
        <v>Clear Sky</v>
      </c>
      <c r="M363">
        <v>0.26</v>
      </c>
      <c r="N363">
        <v>0.2273</v>
      </c>
      <c r="O363">
        <v>0.35</v>
      </c>
      <c r="P363">
        <v>0.29849999999999999</v>
      </c>
      <c r="Q363">
        <v>23</v>
      </c>
      <c r="R363">
        <v>95</v>
      </c>
      <c r="S363">
        <v>118</v>
      </c>
    </row>
    <row r="364" spans="1:19" x14ac:dyDescent="0.3">
      <c r="A364">
        <v>363</v>
      </c>
      <c r="B364" s="4">
        <v>40559</v>
      </c>
      <c r="C364">
        <v>1</v>
      </c>
      <c r="D364">
        <v>14</v>
      </c>
      <c r="E364" t="str">
        <f t="shared" si="15"/>
        <v>2 PM</v>
      </c>
      <c r="F364" t="str">
        <f t="shared" si="16"/>
        <v>AfterNoon</v>
      </c>
      <c r="G364" t="b">
        <v>0</v>
      </c>
      <c r="H364">
        <v>0</v>
      </c>
      <c r="I364" t="str">
        <f>_xlfn.XLOOKUP(Append15[[#This Row],[Week day]],Mappings!$B$3:$B$9,Mappings!$C$3:$C$9)</f>
        <v>Sunday</v>
      </c>
      <c r="J364" t="str">
        <f t="shared" si="17"/>
        <v>Weekend</v>
      </c>
      <c r="K364">
        <v>1</v>
      </c>
      <c r="L364" t="str">
        <f>_xlfn.XLOOKUP(Append15[[#This Row],[WeatherSituation]],Mappings!$E$3:$E$6,Mappings!$F$3:$F$6)</f>
        <v>Clear Sky</v>
      </c>
      <c r="M364">
        <v>0.28000000000000003</v>
      </c>
      <c r="N364">
        <v>0.2727</v>
      </c>
      <c r="O364">
        <v>0.36</v>
      </c>
      <c r="P364">
        <v>0.25369999999999998</v>
      </c>
      <c r="Q364">
        <v>22</v>
      </c>
      <c r="R364">
        <v>69</v>
      </c>
      <c r="S364">
        <v>91</v>
      </c>
    </row>
    <row r="365" spans="1:19" x14ac:dyDescent="0.3">
      <c r="A365">
        <v>364</v>
      </c>
      <c r="B365" s="4">
        <v>40559</v>
      </c>
      <c r="C365">
        <v>1</v>
      </c>
      <c r="D365">
        <v>15</v>
      </c>
      <c r="E365" t="str">
        <f t="shared" si="15"/>
        <v>3 PM</v>
      </c>
      <c r="F365" t="str">
        <f t="shared" si="16"/>
        <v>AfterNoon</v>
      </c>
      <c r="G365" t="b">
        <v>0</v>
      </c>
      <c r="H365">
        <v>0</v>
      </c>
      <c r="I365" t="str">
        <f>_xlfn.XLOOKUP(Append15[[#This Row],[Week day]],Mappings!$B$3:$B$9,Mappings!$C$3:$C$9)</f>
        <v>Sunday</v>
      </c>
      <c r="J365" t="str">
        <f t="shared" si="17"/>
        <v>Weekend</v>
      </c>
      <c r="K365">
        <v>1</v>
      </c>
      <c r="L365" t="str">
        <f>_xlfn.XLOOKUP(Append15[[#This Row],[WeatherSituation]],Mappings!$E$3:$E$6,Mappings!$F$3:$F$6)</f>
        <v>Clear Sky</v>
      </c>
      <c r="M365">
        <v>0.26</v>
      </c>
      <c r="N365">
        <v>0.2424</v>
      </c>
      <c r="O365">
        <v>0.38</v>
      </c>
      <c r="P365">
        <v>0.25369999999999998</v>
      </c>
      <c r="Q365">
        <v>35</v>
      </c>
      <c r="R365">
        <v>78</v>
      </c>
      <c r="S365">
        <v>113</v>
      </c>
    </row>
    <row r="366" spans="1:19" x14ac:dyDescent="0.3">
      <c r="A366">
        <v>365</v>
      </c>
      <c r="B366" s="4">
        <v>40559</v>
      </c>
      <c r="C366">
        <v>1</v>
      </c>
      <c r="D366">
        <v>16</v>
      </c>
      <c r="E366" t="str">
        <f t="shared" si="15"/>
        <v>4 PM</v>
      </c>
      <c r="F366" t="str">
        <f t="shared" si="16"/>
        <v>Evening</v>
      </c>
      <c r="G366" t="b">
        <v>0</v>
      </c>
      <c r="H366">
        <v>0</v>
      </c>
      <c r="I366" t="str">
        <f>_xlfn.XLOOKUP(Append15[[#This Row],[Week day]],Mappings!$B$3:$B$9,Mappings!$C$3:$C$9)</f>
        <v>Sunday</v>
      </c>
      <c r="J366" t="str">
        <f t="shared" si="17"/>
        <v>Weekend</v>
      </c>
      <c r="K366">
        <v>1</v>
      </c>
      <c r="L366" t="str">
        <f>_xlfn.XLOOKUP(Append15[[#This Row],[WeatherSituation]],Mappings!$E$3:$E$6,Mappings!$F$3:$F$6)</f>
        <v>Clear Sky</v>
      </c>
      <c r="M366">
        <v>0.24</v>
      </c>
      <c r="N366">
        <v>0.2273</v>
      </c>
      <c r="O366">
        <v>0.38</v>
      </c>
      <c r="P366">
        <v>0.22389999999999999</v>
      </c>
      <c r="Q366">
        <v>22</v>
      </c>
      <c r="R366">
        <v>77</v>
      </c>
      <c r="S366">
        <v>99</v>
      </c>
    </row>
    <row r="367" spans="1:19" x14ac:dyDescent="0.3">
      <c r="A367">
        <v>366</v>
      </c>
      <c r="B367" s="4">
        <v>40559</v>
      </c>
      <c r="C367">
        <v>1</v>
      </c>
      <c r="D367">
        <v>17</v>
      </c>
      <c r="E367" t="str">
        <f t="shared" si="15"/>
        <v>5 PM</v>
      </c>
      <c r="F367" t="str">
        <f t="shared" si="16"/>
        <v>Evening</v>
      </c>
      <c r="G367" t="b">
        <v>0</v>
      </c>
      <c r="H367">
        <v>0</v>
      </c>
      <c r="I367" t="str">
        <f>_xlfn.XLOOKUP(Append15[[#This Row],[Week day]],Mappings!$B$3:$B$9,Mappings!$C$3:$C$9)</f>
        <v>Sunday</v>
      </c>
      <c r="J367" t="str">
        <f t="shared" si="17"/>
        <v>Weekend</v>
      </c>
      <c r="K367">
        <v>1</v>
      </c>
      <c r="L367" t="str">
        <f>_xlfn.XLOOKUP(Append15[[#This Row],[WeatherSituation]],Mappings!$E$3:$E$6,Mappings!$F$3:$F$6)</f>
        <v>Clear Sky</v>
      </c>
      <c r="M367">
        <v>0.22</v>
      </c>
      <c r="N367">
        <v>0.21210000000000001</v>
      </c>
      <c r="O367">
        <v>0.37</v>
      </c>
      <c r="P367">
        <v>0.25369999999999998</v>
      </c>
      <c r="Q367">
        <v>23</v>
      </c>
      <c r="R367">
        <v>82</v>
      </c>
      <c r="S367">
        <v>105</v>
      </c>
    </row>
    <row r="368" spans="1:19" x14ac:dyDescent="0.3">
      <c r="A368">
        <v>367</v>
      </c>
      <c r="B368" s="4">
        <v>40559</v>
      </c>
      <c r="C368">
        <v>1</v>
      </c>
      <c r="D368">
        <v>18</v>
      </c>
      <c r="E368" t="str">
        <f t="shared" si="15"/>
        <v>6 PM</v>
      </c>
      <c r="F368" t="str">
        <f t="shared" si="16"/>
        <v>Evening</v>
      </c>
      <c r="G368" t="b">
        <v>0</v>
      </c>
      <c r="H368">
        <v>0</v>
      </c>
      <c r="I368" t="str">
        <f>_xlfn.XLOOKUP(Append15[[#This Row],[Week day]],Mappings!$B$3:$B$9,Mappings!$C$3:$C$9)</f>
        <v>Sunday</v>
      </c>
      <c r="J368" t="str">
        <f t="shared" si="17"/>
        <v>Weekend</v>
      </c>
      <c r="K368">
        <v>1</v>
      </c>
      <c r="L368" t="str">
        <f>_xlfn.XLOOKUP(Append15[[#This Row],[WeatherSituation]],Mappings!$E$3:$E$6,Mappings!$F$3:$F$6)</f>
        <v>Clear Sky</v>
      </c>
      <c r="M368">
        <v>0.2</v>
      </c>
      <c r="N368">
        <v>0.21210000000000001</v>
      </c>
      <c r="O368">
        <v>0.4</v>
      </c>
      <c r="P368">
        <v>0.16420000000000001</v>
      </c>
      <c r="Q368">
        <v>11</v>
      </c>
      <c r="R368">
        <v>56</v>
      </c>
      <c r="S368">
        <v>67</v>
      </c>
    </row>
    <row r="369" spans="1:19" x14ac:dyDescent="0.3">
      <c r="A369">
        <v>368</v>
      </c>
      <c r="B369" s="4">
        <v>40559</v>
      </c>
      <c r="C369">
        <v>1</v>
      </c>
      <c r="D369">
        <v>19</v>
      </c>
      <c r="E369" t="str">
        <f t="shared" si="15"/>
        <v>7 PM</v>
      </c>
      <c r="F369" t="str">
        <f t="shared" si="16"/>
        <v>Evening</v>
      </c>
      <c r="G369" t="b">
        <v>0</v>
      </c>
      <c r="H369">
        <v>0</v>
      </c>
      <c r="I369" t="str">
        <f>_xlfn.XLOOKUP(Append15[[#This Row],[Week day]],Mappings!$B$3:$B$9,Mappings!$C$3:$C$9)</f>
        <v>Sunday</v>
      </c>
      <c r="J369" t="str">
        <f t="shared" si="17"/>
        <v>Weekend</v>
      </c>
      <c r="K369">
        <v>1</v>
      </c>
      <c r="L369" t="str">
        <f>_xlfn.XLOOKUP(Append15[[#This Row],[WeatherSituation]],Mappings!$E$3:$E$6,Mappings!$F$3:$F$6)</f>
        <v>Clear Sky</v>
      </c>
      <c r="M369">
        <v>0.18</v>
      </c>
      <c r="N369">
        <v>0.19700000000000001</v>
      </c>
      <c r="O369">
        <v>0.47</v>
      </c>
      <c r="P369">
        <v>0.1343</v>
      </c>
      <c r="Q369">
        <v>14</v>
      </c>
      <c r="R369">
        <v>47</v>
      </c>
      <c r="S369">
        <v>61</v>
      </c>
    </row>
    <row r="370" spans="1:19" x14ac:dyDescent="0.3">
      <c r="A370">
        <v>369</v>
      </c>
      <c r="B370" s="4">
        <v>40559</v>
      </c>
      <c r="C370">
        <v>1</v>
      </c>
      <c r="D370">
        <v>20</v>
      </c>
      <c r="E370" t="str">
        <f t="shared" si="15"/>
        <v>8 PM</v>
      </c>
      <c r="F370" t="str">
        <f t="shared" si="16"/>
        <v>Night</v>
      </c>
      <c r="G370" t="b">
        <v>0</v>
      </c>
      <c r="H370">
        <v>0</v>
      </c>
      <c r="I370" t="str">
        <f>_xlfn.XLOOKUP(Append15[[#This Row],[Week day]],Mappings!$B$3:$B$9,Mappings!$C$3:$C$9)</f>
        <v>Sunday</v>
      </c>
      <c r="J370" t="str">
        <f t="shared" si="17"/>
        <v>Weekend</v>
      </c>
      <c r="K370">
        <v>1</v>
      </c>
      <c r="L370" t="str">
        <f>_xlfn.XLOOKUP(Append15[[#This Row],[WeatherSituation]],Mappings!$E$3:$E$6,Mappings!$F$3:$F$6)</f>
        <v>Clear Sky</v>
      </c>
      <c r="M370">
        <v>0.18</v>
      </c>
      <c r="N370">
        <v>0.19700000000000001</v>
      </c>
      <c r="O370">
        <v>0.47</v>
      </c>
      <c r="P370">
        <v>0.16420000000000001</v>
      </c>
      <c r="Q370">
        <v>7</v>
      </c>
      <c r="R370">
        <v>50</v>
      </c>
      <c r="S370">
        <v>57</v>
      </c>
    </row>
    <row r="371" spans="1:19" x14ac:dyDescent="0.3">
      <c r="A371">
        <v>370</v>
      </c>
      <c r="B371" s="4">
        <v>40559</v>
      </c>
      <c r="C371">
        <v>1</v>
      </c>
      <c r="D371">
        <v>21</v>
      </c>
      <c r="E371" t="str">
        <f t="shared" si="15"/>
        <v>9 PM</v>
      </c>
      <c r="F371" t="str">
        <f t="shared" si="16"/>
        <v>Night</v>
      </c>
      <c r="G371" t="b">
        <v>0</v>
      </c>
      <c r="H371">
        <v>0</v>
      </c>
      <c r="I371" t="str">
        <f>_xlfn.XLOOKUP(Append15[[#This Row],[Week day]],Mappings!$B$3:$B$9,Mappings!$C$3:$C$9)</f>
        <v>Sunday</v>
      </c>
      <c r="J371" t="str">
        <f t="shared" si="17"/>
        <v>Weekend</v>
      </c>
      <c r="K371">
        <v>1</v>
      </c>
      <c r="L371" t="str">
        <f>_xlfn.XLOOKUP(Append15[[#This Row],[WeatherSituation]],Mappings!$E$3:$E$6,Mappings!$F$3:$F$6)</f>
        <v>Clear Sky</v>
      </c>
      <c r="M371">
        <v>0.18</v>
      </c>
      <c r="N371">
        <v>0.19700000000000001</v>
      </c>
      <c r="O371">
        <v>0.51</v>
      </c>
      <c r="P371">
        <v>0.16420000000000001</v>
      </c>
      <c r="Q371">
        <v>6</v>
      </c>
      <c r="R371">
        <v>22</v>
      </c>
      <c r="S371">
        <v>28</v>
      </c>
    </row>
    <row r="372" spans="1:19" x14ac:dyDescent="0.3">
      <c r="A372">
        <v>371</v>
      </c>
      <c r="B372" s="4">
        <v>40559</v>
      </c>
      <c r="C372">
        <v>1</v>
      </c>
      <c r="D372">
        <v>22</v>
      </c>
      <c r="E372" t="str">
        <f t="shared" si="15"/>
        <v>10 PM</v>
      </c>
      <c r="F372" t="str">
        <f t="shared" si="16"/>
        <v>Night</v>
      </c>
      <c r="G372" t="b">
        <v>0</v>
      </c>
      <c r="H372">
        <v>0</v>
      </c>
      <c r="I372" t="str">
        <f>_xlfn.XLOOKUP(Append15[[#This Row],[Week day]],Mappings!$B$3:$B$9,Mappings!$C$3:$C$9)</f>
        <v>Sunday</v>
      </c>
      <c r="J372" t="str">
        <f t="shared" si="17"/>
        <v>Weekend</v>
      </c>
      <c r="K372">
        <v>2</v>
      </c>
      <c r="L372" t="str">
        <f>_xlfn.XLOOKUP(Append15[[#This Row],[WeatherSituation]],Mappings!$E$3:$E$6,Mappings!$F$3:$F$6)</f>
        <v>Mist/Cloudy</v>
      </c>
      <c r="M372">
        <v>0.2</v>
      </c>
      <c r="N372">
        <v>0.21210000000000001</v>
      </c>
      <c r="O372">
        <v>0.49</v>
      </c>
      <c r="P372">
        <v>0.1343</v>
      </c>
      <c r="Q372">
        <v>2</v>
      </c>
      <c r="R372">
        <v>19</v>
      </c>
      <c r="S372">
        <v>21</v>
      </c>
    </row>
    <row r="373" spans="1:19" x14ac:dyDescent="0.3">
      <c r="A373">
        <v>372</v>
      </c>
      <c r="B373" s="4">
        <v>40559</v>
      </c>
      <c r="C373">
        <v>1</v>
      </c>
      <c r="D373">
        <v>23</v>
      </c>
      <c r="E373" t="str">
        <f t="shared" si="15"/>
        <v>11 PM</v>
      </c>
      <c r="F373" t="str">
        <f t="shared" si="16"/>
        <v>Night</v>
      </c>
      <c r="G373" t="b">
        <v>0</v>
      </c>
      <c r="H373">
        <v>0</v>
      </c>
      <c r="I373" t="str">
        <f>_xlfn.XLOOKUP(Append15[[#This Row],[Week day]],Mappings!$B$3:$B$9,Mappings!$C$3:$C$9)</f>
        <v>Sunday</v>
      </c>
      <c r="J373" t="str">
        <f t="shared" si="17"/>
        <v>Weekend</v>
      </c>
      <c r="K373">
        <v>2</v>
      </c>
      <c r="L373" t="str">
        <f>_xlfn.XLOOKUP(Append15[[#This Row],[WeatherSituation]],Mappings!$E$3:$E$6,Mappings!$F$3:$F$6)</f>
        <v>Mist/Cloudy</v>
      </c>
      <c r="M373">
        <v>0.2</v>
      </c>
      <c r="N373">
        <v>0.2273</v>
      </c>
      <c r="O373">
        <v>0.4</v>
      </c>
      <c r="P373">
        <v>0.1045</v>
      </c>
      <c r="Q373">
        <v>0</v>
      </c>
      <c r="R373">
        <v>18</v>
      </c>
      <c r="S373">
        <v>18</v>
      </c>
    </row>
    <row r="374" spans="1:19" x14ac:dyDescent="0.3">
      <c r="A374">
        <v>373</v>
      </c>
      <c r="B374" s="4">
        <v>40560</v>
      </c>
      <c r="C374">
        <v>1</v>
      </c>
      <c r="D374">
        <v>0</v>
      </c>
      <c r="E374" t="str">
        <f t="shared" si="15"/>
        <v>12 AM</v>
      </c>
      <c r="F374" t="str">
        <f t="shared" si="16"/>
        <v>Night</v>
      </c>
      <c r="G374" t="b">
        <v>1</v>
      </c>
      <c r="H374">
        <v>1</v>
      </c>
      <c r="I374" t="str">
        <f>_xlfn.XLOOKUP(Append15[[#This Row],[Week day]],Mappings!$B$3:$B$9,Mappings!$C$3:$C$9)</f>
        <v>Monday</v>
      </c>
      <c r="J374" t="str">
        <f t="shared" si="17"/>
        <v>Weekday</v>
      </c>
      <c r="K374">
        <v>2</v>
      </c>
      <c r="L374" t="str">
        <f>_xlfn.XLOOKUP(Append15[[#This Row],[WeatherSituation]],Mappings!$E$3:$E$6,Mappings!$F$3:$F$6)</f>
        <v>Mist/Cloudy</v>
      </c>
      <c r="M374">
        <v>0.2</v>
      </c>
      <c r="N374">
        <v>0.19700000000000001</v>
      </c>
      <c r="O374">
        <v>0.47</v>
      </c>
      <c r="P374">
        <v>0.22389999999999999</v>
      </c>
      <c r="Q374">
        <v>1</v>
      </c>
      <c r="R374">
        <v>16</v>
      </c>
      <c r="S374">
        <v>17</v>
      </c>
    </row>
    <row r="375" spans="1:19" x14ac:dyDescent="0.3">
      <c r="A375">
        <v>374</v>
      </c>
      <c r="B375" s="4">
        <v>40560</v>
      </c>
      <c r="C375">
        <v>1</v>
      </c>
      <c r="D375">
        <v>1</v>
      </c>
      <c r="E375" t="str">
        <f t="shared" si="15"/>
        <v>1 AM</v>
      </c>
      <c r="F375" t="str">
        <f t="shared" si="16"/>
        <v>Night</v>
      </c>
      <c r="G375" t="b">
        <v>1</v>
      </c>
      <c r="H375">
        <v>1</v>
      </c>
      <c r="I375" t="str">
        <f>_xlfn.XLOOKUP(Append15[[#This Row],[Week day]],Mappings!$B$3:$B$9,Mappings!$C$3:$C$9)</f>
        <v>Monday</v>
      </c>
      <c r="J375" t="str">
        <f t="shared" si="17"/>
        <v>Weekday</v>
      </c>
      <c r="K375">
        <v>2</v>
      </c>
      <c r="L375" t="str">
        <f>_xlfn.XLOOKUP(Append15[[#This Row],[WeatherSituation]],Mappings!$E$3:$E$6,Mappings!$F$3:$F$6)</f>
        <v>Mist/Cloudy</v>
      </c>
      <c r="M375">
        <v>0.2</v>
      </c>
      <c r="N375">
        <v>0.19700000000000001</v>
      </c>
      <c r="O375">
        <v>0.44</v>
      </c>
      <c r="P375">
        <v>0.19400000000000001</v>
      </c>
      <c r="Q375">
        <v>1</v>
      </c>
      <c r="R375">
        <v>15</v>
      </c>
      <c r="S375">
        <v>16</v>
      </c>
    </row>
    <row r="376" spans="1:19" x14ac:dyDescent="0.3">
      <c r="A376">
        <v>375</v>
      </c>
      <c r="B376" s="4">
        <v>40560</v>
      </c>
      <c r="C376">
        <v>1</v>
      </c>
      <c r="D376">
        <v>2</v>
      </c>
      <c r="E376" t="str">
        <f t="shared" si="15"/>
        <v>2 AM</v>
      </c>
      <c r="F376" t="str">
        <f t="shared" si="16"/>
        <v>Night</v>
      </c>
      <c r="G376" t="b">
        <v>1</v>
      </c>
      <c r="H376">
        <v>1</v>
      </c>
      <c r="I376" t="str">
        <f>_xlfn.XLOOKUP(Append15[[#This Row],[Week day]],Mappings!$B$3:$B$9,Mappings!$C$3:$C$9)</f>
        <v>Monday</v>
      </c>
      <c r="J376" t="str">
        <f t="shared" si="17"/>
        <v>Weekday</v>
      </c>
      <c r="K376">
        <v>2</v>
      </c>
      <c r="L376" t="str">
        <f>_xlfn.XLOOKUP(Append15[[#This Row],[WeatherSituation]],Mappings!$E$3:$E$6,Mappings!$F$3:$F$6)</f>
        <v>Mist/Cloudy</v>
      </c>
      <c r="M376">
        <v>0.18</v>
      </c>
      <c r="N376">
        <v>0.16669999999999999</v>
      </c>
      <c r="O376">
        <v>0.43</v>
      </c>
      <c r="P376">
        <v>0.25369999999999998</v>
      </c>
      <c r="Q376">
        <v>0</v>
      </c>
      <c r="R376">
        <v>8</v>
      </c>
      <c r="S376">
        <v>8</v>
      </c>
    </row>
    <row r="377" spans="1:19" x14ac:dyDescent="0.3">
      <c r="A377">
        <v>376</v>
      </c>
      <c r="B377" s="4">
        <v>40560</v>
      </c>
      <c r="C377">
        <v>1</v>
      </c>
      <c r="D377">
        <v>3</v>
      </c>
      <c r="E377" t="str">
        <f t="shared" si="15"/>
        <v>3 AM</v>
      </c>
      <c r="F377" t="str">
        <f t="shared" si="16"/>
        <v>Night</v>
      </c>
      <c r="G377" t="b">
        <v>1</v>
      </c>
      <c r="H377">
        <v>1</v>
      </c>
      <c r="I377" t="str">
        <f>_xlfn.XLOOKUP(Append15[[#This Row],[Week day]],Mappings!$B$3:$B$9,Mappings!$C$3:$C$9)</f>
        <v>Monday</v>
      </c>
      <c r="J377" t="str">
        <f t="shared" si="17"/>
        <v>Weekday</v>
      </c>
      <c r="K377">
        <v>2</v>
      </c>
      <c r="L377" t="str">
        <f>_xlfn.XLOOKUP(Append15[[#This Row],[WeatherSituation]],Mappings!$E$3:$E$6,Mappings!$F$3:$F$6)</f>
        <v>Mist/Cloudy</v>
      </c>
      <c r="M377">
        <v>0.18</v>
      </c>
      <c r="N377">
        <v>0.18179999999999999</v>
      </c>
      <c r="O377">
        <v>0.43</v>
      </c>
      <c r="P377">
        <v>0.19400000000000001</v>
      </c>
      <c r="Q377">
        <v>0</v>
      </c>
      <c r="R377">
        <v>2</v>
      </c>
      <c r="S377">
        <v>2</v>
      </c>
    </row>
    <row r="378" spans="1:19" x14ac:dyDescent="0.3">
      <c r="A378">
        <v>377</v>
      </c>
      <c r="B378" s="4">
        <v>40560</v>
      </c>
      <c r="C378">
        <v>1</v>
      </c>
      <c r="D378">
        <v>4</v>
      </c>
      <c r="E378" t="str">
        <f t="shared" si="15"/>
        <v>4 AM</v>
      </c>
      <c r="F378" t="str">
        <f t="shared" si="16"/>
        <v>Night</v>
      </c>
      <c r="G378" t="b">
        <v>1</v>
      </c>
      <c r="H378">
        <v>1</v>
      </c>
      <c r="I378" t="str">
        <f>_xlfn.XLOOKUP(Append15[[#This Row],[Week day]],Mappings!$B$3:$B$9,Mappings!$C$3:$C$9)</f>
        <v>Monday</v>
      </c>
      <c r="J378" t="str">
        <f t="shared" si="17"/>
        <v>Weekday</v>
      </c>
      <c r="K378">
        <v>2</v>
      </c>
      <c r="L378" t="str">
        <f>_xlfn.XLOOKUP(Append15[[#This Row],[WeatherSituation]],Mappings!$E$3:$E$6,Mappings!$F$3:$F$6)</f>
        <v>Mist/Cloudy</v>
      </c>
      <c r="M378">
        <v>0.18</v>
      </c>
      <c r="N378">
        <v>0.19700000000000001</v>
      </c>
      <c r="O378">
        <v>0.43</v>
      </c>
      <c r="P378">
        <v>0.1343</v>
      </c>
      <c r="Q378">
        <v>1</v>
      </c>
      <c r="R378">
        <v>2</v>
      </c>
      <c r="S378">
        <v>3</v>
      </c>
    </row>
    <row r="379" spans="1:19" x14ac:dyDescent="0.3">
      <c r="A379">
        <v>378</v>
      </c>
      <c r="B379" s="4">
        <v>40560</v>
      </c>
      <c r="C379">
        <v>1</v>
      </c>
      <c r="D379">
        <v>5</v>
      </c>
      <c r="E379" t="str">
        <f t="shared" si="15"/>
        <v>5 AM</v>
      </c>
      <c r="F379" t="str">
        <f t="shared" si="16"/>
        <v>Morning</v>
      </c>
      <c r="G379" t="b">
        <v>1</v>
      </c>
      <c r="H379">
        <v>1</v>
      </c>
      <c r="I379" t="str">
        <f>_xlfn.XLOOKUP(Append15[[#This Row],[Week day]],Mappings!$B$3:$B$9,Mappings!$C$3:$C$9)</f>
        <v>Monday</v>
      </c>
      <c r="J379" t="str">
        <f t="shared" si="17"/>
        <v>Weekday</v>
      </c>
      <c r="K379">
        <v>2</v>
      </c>
      <c r="L379" t="str">
        <f>_xlfn.XLOOKUP(Append15[[#This Row],[WeatherSituation]],Mappings!$E$3:$E$6,Mappings!$F$3:$F$6)</f>
        <v>Mist/Cloudy</v>
      </c>
      <c r="M379">
        <v>0.18</v>
      </c>
      <c r="N379">
        <v>0.19700000000000001</v>
      </c>
      <c r="O379">
        <v>0.43</v>
      </c>
      <c r="P379">
        <v>0.16420000000000001</v>
      </c>
      <c r="Q379">
        <v>0</v>
      </c>
      <c r="R379">
        <v>1</v>
      </c>
      <c r="S379">
        <v>1</v>
      </c>
    </row>
    <row r="380" spans="1:19" x14ac:dyDescent="0.3">
      <c r="A380">
        <v>379</v>
      </c>
      <c r="B380" s="4">
        <v>40560</v>
      </c>
      <c r="C380">
        <v>1</v>
      </c>
      <c r="D380">
        <v>6</v>
      </c>
      <c r="E380" t="str">
        <f t="shared" si="15"/>
        <v>6 AM</v>
      </c>
      <c r="F380" t="str">
        <f t="shared" si="16"/>
        <v>Morning</v>
      </c>
      <c r="G380" t="b">
        <v>1</v>
      </c>
      <c r="H380">
        <v>1</v>
      </c>
      <c r="I380" t="str">
        <f>_xlfn.XLOOKUP(Append15[[#This Row],[Week day]],Mappings!$B$3:$B$9,Mappings!$C$3:$C$9)</f>
        <v>Monday</v>
      </c>
      <c r="J380" t="str">
        <f t="shared" si="17"/>
        <v>Weekday</v>
      </c>
      <c r="K380">
        <v>2</v>
      </c>
      <c r="L380" t="str">
        <f>_xlfn.XLOOKUP(Append15[[#This Row],[WeatherSituation]],Mappings!$E$3:$E$6,Mappings!$F$3:$F$6)</f>
        <v>Mist/Cloudy</v>
      </c>
      <c r="M380">
        <v>0.18</v>
      </c>
      <c r="N380">
        <v>0.18179999999999999</v>
      </c>
      <c r="O380">
        <v>0.43</v>
      </c>
      <c r="P380">
        <v>0.19400000000000001</v>
      </c>
      <c r="Q380">
        <v>0</v>
      </c>
      <c r="R380">
        <v>5</v>
      </c>
      <c r="S380">
        <v>5</v>
      </c>
    </row>
    <row r="381" spans="1:19" x14ac:dyDescent="0.3">
      <c r="A381">
        <v>380</v>
      </c>
      <c r="B381" s="4">
        <v>40560</v>
      </c>
      <c r="C381">
        <v>1</v>
      </c>
      <c r="D381">
        <v>7</v>
      </c>
      <c r="E381" t="str">
        <f t="shared" si="15"/>
        <v>7 AM</v>
      </c>
      <c r="F381" t="str">
        <f t="shared" si="16"/>
        <v>Morning</v>
      </c>
      <c r="G381" t="b">
        <v>1</v>
      </c>
      <c r="H381">
        <v>1</v>
      </c>
      <c r="I381" t="str">
        <f>_xlfn.XLOOKUP(Append15[[#This Row],[Week day]],Mappings!$B$3:$B$9,Mappings!$C$3:$C$9)</f>
        <v>Monday</v>
      </c>
      <c r="J381" t="str">
        <f t="shared" si="17"/>
        <v>Weekday</v>
      </c>
      <c r="K381">
        <v>2</v>
      </c>
      <c r="L381" t="str">
        <f>_xlfn.XLOOKUP(Append15[[#This Row],[WeatherSituation]],Mappings!$E$3:$E$6,Mappings!$F$3:$F$6)</f>
        <v>Mist/Cloudy</v>
      </c>
      <c r="M381">
        <v>0.16</v>
      </c>
      <c r="N381">
        <v>0.18179999999999999</v>
      </c>
      <c r="O381">
        <v>0.5</v>
      </c>
      <c r="P381">
        <v>0.1343</v>
      </c>
      <c r="Q381">
        <v>4</v>
      </c>
      <c r="R381">
        <v>9</v>
      </c>
      <c r="S381">
        <v>13</v>
      </c>
    </row>
    <row r="382" spans="1:19" x14ac:dyDescent="0.3">
      <c r="A382">
        <v>381</v>
      </c>
      <c r="B382" s="4">
        <v>40560</v>
      </c>
      <c r="C382">
        <v>1</v>
      </c>
      <c r="D382">
        <v>8</v>
      </c>
      <c r="E382" t="str">
        <f t="shared" si="15"/>
        <v>8 AM</v>
      </c>
      <c r="F382" t="str">
        <f t="shared" si="16"/>
        <v>Morning</v>
      </c>
      <c r="G382" t="b">
        <v>1</v>
      </c>
      <c r="H382">
        <v>1</v>
      </c>
      <c r="I382" t="str">
        <f>_xlfn.XLOOKUP(Append15[[#This Row],[Week day]],Mappings!$B$3:$B$9,Mappings!$C$3:$C$9)</f>
        <v>Monday</v>
      </c>
      <c r="J382" t="str">
        <f t="shared" si="17"/>
        <v>Weekday</v>
      </c>
      <c r="K382">
        <v>2</v>
      </c>
      <c r="L382" t="str">
        <f>_xlfn.XLOOKUP(Append15[[#This Row],[WeatherSituation]],Mappings!$E$3:$E$6,Mappings!$F$3:$F$6)</f>
        <v>Mist/Cloudy</v>
      </c>
      <c r="M382">
        <v>0.16</v>
      </c>
      <c r="N382">
        <v>0.1515</v>
      </c>
      <c r="O382">
        <v>0.47</v>
      </c>
      <c r="P382">
        <v>0.22389999999999999</v>
      </c>
      <c r="Q382">
        <v>3</v>
      </c>
      <c r="R382">
        <v>30</v>
      </c>
      <c r="S382">
        <v>33</v>
      </c>
    </row>
    <row r="383" spans="1:19" x14ac:dyDescent="0.3">
      <c r="A383">
        <v>382</v>
      </c>
      <c r="B383" s="4">
        <v>40560</v>
      </c>
      <c r="C383">
        <v>1</v>
      </c>
      <c r="D383">
        <v>9</v>
      </c>
      <c r="E383" t="str">
        <f t="shared" si="15"/>
        <v>9 AM</v>
      </c>
      <c r="F383" t="str">
        <f t="shared" si="16"/>
        <v>Morning</v>
      </c>
      <c r="G383" t="b">
        <v>1</v>
      </c>
      <c r="H383">
        <v>1</v>
      </c>
      <c r="I383" t="str">
        <f>_xlfn.XLOOKUP(Append15[[#This Row],[Week day]],Mappings!$B$3:$B$9,Mappings!$C$3:$C$9)</f>
        <v>Monday</v>
      </c>
      <c r="J383" t="str">
        <f t="shared" si="17"/>
        <v>Weekday</v>
      </c>
      <c r="K383">
        <v>2</v>
      </c>
      <c r="L383" t="str">
        <f>_xlfn.XLOOKUP(Append15[[#This Row],[WeatherSituation]],Mappings!$E$3:$E$6,Mappings!$F$3:$F$6)</f>
        <v>Mist/Cloudy</v>
      </c>
      <c r="M383">
        <v>0.16</v>
      </c>
      <c r="N383">
        <v>0.1515</v>
      </c>
      <c r="O383">
        <v>0.47</v>
      </c>
      <c r="P383">
        <v>0.22389999999999999</v>
      </c>
      <c r="Q383">
        <v>8</v>
      </c>
      <c r="R383">
        <v>39</v>
      </c>
      <c r="S383">
        <v>47</v>
      </c>
    </row>
    <row r="384" spans="1:19" x14ac:dyDescent="0.3">
      <c r="A384">
        <v>383</v>
      </c>
      <c r="B384" s="4">
        <v>40560</v>
      </c>
      <c r="C384">
        <v>1</v>
      </c>
      <c r="D384">
        <v>10</v>
      </c>
      <c r="E384" t="str">
        <f t="shared" si="15"/>
        <v>10 AM</v>
      </c>
      <c r="F384" t="str">
        <f t="shared" si="16"/>
        <v>Morning</v>
      </c>
      <c r="G384" t="b">
        <v>1</v>
      </c>
      <c r="H384">
        <v>1</v>
      </c>
      <c r="I384" t="str">
        <f>_xlfn.XLOOKUP(Append15[[#This Row],[Week day]],Mappings!$B$3:$B$9,Mappings!$C$3:$C$9)</f>
        <v>Monday</v>
      </c>
      <c r="J384" t="str">
        <f t="shared" si="17"/>
        <v>Weekday</v>
      </c>
      <c r="K384">
        <v>2</v>
      </c>
      <c r="L384" t="str">
        <f>_xlfn.XLOOKUP(Append15[[#This Row],[WeatherSituation]],Mappings!$E$3:$E$6,Mappings!$F$3:$F$6)</f>
        <v>Mist/Cloudy</v>
      </c>
      <c r="M384">
        <v>0.16</v>
      </c>
      <c r="N384">
        <v>0.1515</v>
      </c>
      <c r="O384">
        <v>0.5</v>
      </c>
      <c r="P384">
        <v>0.25369999999999998</v>
      </c>
      <c r="Q384">
        <v>7</v>
      </c>
      <c r="R384">
        <v>50</v>
      </c>
      <c r="S384">
        <v>57</v>
      </c>
    </row>
    <row r="385" spans="1:19" x14ac:dyDescent="0.3">
      <c r="A385">
        <v>384</v>
      </c>
      <c r="B385" s="4">
        <v>40560</v>
      </c>
      <c r="C385">
        <v>1</v>
      </c>
      <c r="D385">
        <v>11</v>
      </c>
      <c r="E385" t="str">
        <f t="shared" si="15"/>
        <v>11 AM</v>
      </c>
      <c r="F385" t="str">
        <f t="shared" si="16"/>
        <v>Morning</v>
      </c>
      <c r="G385" t="b">
        <v>1</v>
      </c>
      <c r="H385">
        <v>1</v>
      </c>
      <c r="I385" t="str">
        <f>_xlfn.XLOOKUP(Append15[[#This Row],[Week day]],Mappings!$B$3:$B$9,Mappings!$C$3:$C$9)</f>
        <v>Monday</v>
      </c>
      <c r="J385" t="str">
        <f t="shared" si="17"/>
        <v>Weekday</v>
      </c>
      <c r="K385">
        <v>2</v>
      </c>
      <c r="L385" t="str">
        <f>_xlfn.XLOOKUP(Append15[[#This Row],[WeatherSituation]],Mappings!$E$3:$E$6,Mappings!$F$3:$F$6)</f>
        <v>Mist/Cloudy</v>
      </c>
      <c r="M385">
        <v>0.16</v>
      </c>
      <c r="N385">
        <v>0.1515</v>
      </c>
      <c r="O385">
        <v>0.55000000000000004</v>
      </c>
      <c r="P385">
        <v>0.19400000000000001</v>
      </c>
      <c r="Q385">
        <v>9</v>
      </c>
      <c r="R385">
        <v>55</v>
      </c>
      <c r="S385">
        <v>64</v>
      </c>
    </row>
    <row r="386" spans="1:19" x14ac:dyDescent="0.3">
      <c r="A386">
        <v>385</v>
      </c>
      <c r="B386" s="4">
        <v>40560</v>
      </c>
      <c r="C386">
        <v>1</v>
      </c>
      <c r="D386">
        <v>12</v>
      </c>
      <c r="E386" t="str">
        <f t="shared" ref="E386:E449" si="18">TEXT(D386/24,"h AM/PM")</f>
        <v>12 PM</v>
      </c>
      <c r="F386" t="str">
        <f t="shared" ref="F386:F449" si="19">IF(D386&lt;5,"Night",
IF(D386&lt;=11,"Morning",
IF(D386&lt;16,"AfterNoon",
IF(D386&lt;20,"Evening","Night"))))</f>
        <v>AfterNoon</v>
      </c>
      <c r="G386" t="b">
        <v>1</v>
      </c>
      <c r="H386">
        <v>1</v>
      </c>
      <c r="I386" t="str">
        <f>_xlfn.XLOOKUP(Append15[[#This Row],[Week day]],Mappings!$B$3:$B$9,Mappings!$C$3:$C$9)</f>
        <v>Monday</v>
      </c>
      <c r="J386" t="str">
        <f t="shared" ref="J386:J449" si="20">IF(OR(H386=0,H386=6),"Weekend","Weekday")</f>
        <v>Weekday</v>
      </c>
      <c r="K386">
        <v>2</v>
      </c>
      <c r="L386" t="str">
        <f>_xlfn.XLOOKUP(Append15[[#This Row],[WeatherSituation]],Mappings!$E$3:$E$6,Mappings!$F$3:$F$6)</f>
        <v>Mist/Cloudy</v>
      </c>
      <c r="M386">
        <v>0.18</v>
      </c>
      <c r="N386">
        <v>0.19700000000000001</v>
      </c>
      <c r="O386">
        <v>0.47</v>
      </c>
      <c r="P386">
        <v>0.1343</v>
      </c>
      <c r="Q386">
        <v>10</v>
      </c>
      <c r="R386">
        <v>70</v>
      </c>
      <c r="S386">
        <v>80</v>
      </c>
    </row>
    <row r="387" spans="1:19" x14ac:dyDescent="0.3">
      <c r="A387">
        <v>386</v>
      </c>
      <c r="B387" s="4">
        <v>40560</v>
      </c>
      <c r="C387">
        <v>1</v>
      </c>
      <c r="D387">
        <v>13</v>
      </c>
      <c r="E387" t="str">
        <f t="shared" si="18"/>
        <v>1 PM</v>
      </c>
      <c r="F387" t="str">
        <f t="shared" si="19"/>
        <v>AfterNoon</v>
      </c>
      <c r="G387" t="b">
        <v>1</v>
      </c>
      <c r="H387">
        <v>1</v>
      </c>
      <c r="I387" t="str">
        <f>_xlfn.XLOOKUP(Append15[[#This Row],[Week day]],Mappings!$B$3:$B$9,Mappings!$C$3:$C$9)</f>
        <v>Monday</v>
      </c>
      <c r="J387" t="str">
        <f t="shared" si="20"/>
        <v>Weekday</v>
      </c>
      <c r="K387">
        <v>2</v>
      </c>
      <c r="L387" t="str">
        <f>_xlfn.XLOOKUP(Append15[[#This Row],[WeatherSituation]],Mappings!$E$3:$E$6,Mappings!$F$3:$F$6)</f>
        <v>Mist/Cloudy</v>
      </c>
      <c r="M387">
        <v>0.18</v>
      </c>
      <c r="N387">
        <v>0.19700000000000001</v>
      </c>
      <c r="O387">
        <v>0.47</v>
      </c>
      <c r="P387">
        <v>0.1343</v>
      </c>
      <c r="Q387">
        <v>13</v>
      </c>
      <c r="R387">
        <v>80</v>
      </c>
      <c r="S387">
        <v>93</v>
      </c>
    </row>
    <row r="388" spans="1:19" x14ac:dyDescent="0.3">
      <c r="A388">
        <v>387</v>
      </c>
      <c r="B388" s="4">
        <v>40560</v>
      </c>
      <c r="C388">
        <v>1</v>
      </c>
      <c r="D388">
        <v>14</v>
      </c>
      <c r="E388" t="str">
        <f t="shared" si="18"/>
        <v>2 PM</v>
      </c>
      <c r="F388" t="str">
        <f t="shared" si="19"/>
        <v>AfterNoon</v>
      </c>
      <c r="G388" t="b">
        <v>1</v>
      </c>
      <c r="H388">
        <v>1</v>
      </c>
      <c r="I388" t="str">
        <f>_xlfn.XLOOKUP(Append15[[#This Row],[Week day]],Mappings!$B$3:$B$9,Mappings!$C$3:$C$9)</f>
        <v>Monday</v>
      </c>
      <c r="J388" t="str">
        <f t="shared" si="20"/>
        <v>Weekday</v>
      </c>
      <c r="K388">
        <v>2</v>
      </c>
      <c r="L388" t="str">
        <f>_xlfn.XLOOKUP(Append15[[#This Row],[WeatherSituation]],Mappings!$E$3:$E$6,Mappings!$F$3:$F$6)</f>
        <v>Mist/Cloudy</v>
      </c>
      <c r="M388">
        <v>0.18</v>
      </c>
      <c r="N388">
        <v>0.21210000000000001</v>
      </c>
      <c r="O388">
        <v>0.43</v>
      </c>
      <c r="P388">
        <v>0.1045</v>
      </c>
      <c r="Q388">
        <v>12</v>
      </c>
      <c r="R388">
        <v>74</v>
      </c>
      <c r="S388">
        <v>86</v>
      </c>
    </row>
    <row r="389" spans="1:19" x14ac:dyDescent="0.3">
      <c r="A389">
        <v>388</v>
      </c>
      <c r="B389" s="4">
        <v>40560</v>
      </c>
      <c r="C389">
        <v>1</v>
      </c>
      <c r="D389">
        <v>15</v>
      </c>
      <c r="E389" t="str">
        <f t="shared" si="18"/>
        <v>3 PM</v>
      </c>
      <c r="F389" t="str">
        <f t="shared" si="19"/>
        <v>AfterNoon</v>
      </c>
      <c r="G389" t="b">
        <v>1</v>
      </c>
      <c r="H389">
        <v>1</v>
      </c>
      <c r="I389" t="str">
        <f>_xlfn.XLOOKUP(Append15[[#This Row],[Week day]],Mappings!$B$3:$B$9,Mappings!$C$3:$C$9)</f>
        <v>Monday</v>
      </c>
      <c r="J389" t="str">
        <f t="shared" si="20"/>
        <v>Weekday</v>
      </c>
      <c r="K389">
        <v>2</v>
      </c>
      <c r="L389" t="str">
        <f>_xlfn.XLOOKUP(Append15[[#This Row],[WeatherSituation]],Mappings!$E$3:$E$6,Mappings!$F$3:$F$6)</f>
        <v>Mist/Cloudy</v>
      </c>
      <c r="M389">
        <v>0.2</v>
      </c>
      <c r="N389">
        <v>0.21210000000000001</v>
      </c>
      <c r="O389">
        <v>0.47</v>
      </c>
      <c r="P389">
        <v>0.16420000000000001</v>
      </c>
      <c r="Q389">
        <v>21</v>
      </c>
      <c r="R389">
        <v>72</v>
      </c>
      <c r="S389">
        <v>93</v>
      </c>
    </row>
    <row r="390" spans="1:19" x14ac:dyDescent="0.3">
      <c r="A390">
        <v>389</v>
      </c>
      <c r="B390" s="4">
        <v>40560</v>
      </c>
      <c r="C390">
        <v>1</v>
      </c>
      <c r="D390">
        <v>16</v>
      </c>
      <c r="E390" t="str">
        <f t="shared" si="18"/>
        <v>4 PM</v>
      </c>
      <c r="F390" t="str">
        <f t="shared" si="19"/>
        <v>Evening</v>
      </c>
      <c r="G390" t="b">
        <v>1</v>
      </c>
      <c r="H390">
        <v>1</v>
      </c>
      <c r="I390" t="str">
        <f>_xlfn.XLOOKUP(Append15[[#This Row],[Week day]],Mappings!$B$3:$B$9,Mappings!$C$3:$C$9)</f>
        <v>Monday</v>
      </c>
      <c r="J390" t="str">
        <f t="shared" si="20"/>
        <v>Weekday</v>
      </c>
      <c r="K390">
        <v>2</v>
      </c>
      <c r="L390" t="str">
        <f>_xlfn.XLOOKUP(Append15[[#This Row],[WeatherSituation]],Mappings!$E$3:$E$6,Mappings!$F$3:$F$6)</f>
        <v>Mist/Cloudy</v>
      </c>
      <c r="M390">
        <v>0.2</v>
      </c>
      <c r="N390">
        <v>0.21210000000000001</v>
      </c>
      <c r="O390">
        <v>0.47</v>
      </c>
      <c r="P390">
        <v>0.16420000000000001</v>
      </c>
      <c r="Q390">
        <v>6</v>
      </c>
      <c r="R390">
        <v>76</v>
      </c>
      <c r="S390">
        <v>82</v>
      </c>
    </row>
    <row r="391" spans="1:19" x14ac:dyDescent="0.3">
      <c r="A391">
        <v>390</v>
      </c>
      <c r="B391" s="4">
        <v>40560</v>
      </c>
      <c r="C391">
        <v>1</v>
      </c>
      <c r="D391">
        <v>17</v>
      </c>
      <c r="E391" t="str">
        <f t="shared" si="18"/>
        <v>5 PM</v>
      </c>
      <c r="F391" t="str">
        <f t="shared" si="19"/>
        <v>Evening</v>
      </c>
      <c r="G391" t="b">
        <v>1</v>
      </c>
      <c r="H391">
        <v>1</v>
      </c>
      <c r="I391" t="str">
        <f>_xlfn.XLOOKUP(Append15[[#This Row],[Week day]],Mappings!$B$3:$B$9,Mappings!$C$3:$C$9)</f>
        <v>Monday</v>
      </c>
      <c r="J391" t="str">
        <f t="shared" si="20"/>
        <v>Weekday</v>
      </c>
      <c r="K391">
        <v>1</v>
      </c>
      <c r="L391" t="str">
        <f>_xlfn.XLOOKUP(Append15[[#This Row],[WeatherSituation]],Mappings!$E$3:$E$6,Mappings!$F$3:$F$6)</f>
        <v>Clear Sky</v>
      </c>
      <c r="M391">
        <v>0.2</v>
      </c>
      <c r="N391">
        <v>0.19700000000000001</v>
      </c>
      <c r="O391">
        <v>0.51</v>
      </c>
      <c r="P391">
        <v>0.19400000000000001</v>
      </c>
      <c r="Q391">
        <v>4</v>
      </c>
      <c r="R391">
        <v>67</v>
      </c>
      <c r="S391">
        <v>71</v>
      </c>
    </row>
    <row r="392" spans="1:19" x14ac:dyDescent="0.3">
      <c r="A392">
        <v>391</v>
      </c>
      <c r="B392" s="4">
        <v>40560</v>
      </c>
      <c r="C392">
        <v>1</v>
      </c>
      <c r="D392">
        <v>18</v>
      </c>
      <c r="E392" t="str">
        <f t="shared" si="18"/>
        <v>6 PM</v>
      </c>
      <c r="F392" t="str">
        <f t="shared" si="19"/>
        <v>Evening</v>
      </c>
      <c r="G392" t="b">
        <v>1</v>
      </c>
      <c r="H392">
        <v>1</v>
      </c>
      <c r="I392" t="str">
        <f>_xlfn.XLOOKUP(Append15[[#This Row],[Week day]],Mappings!$B$3:$B$9,Mappings!$C$3:$C$9)</f>
        <v>Monday</v>
      </c>
      <c r="J392" t="str">
        <f t="shared" si="20"/>
        <v>Weekday</v>
      </c>
      <c r="K392">
        <v>2</v>
      </c>
      <c r="L392" t="str">
        <f>_xlfn.XLOOKUP(Append15[[#This Row],[WeatherSituation]],Mappings!$E$3:$E$6,Mappings!$F$3:$F$6)</f>
        <v>Mist/Cloudy</v>
      </c>
      <c r="M392">
        <v>0.18</v>
      </c>
      <c r="N392">
        <v>0.16669999999999999</v>
      </c>
      <c r="O392">
        <v>0.55000000000000004</v>
      </c>
      <c r="P392">
        <v>0.25369999999999998</v>
      </c>
      <c r="Q392">
        <v>7</v>
      </c>
      <c r="R392">
        <v>85</v>
      </c>
      <c r="S392">
        <v>92</v>
      </c>
    </row>
    <row r="393" spans="1:19" x14ac:dyDescent="0.3">
      <c r="A393">
        <v>392</v>
      </c>
      <c r="B393" s="4">
        <v>40560</v>
      </c>
      <c r="C393">
        <v>1</v>
      </c>
      <c r="D393">
        <v>19</v>
      </c>
      <c r="E393" t="str">
        <f t="shared" si="18"/>
        <v>7 PM</v>
      </c>
      <c r="F393" t="str">
        <f t="shared" si="19"/>
        <v>Evening</v>
      </c>
      <c r="G393" t="b">
        <v>1</v>
      </c>
      <c r="H393">
        <v>1</v>
      </c>
      <c r="I393" t="str">
        <f>_xlfn.XLOOKUP(Append15[[#This Row],[Week day]],Mappings!$B$3:$B$9,Mappings!$C$3:$C$9)</f>
        <v>Monday</v>
      </c>
      <c r="J393" t="str">
        <f t="shared" si="20"/>
        <v>Weekday</v>
      </c>
      <c r="K393">
        <v>3</v>
      </c>
      <c r="L393" t="str">
        <f>_xlfn.XLOOKUP(Append15[[#This Row],[WeatherSituation]],Mappings!$E$3:$E$6,Mappings!$F$3:$F$6)</f>
        <v>Light Rain</v>
      </c>
      <c r="M393">
        <v>0.18</v>
      </c>
      <c r="N393">
        <v>0.18179999999999999</v>
      </c>
      <c r="O393">
        <v>0.59</v>
      </c>
      <c r="P393">
        <v>0.19400000000000001</v>
      </c>
      <c r="Q393">
        <v>2</v>
      </c>
      <c r="R393">
        <v>58</v>
      </c>
      <c r="S393">
        <v>60</v>
      </c>
    </row>
    <row r="394" spans="1:19" x14ac:dyDescent="0.3">
      <c r="A394">
        <v>393</v>
      </c>
      <c r="B394" s="4">
        <v>40560</v>
      </c>
      <c r="C394">
        <v>1</v>
      </c>
      <c r="D394">
        <v>20</v>
      </c>
      <c r="E394" t="str">
        <f t="shared" si="18"/>
        <v>8 PM</v>
      </c>
      <c r="F394" t="str">
        <f t="shared" si="19"/>
        <v>Night</v>
      </c>
      <c r="G394" t="b">
        <v>1</v>
      </c>
      <c r="H394">
        <v>1</v>
      </c>
      <c r="I394" t="str">
        <f>_xlfn.XLOOKUP(Append15[[#This Row],[Week day]],Mappings!$B$3:$B$9,Mappings!$C$3:$C$9)</f>
        <v>Monday</v>
      </c>
      <c r="J394" t="str">
        <f t="shared" si="20"/>
        <v>Weekday</v>
      </c>
      <c r="K394">
        <v>3</v>
      </c>
      <c r="L394" t="str">
        <f>_xlfn.XLOOKUP(Append15[[#This Row],[WeatherSituation]],Mappings!$E$3:$E$6,Mappings!$F$3:$F$6)</f>
        <v>Light Rain</v>
      </c>
      <c r="M394">
        <v>0.16</v>
      </c>
      <c r="N394">
        <v>0.1515</v>
      </c>
      <c r="O394">
        <v>0.8</v>
      </c>
      <c r="P394">
        <v>0.19400000000000001</v>
      </c>
      <c r="Q394">
        <v>4</v>
      </c>
      <c r="R394">
        <v>29</v>
      </c>
      <c r="S394">
        <v>33</v>
      </c>
    </row>
    <row r="395" spans="1:19" x14ac:dyDescent="0.3">
      <c r="A395">
        <v>394</v>
      </c>
      <c r="B395" s="4">
        <v>40560</v>
      </c>
      <c r="C395">
        <v>1</v>
      </c>
      <c r="D395">
        <v>21</v>
      </c>
      <c r="E395" t="str">
        <f t="shared" si="18"/>
        <v>9 PM</v>
      </c>
      <c r="F395" t="str">
        <f t="shared" si="19"/>
        <v>Night</v>
      </c>
      <c r="G395" t="b">
        <v>1</v>
      </c>
      <c r="H395">
        <v>1</v>
      </c>
      <c r="I395" t="str">
        <f>_xlfn.XLOOKUP(Append15[[#This Row],[Week day]],Mappings!$B$3:$B$9,Mappings!$C$3:$C$9)</f>
        <v>Monday</v>
      </c>
      <c r="J395" t="str">
        <f t="shared" si="20"/>
        <v>Weekday</v>
      </c>
      <c r="K395">
        <v>3</v>
      </c>
      <c r="L395" t="str">
        <f>_xlfn.XLOOKUP(Append15[[#This Row],[WeatherSituation]],Mappings!$E$3:$E$6,Mappings!$F$3:$F$6)</f>
        <v>Light Rain</v>
      </c>
      <c r="M395">
        <v>0.16</v>
      </c>
      <c r="N395">
        <v>0.1515</v>
      </c>
      <c r="O395">
        <v>0.8</v>
      </c>
      <c r="P395">
        <v>0.19400000000000001</v>
      </c>
      <c r="Q395">
        <v>3</v>
      </c>
      <c r="R395">
        <v>24</v>
      </c>
      <c r="S395">
        <v>27</v>
      </c>
    </row>
    <row r="396" spans="1:19" x14ac:dyDescent="0.3">
      <c r="A396">
        <v>395</v>
      </c>
      <c r="B396" s="4">
        <v>40560</v>
      </c>
      <c r="C396">
        <v>1</v>
      </c>
      <c r="D396">
        <v>22</v>
      </c>
      <c r="E396" t="str">
        <f t="shared" si="18"/>
        <v>10 PM</v>
      </c>
      <c r="F396" t="str">
        <f t="shared" si="19"/>
        <v>Night</v>
      </c>
      <c r="G396" t="b">
        <v>1</v>
      </c>
      <c r="H396">
        <v>1</v>
      </c>
      <c r="I396" t="str">
        <f>_xlfn.XLOOKUP(Append15[[#This Row],[Week day]],Mappings!$B$3:$B$9,Mappings!$C$3:$C$9)</f>
        <v>Monday</v>
      </c>
      <c r="J396" t="str">
        <f t="shared" si="20"/>
        <v>Weekday</v>
      </c>
      <c r="K396">
        <v>3</v>
      </c>
      <c r="L396" t="str">
        <f>_xlfn.XLOOKUP(Append15[[#This Row],[WeatherSituation]],Mappings!$E$3:$E$6,Mappings!$F$3:$F$6)</f>
        <v>Light Rain</v>
      </c>
      <c r="M396">
        <v>0.14000000000000001</v>
      </c>
      <c r="N396">
        <v>0.1212</v>
      </c>
      <c r="O396">
        <v>0.93</v>
      </c>
      <c r="P396">
        <v>0.25369999999999998</v>
      </c>
      <c r="Q396">
        <v>0</v>
      </c>
      <c r="R396">
        <v>13</v>
      </c>
      <c r="S396">
        <v>13</v>
      </c>
    </row>
    <row r="397" spans="1:19" x14ac:dyDescent="0.3">
      <c r="A397">
        <v>396</v>
      </c>
      <c r="B397" s="4">
        <v>40560</v>
      </c>
      <c r="C397">
        <v>1</v>
      </c>
      <c r="D397">
        <v>23</v>
      </c>
      <c r="E397" t="str">
        <f t="shared" si="18"/>
        <v>11 PM</v>
      </c>
      <c r="F397" t="str">
        <f t="shared" si="19"/>
        <v>Night</v>
      </c>
      <c r="G397" t="b">
        <v>1</v>
      </c>
      <c r="H397">
        <v>1</v>
      </c>
      <c r="I397" t="str">
        <f>_xlfn.XLOOKUP(Append15[[#This Row],[Week day]],Mappings!$B$3:$B$9,Mappings!$C$3:$C$9)</f>
        <v>Monday</v>
      </c>
      <c r="J397" t="str">
        <f t="shared" si="20"/>
        <v>Weekday</v>
      </c>
      <c r="K397">
        <v>3</v>
      </c>
      <c r="L397" t="str">
        <f>_xlfn.XLOOKUP(Append15[[#This Row],[WeatherSituation]],Mappings!$E$3:$E$6,Mappings!$F$3:$F$6)</f>
        <v>Light Rain</v>
      </c>
      <c r="M397">
        <v>0.16</v>
      </c>
      <c r="N397">
        <v>0.13639999999999999</v>
      </c>
      <c r="O397">
        <v>0.86</v>
      </c>
      <c r="P397">
        <v>0.28360000000000002</v>
      </c>
      <c r="Q397">
        <v>1</v>
      </c>
      <c r="R397">
        <v>3</v>
      </c>
      <c r="S397">
        <v>4</v>
      </c>
    </row>
    <row r="398" spans="1:19" x14ac:dyDescent="0.3">
      <c r="A398">
        <v>397</v>
      </c>
      <c r="B398" s="4">
        <v>40561</v>
      </c>
      <c r="C398">
        <v>1</v>
      </c>
      <c r="D398">
        <v>12</v>
      </c>
      <c r="E398" t="str">
        <f t="shared" si="18"/>
        <v>12 PM</v>
      </c>
      <c r="F398" t="str">
        <f t="shared" si="19"/>
        <v>AfterNoon</v>
      </c>
      <c r="G398" t="b">
        <v>0</v>
      </c>
      <c r="H398">
        <v>2</v>
      </c>
      <c r="I398" t="str">
        <f>_xlfn.XLOOKUP(Append15[[#This Row],[Week day]],Mappings!$B$3:$B$9,Mappings!$C$3:$C$9)</f>
        <v>Tuesday</v>
      </c>
      <c r="J398" t="str">
        <f t="shared" si="20"/>
        <v>Weekday</v>
      </c>
      <c r="K398">
        <v>2</v>
      </c>
      <c r="L398" t="str">
        <f>_xlfn.XLOOKUP(Append15[[#This Row],[WeatherSituation]],Mappings!$E$3:$E$6,Mappings!$F$3:$F$6)</f>
        <v>Mist/Cloudy</v>
      </c>
      <c r="M398">
        <v>0.2</v>
      </c>
      <c r="N398">
        <v>0.18179999999999999</v>
      </c>
      <c r="O398">
        <v>0.86</v>
      </c>
      <c r="P398">
        <v>0.32840000000000003</v>
      </c>
      <c r="Q398">
        <v>0</v>
      </c>
      <c r="R398">
        <v>3</v>
      </c>
      <c r="S398">
        <v>3</v>
      </c>
    </row>
    <row r="399" spans="1:19" x14ac:dyDescent="0.3">
      <c r="A399">
        <v>398</v>
      </c>
      <c r="B399" s="4">
        <v>40561</v>
      </c>
      <c r="C399">
        <v>1</v>
      </c>
      <c r="D399">
        <v>13</v>
      </c>
      <c r="E399" t="str">
        <f t="shared" si="18"/>
        <v>1 PM</v>
      </c>
      <c r="F399" t="str">
        <f t="shared" si="19"/>
        <v>AfterNoon</v>
      </c>
      <c r="G399" t="b">
        <v>0</v>
      </c>
      <c r="H399">
        <v>2</v>
      </c>
      <c r="I399" t="str">
        <f>_xlfn.XLOOKUP(Append15[[#This Row],[Week day]],Mappings!$B$3:$B$9,Mappings!$C$3:$C$9)</f>
        <v>Tuesday</v>
      </c>
      <c r="J399" t="str">
        <f t="shared" si="20"/>
        <v>Weekday</v>
      </c>
      <c r="K399">
        <v>2</v>
      </c>
      <c r="L399" t="str">
        <f>_xlfn.XLOOKUP(Append15[[#This Row],[WeatherSituation]],Mappings!$E$3:$E$6,Mappings!$F$3:$F$6)</f>
        <v>Mist/Cloudy</v>
      </c>
      <c r="M399">
        <v>0.2</v>
      </c>
      <c r="N399">
        <v>0.19700000000000001</v>
      </c>
      <c r="O399">
        <v>0.86</v>
      </c>
      <c r="P399">
        <v>0.22389999999999999</v>
      </c>
      <c r="Q399">
        <v>0</v>
      </c>
      <c r="R399">
        <v>22</v>
      </c>
      <c r="S399">
        <v>22</v>
      </c>
    </row>
    <row r="400" spans="1:19" x14ac:dyDescent="0.3">
      <c r="A400">
        <v>399</v>
      </c>
      <c r="B400" s="4">
        <v>40561</v>
      </c>
      <c r="C400">
        <v>1</v>
      </c>
      <c r="D400">
        <v>14</v>
      </c>
      <c r="E400" t="str">
        <f t="shared" si="18"/>
        <v>2 PM</v>
      </c>
      <c r="F400" t="str">
        <f t="shared" si="19"/>
        <v>AfterNoon</v>
      </c>
      <c r="G400" t="b">
        <v>0</v>
      </c>
      <c r="H400">
        <v>2</v>
      </c>
      <c r="I400" t="str">
        <f>_xlfn.XLOOKUP(Append15[[#This Row],[Week day]],Mappings!$B$3:$B$9,Mappings!$C$3:$C$9)</f>
        <v>Tuesday</v>
      </c>
      <c r="J400" t="str">
        <f t="shared" si="20"/>
        <v>Weekday</v>
      </c>
      <c r="K400">
        <v>2</v>
      </c>
      <c r="L400" t="str">
        <f>_xlfn.XLOOKUP(Append15[[#This Row],[WeatherSituation]],Mappings!$E$3:$E$6,Mappings!$F$3:$F$6)</f>
        <v>Mist/Cloudy</v>
      </c>
      <c r="M400">
        <v>0.22</v>
      </c>
      <c r="N400">
        <v>0.2273</v>
      </c>
      <c r="O400">
        <v>0.8</v>
      </c>
      <c r="P400">
        <v>0.16420000000000001</v>
      </c>
      <c r="Q400">
        <v>2</v>
      </c>
      <c r="R400">
        <v>26</v>
      </c>
      <c r="S400">
        <v>28</v>
      </c>
    </row>
    <row r="401" spans="1:19" x14ac:dyDescent="0.3">
      <c r="A401">
        <v>400</v>
      </c>
      <c r="B401" s="4">
        <v>40561</v>
      </c>
      <c r="C401">
        <v>1</v>
      </c>
      <c r="D401">
        <v>15</v>
      </c>
      <c r="E401" t="str">
        <f t="shared" si="18"/>
        <v>3 PM</v>
      </c>
      <c r="F401" t="str">
        <f t="shared" si="19"/>
        <v>AfterNoon</v>
      </c>
      <c r="G401" t="b">
        <v>0</v>
      </c>
      <c r="H401">
        <v>2</v>
      </c>
      <c r="I401" t="str">
        <f>_xlfn.XLOOKUP(Append15[[#This Row],[Week day]],Mappings!$B$3:$B$9,Mappings!$C$3:$C$9)</f>
        <v>Tuesday</v>
      </c>
      <c r="J401" t="str">
        <f t="shared" si="20"/>
        <v>Weekday</v>
      </c>
      <c r="K401">
        <v>2</v>
      </c>
      <c r="L401" t="str">
        <f>_xlfn.XLOOKUP(Append15[[#This Row],[WeatherSituation]],Mappings!$E$3:$E$6,Mappings!$F$3:$F$6)</f>
        <v>Mist/Cloudy</v>
      </c>
      <c r="M401">
        <v>0.22</v>
      </c>
      <c r="N401">
        <v>0.2273</v>
      </c>
      <c r="O401">
        <v>0.87</v>
      </c>
      <c r="P401">
        <v>0.16420000000000001</v>
      </c>
      <c r="Q401">
        <v>3</v>
      </c>
      <c r="R401">
        <v>32</v>
      </c>
      <c r="S401">
        <v>35</v>
      </c>
    </row>
    <row r="402" spans="1:19" x14ac:dyDescent="0.3">
      <c r="A402">
        <v>401</v>
      </c>
      <c r="B402" s="4">
        <v>40561</v>
      </c>
      <c r="C402">
        <v>1</v>
      </c>
      <c r="D402">
        <v>16</v>
      </c>
      <c r="E402" t="str">
        <f t="shared" si="18"/>
        <v>4 PM</v>
      </c>
      <c r="F402" t="str">
        <f t="shared" si="19"/>
        <v>Evening</v>
      </c>
      <c r="G402" t="b">
        <v>0</v>
      </c>
      <c r="H402">
        <v>2</v>
      </c>
      <c r="I402" t="str">
        <f>_xlfn.XLOOKUP(Append15[[#This Row],[Week day]],Mappings!$B$3:$B$9,Mappings!$C$3:$C$9)</f>
        <v>Tuesday</v>
      </c>
      <c r="J402" t="str">
        <f t="shared" si="20"/>
        <v>Weekday</v>
      </c>
      <c r="K402">
        <v>2</v>
      </c>
      <c r="L402" t="str">
        <f>_xlfn.XLOOKUP(Append15[[#This Row],[WeatherSituation]],Mappings!$E$3:$E$6,Mappings!$F$3:$F$6)</f>
        <v>Mist/Cloudy</v>
      </c>
      <c r="M402">
        <v>0.22</v>
      </c>
      <c r="N402">
        <v>0.2273</v>
      </c>
      <c r="O402">
        <v>0.87</v>
      </c>
      <c r="P402">
        <v>0.19400000000000001</v>
      </c>
      <c r="Q402">
        <v>0</v>
      </c>
      <c r="R402">
        <v>61</v>
      </c>
      <c r="S402">
        <v>61</v>
      </c>
    </row>
    <row r="403" spans="1:19" x14ac:dyDescent="0.3">
      <c r="A403">
        <v>402</v>
      </c>
      <c r="B403" s="4">
        <v>40561</v>
      </c>
      <c r="C403">
        <v>1</v>
      </c>
      <c r="D403">
        <v>17</v>
      </c>
      <c r="E403" t="str">
        <f t="shared" si="18"/>
        <v>5 PM</v>
      </c>
      <c r="F403" t="str">
        <f t="shared" si="19"/>
        <v>Evening</v>
      </c>
      <c r="G403" t="b">
        <v>0</v>
      </c>
      <c r="H403">
        <v>2</v>
      </c>
      <c r="I403" t="str">
        <f>_xlfn.XLOOKUP(Append15[[#This Row],[Week day]],Mappings!$B$3:$B$9,Mappings!$C$3:$C$9)</f>
        <v>Tuesday</v>
      </c>
      <c r="J403" t="str">
        <f t="shared" si="20"/>
        <v>Weekday</v>
      </c>
      <c r="K403">
        <v>2</v>
      </c>
      <c r="L403" t="str">
        <f>_xlfn.XLOOKUP(Append15[[#This Row],[WeatherSituation]],Mappings!$E$3:$E$6,Mappings!$F$3:$F$6)</f>
        <v>Mist/Cloudy</v>
      </c>
      <c r="M403">
        <v>0.22</v>
      </c>
      <c r="N403">
        <v>0.2273</v>
      </c>
      <c r="O403">
        <v>0.82</v>
      </c>
      <c r="P403">
        <v>0.19400000000000001</v>
      </c>
      <c r="Q403">
        <v>1</v>
      </c>
      <c r="R403">
        <v>124</v>
      </c>
      <c r="S403">
        <v>125</v>
      </c>
    </row>
    <row r="404" spans="1:19" x14ac:dyDescent="0.3">
      <c r="A404">
        <v>403</v>
      </c>
      <c r="B404" s="4">
        <v>40561</v>
      </c>
      <c r="C404">
        <v>1</v>
      </c>
      <c r="D404">
        <v>18</v>
      </c>
      <c r="E404" t="str">
        <f t="shared" si="18"/>
        <v>6 PM</v>
      </c>
      <c r="F404" t="str">
        <f t="shared" si="19"/>
        <v>Evening</v>
      </c>
      <c r="G404" t="b">
        <v>0</v>
      </c>
      <c r="H404">
        <v>2</v>
      </c>
      <c r="I404" t="str">
        <f>_xlfn.XLOOKUP(Append15[[#This Row],[Week day]],Mappings!$B$3:$B$9,Mappings!$C$3:$C$9)</f>
        <v>Tuesday</v>
      </c>
      <c r="J404" t="str">
        <f t="shared" si="20"/>
        <v>Weekday</v>
      </c>
      <c r="K404">
        <v>2</v>
      </c>
      <c r="L404" t="str">
        <f>_xlfn.XLOOKUP(Append15[[#This Row],[WeatherSituation]],Mappings!$E$3:$E$6,Mappings!$F$3:$F$6)</f>
        <v>Mist/Cloudy</v>
      </c>
      <c r="M404">
        <v>0.22</v>
      </c>
      <c r="N404">
        <v>0.2273</v>
      </c>
      <c r="O404">
        <v>0.8</v>
      </c>
      <c r="P404">
        <v>0.16420000000000001</v>
      </c>
      <c r="Q404">
        <v>1</v>
      </c>
      <c r="R404">
        <v>132</v>
      </c>
      <c r="S404">
        <v>133</v>
      </c>
    </row>
    <row r="405" spans="1:19" x14ac:dyDescent="0.3">
      <c r="A405">
        <v>404</v>
      </c>
      <c r="B405" s="4">
        <v>40561</v>
      </c>
      <c r="C405">
        <v>1</v>
      </c>
      <c r="D405">
        <v>19</v>
      </c>
      <c r="E405" t="str">
        <f t="shared" si="18"/>
        <v>7 PM</v>
      </c>
      <c r="F405" t="str">
        <f t="shared" si="19"/>
        <v>Evening</v>
      </c>
      <c r="G405" t="b">
        <v>0</v>
      </c>
      <c r="H405">
        <v>2</v>
      </c>
      <c r="I405" t="str">
        <f>_xlfn.XLOOKUP(Append15[[#This Row],[Week day]],Mappings!$B$3:$B$9,Mappings!$C$3:$C$9)</f>
        <v>Tuesday</v>
      </c>
      <c r="J405" t="str">
        <f t="shared" si="20"/>
        <v>Weekday</v>
      </c>
      <c r="K405">
        <v>2</v>
      </c>
      <c r="L405" t="str">
        <f>_xlfn.XLOOKUP(Append15[[#This Row],[WeatherSituation]],Mappings!$E$3:$E$6,Mappings!$F$3:$F$6)</f>
        <v>Mist/Cloudy</v>
      </c>
      <c r="M405">
        <v>0.22</v>
      </c>
      <c r="N405">
        <v>0.2273</v>
      </c>
      <c r="O405">
        <v>0.8</v>
      </c>
      <c r="P405">
        <v>0.1343</v>
      </c>
      <c r="Q405">
        <v>1</v>
      </c>
      <c r="R405">
        <v>98</v>
      </c>
      <c r="S405">
        <v>99</v>
      </c>
    </row>
    <row r="406" spans="1:19" x14ac:dyDescent="0.3">
      <c r="A406">
        <v>405</v>
      </c>
      <c r="B406" s="4">
        <v>40561</v>
      </c>
      <c r="C406">
        <v>1</v>
      </c>
      <c r="D406">
        <v>20</v>
      </c>
      <c r="E406" t="str">
        <f t="shared" si="18"/>
        <v>8 PM</v>
      </c>
      <c r="F406" t="str">
        <f t="shared" si="19"/>
        <v>Night</v>
      </c>
      <c r="G406" t="b">
        <v>0</v>
      </c>
      <c r="H406">
        <v>2</v>
      </c>
      <c r="I406" t="str">
        <f>_xlfn.XLOOKUP(Append15[[#This Row],[Week day]],Mappings!$B$3:$B$9,Mappings!$C$3:$C$9)</f>
        <v>Tuesday</v>
      </c>
      <c r="J406" t="str">
        <f t="shared" si="20"/>
        <v>Weekday</v>
      </c>
      <c r="K406">
        <v>2</v>
      </c>
      <c r="L406" t="str">
        <f>_xlfn.XLOOKUP(Append15[[#This Row],[WeatherSituation]],Mappings!$E$3:$E$6,Mappings!$F$3:$F$6)</f>
        <v>Mist/Cloudy</v>
      </c>
      <c r="M406">
        <v>0.22</v>
      </c>
      <c r="N406">
        <v>0.2727</v>
      </c>
      <c r="O406">
        <v>0.87</v>
      </c>
      <c r="P406">
        <v>0</v>
      </c>
      <c r="Q406">
        <v>0</v>
      </c>
      <c r="R406">
        <v>83</v>
      </c>
      <c r="S406">
        <v>83</v>
      </c>
    </row>
    <row r="407" spans="1:19" x14ac:dyDescent="0.3">
      <c r="A407">
        <v>406</v>
      </c>
      <c r="B407" s="4">
        <v>40561</v>
      </c>
      <c r="C407">
        <v>1</v>
      </c>
      <c r="D407">
        <v>21</v>
      </c>
      <c r="E407" t="str">
        <f t="shared" si="18"/>
        <v>9 PM</v>
      </c>
      <c r="F407" t="str">
        <f t="shared" si="19"/>
        <v>Night</v>
      </c>
      <c r="G407" t="b">
        <v>0</v>
      </c>
      <c r="H407">
        <v>2</v>
      </c>
      <c r="I407" t="str">
        <f>_xlfn.XLOOKUP(Append15[[#This Row],[Week day]],Mappings!$B$3:$B$9,Mappings!$C$3:$C$9)</f>
        <v>Tuesday</v>
      </c>
      <c r="J407" t="str">
        <f t="shared" si="20"/>
        <v>Weekday</v>
      </c>
      <c r="K407">
        <v>2</v>
      </c>
      <c r="L407" t="str">
        <f>_xlfn.XLOOKUP(Append15[[#This Row],[WeatherSituation]],Mappings!$E$3:$E$6,Mappings!$F$3:$F$6)</f>
        <v>Mist/Cloudy</v>
      </c>
      <c r="M407">
        <v>0.22</v>
      </c>
      <c r="N407">
        <v>0.2424</v>
      </c>
      <c r="O407">
        <v>0.93</v>
      </c>
      <c r="P407">
        <v>0.1045</v>
      </c>
      <c r="Q407">
        <v>0</v>
      </c>
      <c r="R407">
        <v>41</v>
      </c>
      <c r="S407">
        <v>41</v>
      </c>
    </row>
    <row r="408" spans="1:19" x14ac:dyDescent="0.3">
      <c r="A408">
        <v>407</v>
      </c>
      <c r="B408" s="4">
        <v>40561</v>
      </c>
      <c r="C408">
        <v>1</v>
      </c>
      <c r="D408">
        <v>22</v>
      </c>
      <c r="E408" t="str">
        <f t="shared" si="18"/>
        <v>10 PM</v>
      </c>
      <c r="F408" t="str">
        <f t="shared" si="19"/>
        <v>Night</v>
      </c>
      <c r="G408" t="b">
        <v>0</v>
      </c>
      <c r="H408">
        <v>2</v>
      </c>
      <c r="I408" t="str">
        <f>_xlfn.XLOOKUP(Append15[[#This Row],[Week day]],Mappings!$B$3:$B$9,Mappings!$C$3:$C$9)</f>
        <v>Tuesday</v>
      </c>
      <c r="J408" t="str">
        <f t="shared" si="20"/>
        <v>Weekday</v>
      </c>
      <c r="K408">
        <v>2</v>
      </c>
      <c r="L408" t="str">
        <f>_xlfn.XLOOKUP(Append15[[#This Row],[WeatherSituation]],Mappings!$E$3:$E$6,Mappings!$F$3:$F$6)</f>
        <v>Mist/Cloudy</v>
      </c>
      <c r="M408">
        <v>0.22</v>
      </c>
      <c r="N408">
        <v>0.2576</v>
      </c>
      <c r="O408">
        <v>0.93</v>
      </c>
      <c r="P408">
        <v>8.9599999999999999E-2</v>
      </c>
      <c r="Q408">
        <v>0</v>
      </c>
      <c r="R408">
        <v>33</v>
      </c>
      <c r="S408">
        <v>33</v>
      </c>
    </row>
    <row r="409" spans="1:19" x14ac:dyDescent="0.3">
      <c r="A409">
        <v>408</v>
      </c>
      <c r="B409" s="4">
        <v>40561</v>
      </c>
      <c r="C409">
        <v>1</v>
      </c>
      <c r="D409">
        <v>23</v>
      </c>
      <c r="E409" t="str">
        <f t="shared" si="18"/>
        <v>11 PM</v>
      </c>
      <c r="F409" t="str">
        <f t="shared" si="19"/>
        <v>Night</v>
      </c>
      <c r="G409" t="b">
        <v>0</v>
      </c>
      <c r="H409">
        <v>2</v>
      </c>
      <c r="I409" t="str">
        <f>_xlfn.XLOOKUP(Append15[[#This Row],[Week day]],Mappings!$B$3:$B$9,Mappings!$C$3:$C$9)</f>
        <v>Tuesday</v>
      </c>
      <c r="J409" t="str">
        <f t="shared" si="20"/>
        <v>Weekday</v>
      </c>
      <c r="K409">
        <v>2</v>
      </c>
      <c r="L409" t="str">
        <f>_xlfn.XLOOKUP(Append15[[#This Row],[WeatherSituation]],Mappings!$E$3:$E$6,Mappings!$F$3:$F$6)</f>
        <v>Mist/Cloudy</v>
      </c>
      <c r="M409">
        <v>0.22</v>
      </c>
      <c r="N409">
        <v>0.2727</v>
      </c>
      <c r="O409">
        <v>0.93</v>
      </c>
      <c r="P409">
        <v>0</v>
      </c>
      <c r="Q409">
        <v>1</v>
      </c>
      <c r="R409">
        <v>19</v>
      </c>
      <c r="S409">
        <v>20</v>
      </c>
    </row>
    <row r="410" spans="1:19" x14ac:dyDescent="0.3">
      <c r="A410">
        <v>409</v>
      </c>
      <c r="B410" s="4">
        <v>40562</v>
      </c>
      <c r="C410">
        <v>1</v>
      </c>
      <c r="D410">
        <v>0</v>
      </c>
      <c r="E410" t="str">
        <f t="shared" si="18"/>
        <v>12 AM</v>
      </c>
      <c r="F410" t="str">
        <f t="shared" si="19"/>
        <v>Night</v>
      </c>
      <c r="G410" t="b">
        <v>0</v>
      </c>
      <c r="H410">
        <v>3</v>
      </c>
      <c r="I410" t="str">
        <f>_xlfn.XLOOKUP(Append15[[#This Row],[Week day]],Mappings!$B$3:$B$9,Mappings!$C$3:$C$9)</f>
        <v>Wednesday</v>
      </c>
      <c r="J410" t="str">
        <f t="shared" si="20"/>
        <v>Weekday</v>
      </c>
      <c r="K410">
        <v>2</v>
      </c>
      <c r="L410" t="str">
        <f>_xlfn.XLOOKUP(Append15[[#This Row],[WeatherSituation]],Mappings!$E$3:$E$6,Mappings!$F$3:$F$6)</f>
        <v>Mist/Cloudy</v>
      </c>
      <c r="M410">
        <v>0.22</v>
      </c>
      <c r="N410">
        <v>0.2727</v>
      </c>
      <c r="O410">
        <v>0.93</v>
      </c>
      <c r="P410">
        <v>0</v>
      </c>
      <c r="Q410">
        <v>0</v>
      </c>
      <c r="R410">
        <v>3</v>
      </c>
      <c r="S410">
        <v>3</v>
      </c>
    </row>
    <row r="411" spans="1:19" x14ac:dyDescent="0.3">
      <c r="A411">
        <v>410</v>
      </c>
      <c r="B411" s="4">
        <v>40562</v>
      </c>
      <c r="C411">
        <v>1</v>
      </c>
      <c r="D411">
        <v>1</v>
      </c>
      <c r="E411" t="str">
        <f t="shared" si="18"/>
        <v>1 AM</v>
      </c>
      <c r="F411" t="str">
        <f t="shared" si="19"/>
        <v>Night</v>
      </c>
      <c r="G411" t="b">
        <v>0</v>
      </c>
      <c r="H411">
        <v>3</v>
      </c>
      <c r="I411" t="str">
        <f>_xlfn.XLOOKUP(Append15[[#This Row],[Week day]],Mappings!$B$3:$B$9,Mappings!$C$3:$C$9)</f>
        <v>Wednesday</v>
      </c>
      <c r="J411" t="str">
        <f t="shared" si="20"/>
        <v>Weekday</v>
      </c>
      <c r="K411">
        <v>3</v>
      </c>
      <c r="L411" t="str">
        <f>_xlfn.XLOOKUP(Append15[[#This Row],[WeatherSituation]],Mappings!$E$3:$E$6,Mappings!$F$3:$F$6)</f>
        <v>Light Rain</v>
      </c>
      <c r="M411">
        <v>0.22</v>
      </c>
      <c r="N411">
        <v>0.2273</v>
      </c>
      <c r="O411">
        <v>0.93</v>
      </c>
      <c r="P411">
        <v>0.1343</v>
      </c>
      <c r="Q411">
        <v>1</v>
      </c>
      <c r="R411">
        <v>6</v>
      </c>
      <c r="S411">
        <v>7</v>
      </c>
    </row>
    <row r="412" spans="1:19" x14ac:dyDescent="0.3">
      <c r="A412">
        <v>411</v>
      </c>
      <c r="B412" s="4">
        <v>40562</v>
      </c>
      <c r="C412">
        <v>1</v>
      </c>
      <c r="D412">
        <v>2</v>
      </c>
      <c r="E412" t="str">
        <f t="shared" si="18"/>
        <v>2 AM</v>
      </c>
      <c r="F412" t="str">
        <f t="shared" si="19"/>
        <v>Night</v>
      </c>
      <c r="G412" t="b">
        <v>0</v>
      </c>
      <c r="H412">
        <v>3</v>
      </c>
      <c r="I412" t="str">
        <f>_xlfn.XLOOKUP(Append15[[#This Row],[Week day]],Mappings!$B$3:$B$9,Mappings!$C$3:$C$9)</f>
        <v>Wednesday</v>
      </c>
      <c r="J412" t="str">
        <f t="shared" si="20"/>
        <v>Weekday</v>
      </c>
      <c r="K412">
        <v>3</v>
      </c>
      <c r="L412" t="str">
        <f>_xlfn.XLOOKUP(Append15[[#This Row],[WeatherSituation]],Mappings!$E$3:$E$6,Mappings!$F$3:$F$6)</f>
        <v>Light Rain</v>
      </c>
      <c r="M412">
        <v>0.22</v>
      </c>
      <c r="N412">
        <v>0.2273</v>
      </c>
      <c r="O412">
        <v>0.93</v>
      </c>
      <c r="P412">
        <v>0.1343</v>
      </c>
      <c r="Q412">
        <v>0</v>
      </c>
      <c r="R412">
        <v>3</v>
      </c>
      <c r="S412">
        <v>3</v>
      </c>
    </row>
    <row r="413" spans="1:19" x14ac:dyDescent="0.3">
      <c r="A413">
        <v>412</v>
      </c>
      <c r="B413" s="4">
        <v>40562</v>
      </c>
      <c r="C413">
        <v>1</v>
      </c>
      <c r="D413">
        <v>4</v>
      </c>
      <c r="E413" t="str">
        <f t="shared" si="18"/>
        <v>4 AM</v>
      </c>
      <c r="F413" t="str">
        <f t="shared" si="19"/>
        <v>Night</v>
      </c>
      <c r="G413" t="b">
        <v>0</v>
      </c>
      <c r="H413">
        <v>3</v>
      </c>
      <c r="I413" t="str">
        <f>_xlfn.XLOOKUP(Append15[[#This Row],[Week day]],Mappings!$B$3:$B$9,Mappings!$C$3:$C$9)</f>
        <v>Wednesday</v>
      </c>
      <c r="J413" t="str">
        <f t="shared" si="20"/>
        <v>Weekday</v>
      </c>
      <c r="K413">
        <v>3</v>
      </c>
      <c r="L413" t="str">
        <f>_xlfn.XLOOKUP(Append15[[#This Row],[WeatherSituation]],Mappings!$E$3:$E$6,Mappings!$F$3:$F$6)</f>
        <v>Light Rain</v>
      </c>
      <c r="M413">
        <v>0.22</v>
      </c>
      <c r="N413">
        <v>0.2273</v>
      </c>
      <c r="O413">
        <v>0.93</v>
      </c>
      <c r="P413">
        <v>0.1343</v>
      </c>
      <c r="Q413">
        <v>1</v>
      </c>
      <c r="R413">
        <v>1</v>
      </c>
      <c r="S413">
        <v>2</v>
      </c>
    </row>
    <row r="414" spans="1:19" x14ac:dyDescent="0.3">
      <c r="A414">
        <v>413</v>
      </c>
      <c r="B414" s="4">
        <v>40562</v>
      </c>
      <c r="C414">
        <v>1</v>
      </c>
      <c r="D414">
        <v>5</v>
      </c>
      <c r="E414" t="str">
        <f t="shared" si="18"/>
        <v>5 AM</v>
      </c>
      <c r="F414" t="str">
        <f t="shared" si="19"/>
        <v>Morning</v>
      </c>
      <c r="G414" t="b">
        <v>0</v>
      </c>
      <c r="H414">
        <v>3</v>
      </c>
      <c r="I414" t="str">
        <f>_xlfn.XLOOKUP(Append15[[#This Row],[Week day]],Mappings!$B$3:$B$9,Mappings!$C$3:$C$9)</f>
        <v>Wednesday</v>
      </c>
      <c r="J414" t="str">
        <f t="shared" si="20"/>
        <v>Weekday</v>
      </c>
      <c r="K414">
        <v>2</v>
      </c>
      <c r="L414" t="str">
        <f>_xlfn.XLOOKUP(Append15[[#This Row],[WeatherSituation]],Mappings!$E$3:$E$6,Mappings!$F$3:$F$6)</f>
        <v>Mist/Cloudy</v>
      </c>
      <c r="M414">
        <v>0.22</v>
      </c>
      <c r="N414">
        <v>0.2576</v>
      </c>
      <c r="O414">
        <v>0.93</v>
      </c>
      <c r="P414">
        <v>8.9599999999999999E-2</v>
      </c>
      <c r="Q414">
        <v>0</v>
      </c>
      <c r="R414">
        <v>7</v>
      </c>
      <c r="S414">
        <v>7</v>
      </c>
    </row>
    <row r="415" spans="1:19" x14ac:dyDescent="0.3">
      <c r="A415">
        <v>414</v>
      </c>
      <c r="B415" s="4">
        <v>40562</v>
      </c>
      <c r="C415">
        <v>1</v>
      </c>
      <c r="D415">
        <v>6</v>
      </c>
      <c r="E415" t="str">
        <f t="shared" si="18"/>
        <v>6 AM</v>
      </c>
      <c r="F415" t="str">
        <f t="shared" si="19"/>
        <v>Morning</v>
      </c>
      <c r="G415" t="b">
        <v>0</v>
      </c>
      <c r="H415">
        <v>3</v>
      </c>
      <c r="I415" t="str">
        <f>_xlfn.XLOOKUP(Append15[[#This Row],[Week day]],Mappings!$B$3:$B$9,Mappings!$C$3:$C$9)</f>
        <v>Wednesday</v>
      </c>
      <c r="J415" t="str">
        <f t="shared" si="20"/>
        <v>Weekday</v>
      </c>
      <c r="K415">
        <v>2</v>
      </c>
      <c r="L415" t="str">
        <f>_xlfn.XLOOKUP(Append15[[#This Row],[WeatherSituation]],Mappings!$E$3:$E$6,Mappings!$F$3:$F$6)</f>
        <v>Mist/Cloudy</v>
      </c>
      <c r="M415">
        <v>0.22</v>
      </c>
      <c r="N415">
        <v>0.2576</v>
      </c>
      <c r="O415">
        <v>0.93</v>
      </c>
      <c r="P415">
        <v>8.9599999999999999E-2</v>
      </c>
      <c r="Q415">
        <v>0</v>
      </c>
      <c r="R415">
        <v>32</v>
      </c>
      <c r="S415">
        <v>32</v>
      </c>
    </row>
    <row r="416" spans="1:19" x14ac:dyDescent="0.3">
      <c r="A416">
        <v>415</v>
      </c>
      <c r="B416" s="4">
        <v>40562</v>
      </c>
      <c r="C416">
        <v>1</v>
      </c>
      <c r="D416">
        <v>7</v>
      </c>
      <c r="E416" t="str">
        <f t="shared" si="18"/>
        <v>7 AM</v>
      </c>
      <c r="F416" t="str">
        <f t="shared" si="19"/>
        <v>Morning</v>
      </c>
      <c r="G416" t="b">
        <v>0</v>
      </c>
      <c r="H416">
        <v>3</v>
      </c>
      <c r="I416" t="str">
        <f>_xlfn.XLOOKUP(Append15[[#This Row],[Week day]],Mappings!$B$3:$B$9,Mappings!$C$3:$C$9)</f>
        <v>Wednesday</v>
      </c>
      <c r="J416" t="str">
        <f t="shared" si="20"/>
        <v>Weekday</v>
      </c>
      <c r="K416">
        <v>2</v>
      </c>
      <c r="L416" t="str">
        <f>_xlfn.XLOOKUP(Append15[[#This Row],[WeatherSituation]],Mappings!$E$3:$E$6,Mappings!$F$3:$F$6)</f>
        <v>Mist/Cloudy</v>
      </c>
      <c r="M416">
        <v>0.24</v>
      </c>
      <c r="N416">
        <v>0.2576</v>
      </c>
      <c r="O416">
        <v>0.92</v>
      </c>
      <c r="P416">
        <v>0.1045</v>
      </c>
      <c r="Q416">
        <v>1</v>
      </c>
      <c r="R416">
        <v>89</v>
      </c>
      <c r="S416">
        <v>90</v>
      </c>
    </row>
    <row r="417" spans="1:19" x14ac:dyDescent="0.3">
      <c r="A417">
        <v>416</v>
      </c>
      <c r="B417" s="4">
        <v>40562</v>
      </c>
      <c r="C417">
        <v>1</v>
      </c>
      <c r="D417">
        <v>8</v>
      </c>
      <c r="E417" t="str">
        <f t="shared" si="18"/>
        <v>8 AM</v>
      </c>
      <c r="F417" t="str">
        <f t="shared" si="19"/>
        <v>Morning</v>
      </c>
      <c r="G417" t="b">
        <v>0</v>
      </c>
      <c r="H417">
        <v>3</v>
      </c>
      <c r="I417" t="str">
        <f>_xlfn.XLOOKUP(Append15[[#This Row],[Week day]],Mappings!$B$3:$B$9,Mappings!$C$3:$C$9)</f>
        <v>Wednesday</v>
      </c>
      <c r="J417" t="str">
        <f t="shared" si="20"/>
        <v>Weekday</v>
      </c>
      <c r="K417">
        <v>2</v>
      </c>
      <c r="L417" t="str">
        <f>_xlfn.XLOOKUP(Append15[[#This Row],[WeatherSituation]],Mappings!$E$3:$E$6,Mappings!$F$3:$F$6)</f>
        <v>Mist/Cloudy</v>
      </c>
      <c r="M417">
        <v>0.24</v>
      </c>
      <c r="N417">
        <v>0.2576</v>
      </c>
      <c r="O417">
        <v>0.93</v>
      </c>
      <c r="P417">
        <v>0.1045</v>
      </c>
      <c r="Q417">
        <v>1</v>
      </c>
      <c r="R417">
        <v>196</v>
      </c>
      <c r="S417">
        <v>197</v>
      </c>
    </row>
    <row r="418" spans="1:19" x14ac:dyDescent="0.3">
      <c r="A418">
        <v>417</v>
      </c>
      <c r="B418" s="4">
        <v>40562</v>
      </c>
      <c r="C418">
        <v>1</v>
      </c>
      <c r="D418">
        <v>9</v>
      </c>
      <c r="E418" t="str">
        <f t="shared" si="18"/>
        <v>9 AM</v>
      </c>
      <c r="F418" t="str">
        <f t="shared" si="19"/>
        <v>Morning</v>
      </c>
      <c r="G418" t="b">
        <v>0</v>
      </c>
      <c r="H418">
        <v>3</v>
      </c>
      <c r="I418" t="str">
        <f>_xlfn.XLOOKUP(Append15[[#This Row],[Week day]],Mappings!$B$3:$B$9,Mappings!$C$3:$C$9)</f>
        <v>Wednesday</v>
      </c>
      <c r="J418" t="str">
        <f t="shared" si="20"/>
        <v>Weekday</v>
      </c>
      <c r="K418">
        <v>2</v>
      </c>
      <c r="L418" t="str">
        <f>_xlfn.XLOOKUP(Append15[[#This Row],[WeatherSituation]],Mappings!$E$3:$E$6,Mappings!$F$3:$F$6)</f>
        <v>Mist/Cloudy</v>
      </c>
      <c r="M418">
        <v>0.24</v>
      </c>
      <c r="N418">
        <v>0.2576</v>
      </c>
      <c r="O418">
        <v>0.93</v>
      </c>
      <c r="P418">
        <v>0.1045</v>
      </c>
      <c r="Q418">
        <v>2</v>
      </c>
      <c r="R418">
        <v>107</v>
      </c>
      <c r="S418">
        <v>109</v>
      </c>
    </row>
    <row r="419" spans="1:19" x14ac:dyDescent="0.3">
      <c r="A419">
        <v>418</v>
      </c>
      <c r="B419" s="4">
        <v>40562</v>
      </c>
      <c r="C419">
        <v>1</v>
      </c>
      <c r="D419">
        <v>10</v>
      </c>
      <c r="E419" t="str">
        <f t="shared" si="18"/>
        <v>10 AM</v>
      </c>
      <c r="F419" t="str">
        <f t="shared" si="19"/>
        <v>Morning</v>
      </c>
      <c r="G419" t="b">
        <v>0</v>
      </c>
      <c r="H419">
        <v>3</v>
      </c>
      <c r="I419" t="str">
        <f>_xlfn.XLOOKUP(Append15[[#This Row],[Week day]],Mappings!$B$3:$B$9,Mappings!$C$3:$C$9)</f>
        <v>Wednesday</v>
      </c>
      <c r="J419" t="str">
        <f t="shared" si="20"/>
        <v>Weekday</v>
      </c>
      <c r="K419">
        <v>2</v>
      </c>
      <c r="L419" t="str">
        <f>_xlfn.XLOOKUP(Append15[[#This Row],[WeatherSituation]],Mappings!$E$3:$E$6,Mappings!$F$3:$F$6)</f>
        <v>Mist/Cloudy</v>
      </c>
      <c r="M419">
        <v>0.26</v>
      </c>
      <c r="N419">
        <v>0.2727</v>
      </c>
      <c r="O419">
        <v>0.93</v>
      </c>
      <c r="P419">
        <v>0.1343</v>
      </c>
      <c r="Q419">
        <v>1</v>
      </c>
      <c r="R419">
        <v>46</v>
      </c>
      <c r="S419">
        <v>47</v>
      </c>
    </row>
    <row r="420" spans="1:19" x14ac:dyDescent="0.3">
      <c r="A420">
        <v>419</v>
      </c>
      <c r="B420" s="4">
        <v>40562</v>
      </c>
      <c r="C420">
        <v>1</v>
      </c>
      <c r="D420">
        <v>11</v>
      </c>
      <c r="E420" t="str">
        <f t="shared" si="18"/>
        <v>11 AM</v>
      </c>
      <c r="F420" t="str">
        <f t="shared" si="19"/>
        <v>Morning</v>
      </c>
      <c r="G420" t="b">
        <v>0</v>
      </c>
      <c r="H420">
        <v>3</v>
      </c>
      <c r="I420" t="str">
        <f>_xlfn.XLOOKUP(Append15[[#This Row],[Week day]],Mappings!$B$3:$B$9,Mappings!$C$3:$C$9)</f>
        <v>Wednesday</v>
      </c>
      <c r="J420" t="str">
        <f t="shared" si="20"/>
        <v>Weekday</v>
      </c>
      <c r="K420">
        <v>2</v>
      </c>
      <c r="L420" t="str">
        <f>_xlfn.XLOOKUP(Append15[[#This Row],[WeatherSituation]],Mappings!$E$3:$E$6,Mappings!$F$3:$F$6)</f>
        <v>Mist/Cloudy</v>
      </c>
      <c r="M420">
        <v>0.28000000000000003</v>
      </c>
      <c r="N420">
        <v>0.30299999999999999</v>
      </c>
      <c r="O420">
        <v>0.87</v>
      </c>
      <c r="P420">
        <v>8.9599999999999999E-2</v>
      </c>
      <c r="Q420">
        <v>5</v>
      </c>
      <c r="R420">
        <v>47</v>
      </c>
      <c r="S420">
        <v>52</v>
      </c>
    </row>
    <row r="421" spans="1:19" x14ac:dyDescent="0.3">
      <c r="A421">
        <v>420</v>
      </c>
      <c r="B421" s="4">
        <v>40562</v>
      </c>
      <c r="C421">
        <v>1</v>
      </c>
      <c r="D421">
        <v>12</v>
      </c>
      <c r="E421" t="str">
        <f t="shared" si="18"/>
        <v>12 PM</v>
      </c>
      <c r="F421" t="str">
        <f t="shared" si="19"/>
        <v>AfterNoon</v>
      </c>
      <c r="G421" t="b">
        <v>0</v>
      </c>
      <c r="H421">
        <v>3</v>
      </c>
      <c r="I421" t="str">
        <f>_xlfn.XLOOKUP(Append15[[#This Row],[Week day]],Mappings!$B$3:$B$9,Mappings!$C$3:$C$9)</f>
        <v>Wednesday</v>
      </c>
      <c r="J421" t="str">
        <f t="shared" si="20"/>
        <v>Weekday</v>
      </c>
      <c r="K421">
        <v>2</v>
      </c>
      <c r="L421" t="str">
        <f>_xlfn.XLOOKUP(Append15[[#This Row],[WeatherSituation]],Mappings!$E$3:$E$6,Mappings!$F$3:$F$6)</f>
        <v>Mist/Cloudy</v>
      </c>
      <c r="M421">
        <v>0.3</v>
      </c>
      <c r="N421">
        <v>0.31819999999999998</v>
      </c>
      <c r="O421">
        <v>0.81</v>
      </c>
      <c r="P421">
        <v>8.9599999999999999E-2</v>
      </c>
      <c r="Q421">
        <v>5</v>
      </c>
      <c r="R421">
        <v>65</v>
      </c>
      <c r="S421">
        <v>70</v>
      </c>
    </row>
    <row r="422" spans="1:19" x14ac:dyDescent="0.3">
      <c r="A422">
        <v>421</v>
      </c>
      <c r="B422" s="4">
        <v>40562</v>
      </c>
      <c r="C422">
        <v>1</v>
      </c>
      <c r="D422">
        <v>13</v>
      </c>
      <c r="E422" t="str">
        <f t="shared" si="18"/>
        <v>1 PM</v>
      </c>
      <c r="F422" t="str">
        <f t="shared" si="19"/>
        <v>AfterNoon</v>
      </c>
      <c r="G422" t="b">
        <v>0</v>
      </c>
      <c r="H422">
        <v>3</v>
      </c>
      <c r="I422" t="str">
        <f>_xlfn.XLOOKUP(Append15[[#This Row],[Week day]],Mappings!$B$3:$B$9,Mappings!$C$3:$C$9)</f>
        <v>Wednesday</v>
      </c>
      <c r="J422" t="str">
        <f t="shared" si="20"/>
        <v>Weekday</v>
      </c>
      <c r="K422">
        <v>1</v>
      </c>
      <c r="L422" t="str">
        <f>_xlfn.XLOOKUP(Append15[[#This Row],[WeatherSituation]],Mappings!$E$3:$E$6,Mappings!$F$3:$F$6)</f>
        <v>Clear Sky</v>
      </c>
      <c r="M422">
        <v>0.4</v>
      </c>
      <c r="N422">
        <v>0.40910000000000002</v>
      </c>
      <c r="O422">
        <v>0.62</v>
      </c>
      <c r="P422">
        <v>0.28360000000000002</v>
      </c>
      <c r="Q422">
        <v>11</v>
      </c>
      <c r="R422">
        <v>67</v>
      </c>
      <c r="S422">
        <v>78</v>
      </c>
    </row>
    <row r="423" spans="1:19" x14ac:dyDescent="0.3">
      <c r="A423">
        <v>422</v>
      </c>
      <c r="B423" s="4">
        <v>40562</v>
      </c>
      <c r="C423">
        <v>1</v>
      </c>
      <c r="D423">
        <v>14</v>
      </c>
      <c r="E423" t="str">
        <f t="shared" si="18"/>
        <v>2 PM</v>
      </c>
      <c r="F423" t="str">
        <f t="shared" si="19"/>
        <v>AfterNoon</v>
      </c>
      <c r="G423" t="b">
        <v>0</v>
      </c>
      <c r="H423">
        <v>3</v>
      </c>
      <c r="I423" t="str">
        <f>_xlfn.XLOOKUP(Append15[[#This Row],[Week day]],Mappings!$B$3:$B$9,Mappings!$C$3:$C$9)</f>
        <v>Wednesday</v>
      </c>
      <c r="J423" t="str">
        <f t="shared" si="20"/>
        <v>Weekday</v>
      </c>
      <c r="K423">
        <v>1</v>
      </c>
      <c r="L423" t="str">
        <f>_xlfn.XLOOKUP(Append15[[#This Row],[WeatherSituation]],Mappings!$E$3:$E$6,Mappings!$F$3:$F$6)</f>
        <v>Clear Sky</v>
      </c>
      <c r="M423">
        <v>0.4</v>
      </c>
      <c r="N423">
        <v>0.40910000000000002</v>
      </c>
      <c r="O423">
        <v>0.57999999999999996</v>
      </c>
      <c r="P423">
        <v>0.25369999999999998</v>
      </c>
      <c r="Q423">
        <v>7</v>
      </c>
      <c r="R423">
        <v>68</v>
      </c>
      <c r="S423">
        <v>75</v>
      </c>
    </row>
    <row r="424" spans="1:19" x14ac:dyDescent="0.3">
      <c r="A424">
        <v>423</v>
      </c>
      <c r="B424" s="4">
        <v>40562</v>
      </c>
      <c r="C424">
        <v>1</v>
      </c>
      <c r="D424">
        <v>15</v>
      </c>
      <c r="E424" t="str">
        <f t="shared" si="18"/>
        <v>3 PM</v>
      </c>
      <c r="F424" t="str">
        <f t="shared" si="19"/>
        <v>AfterNoon</v>
      </c>
      <c r="G424" t="b">
        <v>0</v>
      </c>
      <c r="H424">
        <v>3</v>
      </c>
      <c r="I424" t="str">
        <f>_xlfn.XLOOKUP(Append15[[#This Row],[Week day]],Mappings!$B$3:$B$9,Mappings!$C$3:$C$9)</f>
        <v>Wednesday</v>
      </c>
      <c r="J424" t="str">
        <f t="shared" si="20"/>
        <v>Weekday</v>
      </c>
      <c r="K424">
        <v>1</v>
      </c>
      <c r="L424" t="str">
        <f>_xlfn.XLOOKUP(Append15[[#This Row],[WeatherSituation]],Mappings!$E$3:$E$6,Mappings!$F$3:$F$6)</f>
        <v>Clear Sky</v>
      </c>
      <c r="M424">
        <v>0.4</v>
      </c>
      <c r="N424">
        <v>0.40910000000000002</v>
      </c>
      <c r="O424">
        <v>0.54</v>
      </c>
      <c r="P424">
        <v>0.28360000000000002</v>
      </c>
      <c r="Q424">
        <v>4</v>
      </c>
      <c r="R424">
        <v>78</v>
      </c>
      <c r="S424">
        <v>82</v>
      </c>
    </row>
    <row r="425" spans="1:19" x14ac:dyDescent="0.3">
      <c r="A425">
        <v>424</v>
      </c>
      <c r="B425" s="4">
        <v>40562</v>
      </c>
      <c r="C425">
        <v>1</v>
      </c>
      <c r="D425">
        <v>16</v>
      </c>
      <c r="E425" t="str">
        <f t="shared" si="18"/>
        <v>4 PM</v>
      </c>
      <c r="F425" t="str">
        <f t="shared" si="19"/>
        <v>Evening</v>
      </c>
      <c r="G425" t="b">
        <v>0</v>
      </c>
      <c r="H425">
        <v>3</v>
      </c>
      <c r="I425" t="str">
        <f>_xlfn.XLOOKUP(Append15[[#This Row],[Week day]],Mappings!$B$3:$B$9,Mappings!$C$3:$C$9)</f>
        <v>Wednesday</v>
      </c>
      <c r="J425" t="str">
        <f t="shared" si="20"/>
        <v>Weekday</v>
      </c>
      <c r="K425">
        <v>1</v>
      </c>
      <c r="L425" t="str">
        <f>_xlfn.XLOOKUP(Append15[[#This Row],[WeatherSituation]],Mappings!$E$3:$E$6,Mappings!$F$3:$F$6)</f>
        <v>Clear Sky</v>
      </c>
      <c r="M425">
        <v>0.38</v>
      </c>
      <c r="N425">
        <v>0.39389999999999997</v>
      </c>
      <c r="O425">
        <v>0.57999999999999996</v>
      </c>
      <c r="P425">
        <v>0.3881</v>
      </c>
      <c r="Q425">
        <v>10</v>
      </c>
      <c r="R425">
        <v>94</v>
      </c>
      <c r="S425">
        <v>104</v>
      </c>
    </row>
    <row r="426" spans="1:19" x14ac:dyDescent="0.3">
      <c r="A426">
        <v>425</v>
      </c>
      <c r="B426" s="4">
        <v>40562</v>
      </c>
      <c r="C426">
        <v>1</v>
      </c>
      <c r="D426">
        <v>17</v>
      </c>
      <c r="E426" t="str">
        <f t="shared" si="18"/>
        <v>5 PM</v>
      </c>
      <c r="F426" t="str">
        <f t="shared" si="19"/>
        <v>Evening</v>
      </c>
      <c r="G426" t="b">
        <v>0</v>
      </c>
      <c r="H426">
        <v>3</v>
      </c>
      <c r="I426" t="str">
        <f>_xlfn.XLOOKUP(Append15[[#This Row],[Week day]],Mappings!$B$3:$B$9,Mappings!$C$3:$C$9)</f>
        <v>Wednesday</v>
      </c>
      <c r="J426" t="str">
        <f t="shared" si="20"/>
        <v>Weekday</v>
      </c>
      <c r="K426">
        <v>1</v>
      </c>
      <c r="L426" t="str">
        <f>_xlfn.XLOOKUP(Append15[[#This Row],[WeatherSituation]],Mappings!$E$3:$E$6,Mappings!$F$3:$F$6)</f>
        <v>Clear Sky</v>
      </c>
      <c r="M426">
        <v>0.36</v>
      </c>
      <c r="N426">
        <v>0.33329999999999999</v>
      </c>
      <c r="O426">
        <v>0.56999999999999995</v>
      </c>
      <c r="P426">
        <v>0.32840000000000003</v>
      </c>
      <c r="Q426">
        <v>7</v>
      </c>
      <c r="R426">
        <v>190</v>
      </c>
      <c r="S426">
        <v>197</v>
      </c>
    </row>
    <row r="427" spans="1:19" x14ac:dyDescent="0.3">
      <c r="A427">
        <v>426</v>
      </c>
      <c r="B427" s="4">
        <v>40562</v>
      </c>
      <c r="C427">
        <v>1</v>
      </c>
      <c r="D427">
        <v>18</v>
      </c>
      <c r="E427" t="str">
        <f t="shared" si="18"/>
        <v>6 PM</v>
      </c>
      <c r="F427" t="str">
        <f t="shared" si="19"/>
        <v>Evening</v>
      </c>
      <c r="G427" t="b">
        <v>0</v>
      </c>
      <c r="H427">
        <v>3</v>
      </c>
      <c r="I427" t="str">
        <f>_xlfn.XLOOKUP(Append15[[#This Row],[Week day]],Mappings!$B$3:$B$9,Mappings!$C$3:$C$9)</f>
        <v>Wednesday</v>
      </c>
      <c r="J427" t="str">
        <f t="shared" si="20"/>
        <v>Weekday</v>
      </c>
      <c r="K427">
        <v>1</v>
      </c>
      <c r="L427" t="str">
        <f>_xlfn.XLOOKUP(Append15[[#This Row],[WeatherSituation]],Mappings!$E$3:$E$6,Mappings!$F$3:$F$6)</f>
        <v>Clear Sky</v>
      </c>
      <c r="M427">
        <v>0.34</v>
      </c>
      <c r="N427">
        <v>0.31819999999999998</v>
      </c>
      <c r="O427">
        <v>0.61</v>
      </c>
      <c r="P427">
        <v>0.28360000000000002</v>
      </c>
      <c r="Q427">
        <v>5</v>
      </c>
      <c r="R427">
        <v>156</v>
      </c>
      <c r="S427">
        <v>161</v>
      </c>
    </row>
    <row r="428" spans="1:19" x14ac:dyDescent="0.3">
      <c r="A428">
        <v>427</v>
      </c>
      <c r="B428" s="4">
        <v>40562</v>
      </c>
      <c r="C428">
        <v>1</v>
      </c>
      <c r="D428">
        <v>19</v>
      </c>
      <c r="E428" t="str">
        <f t="shared" si="18"/>
        <v>7 PM</v>
      </c>
      <c r="F428" t="str">
        <f t="shared" si="19"/>
        <v>Evening</v>
      </c>
      <c r="G428" t="b">
        <v>0</v>
      </c>
      <c r="H428">
        <v>3</v>
      </c>
      <c r="I428" t="str">
        <f>_xlfn.XLOOKUP(Append15[[#This Row],[Week day]],Mappings!$B$3:$B$9,Mappings!$C$3:$C$9)</f>
        <v>Wednesday</v>
      </c>
      <c r="J428" t="str">
        <f t="shared" si="20"/>
        <v>Weekday</v>
      </c>
      <c r="K428">
        <v>1</v>
      </c>
      <c r="L428" t="str">
        <f>_xlfn.XLOOKUP(Append15[[#This Row],[WeatherSituation]],Mappings!$E$3:$E$6,Mappings!$F$3:$F$6)</f>
        <v>Clear Sky</v>
      </c>
      <c r="M428">
        <v>0.32</v>
      </c>
      <c r="N428">
        <v>0.28789999999999999</v>
      </c>
      <c r="O428">
        <v>0.56999999999999995</v>
      </c>
      <c r="P428">
        <v>0.41789999999999999</v>
      </c>
      <c r="Q428">
        <v>4</v>
      </c>
      <c r="R428">
        <v>108</v>
      </c>
      <c r="S428">
        <v>112</v>
      </c>
    </row>
    <row r="429" spans="1:19" x14ac:dyDescent="0.3">
      <c r="A429">
        <v>428</v>
      </c>
      <c r="B429" s="4">
        <v>40562</v>
      </c>
      <c r="C429">
        <v>1</v>
      </c>
      <c r="D429">
        <v>20</v>
      </c>
      <c r="E429" t="str">
        <f t="shared" si="18"/>
        <v>8 PM</v>
      </c>
      <c r="F429" t="str">
        <f t="shared" si="19"/>
        <v>Night</v>
      </c>
      <c r="G429" t="b">
        <v>0</v>
      </c>
      <c r="H429">
        <v>3</v>
      </c>
      <c r="I429" t="str">
        <f>_xlfn.XLOOKUP(Append15[[#This Row],[Week day]],Mappings!$B$3:$B$9,Mappings!$C$3:$C$9)</f>
        <v>Wednesday</v>
      </c>
      <c r="J429" t="str">
        <f t="shared" si="20"/>
        <v>Weekday</v>
      </c>
      <c r="K429">
        <v>1</v>
      </c>
      <c r="L429" t="str">
        <f>_xlfn.XLOOKUP(Append15[[#This Row],[WeatherSituation]],Mappings!$E$3:$E$6,Mappings!$F$3:$F$6)</f>
        <v>Clear Sky</v>
      </c>
      <c r="M429">
        <v>0.32</v>
      </c>
      <c r="N429">
        <v>0.30299999999999999</v>
      </c>
      <c r="O429">
        <v>0.49</v>
      </c>
      <c r="P429">
        <v>0.29849999999999999</v>
      </c>
      <c r="Q429">
        <v>2</v>
      </c>
      <c r="R429">
        <v>74</v>
      </c>
      <c r="S429">
        <v>76</v>
      </c>
    </row>
    <row r="430" spans="1:19" x14ac:dyDescent="0.3">
      <c r="A430">
        <v>429</v>
      </c>
      <c r="B430" s="4">
        <v>40562</v>
      </c>
      <c r="C430">
        <v>1</v>
      </c>
      <c r="D430">
        <v>21</v>
      </c>
      <c r="E430" t="str">
        <f t="shared" si="18"/>
        <v>9 PM</v>
      </c>
      <c r="F430" t="str">
        <f t="shared" si="19"/>
        <v>Night</v>
      </c>
      <c r="G430" t="b">
        <v>0</v>
      </c>
      <c r="H430">
        <v>3</v>
      </c>
      <c r="I430" t="str">
        <f>_xlfn.XLOOKUP(Append15[[#This Row],[Week day]],Mappings!$B$3:$B$9,Mappings!$C$3:$C$9)</f>
        <v>Wednesday</v>
      </c>
      <c r="J430" t="str">
        <f t="shared" si="20"/>
        <v>Weekday</v>
      </c>
      <c r="K430">
        <v>1</v>
      </c>
      <c r="L430" t="str">
        <f>_xlfn.XLOOKUP(Append15[[#This Row],[WeatherSituation]],Mappings!$E$3:$E$6,Mappings!$F$3:$F$6)</f>
        <v>Clear Sky</v>
      </c>
      <c r="M430">
        <v>0.32</v>
      </c>
      <c r="N430">
        <v>0.28789999999999999</v>
      </c>
      <c r="O430">
        <v>0.49</v>
      </c>
      <c r="P430">
        <v>0.41789999999999999</v>
      </c>
      <c r="Q430">
        <v>4</v>
      </c>
      <c r="R430">
        <v>55</v>
      </c>
      <c r="S430">
        <v>59</v>
      </c>
    </row>
    <row r="431" spans="1:19" x14ac:dyDescent="0.3">
      <c r="A431">
        <v>430</v>
      </c>
      <c r="B431" s="4">
        <v>40562</v>
      </c>
      <c r="C431">
        <v>1</v>
      </c>
      <c r="D431">
        <v>22</v>
      </c>
      <c r="E431" t="str">
        <f t="shared" si="18"/>
        <v>10 PM</v>
      </c>
      <c r="F431" t="str">
        <f t="shared" si="19"/>
        <v>Night</v>
      </c>
      <c r="G431" t="b">
        <v>0</v>
      </c>
      <c r="H431">
        <v>3</v>
      </c>
      <c r="I431" t="str">
        <f>_xlfn.XLOOKUP(Append15[[#This Row],[Week day]],Mappings!$B$3:$B$9,Mappings!$C$3:$C$9)</f>
        <v>Wednesday</v>
      </c>
      <c r="J431" t="str">
        <f t="shared" si="20"/>
        <v>Weekday</v>
      </c>
      <c r="K431">
        <v>1</v>
      </c>
      <c r="L431" t="str">
        <f>_xlfn.XLOOKUP(Append15[[#This Row],[WeatherSituation]],Mappings!$E$3:$E$6,Mappings!$F$3:$F$6)</f>
        <v>Clear Sky</v>
      </c>
      <c r="M431">
        <v>0.3</v>
      </c>
      <c r="N431">
        <v>0.30299999999999999</v>
      </c>
      <c r="O431">
        <v>0.52</v>
      </c>
      <c r="P431">
        <v>0.16420000000000001</v>
      </c>
      <c r="Q431">
        <v>6</v>
      </c>
      <c r="R431">
        <v>53</v>
      </c>
      <c r="S431">
        <v>59</v>
      </c>
    </row>
    <row r="432" spans="1:19" x14ac:dyDescent="0.3">
      <c r="A432">
        <v>431</v>
      </c>
      <c r="B432" s="4">
        <v>40562</v>
      </c>
      <c r="C432">
        <v>1</v>
      </c>
      <c r="D432">
        <v>23</v>
      </c>
      <c r="E432" t="str">
        <f t="shared" si="18"/>
        <v>11 PM</v>
      </c>
      <c r="F432" t="str">
        <f t="shared" si="19"/>
        <v>Night</v>
      </c>
      <c r="G432" t="b">
        <v>0</v>
      </c>
      <c r="H432">
        <v>3</v>
      </c>
      <c r="I432" t="str">
        <f>_xlfn.XLOOKUP(Append15[[#This Row],[Week day]],Mappings!$B$3:$B$9,Mappings!$C$3:$C$9)</f>
        <v>Wednesday</v>
      </c>
      <c r="J432" t="str">
        <f t="shared" si="20"/>
        <v>Weekday</v>
      </c>
      <c r="K432">
        <v>1</v>
      </c>
      <c r="L432" t="str">
        <f>_xlfn.XLOOKUP(Append15[[#This Row],[WeatherSituation]],Mappings!$E$3:$E$6,Mappings!$F$3:$F$6)</f>
        <v>Clear Sky</v>
      </c>
      <c r="M432">
        <v>0.3</v>
      </c>
      <c r="N432">
        <v>0.2727</v>
      </c>
      <c r="O432">
        <v>0.52</v>
      </c>
      <c r="P432">
        <v>0.4627</v>
      </c>
      <c r="Q432">
        <v>1</v>
      </c>
      <c r="R432">
        <v>27</v>
      </c>
      <c r="S432">
        <v>28</v>
      </c>
    </row>
    <row r="433" spans="1:19" x14ac:dyDescent="0.3">
      <c r="A433">
        <v>432</v>
      </c>
      <c r="B433" s="4">
        <v>40563</v>
      </c>
      <c r="C433">
        <v>1</v>
      </c>
      <c r="D433">
        <v>0</v>
      </c>
      <c r="E433" t="str">
        <f t="shared" si="18"/>
        <v>12 AM</v>
      </c>
      <c r="F433" t="str">
        <f t="shared" si="19"/>
        <v>Night</v>
      </c>
      <c r="G433" t="b">
        <v>0</v>
      </c>
      <c r="H433">
        <v>4</v>
      </c>
      <c r="I433" t="str">
        <f>_xlfn.XLOOKUP(Append15[[#This Row],[Week day]],Mappings!$B$3:$B$9,Mappings!$C$3:$C$9)</f>
        <v>Thursday</v>
      </c>
      <c r="J433" t="str">
        <f t="shared" si="20"/>
        <v>Weekday</v>
      </c>
      <c r="K433">
        <v>1</v>
      </c>
      <c r="L433" t="str">
        <f>_xlfn.XLOOKUP(Append15[[#This Row],[WeatherSituation]],Mappings!$E$3:$E$6,Mappings!$F$3:$F$6)</f>
        <v>Clear Sky</v>
      </c>
      <c r="M433">
        <v>0.26</v>
      </c>
      <c r="N433">
        <v>0.2273</v>
      </c>
      <c r="O433">
        <v>0.56000000000000005</v>
      </c>
      <c r="P433">
        <v>0.3881</v>
      </c>
      <c r="Q433">
        <v>5</v>
      </c>
      <c r="R433">
        <v>8</v>
      </c>
      <c r="S433">
        <v>13</v>
      </c>
    </row>
    <row r="434" spans="1:19" x14ac:dyDescent="0.3">
      <c r="A434">
        <v>433</v>
      </c>
      <c r="B434" s="4">
        <v>40563</v>
      </c>
      <c r="C434">
        <v>1</v>
      </c>
      <c r="D434">
        <v>1</v>
      </c>
      <c r="E434" t="str">
        <f t="shared" si="18"/>
        <v>1 AM</v>
      </c>
      <c r="F434" t="str">
        <f t="shared" si="19"/>
        <v>Night</v>
      </c>
      <c r="G434" t="b">
        <v>0</v>
      </c>
      <c r="H434">
        <v>4</v>
      </c>
      <c r="I434" t="str">
        <f>_xlfn.XLOOKUP(Append15[[#This Row],[Week day]],Mappings!$B$3:$B$9,Mappings!$C$3:$C$9)</f>
        <v>Thursday</v>
      </c>
      <c r="J434" t="str">
        <f t="shared" si="20"/>
        <v>Weekday</v>
      </c>
      <c r="K434">
        <v>1</v>
      </c>
      <c r="L434" t="str">
        <f>_xlfn.XLOOKUP(Append15[[#This Row],[WeatherSituation]],Mappings!$E$3:$E$6,Mappings!$F$3:$F$6)</f>
        <v>Clear Sky</v>
      </c>
      <c r="M434">
        <v>0.26</v>
      </c>
      <c r="N434">
        <v>0.2727</v>
      </c>
      <c r="O434">
        <v>0.56000000000000005</v>
      </c>
      <c r="P434">
        <v>0</v>
      </c>
      <c r="Q434">
        <v>2</v>
      </c>
      <c r="R434">
        <v>3</v>
      </c>
      <c r="S434">
        <v>5</v>
      </c>
    </row>
    <row r="435" spans="1:19" x14ac:dyDescent="0.3">
      <c r="A435">
        <v>434</v>
      </c>
      <c r="B435" s="4">
        <v>40563</v>
      </c>
      <c r="C435">
        <v>1</v>
      </c>
      <c r="D435">
        <v>2</v>
      </c>
      <c r="E435" t="str">
        <f t="shared" si="18"/>
        <v>2 AM</v>
      </c>
      <c r="F435" t="str">
        <f t="shared" si="19"/>
        <v>Night</v>
      </c>
      <c r="G435" t="b">
        <v>0</v>
      </c>
      <c r="H435">
        <v>4</v>
      </c>
      <c r="I435" t="str">
        <f>_xlfn.XLOOKUP(Append15[[#This Row],[Week day]],Mappings!$B$3:$B$9,Mappings!$C$3:$C$9)</f>
        <v>Thursday</v>
      </c>
      <c r="J435" t="str">
        <f t="shared" si="20"/>
        <v>Weekday</v>
      </c>
      <c r="K435">
        <v>1</v>
      </c>
      <c r="L435" t="str">
        <f>_xlfn.XLOOKUP(Append15[[#This Row],[WeatherSituation]],Mappings!$E$3:$E$6,Mappings!$F$3:$F$6)</f>
        <v>Clear Sky</v>
      </c>
      <c r="M435">
        <v>0.26</v>
      </c>
      <c r="N435">
        <v>0.2727</v>
      </c>
      <c r="O435">
        <v>0.56000000000000005</v>
      </c>
      <c r="P435">
        <v>0</v>
      </c>
      <c r="Q435">
        <v>0</v>
      </c>
      <c r="R435">
        <v>2</v>
      </c>
      <c r="S435">
        <v>2</v>
      </c>
    </row>
    <row r="436" spans="1:19" x14ac:dyDescent="0.3">
      <c r="A436">
        <v>435</v>
      </c>
      <c r="B436" s="4">
        <v>40563</v>
      </c>
      <c r="C436">
        <v>1</v>
      </c>
      <c r="D436">
        <v>3</v>
      </c>
      <c r="E436" t="str">
        <f t="shared" si="18"/>
        <v>3 AM</v>
      </c>
      <c r="F436" t="str">
        <f t="shared" si="19"/>
        <v>Night</v>
      </c>
      <c r="G436" t="b">
        <v>0</v>
      </c>
      <c r="H436">
        <v>4</v>
      </c>
      <c r="I436" t="str">
        <f>_xlfn.XLOOKUP(Append15[[#This Row],[Week day]],Mappings!$B$3:$B$9,Mappings!$C$3:$C$9)</f>
        <v>Thursday</v>
      </c>
      <c r="J436" t="str">
        <f t="shared" si="20"/>
        <v>Weekday</v>
      </c>
      <c r="K436">
        <v>1</v>
      </c>
      <c r="L436" t="str">
        <f>_xlfn.XLOOKUP(Append15[[#This Row],[WeatherSituation]],Mappings!$E$3:$E$6,Mappings!$F$3:$F$6)</f>
        <v>Clear Sky</v>
      </c>
      <c r="M436">
        <v>0.26</v>
      </c>
      <c r="N436">
        <v>0.2576</v>
      </c>
      <c r="O436">
        <v>0.56000000000000005</v>
      </c>
      <c r="P436">
        <v>0.16420000000000001</v>
      </c>
      <c r="Q436">
        <v>0</v>
      </c>
      <c r="R436">
        <v>1</v>
      </c>
      <c r="S436">
        <v>1</v>
      </c>
    </row>
    <row r="437" spans="1:19" x14ac:dyDescent="0.3">
      <c r="A437">
        <v>436</v>
      </c>
      <c r="B437" s="4">
        <v>40563</v>
      </c>
      <c r="C437">
        <v>1</v>
      </c>
      <c r="D437">
        <v>4</v>
      </c>
      <c r="E437" t="str">
        <f t="shared" si="18"/>
        <v>4 AM</v>
      </c>
      <c r="F437" t="str">
        <f t="shared" si="19"/>
        <v>Night</v>
      </c>
      <c r="G437" t="b">
        <v>0</v>
      </c>
      <c r="H437">
        <v>4</v>
      </c>
      <c r="I437" t="str">
        <f>_xlfn.XLOOKUP(Append15[[#This Row],[Week day]],Mappings!$B$3:$B$9,Mappings!$C$3:$C$9)</f>
        <v>Thursday</v>
      </c>
      <c r="J437" t="str">
        <f t="shared" si="20"/>
        <v>Weekday</v>
      </c>
      <c r="K437">
        <v>1</v>
      </c>
      <c r="L437" t="str">
        <f>_xlfn.XLOOKUP(Append15[[#This Row],[WeatherSituation]],Mappings!$E$3:$E$6,Mappings!$F$3:$F$6)</f>
        <v>Clear Sky</v>
      </c>
      <c r="M437">
        <v>0.26</v>
      </c>
      <c r="N437">
        <v>0.2576</v>
      </c>
      <c r="O437">
        <v>0.56000000000000005</v>
      </c>
      <c r="P437">
        <v>0.16420000000000001</v>
      </c>
      <c r="Q437">
        <v>0</v>
      </c>
      <c r="R437">
        <v>1</v>
      </c>
      <c r="S437">
        <v>1</v>
      </c>
    </row>
    <row r="438" spans="1:19" x14ac:dyDescent="0.3">
      <c r="A438">
        <v>437</v>
      </c>
      <c r="B438" s="4">
        <v>40563</v>
      </c>
      <c r="C438">
        <v>1</v>
      </c>
      <c r="D438">
        <v>5</v>
      </c>
      <c r="E438" t="str">
        <f t="shared" si="18"/>
        <v>5 AM</v>
      </c>
      <c r="F438" t="str">
        <f t="shared" si="19"/>
        <v>Morning</v>
      </c>
      <c r="G438" t="b">
        <v>0</v>
      </c>
      <c r="H438">
        <v>4</v>
      </c>
      <c r="I438" t="str">
        <f>_xlfn.XLOOKUP(Append15[[#This Row],[Week day]],Mappings!$B$3:$B$9,Mappings!$C$3:$C$9)</f>
        <v>Thursday</v>
      </c>
      <c r="J438" t="str">
        <f t="shared" si="20"/>
        <v>Weekday</v>
      </c>
      <c r="K438">
        <v>1</v>
      </c>
      <c r="L438" t="str">
        <f>_xlfn.XLOOKUP(Append15[[#This Row],[WeatherSituation]],Mappings!$E$3:$E$6,Mappings!$F$3:$F$6)</f>
        <v>Clear Sky</v>
      </c>
      <c r="M438">
        <v>0.24</v>
      </c>
      <c r="N438">
        <v>0.2273</v>
      </c>
      <c r="O438">
        <v>0.6</v>
      </c>
      <c r="P438">
        <v>0.22389999999999999</v>
      </c>
      <c r="Q438">
        <v>0</v>
      </c>
      <c r="R438">
        <v>6</v>
      </c>
      <c r="S438">
        <v>6</v>
      </c>
    </row>
    <row r="439" spans="1:19" x14ac:dyDescent="0.3">
      <c r="A439">
        <v>438</v>
      </c>
      <c r="B439" s="4">
        <v>40563</v>
      </c>
      <c r="C439">
        <v>1</v>
      </c>
      <c r="D439">
        <v>6</v>
      </c>
      <c r="E439" t="str">
        <f t="shared" si="18"/>
        <v>6 AM</v>
      </c>
      <c r="F439" t="str">
        <f t="shared" si="19"/>
        <v>Morning</v>
      </c>
      <c r="G439" t="b">
        <v>0</v>
      </c>
      <c r="H439">
        <v>4</v>
      </c>
      <c r="I439" t="str">
        <f>_xlfn.XLOOKUP(Append15[[#This Row],[Week day]],Mappings!$B$3:$B$9,Mappings!$C$3:$C$9)</f>
        <v>Thursday</v>
      </c>
      <c r="J439" t="str">
        <f t="shared" si="20"/>
        <v>Weekday</v>
      </c>
      <c r="K439">
        <v>1</v>
      </c>
      <c r="L439" t="str">
        <f>_xlfn.XLOOKUP(Append15[[#This Row],[WeatherSituation]],Mappings!$E$3:$E$6,Mappings!$F$3:$F$6)</f>
        <v>Clear Sky</v>
      </c>
      <c r="M439">
        <v>0.22</v>
      </c>
      <c r="N439">
        <v>0.21210000000000001</v>
      </c>
      <c r="O439">
        <v>0.6</v>
      </c>
      <c r="P439">
        <v>0.22389999999999999</v>
      </c>
      <c r="Q439">
        <v>0</v>
      </c>
      <c r="R439">
        <v>35</v>
      </c>
      <c r="S439">
        <v>35</v>
      </c>
    </row>
    <row r="440" spans="1:19" x14ac:dyDescent="0.3">
      <c r="A440">
        <v>439</v>
      </c>
      <c r="B440" s="4">
        <v>40563</v>
      </c>
      <c r="C440">
        <v>1</v>
      </c>
      <c r="D440">
        <v>7</v>
      </c>
      <c r="E440" t="str">
        <f t="shared" si="18"/>
        <v>7 AM</v>
      </c>
      <c r="F440" t="str">
        <f t="shared" si="19"/>
        <v>Morning</v>
      </c>
      <c r="G440" t="b">
        <v>0</v>
      </c>
      <c r="H440">
        <v>4</v>
      </c>
      <c r="I440" t="str">
        <f>_xlfn.XLOOKUP(Append15[[#This Row],[Week day]],Mappings!$B$3:$B$9,Mappings!$C$3:$C$9)</f>
        <v>Thursday</v>
      </c>
      <c r="J440" t="str">
        <f t="shared" si="20"/>
        <v>Weekday</v>
      </c>
      <c r="K440">
        <v>1</v>
      </c>
      <c r="L440" t="str">
        <f>_xlfn.XLOOKUP(Append15[[#This Row],[WeatherSituation]],Mappings!$E$3:$E$6,Mappings!$F$3:$F$6)</f>
        <v>Clear Sky</v>
      </c>
      <c r="M440">
        <v>0.22</v>
      </c>
      <c r="N440">
        <v>0.21210000000000001</v>
      </c>
      <c r="O440">
        <v>0.55000000000000004</v>
      </c>
      <c r="P440">
        <v>0.22389999999999999</v>
      </c>
      <c r="Q440">
        <v>1</v>
      </c>
      <c r="R440">
        <v>100</v>
      </c>
      <c r="S440">
        <v>101</v>
      </c>
    </row>
    <row r="441" spans="1:19" x14ac:dyDescent="0.3">
      <c r="A441">
        <v>440</v>
      </c>
      <c r="B441" s="4">
        <v>40563</v>
      </c>
      <c r="C441">
        <v>1</v>
      </c>
      <c r="D441">
        <v>8</v>
      </c>
      <c r="E441" t="str">
        <f t="shared" si="18"/>
        <v>8 AM</v>
      </c>
      <c r="F441" t="str">
        <f t="shared" si="19"/>
        <v>Morning</v>
      </c>
      <c r="G441" t="b">
        <v>0</v>
      </c>
      <c r="H441">
        <v>4</v>
      </c>
      <c r="I441" t="str">
        <f>_xlfn.XLOOKUP(Append15[[#This Row],[Week day]],Mappings!$B$3:$B$9,Mappings!$C$3:$C$9)</f>
        <v>Thursday</v>
      </c>
      <c r="J441" t="str">
        <f t="shared" si="20"/>
        <v>Weekday</v>
      </c>
      <c r="K441">
        <v>1</v>
      </c>
      <c r="L441" t="str">
        <f>_xlfn.XLOOKUP(Append15[[#This Row],[WeatherSituation]],Mappings!$E$3:$E$6,Mappings!$F$3:$F$6)</f>
        <v>Clear Sky</v>
      </c>
      <c r="M441">
        <v>0.22</v>
      </c>
      <c r="N441">
        <v>0.21210000000000001</v>
      </c>
      <c r="O441">
        <v>0.55000000000000004</v>
      </c>
      <c r="P441">
        <v>0.28360000000000002</v>
      </c>
      <c r="Q441">
        <v>2</v>
      </c>
      <c r="R441">
        <v>247</v>
      </c>
      <c r="S441">
        <v>249</v>
      </c>
    </row>
    <row r="442" spans="1:19" x14ac:dyDescent="0.3">
      <c r="A442">
        <v>441</v>
      </c>
      <c r="B442" s="4">
        <v>40563</v>
      </c>
      <c r="C442">
        <v>1</v>
      </c>
      <c r="D442">
        <v>9</v>
      </c>
      <c r="E442" t="str">
        <f t="shared" si="18"/>
        <v>9 AM</v>
      </c>
      <c r="F442" t="str">
        <f t="shared" si="19"/>
        <v>Morning</v>
      </c>
      <c r="G442" t="b">
        <v>0</v>
      </c>
      <c r="H442">
        <v>4</v>
      </c>
      <c r="I442" t="str">
        <f>_xlfn.XLOOKUP(Append15[[#This Row],[Week day]],Mappings!$B$3:$B$9,Mappings!$C$3:$C$9)</f>
        <v>Thursday</v>
      </c>
      <c r="J442" t="str">
        <f t="shared" si="20"/>
        <v>Weekday</v>
      </c>
      <c r="K442">
        <v>2</v>
      </c>
      <c r="L442" t="str">
        <f>_xlfn.XLOOKUP(Append15[[#This Row],[WeatherSituation]],Mappings!$E$3:$E$6,Mappings!$F$3:$F$6)</f>
        <v>Mist/Cloudy</v>
      </c>
      <c r="M442">
        <v>0.24</v>
      </c>
      <c r="N442">
        <v>0.2273</v>
      </c>
      <c r="O442">
        <v>0.52</v>
      </c>
      <c r="P442">
        <v>0.22389999999999999</v>
      </c>
      <c r="Q442">
        <v>3</v>
      </c>
      <c r="R442">
        <v>140</v>
      </c>
      <c r="S442">
        <v>143</v>
      </c>
    </row>
    <row r="443" spans="1:19" x14ac:dyDescent="0.3">
      <c r="A443">
        <v>442</v>
      </c>
      <c r="B443" s="4">
        <v>40563</v>
      </c>
      <c r="C443">
        <v>1</v>
      </c>
      <c r="D443">
        <v>10</v>
      </c>
      <c r="E443" t="str">
        <f t="shared" si="18"/>
        <v>10 AM</v>
      </c>
      <c r="F443" t="str">
        <f t="shared" si="19"/>
        <v>Morning</v>
      </c>
      <c r="G443" t="b">
        <v>0</v>
      </c>
      <c r="H443">
        <v>4</v>
      </c>
      <c r="I443" t="str">
        <f>_xlfn.XLOOKUP(Append15[[#This Row],[Week day]],Mappings!$B$3:$B$9,Mappings!$C$3:$C$9)</f>
        <v>Thursday</v>
      </c>
      <c r="J443" t="str">
        <f t="shared" si="20"/>
        <v>Weekday</v>
      </c>
      <c r="K443">
        <v>1</v>
      </c>
      <c r="L443" t="str">
        <f>_xlfn.XLOOKUP(Append15[[#This Row],[WeatherSituation]],Mappings!$E$3:$E$6,Mappings!$F$3:$F$6)</f>
        <v>Clear Sky</v>
      </c>
      <c r="M443">
        <v>0.26</v>
      </c>
      <c r="N443">
        <v>0.2273</v>
      </c>
      <c r="O443">
        <v>0.48</v>
      </c>
      <c r="P443">
        <v>0.29849999999999999</v>
      </c>
      <c r="Q443">
        <v>1</v>
      </c>
      <c r="R443">
        <v>56</v>
      </c>
      <c r="S443">
        <v>57</v>
      </c>
    </row>
    <row r="444" spans="1:19" x14ac:dyDescent="0.3">
      <c r="A444">
        <v>443</v>
      </c>
      <c r="B444" s="4">
        <v>40563</v>
      </c>
      <c r="C444">
        <v>1</v>
      </c>
      <c r="D444">
        <v>11</v>
      </c>
      <c r="E444" t="str">
        <f t="shared" si="18"/>
        <v>11 AM</v>
      </c>
      <c r="F444" t="str">
        <f t="shared" si="19"/>
        <v>Morning</v>
      </c>
      <c r="G444" t="b">
        <v>0</v>
      </c>
      <c r="H444">
        <v>4</v>
      </c>
      <c r="I444" t="str">
        <f>_xlfn.XLOOKUP(Append15[[#This Row],[Week day]],Mappings!$B$3:$B$9,Mappings!$C$3:$C$9)</f>
        <v>Thursday</v>
      </c>
      <c r="J444" t="str">
        <f t="shared" si="20"/>
        <v>Weekday</v>
      </c>
      <c r="K444">
        <v>2</v>
      </c>
      <c r="L444" t="str">
        <f>_xlfn.XLOOKUP(Append15[[#This Row],[WeatherSituation]],Mappings!$E$3:$E$6,Mappings!$F$3:$F$6)</f>
        <v>Mist/Cloudy</v>
      </c>
      <c r="M444">
        <v>0.28000000000000003</v>
      </c>
      <c r="N444">
        <v>0.2727</v>
      </c>
      <c r="O444">
        <v>0.45</v>
      </c>
      <c r="P444">
        <v>0.16420000000000001</v>
      </c>
      <c r="Q444">
        <v>5</v>
      </c>
      <c r="R444">
        <v>63</v>
      </c>
      <c r="S444">
        <v>68</v>
      </c>
    </row>
    <row r="445" spans="1:19" x14ac:dyDescent="0.3">
      <c r="A445">
        <v>444</v>
      </c>
      <c r="B445" s="4">
        <v>40563</v>
      </c>
      <c r="C445">
        <v>1</v>
      </c>
      <c r="D445">
        <v>12</v>
      </c>
      <c r="E445" t="str">
        <f t="shared" si="18"/>
        <v>12 PM</v>
      </c>
      <c r="F445" t="str">
        <f t="shared" si="19"/>
        <v>AfterNoon</v>
      </c>
      <c r="G445" t="b">
        <v>0</v>
      </c>
      <c r="H445">
        <v>4</v>
      </c>
      <c r="I445" t="str">
        <f>_xlfn.XLOOKUP(Append15[[#This Row],[Week day]],Mappings!$B$3:$B$9,Mappings!$C$3:$C$9)</f>
        <v>Thursday</v>
      </c>
      <c r="J445" t="str">
        <f t="shared" si="20"/>
        <v>Weekday</v>
      </c>
      <c r="K445">
        <v>2</v>
      </c>
      <c r="L445" t="str">
        <f>_xlfn.XLOOKUP(Append15[[#This Row],[WeatherSituation]],Mappings!$E$3:$E$6,Mappings!$F$3:$F$6)</f>
        <v>Mist/Cloudy</v>
      </c>
      <c r="M445">
        <v>0.3</v>
      </c>
      <c r="N445">
        <v>0.33329999999999999</v>
      </c>
      <c r="O445">
        <v>0.42</v>
      </c>
      <c r="P445">
        <v>0</v>
      </c>
      <c r="Q445">
        <v>7</v>
      </c>
      <c r="R445">
        <v>77</v>
      </c>
      <c r="S445">
        <v>84</v>
      </c>
    </row>
    <row r="446" spans="1:19" x14ac:dyDescent="0.3">
      <c r="A446">
        <v>445</v>
      </c>
      <c r="B446" s="4">
        <v>40563</v>
      </c>
      <c r="C446">
        <v>1</v>
      </c>
      <c r="D446">
        <v>13</v>
      </c>
      <c r="E446" t="str">
        <f t="shared" si="18"/>
        <v>1 PM</v>
      </c>
      <c r="F446" t="str">
        <f t="shared" si="19"/>
        <v>AfterNoon</v>
      </c>
      <c r="G446" t="b">
        <v>0</v>
      </c>
      <c r="H446">
        <v>4</v>
      </c>
      <c r="I446" t="str">
        <f>_xlfn.XLOOKUP(Append15[[#This Row],[Week day]],Mappings!$B$3:$B$9,Mappings!$C$3:$C$9)</f>
        <v>Thursday</v>
      </c>
      <c r="J446" t="str">
        <f t="shared" si="20"/>
        <v>Weekday</v>
      </c>
      <c r="K446">
        <v>2</v>
      </c>
      <c r="L446" t="str">
        <f>_xlfn.XLOOKUP(Append15[[#This Row],[WeatherSituation]],Mappings!$E$3:$E$6,Mappings!$F$3:$F$6)</f>
        <v>Mist/Cloudy</v>
      </c>
      <c r="M446">
        <v>0.28000000000000003</v>
      </c>
      <c r="N446">
        <v>0.28789999999999999</v>
      </c>
      <c r="O446">
        <v>0.45</v>
      </c>
      <c r="P446">
        <v>0.1045</v>
      </c>
      <c r="Q446">
        <v>12</v>
      </c>
      <c r="R446">
        <v>86</v>
      </c>
      <c r="S446">
        <v>98</v>
      </c>
    </row>
    <row r="447" spans="1:19" x14ac:dyDescent="0.3">
      <c r="A447">
        <v>446</v>
      </c>
      <c r="B447" s="4">
        <v>40563</v>
      </c>
      <c r="C447">
        <v>1</v>
      </c>
      <c r="D447">
        <v>14</v>
      </c>
      <c r="E447" t="str">
        <f t="shared" si="18"/>
        <v>2 PM</v>
      </c>
      <c r="F447" t="str">
        <f t="shared" si="19"/>
        <v>AfterNoon</v>
      </c>
      <c r="G447" t="b">
        <v>0</v>
      </c>
      <c r="H447">
        <v>4</v>
      </c>
      <c r="I447" t="str">
        <f>_xlfn.XLOOKUP(Append15[[#This Row],[Week day]],Mappings!$B$3:$B$9,Mappings!$C$3:$C$9)</f>
        <v>Thursday</v>
      </c>
      <c r="J447" t="str">
        <f t="shared" si="20"/>
        <v>Weekday</v>
      </c>
      <c r="K447">
        <v>2</v>
      </c>
      <c r="L447" t="str">
        <f>_xlfn.XLOOKUP(Append15[[#This Row],[WeatherSituation]],Mappings!$E$3:$E$6,Mappings!$F$3:$F$6)</f>
        <v>Mist/Cloudy</v>
      </c>
      <c r="M447">
        <v>0.3</v>
      </c>
      <c r="N447">
        <v>0.30299999999999999</v>
      </c>
      <c r="O447">
        <v>0.45</v>
      </c>
      <c r="P447">
        <v>0.1343</v>
      </c>
      <c r="Q447">
        <v>6</v>
      </c>
      <c r="R447">
        <v>75</v>
      </c>
      <c r="S447">
        <v>81</v>
      </c>
    </row>
    <row r="448" spans="1:19" x14ac:dyDescent="0.3">
      <c r="A448">
        <v>447</v>
      </c>
      <c r="B448" s="4">
        <v>40563</v>
      </c>
      <c r="C448">
        <v>1</v>
      </c>
      <c r="D448">
        <v>15</v>
      </c>
      <c r="E448" t="str">
        <f t="shared" si="18"/>
        <v>3 PM</v>
      </c>
      <c r="F448" t="str">
        <f t="shared" si="19"/>
        <v>AfterNoon</v>
      </c>
      <c r="G448" t="b">
        <v>0</v>
      </c>
      <c r="H448">
        <v>4</v>
      </c>
      <c r="I448" t="str">
        <f>_xlfn.XLOOKUP(Append15[[#This Row],[Week day]],Mappings!$B$3:$B$9,Mappings!$C$3:$C$9)</f>
        <v>Thursday</v>
      </c>
      <c r="J448" t="str">
        <f t="shared" si="20"/>
        <v>Weekday</v>
      </c>
      <c r="K448">
        <v>2</v>
      </c>
      <c r="L448" t="str">
        <f>_xlfn.XLOOKUP(Append15[[#This Row],[WeatherSituation]],Mappings!$E$3:$E$6,Mappings!$F$3:$F$6)</f>
        <v>Mist/Cloudy</v>
      </c>
      <c r="M448">
        <v>0.32</v>
      </c>
      <c r="N448">
        <v>0.31819999999999998</v>
      </c>
      <c r="O448">
        <v>0.45</v>
      </c>
      <c r="P448">
        <v>0.19400000000000001</v>
      </c>
      <c r="Q448">
        <v>8</v>
      </c>
      <c r="R448">
        <v>62</v>
      </c>
      <c r="S448">
        <v>70</v>
      </c>
    </row>
    <row r="449" spans="1:19" x14ac:dyDescent="0.3">
      <c r="A449">
        <v>448</v>
      </c>
      <c r="B449" s="4">
        <v>40563</v>
      </c>
      <c r="C449">
        <v>1</v>
      </c>
      <c r="D449">
        <v>16</v>
      </c>
      <c r="E449" t="str">
        <f t="shared" si="18"/>
        <v>4 PM</v>
      </c>
      <c r="F449" t="str">
        <f t="shared" si="19"/>
        <v>Evening</v>
      </c>
      <c r="G449" t="b">
        <v>0</v>
      </c>
      <c r="H449">
        <v>4</v>
      </c>
      <c r="I449" t="str">
        <f>_xlfn.XLOOKUP(Append15[[#This Row],[Week day]],Mappings!$B$3:$B$9,Mappings!$C$3:$C$9)</f>
        <v>Thursday</v>
      </c>
      <c r="J449" t="str">
        <f t="shared" si="20"/>
        <v>Weekday</v>
      </c>
      <c r="K449">
        <v>2</v>
      </c>
      <c r="L449" t="str">
        <f>_xlfn.XLOOKUP(Append15[[#This Row],[WeatherSituation]],Mappings!$E$3:$E$6,Mappings!$F$3:$F$6)</f>
        <v>Mist/Cloudy</v>
      </c>
      <c r="M449">
        <v>0.3</v>
      </c>
      <c r="N449">
        <v>0.30299999999999999</v>
      </c>
      <c r="O449">
        <v>0.49</v>
      </c>
      <c r="P449">
        <v>0.1343</v>
      </c>
      <c r="Q449">
        <v>8</v>
      </c>
      <c r="R449">
        <v>83</v>
      </c>
      <c r="S449">
        <v>91</v>
      </c>
    </row>
    <row r="450" spans="1:19" x14ac:dyDescent="0.3">
      <c r="A450">
        <v>449</v>
      </c>
      <c r="B450" s="4">
        <v>40563</v>
      </c>
      <c r="C450">
        <v>1</v>
      </c>
      <c r="D450">
        <v>17</v>
      </c>
      <c r="E450" t="str">
        <f t="shared" ref="E450:E513" si="21">TEXT(D450/24,"h AM/PM")</f>
        <v>5 PM</v>
      </c>
      <c r="F450" t="str">
        <f t="shared" ref="F450:F513" si="22">IF(D450&lt;5,"Night",
IF(D450&lt;=11,"Morning",
IF(D450&lt;16,"AfterNoon",
IF(D450&lt;20,"Evening","Night"))))</f>
        <v>Evening</v>
      </c>
      <c r="G450" t="b">
        <v>0</v>
      </c>
      <c r="H450">
        <v>4</v>
      </c>
      <c r="I450" t="str">
        <f>_xlfn.XLOOKUP(Append15[[#This Row],[Week day]],Mappings!$B$3:$B$9,Mappings!$C$3:$C$9)</f>
        <v>Thursday</v>
      </c>
      <c r="J450" t="str">
        <f t="shared" ref="J450:J513" si="23">IF(OR(H450=0,H450=6),"Weekend","Weekday")</f>
        <v>Weekday</v>
      </c>
      <c r="K450">
        <v>2</v>
      </c>
      <c r="L450" t="str">
        <f>_xlfn.XLOOKUP(Append15[[#This Row],[WeatherSituation]],Mappings!$E$3:$E$6,Mappings!$F$3:$F$6)</f>
        <v>Mist/Cloudy</v>
      </c>
      <c r="M450">
        <v>0.3</v>
      </c>
      <c r="N450">
        <v>0.31819999999999998</v>
      </c>
      <c r="O450">
        <v>0.49</v>
      </c>
      <c r="P450">
        <v>0.1045</v>
      </c>
      <c r="Q450">
        <v>8</v>
      </c>
      <c r="R450">
        <v>207</v>
      </c>
      <c r="S450">
        <v>215</v>
      </c>
    </row>
    <row r="451" spans="1:19" x14ac:dyDescent="0.3">
      <c r="A451">
        <v>450</v>
      </c>
      <c r="B451" s="4">
        <v>40563</v>
      </c>
      <c r="C451">
        <v>1</v>
      </c>
      <c r="D451">
        <v>18</v>
      </c>
      <c r="E451" t="str">
        <f t="shared" si="21"/>
        <v>6 PM</v>
      </c>
      <c r="F451" t="str">
        <f t="shared" si="22"/>
        <v>Evening</v>
      </c>
      <c r="G451" t="b">
        <v>0</v>
      </c>
      <c r="H451">
        <v>4</v>
      </c>
      <c r="I451" t="str">
        <f>_xlfn.XLOOKUP(Append15[[#This Row],[Week day]],Mappings!$B$3:$B$9,Mappings!$C$3:$C$9)</f>
        <v>Thursday</v>
      </c>
      <c r="J451" t="str">
        <f t="shared" si="23"/>
        <v>Weekday</v>
      </c>
      <c r="K451">
        <v>2</v>
      </c>
      <c r="L451" t="str">
        <f>_xlfn.XLOOKUP(Append15[[#This Row],[WeatherSituation]],Mappings!$E$3:$E$6,Mappings!$F$3:$F$6)</f>
        <v>Mist/Cloudy</v>
      </c>
      <c r="M451">
        <v>0.26</v>
      </c>
      <c r="N451">
        <v>0.2576</v>
      </c>
      <c r="O451">
        <v>0.56000000000000005</v>
      </c>
      <c r="P451">
        <v>0.19400000000000001</v>
      </c>
      <c r="Q451">
        <v>1</v>
      </c>
      <c r="R451">
        <v>184</v>
      </c>
      <c r="S451">
        <v>185</v>
      </c>
    </row>
    <row r="452" spans="1:19" x14ac:dyDescent="0.3">
      <c r="A452">
        <v>451</v>
      </c>
      <c r="B452" s="4">
        <v>40563</v>
      </c>
      <c r="C452">
        <v>1</v>
      </c>
      <c r="D452">
        <v>19</v>
      </c>
      <c r="E452" t="str">
        <f t="shared" si="21"/>
        <v>7 PM</v>
      </c>
      <c r="F452" t="str">
        <f t="shared" si="22"/>
        <v>Evening</v>
      </c>
      <c r="G452" t="b">
        <v>0</v>
      </c>
      <c r="H452">
        <v>4</v>
      </c>
      <c r="I452" t="str">
        <f>_xlfn.XLOOKUP(Append15[[#This Row],[Week day]],Mappings!$B$3:$B$9,Mappings!$C$3:$C$9)</f>
        <v>Thursday</v>
      </c>
      <c r="J452" t="str">
        <f t="shared" si="23"/>
        <v>Weekday</v>
      </c>
      <c r="K452">
        <v>1</v>
      </c>
      <c r="L452" t="str">
        <f>_xlfn.XLOOKUP(Append15[[#This Row],[WeatherSituation]],Mappings!$E$3:$E$6,Mappings!$F$3:$F$6)</f>
        <v>Clear Sky</v>
      </c>
      <c r="M452">
        <v>0.26</v>
      </c>
      <c r="N452">
        <v>0.2273</v>
      </c>
      <c r="O452">
        <v>0.56000000000000005</v>
      </c>
      <c r="P452">
        <v>0.32840000000000003</v>
      </c>
      <c r="Q452">
        <v>6</v>
      </c>
      <c r="R452">
        <v>146</v>
      </c>
      <c r="S452">
        <v>152</v>
      </c>
    </row>
    <row r="453" spans="1:19" x14ac:dyDescent="0.3">
      <c r="A453">
        <v>452</v>
      </c>
      <c r="B453" s="4">
        <v>40563</v>
      </c>
      <c r="C453">
        <v>1</v>
      </c>
      <c r="D453">
        <v>20</v>
      </c>
      <c r="E453" t="str">
        <f t="shared" si="21"/>
        <v>8 PM</v>
      </c>
      <c r="F453" t="str">
        <f t="shared" si="22"/>
        <v>Night</v>
      </c>
      <c r="G453" t="b">
        <v>0</v>
      </c>
      <c r="H453">
        <v>4</v>
      </c>
      <c r="I453" t="str">
        <f>_xlfn.XLOOKUP(Append15[[#This Row],[Week day]],Mappings!$B$3:$B$9,Mappings!$C$3:$C$9)</f>
        <v>Thursday</v>
      </c>
      <c r="J453" t="str">
        <f t="shared" si="23"/>
        <v>Weekday</v>
      </c>
      <c r="K453">
        <v>2</v>
      </c>
      <c r="L453" t="str">
        <f>_xlfn.XLOOKUP(Append15[[#This Row],[WeatherSituation]],Mappings!$E$3:$E$6,Mappings!$F$3:$F$6)</f>
        <v>Mist/Cloudy</v>
      </c>
      <c r="M453">
        <v>0.26</v>
      </c>
      <c r="N453">
        <v>0.2424</v>
      </c>
      <c r="O453">
        <v>0.6</v>
      </c>
      <c r="P453">
        <v>0.28360000000000002</v>
      </c>
      <c r="Q453">
        <v>2</v>
      </c>
      <c r="R453">
        <v>124</v>
      </c>
      <c r="S453">
        <v>126</v>
      </c>
    </row>
    <row r="454" spans="1:19" x14ac:dyDescent="0.3">
      <c r="A454">
        <v>453</v>
      </c>
      <c r="B454" s="4">
        <v>40563</v>
      </c>
      <c r="C454">
        <v>1</v>
      </c>
      <c r="D454">
        <v>21</v>
      </c>
      <c r="E454" t="str">
        <f t="shared" si="21"/>
        <v>9 PM</v>
      </c>
      <c r="F454" t="str">
        <f t="shared" si="22"/>
        <v>Night</v>
      </c>
      <c r="G454" t="b">
        <v>0</v>
      </c>
      <c r="H454">
        <v>4</v>
      </c>
      <c r="I454" t="str">
        <f>_xlfn.XLOOKUP(Append15[[#This Row],[Week day]],Mappings!$B$3:$B$9,Mappings!$C$3:$C$9)</f>
        <v>Thursday</v>
      </c>
      <c r="J454" t="str">
        <f t="shared" si="23"/>
        <v>Weekday</v>
      </c>
      <c r="K454">
        <v>2</v>
      </c>
      <c r="L454" t="str">
        <f>_xlfn.XLOOKUP(Append15[[#This Row],[WeatherSituation]],Mappings!$E$3:$E$6,Mappings!$F$3:$F$6)</f>
        <v>Mist/Cloudy</v>
      </c>
      <c r="M454">
        <v>0.24</v>
      </c>
      <c r="N454">
        <v>0.2273</v>
      </c>
      <c r="O454">
        <v>0.6</v>
      </c>
      <c r="P454">
        <v>0.25369999999999998</v>
      </c>
      <c r="Q454">
        <v>3</v>
      </c>
      <c r="R454">
        <v>54</v>
      </c>
      <c r="S454">
        <v>57</v>
      </c>
    </row>
    <row r="455" spans="1:19" x14ac:dyDescent="0.3">
      <c r="A455">
        <v>454</v>
      </c>
      <c r="B455" s="4">
        <v>40563</v>
      </c>
      <c r="C455">
        <v>1</v>
      </c>
      <c r="D455">
        <v>22</v>
      </c>
      <c r="E455" t="str">
        <f t="shared" si="21"/>
        <v>10 PM</v>
      </c>
      <c r="F455" t="str">
        <f t="shared" si="22"/>
        <v>Night</v>
      </c>
      <c r="G455" t="b">
        <v>0</v>
      </c>
      <c r="H455">
        <v>4</v>
      </c>
      <c r="I455" t="str">
        <f>_xlfn.XLOOKUP(Append15[[#This Row],[Week day]],Mappings!$B$3:$B$9,Mappings!$C$3:$C$9)</f>
        <v>Thursday</v>
      </c>
      <c r="J455" t="str">
        <f t="shared" si="23"/>
        <v>Weekday</v>
      </c>
      <c r="K455">
        <v>2</v>
      </c>
      <c r="L455" t="str">
        <f>_xlfn.XLOOKUP(Append15[[#This Row],[WeatherSituation]],Mappings!$E$3:$E$6,Mappings!$F$3:$F$6)</f>
        <v>Mist/Cloudy</v>
      </c>
      <c r="M455">
        <v>0.24</v>
      </c>
      <c r="N455">
        <v>0.21210000000000001</v>
      </c>
      <c r="O455">
        <v>0.65</v>
      </c>
      <c r="P455">
        <v>0.28360000000000002</v>
      </c>
      <c r="Q455">
        <v>0</v>
      </c>
      <c r="R455">
        <v>56</v>
      </c>
      <c r="S455">
        <v>56</v>
      </c>
    </row>
    <row r="456" spans="1:19" x14ac:dyDescent="0.3">
      <c r="A456">
        <v>455</v>
      </c>
      <c r="B456" s="4">
        <v>40563</v>
      </c>
      <c r="C456">
        <v>1</v>
      </c>
      <c r="D456">
        <v>23</v>
      </c>
      <c r="E456" t="str">
        <f t="shared" si="21"/>
        <v>11 PM</v>
      </c>
      <c r="F456" t="str">
        <f t="shared" si="22"/>
        <v>Night</v>
      </c>
      <c r="G456" t="b">
        <v>0</v>
      </c>
      <c r="H456">
        <v>4</v>
      </c>
      <c r="I456" t="str">
        <f>_xlfn.XLOOKUP(Append15[[#This Row],[Week day]],Mappings!$B$3:$B$9,Mappings!$C$3:$C$9)</f>
        <v>Thursday</v>
      </c>
      <c r="J456" t="str">
        <f t="shared" si="23"/>
        <v>Weekday</v>
      </c>
      <c r="K456">
        <v>2</v>
      </c>
      <c r="L456" t="str">
        <f>_xlfn.XLOOKUP(Append15[[#This Row],[WeatherSituation]],Mappings!$E$3:$E$6,Mappings!$F$3:$F$6)</f>
        <v>Mist/Cloudy</v>
      </c>
      <c r="M456">
        <v>0.24</v>
      </c>
      <c r="N456">
        <v>0.21210000000000001</v>
      </c>
      <c r="O456">
        <v>0.65</v>
      </c>
      <c r="P456">
        <v>0.32840000000000003</v>
      </c>
      <c r="Q456">
        <v>3</v>
      </c>
      <c r="R456">
        <v>28</v>
      </c>
      <c r="S456">
        <v>31</v>
      </c>
    </row>
    <row r="457" spans="1:19" x14ac:dyDescent="0.3">
      <c r="A457">
        <v>456</v>
      </c>
      <c r="B457" s="4">
        <v>40564</v>
      </c>
      <c r="C457">
        <v>1</v>
      </c>
      <c r="D457">
        <v>0</v>
      </c>
      <c r="E457" t="str">
        <f t="shared" si="21"/>
        <v>12 AM</v>
      </c>
      <c r="F457" t="str">
        <f t="shared" si="22"/>
        <v>Night</v>
      </c>
      <c r="G457" t="b">
        <v>0</v>
      </c>
      <c r="H457">
        <v>5</v>
      </c>
      <c r="I457" t="str">
        <f>_xlfn.XLOOKUP(Append15[[#This Row],[Week day]],Mappings!$B$3:$B$9,Mappings!$C$3:$C$9)</f>
        <v>Friday</v>
      </c>
      <c r="J457" t="str">
        <f t="shared" si="23"/>
        <v>Weekday</v>
      </c>
      <c r="K457">
        <v>2</v>
      </c>
      <c r="L457" t="str">
        <f>_xlfn.XLOOKUP(Append15[[#This Row],[WeatherSituation]],Mappings!$E$3:$E$6,Mappings!$F$3:$F$6)</f>
        <v>Mist/Cloudy</v>
      </c>
      <c r="M457">
        <v>0.24</v>
      </c>
      <c r="N457">
        <v>0.2273</v>
      </c>
      <c r="O457">
        <v>0.7</v>
      </c>
      <c r="P457">
        <v>0.25369999999999998</v>
      </c>
      <c r="Q457">
        <v>1</v>
      </c>
      <c r="R457">
        <v>20</v>
      </c>
      <c r="S457">
        <v>21</v>
      </c>
    </row>
    <row r="458" spans="1:19" x14ac:dyDescent="0.3">
      <c r="A458">
        <v>457</v>
      </c>
      <c r="B458" s="4">
        <v>40564</v>
      </c>
      <c r="C458">
        <v>1</v>
      </c>
      <c r="D458">
        <v>1</v>
      </c>
      <c r="E458" t="str">
        <f t="shared" si="21"/>
        <v>1 AM</v>
      </c>
      <c r="F458" t="str">
        <f t="shared" si="22"/>
        <v>Night</v>
      </c>
      <c r="G458" t="b">
        <v>0</v>
      </c>
      <c r="H458">
        <v>5</v>
      </c>
      <c r="I458" t="str">
        <f>_xlfn.XLOOKUP(Append15[[#This Row],[Week day]],Mappings!$B$3:$B$9,Mappings!$C$3:$C$9)</f>
        <v>Friday</v>
      </c>
      <c r="J458" t="str">
        <f t="shared" si="23"/>
        <v>Weekday</v>
      </c>
      <c r="K458">
        <v>2</v>
      </c>
      <c r="L458" t="str">
        <f>_xlfn.XLOOKUP(Append15[[#This Row],[WeatherSituation]],Mappings!$E$3:$E$6,Mappings!$F$3:$F$6)</f>
        <v>Mist/Cloudy</v>
      </c>
      <c r="M458">
        <v>0.24</v>
      </c>
      <c r="N458">
        <v>0.2273</v>
      </c>
      <c r="O458">
        <v>0.7</v>
      </c>
      <c r="P458">
        <v>0.25369999999999998</v>
      </c>
      <c r="Q458">
        <v>0</v>
      </c>
      <c r="R458">
        <v>6</v>
      </c>
      <c r="S458">
        <v>6</v>
      </c>
    </row>
    <row r="459" spans="1:19" x14ac:dyDescent="0.3">
      <c r="A459">
        <v>458</v>
      </c>
      <c r="B459" s="4">
        <v>40564</v>
      </c>
      <c r="C459">
        <v>1</v>
      </c>
      <c r="D459">
        <v>2</v>
      </c>
      <c r="E459" t="str">
        <f t="shared" si="21"/>
        <v>2 AM</v>
      </c>
      <c r="F459" t="str">
        <f t="shared" si="22"/>
        <v>Night</v>
      </c>
      <c r="G459" t="b">
        <v>0</v>
      </c>
      <c r="H459">
        <v>5</v>
      </c>
      <c r="I459" t="str">
        <f>_xlfn.XLOOKUP(Append15[[#This Row],[Week day]],Mappings!$B$3:$B$9,Mappings!$C$3:$C$9)</f>
        <v>Friday</v>
      </c>
      <c r="J459" t="str">
        <f t="shared" si="23"/>
        <v>Weekday</v>
      </c>
      <c r="K459">
        <v>3</v>
      </c>
      <c r="L459" t="str">
        <f>_xlfn.XLOOKUP(Append15[[#This Row],[WeatherSituation]],Mappings!$E$3:$E$6,Mappings!$F$3:$F$6)</f>
        <v>Light Rain</v>
      </c>
      <c r="M459">
        <v>0.24</v>
      </c>
      <c r="N459">
        <v>0.2424</v>
      </c>
      <c r="O459">
        <v>0.75</v>
      </c>
      <c r="P459">
        <v>0.16420000000000001</v>
      </c>
      <c r="Q459">
        <v>0</v>
      </c>
      <c r="R459">
        <v>2</v>
      </c>
      <c r="S459">
        <v>2</v>
      </c>
    </row>
    <row r="460" spans="1:19" x14ac:dyDescent="0.3">
      <c r="A460">
        <v>459</v>
      </c>
      <c r="B460" s="4">
        <v>40564</v>
      </c>
      <c r="C460">
        <v>1</v>
      </c>
      <c r="D460">
        <v>3</v>
      </c>
      <c r="E460" t="str">
        <f t="shared" si="21"/>
        <v>3 AM</v>
      </c>
      <c r="F460" t="str">
        <f t="shared" si="22"/>
        <v>Night</v>
      </c>
      <c r="G460" t="b">
        <v>0</v>
      </c>
      <c r="H460">
        <v>5</v>
      </c>
      <c r="I460" t="str">
        <f>_xlfn.XLOOKUP(Append15[[#This Row],[Week day]],Mappings!$B$3:$B$9,Mappings!$C$3:$C$9)</f>
        <v>Friday</v>
      </c>
      <c r="J460" t="str">
        <f t="shared" si="23"/>
        <v>Weekday</v>
      </c>
      <c r="K460">
        <v>3</v>
      </c>
      <c r="L460" t="str">
        <f>_xlfn.XLOOKUP(Append15[[#This Row],[WeatherSituation]],Mappings!$E$3:$E$6,Mappings!$F$3:$F$6)</f>
        <v>Light Rain</v>
      </c>
      <c r="M460">
        <v>0.22</v>
      </c>
      <c r="N460">
        <v>0.21210000000000001</v>
      </c>
      <c r="O460">
        <v>0.8</v>
      </c>
      <c r="P460">
        <v>0.29849999999999999</v>
      </c>
      <c r="Q460">
        <v>0</v>
      </c>
      <c r="R460">
        <v>1</v>
      </c>
      <c r="S460">
        <v>1</v>
      </c>
    </row>
    <row r="461" spans="1:19" x14ac:dyDescent="0.3">
      <c r="A461">
        <v>460</v>
      </c>
      <c r="B461" s="4">
        <v>40564</v>
      </c>
      <c r="C461">
        <v>1</v>
      </c>
      <c r="D461">
        <v>4</v>
      </c>
      <c r="E461" t="str">
        <f t="shared" si="21"/>
        <v>4 AM</v>
      </c>
      <c r="F461" t="str">
        <f t="shared" si="22"/>
        <v>Night</v>
      </c>
      <c r="G461" t="b">
        <v>0</v>
      </c>
      <c r="H461">
        <v>5</v>
      </c>
      <c r="I461" t="str">
        <f>_xlfn.XLOOKUP(Append15[[#This Row],[Week day]],Mappings!$B$3:$B$9,Mappings!$C$3:$C$9)</f>
        <v>Friday</v>
      </c>
      <c r="J461" t="str">
        <f t="shared" si="23"/>
        <v>Weekday</v>
      </c>
      <c r="K461">
        <v>2</v>
      </c>
      <c r="L461" t="str">
        <f>_xlfn.XLOOKUP(Append15[[#This Row],[WeatherSituation]],Mappings!$E$3:$E$6,Mappings!$F$3:$F$6)</f>
        <v>Mist/Cloudy</v>
      </c>
      <c r="M461">
        <v>0.22</v>
      </c>
      <c r="N461">
        <v>0.2576</v>
      </c>
      <c r="O461">
        <v>0.87</v>
      </c>
      <c r="P461">
        <v>8.9599999999999999E-2</v>
      </c>
      <c r="Q461">
        <v>0</v>
      </c>
      <c r="R461">
        <v>1</v>
      </c>
      <c r="S461">
        <v>1</v>
      </c>
    </row>
    <row r="462" spans="1:19" x14ac:dyDescent="0.3">
      <c r="A462">
        <v>461</v>
      </c>
      <c r="B462" s="4">
        <v>40564</v>
      </c>
      <c r="C462">
        <v>1</v>
      </c>
      <c r="D462">
        <v>5</v>
      </c>
      <c r="E462" t="str">
        <f t="shared" si="21"/>
        <v>5 AM</v>
      </c>
      <c r="F462" t="str">
        <f t="shared" si="22"/>
        <v>Morning</v>
      </c>
      <c r="G462" t="b">
        <v>0</v>
      </c>
      <c r="H462">
        <v>5</v>
      </c>
      <c r="I462" t="str">
        <f>_xlfn.XLOOKUP(Append15[[#This Row],[Week day]],Mappings!$B$3:$B$9,Mappings!$C$3:$C$9)</f>
        <v>Friday</v>
      </c>
      <c r="J462" t="str">
        <f t="shared" si="23"/>
        <v>Weekday</v>
      </c>
      <c r="K462">
        <v>1</v>
      </c>
      <c r="L462" t="str">
        <f>_xlfn.XLOOKUP(Append15[[#This Row],[WeatherSituation]],Mappings!$E$3:$E$6,Mappings!$F$3:$F$6)</f>
        <v>Clear Sky</v>
      </c>
      <c r="M462">
        <v>0.24</v>
      </c>
      <c r="N462">
        <v>0.19700000000000001</v>
      </c>
      <c r="O462">
        <v>0.6</v>
      </c>
      <c r="P462">
        <v>0.41789999999999999</v>
      </c>
      <c r="Q462">
        <v>1</v>
      </c>
      <c r="R462">
        <v>4</v>
      </c>
      <c r="S462">
        <v>5</v>
      </c>
    </row>
    <row r="463" spans="1:19" x14ac:dyDescent="0.3">
      <c r="A463">
        <v>462</v>
      </c>
      <c r="B463" s="4">
        <v>40564</v>
      </c>
      <c r="C463">
        <v>1</v>
      </c>
      <c r="D463">
        <v>6</v>
      </c>
      <c r="E463" t="str">
        <f t="shared" si="21"/>
        <v>6 AM</v>
      </c>
      <c r="F463" t="str">
        <f t="shared" si="22"/>
        <v>Morning</v>
      </c>
      <c r="G463" t="b">
        <v>0</v>
      </c>
      <c r="H463">
        <v>5</v>
      </c>
      <c r="I463" t="str">
        <f>_xlfn.XLOOKUP(Append15[[#This Row],[Week day]],Mappings!$B$3:$B$9,Mappings!$C$3:$C$9)</f>
        <v>Friday</v>
      </c>
      <c r="J463" t="str">
        <f t="shared" si="23"/>
        <v>Weekday</v>
      </c>
      <c r="K463">
        <v>1</v>
      </c>
      <c r="L463" t="str">
        <f>_xlfn.XLOOKUP(Append15[[#This Row],[WeatherSituation]],Mappings!$E$3:$E$6,Mappings!$F$3:$F$6)</f>
        <v>Clear Sky</v>
      </c>
      <c r="M463">
        <v>0.22</v>
      </c>
      <c r="N463">
        <v>0.21210000000000001</v>
      </c>
      <c r="O463">
        <v>0.55000000000000004</v>
      </c>
      <c r="P463">
        <v>0.25369999999999998</v>
      </c>
      <c r="Q463">
        <v>0</v>
      </c>
      <c r="R463">
        <v>27</v>
      </c>
      <c r="S463">
        <v>27</v>
      </c>
    </row>
    <row r="464" spans="1:19" x14ac:dyDescent="0.3">
      <c r="A464">
        <v>463</v>
      </c>
      <c r="B464" s="4">
        <v>40564</v>
      </c>
      <c r="C464">
        <v>1</v>
      </c>
      <c r="D464">
        <v>7</v>
      </c>
      <c r="E464" t="str">
        <f t="shared" si="21"/>
        <v>7 AM</v>
      </c>
      <c r="F464" t="str">
        <f t="shared" si="22"/>
        <v>Morning</v>
      </c>
      <c r="G464" t="b">
        <v>0</v>
      </c>
      <c r="H464">
        <v>5</v>
      </c>
      <c r="I464" t="str">
        <f>_xlfn.XLOOKUP(Append15[[#This Row],[Week day]],Mappings!$B$3:$B$9,Mappings!$C$3:$C$9)</f>
        <v>Friday</v>
      </c>
      <c r="J464" t="str">
        <f t="shared" si="23"/>
        <v>Weekday</v>
      </c>
      <c r="K464">
        <v>1</v>
      </c>
      <c r="L464" t="str">
        <f>_xlfn.XLOOKUP(Append15[[#This Row],[WeatherSituation]],Mappings!$E$3:$E$6,Mappings!$F$3:$F$6)</f>
        <v>Clear Sky</v>
      </c>
      <c r="M464">
        <v>0.2</v>
      </c>
      <c r="N464">
        <v>0.18179999999999999</v>
      </c>
      <c r="O464">
        <v>0.51</v>
      </c>
      <c r="P464">
        <v>0.28360000000000002</v>
      </c>
      <c r="Q464">
        <v>2</v>
      </c>
      <c r="R464">
        <v>66</v>
      </c>
      <c r="S464">
        <v>68</v>
      </c>
    </row>
    <row r="465" spans="1:19" x14ac:dyDescent="0.3">
      <c r="A465">
        <v>464</v>
      </c>
      <c r="B465" s="4">
        <v>40564</v>
      </c>
      <c r="C465">
        <v>1</v>
      </c>
      <c r="D465">
        <v>8</v>
      </c>
      <c r="E465" t="str">
        <f t="shared" si="21"/>
        <v>8 AM</v>
      </c>
      <c r="F465" t="str">
        <f t="shared" si="22"/>
        <v>Morning</v>
      </c>
      <c r="G465" t="b">
        <v>0</v>
      </c>
      <c r="H465">
        <v>5</v>
      </c>
      <c r="I465" t="str">
        <f>_xlfn.XLOOKUP(Append15[[#This Row],[Week day]],Mappings!$B$3:$B$9,Mappings!$C$3:$C$9)</f>
        <v>Friday</v>
      </c>
      <c r="J465" t="str">
        <f t="shared" si="23"/>
        <v>Weekday</v>
      </c>
      <c r="K465">
        <v>1</v>
      </c>
      <c r="L465" t="str">
        <f>_xlfn.XLOOKUP(Append15[[#This Row],[WeatherSituation]],Mappings!$E$3:$E$6,Mappings!$F$3:$F$6)</f>
        <v>Clear Sky</v>
      </c>
      <c r="M465">
        <v>0.2</v>
      </c>
      <c r="N465">
        <v>0.18179999999999999</v>
      </c>
      <c r="O465">
        <v>0.47</v>
      </c>
      <c r="P465">
        <v>0.32840000000000003</v>
      </c>
      <c r="Q465">
        <v>7</v>
      </c>
      <c r="R465">
        <v>210</v>
      </c>
      <c r="S465">
        <v>217</v>
      </c>
    </row>
    <row r="466" spans="1:19" x14ac:dyDescent="0.3">
      <c r="A466">
        <v>465</v>
      </c>
      <c r="B466" s="4">
        <v>40564</v>
      </c>
      <c r="C466">
        <v>1</v>
      </c>
      <c r="D466">
        <v>9</v>
      </c>
      <c r="E466" t="str">
        <f t="shared" si="21"/>
        <v>9 AM</v>
      </c>
      <c r="F466" t="str">
        <f t="shared" si="22"/>
        <v>Morning</v>
      </c>
      <c r="G466" t="b">
        <v>0</v>
      </c>
      <c r="H466">
        <v>5</v>
      </c>
      <c r="I466" t="str">
        <f>_xlfn.XLOOKUP(Append15[[#This Row],[Week day]],Mappings!$B$3:$B$9,Mappings!$C$3:$C$9)</f>
        <v>Friday</v>
      </c>
      <c r="J466" t="str">
        <f t="shared" si="23"/>
        <v>Weekday</v>
      </c>
      <c r="K466">
        <v>1</v>
      </c>
      <c r="L466" t="str">
        <f>_xlfn.XLOOKUP(Append15[[#This Row],[WeatherSituation]],Mappings!$E$3:$E$6,Mappings!$F$3:$F$6)</f>
        <v>Clear Sky</v>
      </c>
      <c r="M466">
        <v>0.2</v>
      </c>
      <c r="N466">
        <v>0.18179999999999999</v>
      </c>
      <c r="O466">
        <v>0.51</v>
      </c>
      <c r="P466">
        <v>0.35820000000000002</v>
      </c>
      <c r="Q466">
        <v>7</v>
      </c>
      <c r="R466">
        <v>159</v>
      </c>
      <c r="S466">
        <v>166</v>
      </c>
    </row>
    <row r="467" spans="1:19" x14ac:dyDescent="0.3">
      <c r="A467">
        <v>466</v>
      </c>
      <c r="B467" s="4">
        <v>40564</v>
      </c>
      <c r="C467">
        <v>1</v>
      </c>
      <c r="D467">
        <v>10</v>
      </c>
      <c r="E467" t="str">
        <f t="shared" si="21"/>
        <v>10 AM</v>
      </c>
      <c r="F467" t="str">
        <f t="shared" si="22"/>
        <v>Morning</v>
      </c>
      <c r="G467" t="b">
        <v>0</v>
      </c>
      <c r="H467">
        <v>5</v>
      </c>
      <c r="I467" t="str">
        <f>_xlfn.XLOOKUP(Append15[[#This Row],[Week day]],Mappings!$B$3:$B$9,Mappings!$C$3:$C$9)</f>
        <v>Friday</v>
      </c>
      <c r="J467" t="str">
        <f t="shared" si="23"/>
        <v>Weekday</v>
      </c>
      <c r="K467">
        <v>1</v>
      </c>
      <c r="L467" t="str">
        <f>_xlfn.XLOOKUP(Append15[[#This Row],[WeatherSituation]],Mappings!$E$3:$E$6,Mappings!$F$3:$F$6)</f>
        <v>Clear Sky</v>
      </c>
      <c r="M467">
        <v>0.2</v>
      </c>
      <c r="N467">
        <v>0.16669999999999999</v>
      </c>
      <c r="O467">
        <v>0.47</v>
      </c>
      <c r="P467">
        <v>0.4627</v>
      </c>
      <c r="Q467">
        <v>6</v>
      </c>
      <c r="R467">
        <v>57</v>
      </c>
      <c r="S467">
        <v>63</v>
      </c>
    </row>
    <row r="468" spans="1:19" x14ac:dyDescent="0.3">
      <c r="A468">
        <v>467</v>
      </c>
      <c r="B468" s="4">
        <v>40564</v>
      </c>
      <c r="C468">
        <v>1</v>
      </c>
      <c r="D468">
        <v>11</v>
      </c>
      <c r="E468" t="str">
        <f t="shared" si="21"/>
        <v>11 AM</v>
      </c>
      <c r="F468" t="str">
        <f t="shared" si="22"/>
        <v>Morning</v>
      </c>
      <c r="G468" t="b">
        <v>0</v>
      </c>
      <c r="H468">
        <v>5</v>
      </c>
      <c r="I468" t="str">
        <f>_xlfn.XLOOKUP(Append15[[#This Row],[Week day]],Mappings!$B$3:$B$9,Mappings!$C$3:$C$9)</f>
        <v>Friday</v>
      </c>
      <c r="J468" t="str">
        <f t="shared" si="23"/>
        <v>Weekday</v>
      </c>
      <c r="K468">
        <v>1</v>
      </c>
      <c r="L468" t="str">
        <f>_xlfn.XLOOKUP(Append15[[#This Row],[WeatherSituation]],Mappings!$E$3:$E$6,Mappings!$F$3:$F$6)</f>
        <v>Clear Sky</v>
      </c>
      <c r="M468">
        <v>0.22</v>
      </c>
      <c r="N468">
        <v>0.18179999999999999</v>
      </c>
      <c r="O468">
        <v>0.41</v>
      </c>
      <c r="P468">
        <v>0.4627</v>
      </c>
      <c r="Q468">
        <v>6</v>
      </c>
      <c r="R468">
        <v>53</v>
      </c>
      <c r="S468">
        <v>59</v>
      </c>
    </row>
    <row r="469" spans="1:19" x14ac:dyDescent="0.3">
      <c r="A469">
        <v>468</v>
      </c>
      <c r="B469" s="4">
        <v>40564</v>
      </c>
      <c r="C469">
        <v>1</v>
      </c>
      <c r="D469">
        <v>12</v>
      </c>
      <c r="E469" t="str">
        <f t="shared" si="21"/>
        <v>12 PM</v>
      </c>
      <c r="F469" t="str">
        <f t="shared" si="22"/>
        <v>AfterNoon</v>
      </c>
      <c r="G469" t="b">
        <v>0</v>
      </c>
      <c r="H469">
        <v>5</v>
      </c>
      <c r="I469" t="str">
        <f>_xlfn.XLOOKUP(Append15[[#This Row],[Week day]],Mappings!$B$3:$B$9,Mappings!$C$3:$C$9)</f>
        <v>Friday</v>
      </c>
      <c r="J469" t="str">
        <f t="shared" si="23"/>
        <v>Weekday</v>
      </c>
      <c r="K469">
        <v>1</v>
      </c>
      <c r="L469" t="str">
        <f>_xlfn.XLOOKUP(Append15[[#This Row],[WeatherSituation]],Mappings!$E$3:$E$6,Mappings!$F$3:$F$6)</f>
        <v>Clear Sky</v>
      </c>
      <c r="M469">
        <v>0.22</v>
      </c>
      <c r="N469">
        <v>0.18179999999999999</v>
      </c>
      <c r="O469">
        <v>0.27</v>
      </c>
      <c r="P469">
        <v>0.58209999999999995</v>
      </c>
      <c r="Q469">
        <v>11</v>
      </c>
      <c r="R469">
        <v>67</v>
      </c>
      <c r="S469">
        <v>78</v>
      </c>
    </row>
    <row r="470" spans="1:19" x14ac:dyDescent="0.3">
      <c r="A470">
        <v>469</v>
      </c>
      <c r="B470" s="4">
        <v>40564</v>
      </c>
      <c r="C470">
        <v>1</v>
      </c>
      <c r="D470">
        <v>13</v>
      </c>
      <c r="E470" t="str">
        <f t="shared" si="21"/>
        <v>1 PM</v>
      </c>
      <c r="F470" t="str">
        <f t="shared" si="22"/>
        <v>AfterNoon</v>
      </c>
      <c r="G470" t="b">
        <v>0</v>
      </c>
      <c r="H470">
        <v>5</v>
      </c>
      <c r="I470" t="str">
        <f>_xlfn.XLOOKUP(Append15[[#This Row],[Week day]],Mappings!$B$3:$B$9,Mappings!$C$3:$C$9)</f>
        <v>Friday</v>
      </c>
      <c r="J470" t="str">
        <f t="shared" si="23"/>
        <v>Weekday</v>
      </c>
      <c r="K470">
        <v>1</v>
      </c>
      <c r="L470" t="str">
        <f>_xlfn.XLOOKUP(Append15[[#This Row],[WeatherSituation]],Mappings!$E$3:$E$6,Mappings!$F$3:$F$6)</f>
        <v>Clear Sky</v>
      </c>
      <c r="M470">
        <v>0.2</v>
      </c>
      <c r="N470">
        <v>0.1515</v>
      </c>
      <c r="O470">
        <v>0.21</v>
      </c>
      <c r="P470">
        <v>0.58209999999999995</v>
      </c>
      <c r="Q470">
        <v>8</v>
      </c>
      <c r="R470">
        <v>65</v>
      </c>
      <c r="S470">
        <v>73</v>
      </c>
    </row>
    <row r="471" spans="1:19" x14ac:dyDescent="0.3">
      <c r="A471">
        <v>470</v>
      </c>
      <c r="B471" s="4">
        <v>40564</v>
      </c>
      <c r="C471">
        <v>1</v>
      </c>
      <c r="D471">
        <v>14</v>
      </c>
      <c r="E471" t="str">
        <f t="shared" si="21"/>
        <v>2 PM</v>
      </c>
      <c r="F471" t="str">
        <f t="shared" si="22"/>
        <v>AfterNoon</v>
      </c>
      <c r="G471" t="b">
        <v>0</v>
      </c>
      <c r="H471">
        <v>5</v>
      </c>
      <c r="I471" t="str">
        <f>_xlfn.XLOOKUP(Append15[[#This Row],[Week day]],Mappings!$B$3:$B$9,Mappings!$C$3:$C$9)</f>
        <v>Friday</v>
      </c>
      <c r="J471" t="str">
        <f t="shared" si="23"/>
        <v>Weekday</v>
      </c>
      <c r="K471">
        <v>1</v>
      </c>
      <c r="L471" t="str">
        <f>_xlfn.XLOOKUP(Append15[[#This Row],[WeatherSituation]],Mappings!$E$3:$E$6,Mappings!$F$3:$F$6)</f>
        <v>Clear Sky</v>
      </c>
      <c r="M471">
        <v>0.2</v>
      </c>
      <c r="N471">
        <v>0.1515</v>
      </c>
      <c r="O471">
        <v>0.25</v>
      </c>
      <c r="P471">
        <v>0.52239999999999998</v>
      </c>
      <c r="Q471">
        <v>6</v>
      </c>
      <c r="R471">
        <v>56</v>
      </c>
      <c r="S471">
        <v>62</v>
      </c>
    </row>
    <row r="472" spans="1:19" x14ac:dyDescent="0.3">
      <c r="A472">
        <v>471</v>
      </c>
      <c r="B472" s="4">
        <v>40564</v>
      </c>
      <c r="C472">
        <v>1</v>
      </c>
      <c r="D472">
        <v>15</v>
      </c>
      <c r="E472" t="str">
        <f t="shared" si="21"/>
        <v>3 PM</v>
      </c>
      <c r="F472" t="str">
        <f t="shared" si="22"/>
        <v>AfterNoon</v>
      </c>
      <c r="G472" t="b">
        <v>0</v>
      </c>
      <c r="H472">
        <v>5</v>
      </c>
      <c r="I472" t="str">
        <f>_xlfn.XLOOKUP(Append15[[#This Row],[Week day]],Mappings!$B$3:$B$9,Mappings!$C$3:$C$9)</f>
        <v>Friday</v>
      </c>
      <c r="J472" t="str">
        <f t="shared" si="23"/>
        <v>Weekday</v>
      </c>
      <c r="K472">
        <v>1</v>
      </c>
      <c r="L472" t="str">
        <f>_xlfn.XLOOKUP(Append15[[#This Row],[WeatherSituation]],Mappings!$E$3:$E$6,Mappings!$F$3:$F$6)</f>
        <v>Clear Sky</v>
      </c>
      <c r="M472">
        <v>0.16</v>
      </c>
      <c r="N472">
        <v>0.1212</v>
      </c>
      <c r="O472">
        <v>0.26</v>
      </c>
      <c r="P472">
        <v>0.44779999999999998</v>
      </c>
      <c r="Q472">
        <v>4</v>
      </c>
      <c r="R472">
        <v>61</v>
      </c>
      <c r="S472">
        <v>65</v>
      </c>
    </row>
    <row r="473" spans="1:19" x14ac:dyDescent="0.3">
      <c r="A473">
        <v>472</v>
      </c>
      <c r="B473" s="4">
        <v>40564</v>
      </c>
      <c r="C473">
        <v>1</v>
      </c>
      <c r="D473">
        <v>16</v>
      </c>
      <c r="E473" t="str">
        <f t="shared" si="21"/>
        <v>4 PM</v>
      </c>
      <c r="F473" t="str">
        <f t="shared" si="22"/>
        <v>Evening</v>
      </c>
      <c r="G473" t="b">
        <v>0</v>
      </c>
      <c r="H473">
        <v>5</v>
      </c>
      <c r="I473" t="str">
        <f>_xlfn.XLOOKUP(Append15[[#This Row],[Week day]],Mappings!$B$3:$B$9,Mappings!$C$3:$C$9)</f>
        <v>Friday</v>
      </c>
      <c r="J473" t="str">
        <f t="shared" si="23"/>
        <v>Weekday</v>
      </c>
      <c r="K473">
        <v>1</v>
      </c>
      <c r="L473" t="str">
        <f>_xlfn.XLOOKUP(Append15[[#This Row],[WeatherSituation]],Mappings!$E$3:$E$6,Mappings!$F$3:$F$6)</f>
        <v>Clear Sky</v>
      </c>
      <c r="M473">
        <v>0.16</v>
      </c>
      <c r="N473">
        <v>0.13639999999999999</v>
      </c>
      <c r="O473">
        <v>0.26</v>
      </c>
      <c r="P473">
        <v>0.35820000000000002</v>
      </c>
      <c r="Q473">
        <v>0</v>
      </c>
      <c r="R473">
        <v>97</v>
      </c>
      <c r="S473">
        <v>97</v>
      </c>
    </row>
    <row r="474" spans="1:19" x14ac:dyDescent="0.3">
      <c r="A474">
        <v>473</v>
      </c>
      <c r="B474" s="4">
        <v>40564</v>
      </c>
      <c r="C474">
        <v>1</v>
      </c>
      <c r="D474">
        <v>17</v>
      </c>
      <c r="E474" t="str">
        <f t="shared" si="21"/>
        <v>5 PM</v>
      </c>
      <c r="F474" t="str">
        <f t="shared" si="22"/>
        <v>Evening</v>
      </c>
      <c r="G474" t="b">
        <v>0</v>
      </c>
      <c r="H474">
        <v>5</v>
      </c>
      <c r="I474" t="str">
        <f>_xlfn.XLOOKUP(Append15[[#This Row],[Week day]],Mappings!$B$3:$B$9,Mappings!$C$3:$C$9)</f>
        <v>Friday</v>
      </c>
      <c r="J474" t="str">
        <f t="shared" si="23"/>
        <v>Weekday</v>
      </c>
      <c r="K474">
        <v>1</v>
      </c>
      <c r="L474" t="str">
        <f>_xlfn.XLOOKUP(Append15[[#This Row],[WeatherSituation]],Mappings!$E$3:$E$6,Mappings!$F$3:$F$6)</f>
        <v>Clear Sky</v>
      </c>
      <c r="M474">
        <v>0.14000000000000001</v>
      </c>
      <c r="N474">
        <v>0.1212</v>
      </c>
      <c r="O474">
        <v>0.28000000000000003</v>
      </c>
      <c r="P474">
        <v>0.35820000000000002</v>
      </c>
      <c r="Q474">
        <v>10</v>
      </c>
      <c r="R474">
        <v>151</v>
      </c>
      <c r="S474">
        <v>161</v>
      </c>
    </row>
    <row r="475" spans="1:19" x14ac:dyDescent="0.3">
      <c r="A475">
        <v>474</v>
      </c>
      <c r="B475" s="4">
        <v>40564</v>
      </c>
      <c r="C475">
        <v>1</v>
      </c>
      <c r="D475">
        <v>18</v>
      </c>
      <c r="E475" t="str">
        <f t="shared" si="21"/>
        <v>6 PM</v>
      </c>
      <c r="F475" t="str">
        <f t="shared" si="22"/>
        <v>Evening</v>
      </c>
      <c r="G475" t="b">
        <v>0</v>
      </c>
      <c r="H475">
        <v>5</v>
      </c>
      <c r="I475" t="str">
        <f>_xlfn.XLOOKUP(Append15[[#This Row],[Week day]],Mappings!$B$3:$B$9,Mappings!$C$3:$C$9)</f>
        <v>Friday</v>
      </c>
      <c r="J475" t="str">
        <f t="shared" si="23"/>
        <v>Weekday</v>
      </c>
      <c r="K475">
        <v>1</v>
      </c>
      <c r="L475" t="str">
        <f>_xlfn.XLOOKUP(Append15[[#This Row],[WeatherSituation]],Mappings!$E$3:$E$6,Mappings!$F$3:$F$6)</f>
        <v>Clear Sky</v>
      </c>
      <c r="M475">
        <v>0.12</v>
      </c>
      <c r="N475">
        <v>0.1212</v>
      </c>
      <c r="O475">
        <v>0.3</v>
      </c>
      <c r="P475">
        <v>0.25369999999999998</v>
      </c>
      <c r="Q475">
        <v>1</v>
      </c>
      <c r="R475">
        <v>119</v>
      </c>
      <c r="S475">
        <v>120</v>
      </c>
    </row>
    <row r="476" spans="1:19" x14ac:dyDescent="0.3">
      <c r="A476">
        <v>475</v>
      </c>
      <c r="B476" s="4">
        <v>40564</v>
      </c>
      <c r="C476">
        <v>1</v>
      </c>
      <c r="D476">
        <v>19</v>
      </c>
      <c r="E476" t="str">
        <f t="shared" si="21"/>
        <v>7 PM</v>
      </c>
      <c r="F476" t="str">
        <f t="shared" si="22"/>
        <v>Evening</v>
      </c>
      <c r="G476" t="b">
        <v>0</v>
      </c>
      <c r="H476">
        <v>5</v>
      </c>
      <c r="I476" t="str">
        <f>_xlfn.XLOOKUP(Append15[[#This Row],[Week day]],Mappings!$B$3:$B$9,Mappings!$C$3:$C$9)</f>
        <v>Friday</v>
      </c>
      <c r="J476" t="str">
        <f t="shared" si="23"/>
        <v>Weekday</v>
      </c>
      <c r="K476">
        <v>1</v>
      </c>
      <c r="L476" t="str">
        <f>_xlfn.XLOOKUP(Append15[[#This Row],[WeatherSituation]],Mappings!$E$3:$E$6,Mappings!$F$3:$F$6)</f>
        <v>Clear Sky</v>
      </c>
      <c r="M476">
        <v>0.12</v>
      </c>
      <c r="N476">
        <v>0.1061</v>
      </c>
      <c r="O476">
        <v>0.3</v>
      </c>
      <c r="P476">
        <v>0.32840000000000003</v>
      </c>
      <c r="Q476">
        <v>3</v>
      </c>
      <c r="R476">
        <v>93</v>
      </c>
      <c r="S476">
        <v>96</v>
      </c>
    </row>
    <row r="477" spans="1:19" x14ac:dyDescent="0.3">
      <c r="A477">
        <v>476</v>
      </c>
      <c r="B477" s="4">
        <v>40564</v>
      </c>
      <c r="C477">
        <v>1</v>
      </c>
      <c r="D477">
        <v>20</v>
      </c>
      <c r="E477" t="str">
        <f t="shared" si="21"/>
        <v>8 PM</v>
      </c>
      <c r="F477" t="str">
        <f t="shared" si="22"/>
        <v>Night</v>
      </c>
      <c r="G477" t="b">
        <v>0</v>
      </c>
      <c r="H477">
        <v>5</v>
      </c>
      <c r="I477" t="str">
        <f>_xlfn.XLOOKUP(Append15[[#This Row],[Week day]],Mappings!$B$3:$B$9,Mappings!$C$3:$C$9)</f>
        <v>Friday</v>
      </c>
      <c r="J477" t="str">
        <f t="shared" si="23"/>
        <v>Weekday</v>
      </c>
      <c r="K477">
        <v>1</v>
      </c>
      <c r="L477" t="str">
        <f>_xlfn.XLOOKUP(Append15[[#This Row],[WeatherSituation]],Mappings!$E$3:$E$6,Mappings!$F$3:$F$6)</f>
        <v>Clear Sky</v>
      </c>
      <c r="M477">
        <v>0.1</v>
      </c>
      <c r="N477">
        <v>7.5800000000000006E-2</v>
      </c>
      <c r="O477">
        <v>0.33</v>
      </c>
      <c r="P477">
        <v>0.41789999999999999</v>
      </c>
      <c r="Q477">
        <v>1</v>
      </c>
      <c r="R477">
        <v>52</v>
      </c>
      <c r="S477">
        <v>53</v>
      </c>
    </row>
    <row r="478" spans="1:19" x14ac:dyDescent="0.3">
      <c r="A478">
        <v>477</v>
      </c>
      <c r="B478" s="4">
        <v>40564</v>
      </c>
      <c r="C478">
        <v>1</v>
      </c>
      <c r="D478">
        <v>21</v>
      </c>
      <c r="E478" t="str">
        <f t="shared" si="21"/>
        <v>9 PM</v>
      </c>
      <c r="F478" t="str">
        <f t="shared" si="22"/>
        <v>Night</v>
      </c>
      <c r="G478" t="b">
        <v>0</v>
      </c>
      <c r="H478">
        <v>5</v>
      </c>
      <c r="I478" t="str">
        <f>_xlfn.XLOOKUP(Append15[[#This Row],[Week day]],Mappings!$B$3:$B$9,Mappings!$C$3:$C$9)</f>
        <v>Friday</v>
      </c>
      <c r="J478" t="str">
        <f t="shared" si="23"/>
        <v>Weekday</v>
      </c>
      <c r="K478">
        <v>1</v>
      </c>
      <c r="L478" t="str">
        <f>_xlfn.XLOOKUP(Append15[[#This Row],[WeatherSituation]],Mappings!$E$3:$E$6,Mappings!$F$3:$F$6)</f>
        <v>Clear Sky</v>
      </c>
      <c r="M478">
        <v>0.08</v>
      </c>
      <c r="N478">
        <v>7.5800000000000006E-2</v>
      </c>
      <c r="O478">
        <v>0.38</v>
      </c>
      <c r="P478">
        <v>0.28360000000000002</v>
      </c>
      <c r="Q478">
        <v>0</v>
      </c>
      <c r="R478">
        <v>41</v>
      </c>
      <c r="S478">
        <v>41</v>
      </c>
    </row>
    <row r="479" spans="1:19" x14ac:dyDescent="0.3">
      <c r="A479">
        <v>478</v>
      </c>
      <c r="B479" s="4">
        <v>40564</v>
      </c>
      <c r="C479">
        <v>1</v>
      </c>
      <c r="D479">
        <v>22</v>
      </c>
      <c r="E479" t="str">
        <f t="shared" si="21"/>
        <v>10 PM</v>
      </c>
      <c r="F479" t="str">
        <f t="shared" si="22"/>
        <v>Night</v>
      </c>
      <c r="G479" t="b">
        <v>0</v>
      </c>
      <c r="H479">
        <v>5</v>
      </c>
      <c r="I479" t="str">
        <f>_xlfn.XLOOKUP(Append15[[#This Row],[Week day]],Mappings!$B$3:$B$9,Mappings!$C$3:$C$9)</f>
        <v>Friday</v>
      </c>
      <c r="J479" t="str">
        <f t="shared" si="23"/>
        <v>Weekday</v>
      </c>
      <c r="K479">
        <v>1</v>
      </c>
      <c r="L479" t="str">
        <f>_xlfn.XLOOKUP(Append15[[#This Row],[WeatherSituation]],Mappings!$E$3:$E$6,Mappings!$F$3:$F$6)</f>
        <v>Clear Sky</v>
      </c>
      <c r="M479">
        <v>0.06</v>
      </c>
      <c r="N479">
        <v>3.0300000000000001E-2</v>
      </c>
      <c r="O479">
        <v>0.41</v>
      </c>
      <c r="P479">
        <v>0.3881</v>
      </c>
      <c r="Q479">
        <v>1</v>
      </c>
      <c r="R479">
        <v>33</v>
      </c>
      <c r="S479">
        <v>34</v>
      </c>
    </row>
    <row r="480" spans="1:19" x14ac:dyDescent="0.3">
      <c r="A480">
        <v>479</v>
      </c>
      <c r="B480" s="4">
        <v>40564</v>
      </c>
      <c r="C480">
        <v>1</v>
      </c>
      <c r="D480">
        <v>23</v>
      </c>
      <c r="E480" t="str">
        <f t="shared" si="21"/>
        <v>11 PM</v>
      </c>
      <c r="F480" t="str">
        <f t="shared" si="22"/>
        <v>Night</v>
      </c>
      <c r="G480" t="b">
        <v>0</v>
      </c>
      <c r="H480">
        <v>5</v>
      </c>
      <c r="I480" t="str">
        <f>_xlfn.XLOOKUP(Append15[[#This Row],[Week day]],Mappings!$B$3:$B$9,Mappings!$C$3:$C$9)</f>
        <v>Friday</v>
      </c>
      <c r="J480" t="str">
        <f t="shared" si="23"/>
        <v>Weekday</v>
      </c>
      <c r="K480">
        <v>1</v>
      </c>
      <c r="L480" t="str">
        <f>_xlfn.XLOOKUP(Append15[[#This Row],[WeatherSituation]],Mappings!$E$3:$E$6,Mappings!$F$3:$F$6)</f>
        <v>Clear Sky</v>
      </c>
      <c r="M480">
        <v>0.06</v>
      </c>
      <c r="N480">
        <v>4.5499999999999999E-2</v>
      </c>
      <c r="O480">
        <v>0.38</v>
      </c>
      <c r="P480">
        <v>0.32840000000000003</v>
      </c>
      <c r="Q480">
        <v>0</v>
      </c>
      <c r="R480">
        <v>27</v>
      </c>
      <c r="S480">
        <v>27</v>
      </c>
    </row>
    <row r="481" spans="1:19" x14ac:dyDescent="0.3">
      <c r="A481">
        <v>480</v>
      </c>
      <c r="B481" s="4">
        <v>40565</v>
      </c>
      <c r="C481">
        <v>1</v>
      </c>
      <c r="D481">
        <v>0</v>
      </c>
      <c r="E481" t="str">
        <f t="shared" si="21"/>
        <v>12 AM</v>
      </c>
      <c r="F481" t="str">
        <f t="shared" si="22"/>
        <v>Night</v>
      </c>
      <c r="G481" t="b">
        <v>0</v>
      </c>
      <c r="H481">
        <v>6</v>
      </c>
      <c r="I481" t="str">
        <f>_xlfn.XLOOKUP(Append15[[#This Row],[Week day]],Mappings!$B$3:$B$9,Mappings!$C$3:$C$9)</f>
        <v>Saturday</v>
      </c>
      <c r="J481" t="str">
        <f t="shared" si="23"/>
        <v>Weekend</v>
      </c>
      <c r="K481">
        <v>1</v>
      </c>
      <c r="L481" t="str">
        <f>_xlfn.XLOOKUP(Append15[[#This Row],[WeatherSituation]],Mappings!$E$3:$E$6,Mappings!$F$3:$F$6)</f>
        <v>Clear Sky</v>
      </c>
      <c r="M481">
        <v>0.04</v>
      </c>
      <c r="N481">
        <v>3.0300000000000001E-2</v>
      </c>
      <c r="O481">
        <v>0.45</v>
      </c>
      <c r="P481">
        <v>0.25369999999999998</v>
      </c>
      <c r="Q481">
        <v>0</v>
      </c>
      <c r="R481">
        <v>13</v>
      </c>
      <c r="S481">
        <v>13</v>
      </c>
    </row>
    <row r="482" spans="1:19" x14ac:dyDescent="0.3">
      <c r="A482">
        <v>481</v>
      </c>
      <c r="B482" s="4">
        <v>40565</v>
      </c>
      <c r="C482">
        <v>1</v>
      </c>
      <c r="D482">
        <v>1</v>
      </c>
      <c r="E482" t="str">
        <f t="shared" si="21"/>
        <v>1 AM</v>
      </c>
      <c r="F482" t="str">
        <f t="shared" si="22"/>
        <v>Night</v>
      </c>
      <c r="G482" t="b">
        <v>0</v>
      </c>
      <c r="H482">
        <v>6</v>
      </c>
      <c r="I482" t="str">
        <f>_xlfn.XLOOKUP(Append15[[#This Row],[Week day]],Mappings!$B$3:$B$9,Mappings!$C$3:$C$9)</f>
        <v>Saturday</v>
      </c>
      <c r="J482" t="str">
        <f t="shared" si="23"/>
        <v>Weekend</v>
      </c>
      <c r="K482">
        <v>2</v>
      </c>
      <c r="L482" t="str">
        <f>_xlfn.XLOOKUP(Append15[[#This Row],[WeatherSituation]],Mappings!$E$3:$E$6,Mappings!$F$3:$F$6)</f>
        <v>Mist/Cloudy</v>
      </c>
      <c r="M482">
        <v>0.04</v>
      </c>
      <c r="N482">
        <v>0</v>
      </c>
      <c r="O482">
        <v>0.41</v>
      </c>
      <c r="P482">
        <v>0.3881</v>
      </c>
      <c r="Q482">
        <v>3</v>
      </c>
      <c r="R482">
        <v>9</v>
      </c>
      <c r="S482">
        <v>12</v>
      </c>
    </row>
    <row r="483" spans="1:19" x14ac:dyDescent="0.3">
      <c r="A483">
        <v>482</v>
      </c>
      <c r="B483" s="4">
        <v>40565</v>
      </c>
      <c r="C483">
        <v>1</v>
      </c>
      <c r="D483">
        <v>2</v>
      </c>
      <c r="E483" t="str">
        <f t="shared" si="21"/>
        <v>2 AM</v>
      </c>
      <c r="F483" t="str">
        <f t="shared" si="22"/>
        <v>Night</v>
      </c>
      <c r="G483" t="b">
        <v>0</v>
      </c>
      <c r="H483">
        <v>6</v>
      </c>
      <c r="I483" t="str">
        <f>_xlfn.XLOOKUP(Append15[[#This Row],[Week day]],Mappings!$B$3:$B$9,Mappings!$C$3:$C$9)</f>
        <v>Saturday</v>
      </c>
      <c r="J483" t="str">
        <f t="shared" si="23"/>
        <v>Weekend</v>
      </c>
      <c r="K483">
        <v>2</v>
      </c>
      <c r="L483" t="str">
        <f>_xlfn.XLOOKUP(Append15[[#This Row],[WeatherSituation]],Mappings!$E$3:$E$6,Mappings!$F$3:$F$6)</f>
        <v>Mist/Cloudy</v>
      </c>
      <c r="M483">
        <v>0.04</v>
      </c>
      <c r="N483">
        <v>3.0300000000000001E-2</v>
      </c>
      <c r="O483">
        <v>0.41</v>
      </c>
      <c r="P483">
        <v>0.25369999999999998</v>
      </c>
      <c r="Q483">
        <v>0</v>
      </c>
      <c r="R483">
        <v>11</v>
      </c>
      <c r="S483">
        <v>11</v>
      </c>
    </row>
    <row r="484" spans="1:19" x14ac:dyDescent="0.3">
      <c r="A484">
        <v>483</v>
      </c>
      <c r="B484" s="4">
        <v>40565</v>
      </c>
      <c r="C484">
        <v>1</v>
      </c>
      <c r="D484">
        <v>3</v>
      </c>
      <c r="E484" t="str">
        <f t="shared" si="21"/>
        <v>3 AM</v>
      </c>
      <c r="F484" t="str">
        <f t="shared" si="22"/>
        <v>Night</v>
      </c>
      <c r="G484" t="b">
        <v>0</v>
      </c>
      <c r="H484">
        <v>6</v>
      </c>
      <c r="I484" t="str">
        <f>_xlfn.XLOOKUP(Append15[[#This Row],[Week day]],Mappings!$B$3:$B$9,Mappings!$C$3:$C$9)</f>
        <v>Saturday</v>
      </c>
      <c r="J484" t="str">
        <f t="shared" si="23"/>
        <v>Weekend</v>
      </c>
      <c r="K484">
        <v>2</v>
      </c>
      <c r="L484" t="str">
        <f>_xlfn.XLOOKUP(Append15[[#This Row],[WeatherSituation]],Mappings!$E$3:$E$6,Mappings!$F$3:$F$6)</f>
        <v>Mist/Cloudy</v>
      </c>
      <c r="M484">
        <v>0.04</v>
      </c>
      <c r="N484">
        <v>3.0300000000000001E-2</v>
      </c>
      <c r="O484">
        <v>0.41</v>
      </c>
      <c r="P484">
        <v>0.28360000000000002</v>
      </c>
      <c r="Q484">
        <v>1</v>
      </c>
      <c r="R484">
        <v>6</v>
      </c>
      <c r="S484">
        <v>7</v>
      </c>
    </row>
    <row r="485" spans="1:19" x14ac:dyDescent="0.3">
      <c r="A485">
        <v>484</v>
      </c>
      <c r="B485" s="4">
        <v>40565</v>
      </c>
      <c r="C485">
        <v>1</v>
      </c>
      <c r="D485">
        <v>4</v>
      </c>
      <c r="E485" t="str">
        <f t="shared" si="21"/>
        <v>4 AM</v>
      </c>
      <c r="F485" t="str">
        <f t="shared" si="22"/>
        <v>Night</v>
      </c>
      <c r="G485" t="b">
        <v>0</v>
      </c>
      <c r="H485">
        <v>6</v>
      </c>
      <c r="I485" t="str">
        <f>_xlfn.XLOOKUP(Append15[[#This Row],[Week day]],Mappings!$B$3:$B$9,Mappings!$C$3:$C$9)</f>
        <v>Saturday</v>
      </c>
      <c r="J485" t="str">
        <f t="shared" si="23"/>
        <v>Weekend</v>
      </c>
      <c r="K485">
        <v>2</v>
      </c>
      <c r="L485" t="str">
        <f>_xlfn.XLOOKUP(Append15[[#This Row],[WeatherSituation]],Mappings!$E$3:$E$6,Mappings!$F$3:$F$6)</f>
        <v>Mist/Cloudy</v>
      </c>
      <c r="M485">
        <v>0.02</v>
      </c>
      <c r="N485">
        <v>1.52E-2</v>
      </c>
      <c r="O485">
        <v>0.48</v>
      </c>
      <c r="P485">
        <v>0.29849999999999999</v>
      </c>
      <c r="Q485">
        <v>0</v>
      </c>
      <c r="R485">
        <v>3</v>
      </c>
      <c r="S485">
        <v>3</v>
      </c>
    </row>
    <row r="486" spans="1:19" x14ac:dyDescent="0.3">
      <c r="A486">
        <v>485</v>
      </c>
      <c r="B486" s="4">
        <v>40565</v>
      </c>
      <c r="C486">
        <v>1</v>
      </c>
      <c r="D486">
        <v>6</v>
      </c>
      <c r="E486" t="str">
        <f t="shared" si="21"/>
        <v>6 AM</v>
      </c>
      <c r="F486" t="str">
        <f t="shared" si="22"/>
        <v>Morning</v>
      </c>
      <c r="G486" t="b">
        <v>0</v>
      </c>
      <c r="H486">
        <v>6</v>
      </c>
      <c r="I486" t="str">
        <f>_xlfn.XLOOKUP(Append15[[#This Row],[Week day]],Mappings!$B$3:$B$9,Mappings!$C$3:$C$9)</f>
        <v>Saturday</v>
      </c>
      <c r="J486" t="str">
        <f t="shared" si="23"/>
        <v>Weekend</v>
      </c>
      <c r="K486">
        <v>2</v>
      </c>
      <c r="L486" t="str">
        <f>_xlfn.XLOOKUP(Append15[[#This Row],[WeatherSituation]],Mappings!$E$3:$E$6,Mappings!$F$3:$F$6)</f>
        <v>Mist/Cloudy</v>
      </c>
      <c r="M486">
        <v>0.02</v>
      </c>
      <c r="N486">
        <v>3.0300000000000001E-2</v>
      </c>
      <c r="O486">
        <v>0.44</v>
      </c>
      <c r="P486">
        <v>0.22389999999999999</v>
      </c>
      <c r="Q486">
        <v>0</v>
      </c>
      <c r="R486">
        <v>2</v>
      </c>
      <c r="S486">
        <v>2</v>
      </c>
    </row>
    <row r="487" spans="1:19" x14ac:dyDescent="0.3">
      <c r="A487">
        <v>486</v>
      </c>
      <c r="B487" s="4">
        <v>40565</v>
      </c>
      <c r="C487">
        <v>1</v>
      </c>
      <c r="D487">
        <v>7</v>
      </c>
      <c r="E487" t="str">
        <f t="shared" si="21"/>
        <v>7 AM</v>
      </c>
      <c r="F487" t="str">
        <f t="shared" si="22"/>
        <v>Morning</v>
      </c>
      <c r="G487" t="b">
        <v>0</v>
      </c>
      <c r="H487">
        <v>6</v>
      </c>
      <c r="I487" t="str">
        <f>_xlfn.XLOOKUP(Append15[[#This Row],[Week day]],Mappings!$B$3:$B$9,Mappings!$C$3:$C$9)</f>
        <v>Saturday</v>
      </c>
      <c r="J487" t="str">
        <f t="shared" si="23"/>
        <v>Weekend</v>
      </c>
      <c r="K487">
        <v>1</v>
      </c>
      <c r="L487" t="str">
        <f>_xlfn.XLOOKUP(Append15[[#This Row],[WeatherSituation]],Mappings!$E$3:$E$6,Mappings!$F$3:$F$6)</f>
        <v>Clear Sky</v>
      </c>
      <c r="M487">
        <v>0.02</v>
      </c>
      <c r="N487">
        <v>1.52E-2</v>
      </c>
      <c r="O487">
        <v>0.44</v>
      </c>
      <c r="P487">
        <v>0.28360000000000002</v>
      </c>
      <c r="Q487">
        <v>0</v>
      </c>
      <c r="R487">
        <v>8</v>
      </c>
      <c r="S487">
        <v>8</v>
      </c>
    </row>
    <row r="488" spans="1:19" x14ac:dyDescent="0.3">
      <c r="A488">
        <v>487</v>
      </c>
      <c r="B488" s="4">
        <v>40565</v>
      </c>
      <c r="C488">
        <v>1</v>
      </c>
      <c r="D488">
        <v>8</v>
      </c>
      <c r="E488" t="str">
        <f t="shared" si="21"/>
        <v>8 AM</v>
      </c>
      <c r="F488" t="str">
        <f t="shared" si="22"/>
        <v>Morning</v>
      </c>
      <c r="G488" t="b">
        <v>0</v>
      </c>
      <c r="H488">
        <v>6</v>
      </c>
      <c r="I488" t="str">
        <f>_xlfn.XLOOKUP(Append15[[#This Row],[Week day]],Mappings!$B$3:$B$9,Mappings!$C$3:$C$9)</f>
        <v>Saturday</v>
      </c>
      <c r="J488" t="str">
        <f t="shared" si="23"/>
        <v>Weekend</v>
      </c>
      <c r="K488">
        <v>1</v>
      </c>
      <c r="L488" t="str">
        <f>_xlfn.XLOOKUP(Append15[[#This Row],[WeatherSituation]],Mappings!$E$3:$E$6,Mappings!$F$3:$F$6)</f>
        <v>Clear Sky</v>
      </c>
      <c r="M488">
        <v>0.02</v>
      </c>
      <c r="N488">
        <v>0</v>
      </c>
      <c r="O488">
        <v>0.44</v>
      </c>
      <c r="P488">
        <v>0.32840000000000003</v>
      </c>
      <c r="Q488">
        <v>1</v>
      </c>
      <c r="R488">
        <v>26</v>
      </c>
      <c r="S488">
        <v>27</v>
      </c>
    </row>
    <row r="489" spans="1:19" x14ac:dyDescent="0.3">
      <c r="A489">
        <v>488</v>
      </c>
      <c r="B489" s="4">
        <v>40565</v>
      </c>
      <c r="C489">
        <v>1</v>
      </c>
      <c r="D489">
        <v>9</v>
      </c>
      <c r="E489" t="str">
        <f t="shared" si="21"/>
        <v>9 AM</v>
      </c>
      <c r="F489" t="str">
        <f t="shared" si="22"/>
        <v>Morning</v>
      </c>
      <c r="G489" t="b">
        <v>0</v>
      </c>
      <c r="H489">
        <v>6</v>
      </c>
      <c r="I489" t="str">
        <f>_xlfn.XLOOKUP(Append15[[#This Row],[Week day]],Mappings!$B$3:$B$9,Mappings!$C$3:$C$9)</f>
        <v>Saturday</v>
      </c>
      <c r="J489" t="str">
        <f t="shared" si="23"/>
        <v>Weekend</v>
      </c>
      <c r="K489">
        <v>1</v>
      </c>
      <c r="L489" t="str">
        <f>_xlfn.XLOOKUP(Append15[[#This Row],[WeatherSituation]],Mappings!$E$3:$E$6,Mappings!$F$3:$F$6)</f>
        <v>Clear Sky</v>
      </c>
      <c r="M489">
        <v>0.04</v>
      </c>
      <c r="N489">
        <v>3.0300000000000001E-2</v>
      </c>
      <c r="O489">
        <v>0.41</v>
      </c>
      <c r="P489">
        <v>0.25369999999999998</v>
      </c>
      <c r="Q489">
        <v>3</v>
      </c>
      <c r="R489">
        <v>37</v>
      </c>
      <c r="S489">
        <v>40</v>
      </c>
    </row>
    <row r="490" spans="1:19" x14ac:dyDescent="0.3">
      <c r="A490">
        <v>489</v>
      </c>
      <c r="B490" s="4">
        <v>40565</v>
      </c>
      <c r="C490">
        <v>1</v>
      </c>
      <c r="D490">
        <v>10</v>
      </c>
      <c r="E490" t="str">
        <f t="shared" si="21"/>
        <v>10 AM</v>
      </c>
      <c r="F490" t="str">
        <f t="shared" si="22"/>
        <v>Morning</v>
      </c>
      <c r="G490" t="b">
        <v>0</v>
      </c>
      <c r="H490">
        <v>6</v>
      </c>
      <c r="I490" t="str">
        <f>_xlfn.XLOOKUP(Append15[[#This Row],[Week day]],Mappings!$B$3:$B$9,Mappings!$C$3:$C$9)</f>
        <v>Saturday</v>
      </c>
      <c r="J490" t="str">
        <f t="shared" si="23"/>
        <v>Weekend</v>
      </c>
      <c r="K490">
        <v>2</v>
      </c>
      <c r="L490" t="str">
        <f>_xlfn.XLOOKUP(Append15[[#This Row],[WeatherSituation]],Mappings!$E$3:$E$6,Mappings!$F$3:$F$6)</f>
        <v>Mist/Cloudy</v>
      </c>
      <c r="M490">
        <v>0.04</v>
      </c>
      <c r="N490">
        <v>6.0600000000000001E-2</v>
      </c>
      <c r="O490">
        <v>0.41</v>
      </c>
      <c r="P490">
        <v>0.16420000000000001</v>
      </c>
      <c r="Q490">
        <v>3</v>
      </c>
      <c r="R490">
        <v>50</v>
      </c>
      <c r="S490">
        <v>53</v>
      </c>
    </row>
    <row r="491" spans="1:19" x14ac:dyDescent="0.3">
      <c r="A491">
        <v>490</v>
      </c>
      <c r="B491" s="4">
        <v>40565</v>
      </c>
      <c r="C491">
        <v>1</v>
      </c>
      <c r="D491">
        <v>11</v>
      </c>
      <c r="E491" t="str">
        <f t="shared" si="21"/>
        <v>11 AM</v>
      </c>
      <c r="F491" t="str">
        <f t="shared" si="22"/>
        <v>Morning</v>
      </c>
      <c r="G491" t="b">
        <v>0</v>
      </c>
      <c r="H491">
        <v>6</v>
      </c>
      <c r="I491" t="str">
        <f>_xlfn.XLOOKUP(Append15[[#This Row],[Week day]],Mappings!$B$3:$B$9,Mappings!$C$3:$C$9)</f>
        <v>Saturday</v>
      </c>
      <c r="J491" t="str">
        <f t="shared" si="23"/>
        <v>Weekend</v>
      </c>
      <c r="K491">
        <v>2</v>
      </c>
      <c r="L491" t="str">
        <f>_xlfn.XLOOKUP(Append15[[#This Row],[WeatherSituation]],Mappings!$E$3:$E$6,Mappings!$F$3:$F$6)</f>
        <v>Mist/Cloudy</v>
      </c>
      <c r="M491">
        <v>0.06</v>
      </c>
      <c r="N491">
        <v>7.5800000000000006E-2</v>
      </c>
      <c r="O491">
        <v>0.38</v>
      </c>
      <c r="P491">
        <v>0.1343</v>
      </c>
      <c r="Q491">
        <v>4</v>
      </c>
      <c r="R491">
        <v>59</v>
      </c>
      <c r="S491">
        <v>63</v>
      </c>
    </row>
    <row r="492" spans="1:19" x14ac:dyDescent="0.3">
      <c r="A492">
        <v>491</v>
      </c>
      <c r="B492" s="4">
        <v>40565</v>
      </c>
      <c r="C492">
        <v>1</v>
      </c>
      <c r="D492">
        <v>12</v>
      </c>
      <c r="E492" t="str">
        <f t="shared" si="21"/>
        <v>12 PM</v>
      </c>
      <c r="F492" t="str">
        <f t="shared" si="22"/>
        <v>AfterNoon</v>
      </c>
      <c r="G492" t="b">
        <v>0</v>
      </c>
      <c r="H492">
        <v>6</v>
      </c>
      <c r="I492" t="str">
        <f>_xlfn.XLOOKUP(Append15[[#This Row],[Week day]],Mappings!$B$3:$B$9,Mappings!$C$3:$C$9)</f>
        <v>Saturday</v>
      </c>
      <c r="J492" t="str">
        <f t="shared" si="23"/>
        <v>Weekend</v>
      </c>
      <c r="K492">
        <v>2</v>
      </c>
      <c r="L492" t="str">
        <f>_xlfn.XLOOKUP(Append15[[#This Row],[WeatherSituation]],Mappings!$E$3:$E$6,Mappings!$F$3:$F$6)</f>
        <v>Mist/Cloudy</v>
      </c>
      <c r="M492">
        <v>0.06</v>
      </c>
      <c r="N492">
        <v>0.1061</v>
      </c>
      <c r="O492">
        <v>0.38</v>
      </c>
      <c r="P492">
        <v>0.1045</v>
      </c>
      <c r="Q492">
        <v>10</v>
      </c>
      <c r="R492">
        <v>60</v>
      </c>
      <c r="S492">
        <v>70</v>
      </c>
    </row>
    <row r="493" spans="1:19" x14ac:dyDescent="0.3">
      <c r="A493">
        <v>492</v>
      </c>
      <c r="B493" s="4">
        <v>40565</v>
      </c>
      <c r="C493">
        <v>1</v>
      </c>
      <c r="D493">
        <v>13</v>
      </c>
      <c r="E493" t="str">
        <f t="shared" si="21"/>
        <v>1 PM</v>
      </c>
      <c r="F493" t="str">
        <f t="shared" si="22"/>
        <v>AfterNoon</v>
      </c>
      <c r="G493" t="b">
        <v>0</v>
      </c>
      <c r="H493">
        <v>6</v>
      </c>
      <c r="I493" t="str">
        <f>_xlfn.XLOOKUP(Append15[[#This Row],[Week day]],Mappings!$B$3:$B$9,Mappings!$C$3:$C$9)</f>
        <v>Saturday</v>
      </c>
      <c r="J493" t="str">
        <f t="shared" si="23"/>
        <v>Weekend</v>
      </c>
      <c r="K493">
        <v>1</v>
      </c>
      <c r="L493" t="str">
        <f>_xlfn.XLOOKUP(Append15[[#This Row],[WeatherSituation]],Mappings!$E$3:$E$6,Mappings!$F$3:$F$6)</f>
        <v>Clear Sky</v>
      </c>
      <c r="M493">
        <v>0.08</v>
      </c>
      <c r="N493">
        <v>0.16669999999999999</v>
      </c>
      <c r="O493">
        <v>0.35</v>
      </c>
      <c r="P493">
        <v>0</v>
      </c>
      <c r="Q493">
        <v>12</v>
      </c>
      <c r="R493">
        <v>72</v>
      </c>
      <c r="S493">
        <v>84</v>
      </c>
    </row>
    <row r="494" spans="1:19" x14ac:dyDescent="0.3">
      <c r="A494">
        <v>493</v>
      </c>
      <c r="B494" s="4">
        <v>40565</v>
      </c>
      <c r="C494">
        <v>1</v>
      </c>
      <c r="D494">
        <v>14</v>
      </c>
      <c r="E494" t="str">
        <f t="shared" si="21"/>
        <v>2 PM</v>
      </c>
      <c r="F494" t="str">
        <f t="shared" si="22"/>
        <v>AfterNoon</v>
      </c>
      <c r="G494" t="b">
        <v>0</v>
      </c>
      <c r="H494">
        <v>6</v>
      </c>
      <c r="I494" t="str">
        <f>_xlfn.XLOOKUP(Append15[[#This Row],[Week day]],Mappings!$B$3:$B$9,Mappings!$C$3:$C$9)</f>
        <v>Saturday</v>
      </c>
      <c r="J494" t="str">
        <f t="shared" si="23"/>
        <v>Weekend</v>
      </c>
      <c r="K494">
        <v>1</v>
      </c>
      <c r="L494" t="str">
        <f>_xlfn.XLOOKUP(Append15[[#This Row],[WeatherSituation]],Mappings!$E$3:$E$6,Mappings!$F$3:$F$6)</f>
        <v>Clear Sky</v>
      </c>
      <c r="M494">
        <v>0.1</v>
      </c>
      <c r="N494">
        <v>0.13639999999999999</v>
      </c>
      <c r="O494">
        <v>0.33</v>
      </c>
      <c r="P494">
        <v>0.1045</v>
      </c>
      <c r="Q494">
        <v>11</v>
      </c>
      <c r="R494">
        <v>64</v>
      </c>
      <c r="S494">
        <v>75</v>
      </c>
    </row>
    <row r="495" spans="1:19" x14ac:dyDescent="0.3">
      <c r="A495">
        <v>494</v>
      </c>
      <c r="B495" s="4">
        <v>40565</v>
      </c>
      <c r="C495">
        <v>1</v>
      </c>
      <c r="D495">
        <v>15</v>
      </c>
      <c r="E495" t="str">
        <f t="shared" si="21"/>
        <v>3 PM</v>
      </c>
      <c r="F495" t="str">
        <f t="shared" si="22"/>
        <v>AfterNoon</v>
      </c>
      <c r="G495" t="b">
        <v>0</v>
      </c>
      <c r="H495">
        <v>6</v>
      </c>
      <c r="I495" t="str">
        <f>_xlfn.XLOOKUP(Append15[[#This Row],[Week day]],Mappings!$B$3:$B$9,Mappings!$C$3:$C$9)</f>
        <v>Saturday</v>
      </c>
      <c r="J495" t="str">
        <f t="shared" si="23"/>
        <v>Weekend</v>
      </c>
      <c r="K495">
        <v>1</v>
      </c>
      <c r="L495" t="str">
        <f>_xlfn.XLOOKUP(Append15[[#This Row],[WeatherSituation]],Mappings!$E$3:$E$6,Mappings!$F$3:$F$6)</f>
        <v>Clear Sky</v>
      </c>
      <c r="M495">
        <v>0.12</v>
      </c>
      <c r="N495">
        <v>0.1515</v>
      </c>
      <c r="O495">
        <v>0.28000000000000003</v>
      </c>
      <c r="P495">
        <v>0</v>
      </c>
      <c r="Q495">
        <v>10</v>
      </c>
      <c r="R495">
        <v>93</v>
      </c>
      <c r="S495">
        <v>103</v>
      </c>
    </row>
    <row r="496" spans="1:19" x14ac:dyDescent="0.3">
      <c r="A496">
        <v>495</v>
      </c>
      <c r="B496" s="4">
        <v>40565</v>
      </c>
      <c r="C496">
        <v>1</v>
      </c>
      <c r="D496">
        <v>16</v>
      </c>
      <c r="E496" t="str">
        <f t="shared" si="21"/>
        <v>4 PM</v>
      </c>
      <c r="F496" t="str">
        <f t="shared" si="22"/>
        <v>Evening</v>
      </c>
      <c r="G496" t="b">
        <v>0</v>
      </c>
      <c r="H496">
        <v>6</v>
      </c>
      <c r="I496" t="str">
        <f>_xlfn.XLOOKUP(Append15[[#This Row],[Week day]],Mappings!$B$3:$B$9,Mappings!$C$3:$C$9)</f>
        <v>Saturday</v>
      </c>
      <c r="J496" t="str">
        <f t="shared" si="23"/>
        <v>Weekend</v>
      </c>
      <c r="K496">
        <v>1</v>
      </c>
      <c r="L496" t="str">
        <f>_xlfn.XLOOKUP(Append15[[#This Row],[WeatherSituation]],Mappings!$E$3:$E$6,Mappings!$F$3:$F$6)</f>
        <v>Clear Sky</v>
      </c>
      <c r="M496">
        <v>0.12</v>
      </c>
      <c r="N496">
        <v>0.13639999999999999</v>
      </c>
      <c r="O496">
        <v>0.28000000000000003</v>
      </c>
      <c r="P496">
        <v>0.19400000000000001</v>
      </c>
      <c r="Q496">
        <v>11</v>
      </c>
      <c r="R496">
        <v>72</v>
      </c>
      <c r="S496">
        <v>83</v>
      </c>
    </row>
    <row r="497" spans="1:19" x14ac:dyDescent="0.3">
      <c r="A497">
        <v>496</v>
      </c>
      <c r="B497" s="4">
        <v>40565</v>
      </c>
      <c r="C497">
        <v>1</v>
      </c>
      <c r="D497">
        <v>17</v>
      </c>
      <c r="E497" t="str">
        <f t="shared" si="21"/>
        <v>5 PM</v>
      </c>
      <c r="F497" t="str">
        <f t="shared" si="22"/>
        <v>Evening</v>
      </c>
      <c r="G497" t="b">
        <v>0</v>
      </c>
      <c r="H497">
        <v>6</v>
      </c>
      <c r="I497" t="str">
        <f>_xlfn.XLOOKUP(Append15[[#This Row],[Week day]],Mappings!$B$3:$B$9,Mappings!$C$3:$C$9)</f>
        <v>Saturday</v>
      </c>
      <c r="J497" t="str">
        <f t="shared" si="23"/>
        <v>Weekend</v>
      </c>
      <c r="K497">
        <v>1</v>
      </c>
      <c r="L497" t="str">
        <f>_xlfn.XLOOKUP(Append15[[#This Row],[WeatherSituation]],Mappings!$E$3:$E$6,Mappings!$F$3:$F$6)</f>
        <v>Clear Sky</v>
      </c>
      <c r="M497">
        <v>0.12</v>
      </c>
      <c r="N497">
        <v>0.19700000000000001</v>
      </c>
      <c r="O497">
        <v>0.28000000000000003</v>
      </c>
      <c r="P497">
        <v>0</v>
      </c>
      <c r="Q497">
        <v>8</v>
      </c>
      <c r="R497">
        <v>59</v>
      </c>
      <c r="S497">
        <v>67</v>
      </c>
    </row>
    <row r="498" spans="1:19" x14ac:dyDescent="0.3">
      <c r="A498">
        <v>497</v>
      </c>
      <c r="B498" s="4">
        <v>40565</v>
      </c>
      <c r="C498">
        <v>1</v>
      </c>
      <c r="D498">
        <v>18</v>
      </c>
      <c r="E498" t="str">
        <f t="shared" si="21"/>
        <v>6 PM</v>
      </c>
      <c r="F498" t="str">
        <f t="shared" si="22"/>
        <v>Evening</v>
      </c>
      <c r="G498" t="b">
        <v>0</v>
      </c>
      <c r="H498">
        <v>6</v>
      </c>
      <c r="I498" t="str">
        <f>_xlfn.XLOOKUP(Append15[[#This Row],[Week day]],Mappings!$B$3:$B$9,Mappings!$C$3:$C$9)</f>
        <v>Saturday</v>
      </c>
      <c r="J498" t="str">
        <f t="shared" si="23"/>
        <v>Weekend</v>
      </c>
      <c r="K498">
        <v>1</v>
      </c>
      <c r="L498" t="str">
        <f>_xlfn.XLOOKUP(Append15[[#This Row],[WeatherSituation]],Mappings!$E$3:$E$6,Mappings!$F$3:$F$6)</f>
        <v>Clear Sky</v>
      </c>
      <c r="M498">
        <v>0.08</v>
      </c>
      <c r="N498">
        <v>9.0899999999999995E-2</v>
      </c>
      <c r="O498">
        <v>0.35</v>
      </c>
      <c r="P498">
        <v>0.19400000000000001</v>
      </c>
      <c r="Q498">
        <v>0</v>
      </c>
      <c r="R498">
        <v>54</v>
      </c>
      <c r="S498">
        <v>54</v>
      </c>
    </row>
    <row r="499" spans="1:19" x14ac:dyDescent="0.3">
      <c r="A499">
        <v>498</v>
      </c>
      <c r="B499" s="4">
        <v>40565</v>
      </c>
      <c r="C499">
        <v>1</v>
      </c>
      <c r="D499">
        <v>19</v>
      </c>
      <c r="E499" t="str">
        <f t="shared" si="21"/>
        <v>7 PM</v>
      </c>
      <c r="F499" t="str">
        <f t="shared" si="22"/>
        <v>Evening</v>
      </c>
      <c r="G499" t="b">
        <v>0</v>
      </c>
      <c r="H499">
        <v>6</v>
      </c>
      <c r="I499" t="str">
        <f>_xlfn.XLOOKUP(Append15[[#This Row],[Week day]],Mappings!$B$3:$B$9,Mappings!$C$3:$C$9)</f>
        <v>Saturday</v>
      </c>
      <c r="J499" t="str">
        <f t="shared" si="23"/>
        <v>Weekend</v>
      </c>
      <c r="K499">
        <v>1</v>
      </c>
      <c r="L499" t="str">
        <f>_xlfn.XLOOKUP(Append15[[#This Row],[WeatherSituation]],Mappings!$E$3:$E$6,Mappings!$F$3:$F$6)</f>
        <v>Clear Sky</v>
      </c>
      <c r="M499">
        <v>0.08</v>
      </c>
      <c r="N499">
        <v>0.1061</v>
      </c>
      <c r="O499">
        <v>0.35</v>
      </c>
      <c r="P499">
        <v>0.1343</v>
      </c>
      <c r="Q499">
        <v>6</v>
      </c>
      <c r="R499">
        <v>53</v>
      </c>
      <c r="S499">
        <v>59</v>
      </c>
    </row>
    <row r="500" spans="1:19" x14ac:dyDescent="0.3">
      <c r="A500">
        <v>499</v>
      </c>
      <c r="B500" s="4">
        <v>40565</v>
      </c>
      <c r="C500">
        <v>1</v>
      </c>
      <c r="D500">
        <v>20</v>
      </c>
      <c r="E500" t="str">
        <f t="shared" si="21"/>
        <v>8 PM</v>
      </c>
      <c r="F500" t="str">
        <f t="shared" si="22"/>
        <v>Night</v>
      </c>
      <c r="G500" t="b">
        <v>0</v>
      </c>
      <c r="H500">
        <v>6</v>
      </c>
      <c r="I500" t="str">
        <f>_xlfn.XLOOKUP(Append15[[#This Row],[Week day]],Mappings!$B$3:$B$9,Mappings!$C$3:$C$9)</f>
        <v>Saturday</v>
      </c>
      <c r="J500" t="str">
        <f t="shared" si="23"/>
        <v>Weekend</v>
      </c>
      <c r="K500">
        <v>1</v>
      </c>
      <c r="L500" t="str">
        <f>_xlfn.XLOOKUP(Append15[[#This Row],[WeatherSituation]],Mappings!$E$3:$E$6,Mappings!$F$3:$F$6)</f>
        <v>Clear Sky</v>
      </c>
      <c r="M500">
        <v>0.06</v>
      </c>
      <c r="N500">
        <v>7.5800000000000006E-2</v>
      </c>
      <c r="O500">
        <v>0.45</v>
      </c>
      <c r="P500">
        <v>0.16420000000000001</v>
      </c>
      <c r="Q500">
        <v>1</v>
      </c>
      <c r="R500">
        <v>44</v>
      </c>
      <c r="S500">
        <v>45</v>
      </c>
    </row>
    <row r="501" spans="1:19" x14ac:dyDescent="0.3">
      <c r="A501">
        <v>500</v>
      </c>
      <c r="B501" s="4">
        <v>40565</v>
      </c>
      <c r="C501">
        <v>1</v>
      </c>
      <c r="D501">
        <v>21</v>
      </c>
      <c r="E501" t="str">
        <f t="shared" si="21"/>
        <v>9 PM</v>
      </c>
      <c r="F501" t="str">
        <f t="shared" si="22"/>
        <v>Night</v>
      </c>
      <c r="G501" t="b">
        <v>0</v>
      </c>
      <c r="H501">
        <v>6</v>
      </c>
      <c r="I501" t="str">
        <f>_xlfn.XLOOKUP(Append15[[#This Row],[Week day]],Mappings!$B$3:$B$9,Mappings!$C$3:$C$9)</f>
        <v>Saturday</v>
      </c>
      <c r="J501" t="str">
        <f t="shared" si="23"/>
        <v>Weekend</v>
      </c>
      <c r="K501">
        <v>1</v>
      </c>
      <c r="L501" t="str">
        <f>_xlfn.XLOOKUP(Append15[[#This Row],[WeatherSituation]],Mappings!$E$3:$E$6,Mappings!$F$3:$F$6)</f>
        <v>Clear Sky</v>
      </c>
      <c r="M501">
        <v>0.06</v>
      </c>
      <c r="N501">
        <v>0.1061</v>
      </c>
      <c r="O501">
        <v>0.41</v>
      </c>
      <c r="P501">
        <v>8.9599999999999999E-2</v>
      </c>
      <c r="Q501">
        <v>0</v>
      </c>
      <c r="R501">
        <v>39</v>
      </c>
      <c r="S501">
        <v>39</v>
      </c>
    </row>
    <row r="502" spans="1:19" x14ac:dyDescent="0.3">
      <c r="A502">
        <v>501</v>
      </c>
      <c r="B502" s="4">
        <v>40565</v>
      </c>
      <c r="C502">
        <v>1</v>
      </c>
      <c r="D502">
        <v>22</v>
      </c>
      <c r="E502" t="str">
        <f t="shared" si="21"/>
        <v>10 PM</v>
      </c>
      <c r="F502" t="str">
        <f t="shared" si="22"/>
        <v>Night</v>
      </c>
      <c r="G502" t="b">
        <v>0</v>
      </c>
      <c r="H502">
        <v>6</v>
      </c>
      <c r="I502" t="str">
        <f>_xlfn.XLOOKUP(Append15[[#This Row],[Week day]],Mappings!$B$3:$B$9,Mappings!$C$3:$C$9)</f>
        <v>Saturday</v>
      </c>
      <c r="J502" t="str">
        <f t="shared" si="23"/>
        <v>Weekend</v>
      </c>
      <c r="K502">
        <v>1</v>
      </c>
      <c r="L502" t="str">
        <f>_xlfn.XLOOKUP(Append15[[#This Row],[WeatherSituation]],Mappings!$E$3:$E$6,Mappings!$F$3:$F$6)</f>
        <v>Clear Sky</v>
      </c>
      <c r="M502">
        <v>0.06</v>
      </c>
      <c r="N502">
        <v>0.1515</v>
      </c>
      <c r="O502">
        <v>0.49</v>
      </c>
      <c r="P502">
        <v>0</v>
      </c>
      <c r="Q502">
        <v>7</v>
      </c>
      <c r="R502">
        <v>23</v>
      </c>
      <c r="S502">
        <v>30</v>
      </c>
    </row>
    <row r="503" spans="1:19" x14ac:dyDescent="0.3">
      <c r="A503">
        <v>502</v>
      </c>
      <c r="B503" s="4">
        <v>40565</v>
      </c>
      <c r="C503">
        <v>1</v>
      </c>
      <c r="D503">
        <v>23</v>
      </c>
      <c r="E503" t="str">
        <f t="shared" si="21"/>
        <v>11 PM</v>
      </c>
      <c r="F503" t="str">
        <f t="shared" si="22"/>
        <v>Night</v>
      </c>
      <c r="G503" t="b">
        <v>0</v>
      </c>
      <c r="H503">
        <v>6</v>
      </c>
      <c r="I503" t="str">
        <f>_xlfn.XLOOKUP(Append15[[#This Row],[Week day]],Mappings!$B$3:$B$9,Mappings!$C$3:$C$9)</f>
        <v>Saturday</v>
      </c>
      <c r="J503" t="str">
        <f t="shared" si="23"/>
        <v>Weekend</v>
      </c>
      <c r="K503">
        <v>1</v>
      </c>
      <c r="L503" t="str">
        <f>_xlfn.XLOOKUP(Append15[[#This Row],[WeatherSituation]],Mappings!$E$3:$E$6,Mappings!$F$3:$F$6)</f>
        <v>Clear Sky</v>
      </c>
      <c r="M503">
        <v>0.04</v>
      </c>
      <c r="N503">
        <v>7.5800000000000006E-2</v>
      </c>
      <c r="O503">
        <v>0.56999999999999995</v>
      </c>
      <c r="P503">
        <v>0.1045</v>
      </c>
      <c r="Q503">
        <v>2</v>
      </c>
      <c r="R503">
        <v>31</v>
      </c>
      <c r="S503">
        <v>33</v>
      </c>
    </row>
    <row r="504" spans="1:19" x14ac:dyDescent="0.3">
      <c r="A504">
        <v>503</v>
      </c>
      <c r="B504" s="4">
        <v>40566</v>
      </c>
      <c r="C504">
        <v>1</v>
      </c>
      <c r="D504">
        <v>0</v>
      </c>
      <c r="E504" t="str">
        <f t="shared" si="21"/>
        <v>12 AM</v>
      </c>
      <c r="F504" t="str">
        <f t="shared" si="22"/>
        <v>Night</v>
      </c>
      <c r="G504" t="b">
        <v>0</v>
      </c>
      <c r="H504">
        <v>0</v>
      </c>
      <c r="I504" t="str">
        <f>_xlfn.XLOOKUP(Append15[[#This Row],[Week day]],Mappings!$B$3:$B$9,Mappings!$C$3:$C$9)</f>
        <v>Sunday</v>
      </c>
      <c r="J504" t="str">
        <f t="shared" si="23"/>
        <v>Weekend</v>
      </c>
      <c r="K504">
        <v>1</v>
      </c>
      <c r="L504" t="str">
        <f>_xlfn.XLOOKUP(Append15[[#This Row],[WeatherSituation]],Mappings!$E$3:$E$6,Mappings!$F$3:$F$6)</f>
        <v>Clear Sky</v>
      </c>
      <c r="M504">
        <v>0.04</v>
      </c>
      <c r="N504">
        <v>7.5800000000000006E-2</v>
      </c>
      <c r="O504">
        <v>0.56999999999999995</v>
      </c>
      <c r="P504">
        <v>0.1045</v>
      </c>
      <c r="Q504">
        <v>2</v>
      </c>
      <c r="R504">
        <v>20</v>
      </c>
      <c r="S504">
        <v>22</v>
      </c>
    </row>
    <row r="505" spans="1:19" x14ac:dyDescent="0.3">
      <c r="A505">
        <v>504</v>
      </c>
      <c r="B505" s="4">
        <v>40566</v>
      </c>
      <c r="C505">
        <v>1</v>
      </c>
      <c r="D505">
        <v>1</v>
      </c>
      <c r="E505" t="str">
        <f t="shared" si="21"/>
        <v>1 AM</v>
      </c>
      <c r="F505" t="str">
        <f t="shared" si="22"/>
        <v>Night</v>
      </c>
      <c r="G505" t="b">
        <v>0</v>
      </c>
      <c r="H505">
        <v>0</v>
      </c>
      <c r="I505" t="str">
        <f>_xlfn.XLOOKUP(Append15[[#This Row],[Week day]],Mappings!$B$3:$B$9,Mappings!$C$3:$C$9)</f>
        <v>Sunday</v>
      </c>
      <c r="J505" t="str">
        <f t="shared" si="23"/>
        <v>Weekend</v>
      </c>
      <c r="K505">
        <v>1</v>
      </c>
      <c r="L505" t="str">
        <f>_xlfn.XLOOKUP(Append15[[#This Row],[WeatherSituation]],Mappings!$E$3:$E$6,Mappings!$F$3:$F$6)</f>
        <v>Clear Sky</v>
      </c>
      <c r="M505">
        <v>0.04</v>
      </c>
      <c r="N505">
        <v>7.5800000000000006E-2</v>
      </c>
      <c r="O505">
        <v>0.56999999999999995</v>
      </c>
      <c r="P505">
        <v>0.1045</v>
      </c>
      <c r="Q505">
        <v>1</v>
      </c>
      <c r="R505">
        <v>12</v>
      </c>
      <c r="S505">
        <v>13</v>
      </c>
    </row>
    <row r="506" spans="1:19" x14ac:dyDescent="0.3">
      <c r="A506">
        <v>505</v>
      </c>
      <c r="B506" s="4">
        <v>40566</v>
      </c>
      <c r="C506">
        <v>1</v>
      </c>
      <c r="D506">
        <v>2</v>
      </c>
      <c r="E506" t="str">
        <f t="shared" si="21"/>
        <v>2 AM</v>
      </c>
      <c r="F506" t="str">
        <f t="shared" si="22"/>
        <v>Night</v>
      </c>
      <c r="G506" t="b">
        <v>0</v>
      </c>
      <c r="H506">
        <v>0</v>
      </c>
      <c r="I506" t="str">
        <f>_xlfn.XLOOKUP(Append15[[#This Row],[Week day]],Mappings!$B$3:$B$9,Mappings!$C$3:$C$9)</f>
        <v>Sunday</v>
      </c>
      <c r="J506" t="str">
        <f t="shared" si="23"/>
        <v>Weekend</v>
      </c>
      <c r="K506">
        <v>1</v>
      </c>
      <c r="L506" t="str">
        <f>_xlfn.XLOOKUP(Append15[[#This Row],[WeatherSituation]],Mappings!$E$3:$E$6,Mappings!$F$3:$F$6)</f>
        <v>Clear Sky</v>
      </c>
      <c r="M506">
        <v>0.02</v>
      </c>
      <c r="N506">
        <v>6.0600000000000001E-2</v>
      </c>
      <c r="O506">
        <v>0.62</v>
      </c>
      <c r="P506">
        <v>0.1343</v>
      </c>
      <c r="Q506">
        <v>3</v>
      </c>
      <c r="R506">
        <v>15</v>
      </c>
      <c r="S506">
        <v>18</v>
      </c>
    </row>
    <row r="507" spans="1:19" x14ac:dyDescent="0.3">
      <c r="A507">
        <v>506</v>
      </c>
      <c r="B507" s="4">
        <v>40566</v>
      </c>
      <c r="C507">
        <v>1</v>
      </c>
      <c r="D507">
        <v>3</v>
      </c>
      <c r="E507" t="str">
        <f t="shared" si="21"/>
        <v>3 AM</v>
      </c>
      <c r="F507" t="str">
        <f t="shared" si="22"/>
        <v>Night</v>
      </c>
      <c r="G507" t="b">
        <v>0</v>
      </c>
      <c r="H507">
        <v>0</v>
      </c>
      <c r="I507" t="str">
        <f>_xlfn.XLOOKUP(Append15[[#This Row],[Week day]],Mappings!$B$3:$B$9,Mappings!$C$3:$C$9)</f>
        <v>Sunday</v>
      </c>
      <c r="J507" t="str">
        <f t="shared" si="23"/>
        <v>Weekend</v>
      </c>
      <c r="K507">
        <v>1</v>
      </c>
      <c r="L507" t="str">
        <f>_xlfn.XLOOKUP(Append15[[#This Row],[WeatherSituation]],Mappings!$E$3:$E$6,Mappings!$F$3:$F$6)</f>
        <v>Clear Sky</v>
      </c>
      <c r="M507">
        <v>0.02</v>
      </c>
      <c r="N507">
        <v>6.0600000000000001E-2</v>
      </c>
      <c r="O507">
        <v>0.62</v>
      </c>
      <c r="P507">
        <v>0.1343</v>
      </c>
      <c r="Q507">
        <v>1</v>
      </c>
      <c r="R507">
        <v>4</v>
      </c>
      <c r="S507">
        <v>5</v>
      </c>
    </row>
    <row r="508" spans="1:19" x14ac:dyDescent="0.3">
      <c r="A508">
        <v>507</v>
      </c>
      <c r="B508" s="4">
        <v>40566</v>
      </c>
      <c r="C508">
        <v>1</v>
      </c>
      <c r="D508">
        <v>5</v>
      </c>
      <c r="E508" t="str">
        <f t="shared" si="21"/>
        <v>5 AM</v>
      </c>
      <c r="F508" t="str">
        <f t="shared" si="22"/>
        <v>Morning</v>
      </c>
      <c r="G508" t="b">
        <v>0</v>
      </c>
      <c r="H508">
        <v>0</v>
      </c>
      <c r="I508" t="str">
        <f>_xlfn.XLOOKUP(Append15[[#This Row],[Week day]],Mappings!$B$3:$B$9,Mappings!$C$3:$C$9)</f>
        <v>Sunday</v>
      </c>
      <c r="J508" t="str">
        <f t="shared" si="23"/>
        <v>Weekend</v>
      </c>
      <c r="K508">
        <v>2</v>
      </c>
      <c r="L508" t="str">
        <f>_xlfn.XLOOKUP(Append15[[#This Row],[WeatherSituation]],Mappings!$E$3:$E$6,Mappings!$F$3:$F$6)</f>
        <v>Mist/Cloudy</v>
      </c>
      <c r="M508">
        <v>0.04</v>
      </c>
      <c r="N508">
        <v>7.5800000000000006E-2</v>
      </c>
      <c r="O508">
        <v>0.56999999999999995</v>
      </c>
      <c r="P508">
        <v>0.1045</v>
      </c>
      <c r="Q508">
        <v>0</v>
      </c>
      <c r="R508">
        <v>3</v>
      </c>
      <c r="S508">
        <v>3</v>
      </c>
    </row>
    <row r="509" spans="1:19" x14ac:dyDescent="0.3">
      <c r="A509">
        <v>508</v>
      </c>
      <c r="B509" s="4">
        <v>40566</v>
      </c>
      <c r="C509">
        <v>1</v>
      </c>
      <c r="D509">
        <v>6</v>
      </c>
      <c r="E509" t="str">
        <f t="shared" si="21"/>
        <v>6 AM</v>
      </c>
      <c r="F509" t="str">
        <f t="shared" si="22"/>
        <v>Morning</v>
      </c>
      <c r="G509" t="b">
        <v>0</v>
      </c>
      <c r="H509">
        <v>0</v>
      </c>
      <c r="I509" t="str">
        <f>_xlfn.XLOOKUP(Append15[[#This Row],[Week day]],Mappings!$B$3:$B$9,Mappings!$C$3:$C$9)</f>
        <v>Sunday</v>
      </c>
      <c r="J509" t="str">
        <f t="shared" si="23"/>
        <v>Weekend</v>
      </c>
      <c r="K509">
        <v>2</v>
      </c>
      <c r="L509" t="str">
        <f>_xlfn.XLOOKUP(Append15[[#This Row],[WeatherSituation]],Mappings!$E$3:$E$6,Mappings!$F$3:$F$6)</f>
        <v>Mist/Cloudy</v>
      </c>
      <c r="M509">
        <v>0.04</v>
      </c>
      <c r="N509">
        <v>7.5800000000000006E-2</v>
      </c>
      <c r="O509">
        <v>0.56999999999999995</v>
      </c>
      <c r="P509">
        <v>0.1045</v>
      </c>
      <c r="Q509">
        <v>0</v>
      </c>
      <c r="R509">
        <v>1</v>
      </c>
      <c r="S509">
        <v>1</v>
      </c>
    </row>
    <row r="510" spans="1:19" x14ac:dyDescent="0.3">
      <c r="A510">
        <v>509</v>
      </c>
      <c r="B510" s="4">
        <v>40566</v>
      </c>
      <c r="C510">
        <v>1</v>
      </c>
      <c r="D510">
        <v>7</v>
      </c>
      <c r="E510" t="str">
        <f t="shared" si="21"/>
        <v>7 AM</v>
      </c>
      <c r="F510" t="str">
        <f t="shared" si="22"/>
        <v>Morning</v>
      </c>
      <c r="G510" t="b">
        <v>0</v>
      </c>
      <c r="H510">
        <v>0</v>
      </c>
      <c r="I510" t="str">
        <f>_xlfn.XLOOKUP(Append15[[#This Row],[Week day]],Mappings!$B$3:$B$9,Mappings!$C$3:$C$9)</f>
        <v>Sunday</v>
      </c>
      <c r="J510" t="str">
        <f t="shared" si="23"/>
        <v>Weekend</v>
      </c>
      <c r="K510">
        <v>1</v>
      </c>
      <c r="L510" t="str">
        <f>_xlfn.XLOOKUP(Append15[[#This Row],[WeatherSituation]],Mappings!$E$3:$E$6,Mappings!$F$3:$F$6)</f>
        <v>Clear Sky</v>
      </c>
      <c r="M510">
        <v>0.08</v>
      </c>
      <c r="N510">
        <v>0.1061</v>
      </c>
      <c r="O510">
        <v>0.57999999999999996</v>
      </c>
      <c r="P510">
        <v>0.16420000000000001</v>
      </c>
      <c r="Q510">
        <v>1</v>
      </c>
      <c r="R510">
        <v>1</v>
      </c>
      <c r="S510">
        <v>2</v>
      </c>
    </row>
    <row r="511" spans="1:19" x14ac:dyDescent="0.3">
      <c r="A511">
        <v>510</v>
      </c>
      <c r="B511" s="4">
        <v>40566</v>
      </c>
      <c r="C511">
        <v>1</v>
      </c>
      <c r="D511">
        <v>8</v>
      </c>
      <c r="E511" t="str">
        <f t="shared" si="21"/>
        <v>8 AM</v>
      </c>
      <c r="F511" t="str">
        <f t="shared" si="22"/>
        <v>Morning</v>
      </c>
      <c r="G511" t="b">
        <v>0</v>
      </c>
      <c r="H511">
        <v>0</v>
      </c>
      <c r="I511" t="str">
        <f>_xlfn.XLOOKUP(Append15[[#This Row],[Week day]],Mappings!$B$3:$B$9,Mappings!$C$3:$C$9)</f>
        <v>Sunday</v>
      </c>
      <c r="J511" t="str">
        <f t="shared" si="23"/>
        <v>Weekend</v>
      </c>
      <c r="K511">
        <v>1</v>
      </c>
      <c r="L511" t="str">
        <f>_xlfn.XLOOKUP(Append15[[#This Row],[WeatherSituation]],Mappings!$E$3:$E$6,Mappings!$F$3:$F$6)</f>
        <v>Clear Sky</v>
      </c>
      <c r="M511">
        <v>0.06</v>
      </c>
      <c r="N511">
        <v>7.5800000000000006E-2</v>
      </c>
      <c r="O511">
        <v>0.62</v>
      </c>
      <c r="P511">
        <v>0.16420000000000001</v>
      </c>
      <c r="Q511">
        <v>2</v>
      </c>
      <c r="R511">
        <v>17</v>
      </c>
      <c r="S511">
        <v>19</v>
      </c>
    </row>
    <row r="512" spans="1:19" x14ac:dyDescent="0.3">
      <c r="A512">
        <v>511</v>
      </c>
      <c r="B512" s="4">
        <v>40566</v>
      </c>
      <c r="C512">
        <v>1</v>
      </c>
      <c r="D512">
        <v>9</v>
      </c>
      <c r="E512" t="str">
        <f t="shared" si="21"/>
        <v>9 AM</v>
      </c>
      <c r="F512" t="str">
        <f t="shared" si="22"/>
        <v>Morning</v>
      </c>
      <c r="G512" t="b">
        <v>0</v>
      </c>
      <c r="H512">
        <v>0</v>
      </c>
      <c r="I512" t="str">
        <f>_xlfn.XLOOKUP(Append15[[#This Row],[Week day]],Mappings!$B$3:$B$9,Mappings!$C$3:$C$9)</f>
        <v>Sunday</v>
      </c>
      <c r="J512" t="str">
        <f t="shared" si="23"/>
        <v>Weekend</v>
      </c>
      <c r="K512">
        <v>1</v>
      </c>
      <c r="L512" t="str">
        <f>_xlfn.XLOOKUP(Append15[[#This Row],[WeatherSituation]],Mappings!$E$3:$E$6,Mappings!$F$3:$F$6)</f>
        <v>Clear Sky</v>
      </c>
      <c r="M512">
        <v>0.1</v>
      </c>
      <c r="N512">
        <v>7.5800000000000006E-2</v>
      </c>
      <c r="O512">
        <v>0.54</v>
      </c>
      <c r="P512">
        <v>0.35820000000000002</v>
      </c>
      <c r="Q512">
        <v>3</v>
      </c>
      <c r="R512">
        <v>25</v>
      </c>
      <c r="S512">
        <v>28</v>
      </c>
    </row>
    <row r="513" spans="1:19" x14ac:dyDescent="0.3">
      <c r="A513">
        <v>512</v>
      </c>
      <c r="B513" s="4">
        <v>40566</v>
      </c>
      <c r="C513">
        <v>1</v>
      </c>
      <c r="D513">
        <v>10</v>
      </c>
      <c r="E513" t="str">
        <f t="shared" si="21"/>
        <v>10 AM</v>
      </c>
      <c r="F513" t="str">
        <f t="shared" si="22"/>
        <v>Morning</v>
      </c>
      <c r="G513" t="b">
        <v>0</v>
      </c>
      <c r="H513">
        <v>0</v>
      </c>
      <c r="I513" t="str">
        <f>_xlfn.XLOOKUP(Append15[[#This Row],[Week day]],Mappings!$B$3:$B$9,Mappings!$C$3:$C$9)</f>
        <v>Sunday</v>
      </c>
      <c r="J513" t="str">
        <f t="shared" si="23"/>
        <v>Weekend</v>
      </c>
      <c r="K513">
        <v>1</v>
      </c>
      <c r="L513" t="str">
        <f>_xlfn.XLOOKUP(Append15[[#This Row],[WeatherSituation]],Mappings!$E$3:$E$6,Mappings!$F$3:$F$6)</f>
        <v>Clear Sky</v>
      </c>
      <c r="M513">
        <v>0.14000000000000001</v>
      </c>
      <c r="N513">
        <v>0.1061</v>
      </c>
      <c r="O513">
        <v>0.46</v>
      </c>
      <c r="P513">
        <v>0.3881</v>
      </c>
      <c r="Q513">
        <v>7</v>
      </c>
      <c r="R513">
        <v>51</v>
      </c>
      <c r="S513">
        <v>58</v>
      </c>
    </row>
    <row r="514" spans="1:19" x14ac:dyDescent="0.3">
      <c r="A514">
        <v>513</v>
      </c>
      <c r="B514" s="4">
        <v>40566</v>
      </c>
      <c r="C514">
        <v>1</v>
      </c>
      <c r="D514">
        <v>11</v>
      </c>
      <c r="E514" t="str">
        <f t="shared" ref="E514:E577" si="24">TEXT(D514/24,"h AM/PM")</f>
        <v>11 AM</v>
      </c>
      <c r="F514" t="str">
        <f t="shared" ref="F514:F577" si="25">IF(D514&lt;5,"Night",
IF(D514&lt;=11,"Morning",
IF(D514&lt;16,"AfterNoon",
IF(D514&lt;20,"Evening","Night"))))</f>
        <v>Morning</v>
      </c>
      <c r="G514" t="b">
        <v>0</v>
      </c>
      <c r="H514">
        <v>0</v>
      </c>
      <c r="I514" t="str">
        <f>_xlfn.XLOOKUP(Append15[[#This Row],[Week day]],Mappings!$B$3:$B$9,Mappings!$C$3:$C$9)</f>
        <v>Sunday</v>
      </c>
      <c r="J514" t="str">
        <f t="shared" ref="J514:J577" si="26">IF(OR(H514=0,H514=6),"Weekend","Weekday")</f>
        <v>Weekend</v>
      </c>
      <c r="K514">
        <v>1</v>
      </c>
      <c r="L514" t="str">
        <f>_xlfn.XLOOKUP(Append15[[#This Row],[WeatherSituation]],Mappings!$E$3:$E$6,Mappings!$F$3:$F$6)</f>
        <v>Clear Sky</v>
      </c>
      <c r="M514">
        <v>0.14000000000000001</v>
      </c>
      <c r="N514">
        <v>0.13639999999999999</v>
      </c>
      <c r="O514">
        <v>0.43</v>
      </c>
      <c r="P514">
        <v>0.22389999999999999</v>
      </c>
      <c r="Q514">
        <v>22</v>
      </c>
      <c r="R514">
        <v>77</v>
      </c>
      <c r="S514">
        <v>99</v>
      </c>
    </row>
    <row r="515" spans="1:19" x14ac:dyDescent="0.3">
      <c r="A515">
        <v>514</v>
      </c>
      <c r="B515" s="4">
        <v>40566</v>
      </c>
      <c r="C515">
        <v>1</v>
      </c>
      <c r="D515">
        <v>12</v>
      </c>
      <c r="E515" t="str">
        <f t="shared" si="24"/>
        <v>12 PM</v>
      </c>
      <c r="F515" t="str">
        <f t="shared" si="25"/>
        <v>AfterNoon</v>
      </c>
      <c r="G515" t="b">
        <v>0</v>
      </c>
      <c r="H515">
        <v>0</v>
      </c>
      <c r="I515" t="str">
        <f>_xlfn.XLOOKUP(Append15[[#This Row],[Week day]],Mappings!$B$3:$B$9,Mappings!$C$3:$C$9)</f>
        <v>Sunday</v>
      </c>
      <c r="J515" t="str">
        <f t="shared" si="26"/>
        <v>Weekend</v>
      </c>
      <c r="K515">
        <v>1</v>
      </c>
      <c r="L515" t="str">
        <f>_xlfn.XLOOKUP(Append15[[#This Row],[WeatherSituation]],Mappings!$E$3:$E$6,Mappings!$F$3:$F$6)</f>
        <v>Clear Sky</v>
      </c>
      <c r="M515">
        <v>0.16</v>
      </c>
      <c r="N515">
        <v>0.1212</v>
      </c>
      <c r="O515">
        <v>0.37</v>
      </c>
      <c r="P515">
        <v>0.4627</v>
      </c>
      <c r="Q515">
        <v>24</v>
      </c>
      <c r="R515">
        <v>92</v>
      </c>
      <c r="S515">
        <v>116</v>
      </c>
    </row>
    <row r="516" spans="1:19" x14ac:dyDescent="0.3">
      <c r="A516">
        <v>515</v>
      </c>
      <c r="B516" s="4">
        <v>40566</v>
      </c>
      <c r="C516">
        <v>1</v>
      </c>
      <c r="D516">
        <v>13</v>
      </c>
      <c r="E516" t="str">
        <f t="shared" si="24"/>
        <v>1 PM</v>
      </c>
      <c r="F516" t="str">
        <f t="shared" si="25"/>
        <v>AfterNoon</v>
      </c>
      <c r="G516" t="b">
        <v>0</v>
      </c>
      <c r="H516">
        <v>0</v>
      </c>
      <c r="I516" t="str">
        <f>_xlfn.XLOOKUP(Append15[[#This Row],[Week day]],Mappings!$B$3:$B$9,Mappings!$C$3:$C$9)</f>
        <v>Sunday</v>
      </c>
      <c r="J516" t="str">
        <f t="shared" si="26"/>
        <v>Weekend</v>
      </c>
      <c r="K516">
        <v>1</v>
      </c>
      <c r="L516" t="str">
        <f>_xlfn.XLOOKUP(Append15[[#This Row],[WeatherSituation]],Mappings!$E$3:$E$6,Mappings!$F$3:$F$6)</f>
        <v>Clear Sky</v>
      </c>
      <c r="M516">
        <v>0.14000000000000001</v>
      </c>
      <c r="N516">
        <v>0.1061</v>
      </c>
      <c r="O516">
        <v>0.33</v>
      </c>
      <c r="P516">
        <v>0.3881</v>
      </c>
      <c r="Q516">
        <v>12</v>
      </c>
      <c r="R516">
        <v>75</v>
      </c>
      <c r="S516">
        <v>87</v>
      </c>
    </row>
    <row r="517" spans="1:19" x14ac:dyDescent="0.3">
      <c r="A517">
        <v>516</v>
      </c>
      <c r="B517" s="4">
        <v>40566</v>
      </c>
      <c r="C517">
        <v>1</v>
      </c>
      <c r="D517">
        <v>14</v>
      </c>
      <c r="E517" t="str">
        <f t="shared" si="24"/>
        <v>2 PM</v>
      </c>
      <c r="F517" t="str">
        <f t="shared" si="25"/>
        <v>AfterNoon</v>
      </c>
      <c r="G517" t="b">
        <v>0</v>
      </c>
      <c r="H517">
        <v>0</v>
      </c>
      <c r="I517" t="str">
        <f>_xlfn.XLOOKUP(Append15[[#This Row],[Week day]],Mappings!$B$3:$B$9,Mappings!$C$3:$C$9)</f>
        <v>Sunday</v>
      </c>
      <c r="J517" t="str">
        <f t="shared" si="26"/>
        <v>Weekend</v>
      </c>
      <c r="K517">
        <v>1</v>
      </c>
      <c r="L517" t="str">
        <f>_xlfn.XLOOKUP(Append15[[#This Row],[WeatherSituation]],Mappings!$E$3:$E$6,Mappings!$F$3:$F$6)</f>
        <v>Clear Sky</v>
      </c>
      <c r="M517">
        <v>0.16</v>
      </c>
      <c r="N517">
        <v>0.13639999999999999</v>
      </c>
      <c r="O517">
        <v>0.28000000000000003</v>
      </c>
      <c r="P517">
        <v>0.35820000000000002</v>
      </c>
      <c r="Q517">
        <v>17</v>
      </c>
      <c r="R517">
        <v>93</v>
      </c>
      <c r="S517">
        <v>110</v>
      </c>
    </row>
    <row r="518" spans="1:19" x14ac:dyDescent="0.3">
      <c r="A518">
        <v>517</v>
      </c>
      <c r="B518" s="4">
        <v>40566</v>
      </c>
      <c r="C518">
        <v>1</v>
      </c>
      <c r="D518">
        <v>15</v>
      </c>
      <c r="E518" t="str">
        <f t="shared" si="24"/>
        <v>3 PM</v>
      </c>
      <c r="F518" t="str">
        <f t="shared" si="25"/>
        <v>AfterNoon</v>
      </c>
      <c r="G518" t="b">
        <v>0</v>
      </c>
      <c r="H518">
        <v>0</v>
      </c>
      <c r="I518" t="str">
        <f>_xlfn.XLOOKUP(Append15[[#This Row],[Week day]],Mappings!$B$3:$B$9,Mappings!$C$3:$C$9)</f>
        <v>Sunday</v>
      </c>
      <c r="J518" t="str">
        <f t="shared" si="26"/>
        <v>Weekend</v>
      </c>
      <c r="K518">
        <v>1</v>
      </c>
      <c r="L518" t="str">
        <f>_xlfn.XLOOKUP(Append15[[#This Row],[WeatherSituation]],Mappings!$E$3:$E$6,Mappings!$F$3:$F$6)</f>
        <v>Clear Sky</v>
      </c>
      <c r="M518">
        <v>0.16</v>
      </c>
      <c r="N518">
        <v>0.13639999999999999</v>
      </c>
      <c r="O518">
        <v>0.28000000000000003</v>
      </c>
      <c r="P518">
        <v>0.35820000000000002</v>
      </c>
      <c r="Q518">
        <v>13</v>
      </c>
      <c r="R518">
        <v>64</v>
      </c>
      <c r="S518">
        <v>77</v>
      </c>
    </row>
    <row r="519" spans="1:19" x14ac:dyDescent="0.3">
      <c r="A519">
        <v>518</v>
      </c>
      <c r="B519" s="4">
        <v>40566</v>
      </c>
      <c r="C519">
        <v>1</v>
      </c>
      <c r="D519">
        <v>16</v>
      </c>
      <c r="E519" t="str">
        <f t="shared" si="24"/>
        <v>4 PM</v>
      </c>
      <c r="F519" t="str">
        <f t="shared" si="25"/>
        <v>Evening</v>
      </c>
      <c r="G519" t="b">
        <v>0</v>
      </c>
      <c r="H519">
        <v>0</v>
      </c>
      <c r="I519" t="str">
        <f>_xlfn.XLOOKUP(Append15[[#This Row],[Week day]],Mappings!$B$3:$B$9,Mappings!$C$3:$C$9)</f>
        <v>Sunday</v>
      </c>
      <c r="J519" t="str">
        <f t="shared" si="26"/>
        <v>Weekend</v>
      </c>
      <c r="K519">
        <v>1</v>
      </c>
      <c r="L519" t="str">
        <f>_xlfn.XLOOKUP(Append15[[#This Row],[WeatherSituation]],Mappings!$E$3:$E$6,Mappings!$F$3:$F$6)</f>
        <v>Clear Sky</v>
      </c>
      <c r="M519">
        <v>0.16</v>
      </c>
      <c r="N519">
        <v>0.13639999999999999</v>
      </c>
      <c r="O519">
        <v>0.26</v>
      </c>
      <c r="P519">
        <v>0.32840000000000003</v>
      </c>
      <c r="Q519">
        <v>9</v>
      </c>
      <c r="R519">
        <v>56</v>
      </c>
      <c r="S519">
        <v>65</v>
      </c>
    </row>
    <row r="520" spans="1:19" x14ac:dyDescent="0.3">
      <c r="A520">
        <v>519</v>
      </c>
      <c r="B520" s="4">
        <v>40566</v>
      </c>
      <c r="C520">
        <v>1</v>
      </c>
      <c r="D520">
        <v>17</v>
      </c>
      <c r="E520" t="str">
        <f t="shared" si="24"/>
        <v>5 PM</v>
      </c>
      <c r="F520" t="str">
        <f t="shared" si="25"/>
        <v>Evening</v>
      </c>
      <c r="G520" t="b">
        <v>0</v>
      </c>
      <c r="H520">
        <v>0</v>
      </c>
      <c r="I520" t="str">
        <f>_xlfn.XLOOKUP(Append15[[#This Row],[Week day]],Mappings!$B$3:$B$9,Mappings!$C$3:$C$9)</f>
        <v>Sunday</v>
      </c>
      <c r="J520" t="str">
        <f t="shared" si="26"/>
        <v>Weekend</v>
      </c>
      <c r="K520">
        <v>1</v>
      </c>
      <c r="L520" t="str">
        <f>_xlfn.XLOOKUP(Append15[[#This Row],[WeatherSituation]],Mappings!$E$3:$E$6,Mappings!$F$3:$F$6)</f>
        <v>Clear Sky</v>
      </c>
      <c r="M520">
        <v>0.14000000000000001</v>
      </c>
      <c r="N520">
        <v>0.1061</v>
      </c>
      <c r="O520">
        <v>0.26</v>
      </c>
      <c r="P520">
        <v>0.3881</v>
      </c>
      <c r="Q520">
        <v>5</v>
      </c>
      <c r="R520">
        <v>50</v>
      </c>
      <c r="S520">
        <v>55</v>
      </c>
    </row>
    <row r="521" spans="1:19" x14ac:dyDescent="0.3">
      <c r="A521">
        <v>520</v>
      </c>
      <c r="B521" s="4">
        <v>40566</v>
      </c>
      <c r="C521">
        <v>1</v>
      </c>
      <c r="D521">
        <v>18</v>
      </c>
      <c r="E521" t="str">
        <f t="shared" si="24"/>
        <v>6 PM</v>
      </c>
      <c r="F521" t="str">
        <f t="shared" si="25"/>
        <v>Evening</v>
      </c>
      <c r="G521" t="b">
        <v>0</v>
      </c>
      <c r="H521">
        <v>0</v>
      </c>
      <c r="I521" t="str">
        <f>_xlfn.XLOOKUP(Append15[[#This Row],[Week day]],Mappings!$B$3:$B$9,Mappings!$C$3:$C$9)</f>
        <v>Sunday</v>
      </c>
      <c r="J521" t="str">
        <f t="shared" si="26"/>
        <v>Weekend</v>
      </c>
      <c r="K521">
        <v>1</v>
      </c>
      <c r="L521" t="str">
        <f>_xlfn.XLOOKUP(Append15[[#This Row],[WeatherSituation]],Mappings!$E$3:$E$6,Mappings!$F$3:$F$6)</f>
        <v>Clear Sky</v>
      </c>
      <c r="M521">
        <v>0.12</v>
      </c>
      <c r="N521">
        <v>0.1212</v>
      </c>
      <c r="O521">
        <v>0.3</v>
      </c>
      <c r="P521">
        <v>0.25369999999999998</v>
      </c>
      <c r="Q521">
        <v>5</v>
      </c>
      <c r="R521">
        <v>44</v>
      </c>
      <c r="S521">
        <v>49</v>
      </c>
    </row>
    <row r="522" spans="1:19" x14ac:dyDescent="0.3">
      <c r="A522">
        <v>521</v>
      </c>
      <c r="B522" s="4">
        <v>40566</v>
      </c>
      <c r="C522">
        <v>1</v>
      </c>
      <c r="D522">
        <v>19</v>
      </c>
      <c r="E522" t="str">
        <f t="shared" si="24"/>
        <v>7 PM</v>
      </c>
      <c r="F522" t="str">
        <f t="shared" si="25"/>
        <v>Evening</v>
      </c>
      <c r="G522" t="b">
        <v>0</v>
      </c>
      <c r="H522">
        <v>0</v>
      </c>
      <c r="I522" t="str">
        <f>_xlfn.XLOOKUP(Append15[[#This Row],[Week day]],Mappings!$B$3:$B$9,Mappings!$C$3:$C$9)</f>
        <v>Sunday</v>
      </c>
      <c r="J522" t="str">
        <f t="shared" si="26"/>
        <v>Weekend</v>
      </c>
      <c r="K522">
        <v>1</v>
      </c>
      <c r="L522" t="str">
        <f>_xlfn.XLOOKUP(Append15[[#This Row],[WeatherSituation]],Mappings!$E$3:$E$6,Mappings!$F$3:$F$6)</f>
        <v>Clear Sky</v>
      </c>
      <c r="M522">
        <v>0.12</v>
      </c>
      <c r="N522">
        <v>0.1212</v>
      </c>
      <c r="O522">
        <v>0.3</v>
      </c>
      <c r="P522">
        <v>0.28360000000000002</v>
      </c>
      <c r="Q522">
        <v>5</v>
      </c>
      <c r="R522">
        <v>45</v>
      </c>
      <c r="S522">
        <v>50</v>
      </c>
    </row>
    <row r="523" spans="1:19" x14ac:dyDescent="0.3">
      <c r="A523">
        <v>522</v>
      </c>
      <c r="B523" s="4">
        <v>40566</v>
      </c>
      <c r="C523">
        <v>1</v>
      </c>
      <c r="D523">
        <v>20</v>
      </c>
      <c r="E523" t="str">
        <f t="shared" si="24"/>
        <v>8 PM</v>
      </c>
      <c r="F523" t="str">
        <f t="shared" si="25"/>
        <v>Night</v>
      </c>
      <c r="G523" t="b">
        <v>0</v>
      </c>
      <c r="H523">
        <v>0</v>
      </c>
      <c r="I523" t="str">
        <f>_xlfn.XLOOKUP(Append15[[#This Row],[Week day]],Mappings!$B$3:$B$9,Mappings!$C$3:$C$9)</f>
        <v>Sunday</v>
      </c>
      <c r="J523" t="str">
        <f t="shared" si="26"/>
        <v>Weekend</v>
      </c>
      <c r="K523">
        <v>1</v>
      </c>
      <c r="L523" t="str">
        <f>_xlfn.XLOOKUP(Append15[[#This Row],[WeatherSituation]],Mappings!$E$3:$E$6,Mappings!$F$3:$F$6)</f>
        <v>Clear Sky</v>
      </c>
      <c r="M523">
        <v>0.1</v>
      </c>
      <c r="N523">
        <v>0.1061</v>
      </c>
      <c r="O523">
        <v>0.36</v>
      </c>
      <c r="P523">
        <v>0.25369999999999998</v>
      </c>
      <c r="Q523">
        <v>4</v>
      </c>
      <c r="R523">
        <v>31</v>
      </c>
      <c r="S523">
        <v>35</v>
      </c>
    </row>
    <row r="524" spans="1:19" x14ac:dyDescent="0.3">
      <c r="A524">
        <v>523</v>
      </c>
      <c r="B524" s="4">
        <v>40566</v>
      </c>
      <c r="C524">
        <v>1</v>
      </c>
      <c r="D524">
        <v>21</v>
      </c>
      <c r="E524" t="str">
        <f t="shared" si="24"/>
        <v>9 PM</v>
      </c>
      <c r="F524" t="str">
        <f t="shared" si="25"/>
        <v>Night</v>
      </c>
      <c r="G524" t="b">
        <v>0</v>
      </c>
      <c r="H524">
        <v>0</v>
      </c>
      <c r="I524" t="str">
        <f>_xlfn.XLOOKUP(Append15[[#This Row],[Week day]],Mappings!$B$3:$B$9,Mappings!$C$3:$C$9)</f>
        <v>Sunday</v>
      </c>
      <c r="J524" t="str">
        <f t="shared" si="26"/>
        <v>Weekend</v>
      </c>
      <c r="K524">
        <v>1</v>
      </c>
      <c r="L524" t="str">
        <f>_xlfn.XLOOKUP(Append15[[#This Row],[WeatherSituation]],Mappings!$E$3:$E$6,Mappings!$F$3:$F$6)</f>
        <v>Clear Sky</v>
      </c>
      <c r="M524">
        <v>0.1</v>
      </c>
      <c r="N524">
        <v>0.1061</v>
      </c>
      <c r="O524">
        <v>0.36</v>
      </c>
      <c r="P524">
        <v>0.19400000000000001</v>
      </c>
      <c r="Q524">
        <v>5</v>
      </c>
      <c r="R524">
        <v>20</v>
      </c>
      <c r="S524">
        <v>25</v>
      </c>
    </row>
    <row r="525" spans="1:19" x14ac:dyDescent="0.3">
      <c r="A525">
        <v>524</v>
      </c>
      <c r="B525" s="4">
        <v>40566</v>
      </c>
      <c r="C525">
        <v>1</v>
      </c>
      <c r="D525">
        <v>22</v>
      </c>
      <c r="E525" t="str">
        <f t="shared" si="24"/>
        <v>10 PM</v>
      </c>
      <c r="F525" t="str">
        <f t="shared" si="25"/>
        <v>Night</v>
      </c>
      <c r="G525" t="b">
        <v>0</v>
      </c>
      <c r="H525">
        <v>0</v>
      </c>
      <c r="I525" t="str">
        <f>_xlfn.XLOOKUP(Append15[[#This Row],[Week day]],Mappings!$B$3:$B$9,Mappings!$C$3:$C$9)</f>
        <v>Sunday</v>
      </c>
      <c r="J525" t="str">
        <f t="shared" si="26"/>
        <v>Weekend</v>
      </c>
      <c r="K525">
        <v>1</v>
      </c>
      <c r="L525" t="str">
        <f>_xlfn.XLOOKUP(Append15[[#This Row],[WeatherSituation]],Mappings!$E$3:$E$6,Mappings!$F$3:$F$6)</f>
        <v>Clear Sky</v>
      </c>
      <c r="M525">
        <v>0.08</v>
      </c>
      <c r="N525">
        <v>9.0899999999999995E-2</v>
      </c>
      <c r="O525">
        <v>0.38</v>
      </c>
      <c r="P525">
        <v>0.19400000000000001</v>
      </c>
      <c r="Q525">
        <v>5</v>
      </c>
      <c r="R525">
        <v>23</v>
      </c>
      <c r="S525">
        <v>28</v>
      </c>
    </row>
    <row r="526" spans="1:19" x14ac:dyDescent="0.3">
      <c r="A526">
        <v>525</v>
      </c>
      <c r="B526" s="4">
        <v>40566</v>
      </c>
      <c r="C526">
        <v>1</v>
      </c>
      <c r="D526">
        <v>23</v>
      </c>
      <c r="E526" t="str">
        <f t="shared" si="24"/>
        <v>11 PM</v>
      </c>
      <c r="F526" t="str">
        <f t="shared" si="25"/>
        <v>Night</v>
      </c>
      <c r="G526" t="b">
        <v>0</v>
      </c>
      <c r="H526">
        <v>0</v>
      </c>
      <c r="I526" t="str">
        <f>_xlfn.XLOOKUP(Append15[[#This Row],[Week day]],Mappings!$B$3:$B$9,Mappings!$C$3:$C$9)</f>
        <v>Sunday</v>
      </c>
      <c r="J526" t="str">
        <f t="shared" si="26"/>
        <v>Weekend</v>
      </c>
      <c r="K526">
        <v>1</v>
      </c>
      <c r="L526" t="str">
        <f>_xlfn.XLOOKUP(Append15[[#This Row],[WeatherSituation]],Mappings!$E$3:$E$6,Mappings!$F$3:$F$6)</f>
        <v>Clear Sky</v>
      </c>
      <c r="M526">
        <v>0.06</v>
      </c>
      <c r="N526">
        <v>6.0600000000000001E-2</v>
      </c>
      <c r="O526">
        <v>0.41</v>
      </c>
      <c r="P526">
        <v>0.22389999999999999</v>
      </c>
      <c r="Q526">
        <v>4</v>
      </c>
      <c r="R526">
        <v>17</v>
      </c>
      <c r="S526">
        <v>21</v>
      </c>
    </row>
    <row r="527" spans="1:19" x14ac:dyDescent="0.3">
      <c r="A527">
        <v>526</v>
      </c>
      <c r="B527" s="4">
        <v>40567</v>
      </c>
      <c r="C527">
        <v>1</v>
      </c>
      <c r="D527">
        <v>0</v>
      </c>
      <c r="E527" t="str">
        <f t="shared" si="24"/>
        <v>12 AM</v>
      </c>
      <c r="F527" t="str">
        <f t="shared" si="25"/>
        <v>Night</v>
      </c>
      <c r="G527" t="b">
        <v>0</v>
      </c>
      <c r="H527">
        <v>1</v>
      </c>
      <c r="I527" t="str">
        <f>_xlfn.XLOOKUP(Append15[[#This Row],[Week day]],Mappings!$B$3:$B$9,Mappings!$C$3:$C$9)</f>
        <v>Monday</v>
      </c>
      <c r="J527" t="str">
        <f t="shared" si="26"/>
        <v>Weekday</v>
      </c>
      <c r="K527">
        <v>1</v>
      </c>
      <c r="L527" t="str">
        <f>_xlfn.XLOOKUP(Append15[[#This Row],[WeatherSituation]],Mappings!$E$3:$E$6,Mappings!$F$3:$F$6)</f>
        <v>Clear Sky</v>
      </c>
      <c r="M527">
        <v>0.06</v>
      </c>
      <c r="N527">
        <v>6.0600000000000001E-2</v>
      </c>
      <c r="O527">
        <v>0.41</v>
      </c>
      <c r="P527">
        <v>0.19400000000000001</v>
      </c>
      <c r="Q527">
        <v>0</v>
      </c>
      <c r="R527">
        <v>7</v>
      </c>
      <c r="S527">
        <v>7</v>
      </c>
    </row>
    <row r="528" spans="1:19" x14ac:dyDescent="0.3">
      <c r="A528">
        <v>527</v>
      </c>
      <c r="B528" s="4">
        <v>40567</v>
      </c>
      <c r="C528">
        <v>1</v>
      </c>
      <c r="D528">
        <v>1</v>
      </c>
      <c r="E528" t="str">
        <f t="shared" si="24"/>
        <v>1 AM</v>
      </c>
      <c r="F528" t="str">
        <f t="shared" si="25"/>
        <v>Night</v>
      </c>
      <c r="G528" t="b">
        <v>0</v>
      </c>
      <c r="H528">
        <v>1</v>
      </c>
      <c r="I528" t="str">
        <f>_xlfn.XLOOKUP(Append15[[#This Row],[Week day]],Mappings!$B$3:$B$9,Mappings!$C$3:$C$9)</f>
        <v>Monday</v>
      </c>
      <c r="J528" t="str">
        <f t="shared" si="26"/>
        <v>Weekday</v>
      </c>
      <c r="K528">
        <v>1</v>
      </c>
      <c r="L528" t="str">
        <f>_xlfn.XLOOKUP(Append15[[#This Row],[WeatherSituation]],Mappings!$E$3:$E$6,Mappings!$F$3:$F$6)</f>
        <v>Clear Sky</v>
      </c>
      <c r="M528">
        <v>0.04</v>
      </c>
      <c r="N528">
        <v>4.5499999999999999E-2</v>
      </c>
      <c r="O528">
        <v>0.45</v>
      </c>
      <c r="P528">
        <v>0.19400000000000001</v>
      </c>
      <c r="Q528">
        <v>0</v>
      </c>
      <c r="R528">
        <v>1</v>
      </c>
      <c r="S528">
        <v>1</v>
      </c>
    </row>
    <row r="529" spans="1:19" x14ac:dyDescent="0.3">
      <c r="A529">
        <v>528</v>
      </c>
      <c r="B529" s="4">
        <v>40567</v>
      </c>
      <c r="C529">
        <v>1</v>
      </c>
      <c r="D529">
        <v>3</v>
      </c>
      <c r="E529" t="str">
        <f t="shared" si="24"/>
        <v>3 AM</v>
      </c>
      <c r="F529" t="str">
        <f t="shared" si="25"/>
        <v>Night</v>
      </c>
      <c r="G529" t="b">
        <v>0</v>
      </c>
      <c r="H529">
        <v>1</v>
      </c>
      <c r="I529" t="str">
        <f>_xlfn.XLOOKUP(Append15[[#This Row],[Week day]],Mappings!$B$3:$B$9,Mappings!$C$3:$C$9)</f>
        <v>Monday</v>
      </c>
      <c r="J529" t="str">
        <f t="shared" si="26"/>
        <v>Weekday</v>
      </c>
      <c r="K529">
        <v>1</v>
      </c>
      <c r="L529" t="str">
        <f>_xlfn.XLOOKUP(Append15[[#This Row],[WeatherSituation]],Mappings!$E$3:$E$6,Mappings!$F$3:$F$6)</f>
        <v>Clear Sky</v>
      </c>
      <c r="M529">
        <v>0.04</v>
      </c>
      <c r="N529">
        <v>3.0300000000000001E-2</v>
      </c>
      <c r="O529">
        <v>0.45</v>
      </c>
      <c r="P529">
        <v>0.25369999999999998</v>
      </c>
      <c r="Q529">
        <v>0</v>
      </c>
      <c r="R529">
        <v>1</v>
      </c>
      <c r="S529">
        <v>1</v>
      </c>
    </row>
    <row r="530" spans="1:19" x14ac:dyDescent="0.3">
      <c r="A530">
        <v>529</v>
      </c>
      <c r="B530" s="4">
        <v>40567</v>
      </c>
      <c r="C530">
        <v>1</v>
      </c>
      <c r="D530">
        <v>4</v>
      </c>
      <c r="E530" t="str">
        <f t="shared" si="24"/>
        <v>4 AM</v>
      </c>
      <c r="F530" t="str">
        <f t="shared" si="25"/>
        <v>Night</v>
      </c>
      <c r="G530" t="b">
        <v>0</v>
      </c>
      <c r="H530">
        <v>1</v>
      </c>
      <c r="I530" t="str">
        <f>_xlfn.XLOOKUP(Append15[[#This Row],[Week day]],Mappings!$B$3:$B$9,Mappings!$C$3:$C$9)</f>
        <v>Monday</v>
      </c>
      <c r="J530" t="str">
        <f t="shared" si="26"/>
        <v>Weekday</v>
      </c>
      <c r="K530">
        <v>1</v>
      </c>
      <c r="L530" t="str">
        <f>_xlfn.XLOOKUP(Append15[[#This Row],[WeatherSituation]],Mappings!$E$3:$E$6,Mappings!$F$3:$F$6)</f>
        <v>Clear Sky</v>
      </c>
      <c r="M530">
        <v>0.02</v>
      </c>
      <c r="N530">
        <v>6.0600000000000001E-2</v>
      </c>
      <c r="O530">
        <v>0.48</v>
      </c>
      <c r="P530">
        <v>0.1343</v>
      </c>
      <c r="Q530">
        <v>0</v>
      </c>
      <c r="R530">
        <v>1</v>
      </c>
      <c r="S530">
        <v>1</v>
      </c>
    </row>
    <row r="531" spans="1:19" x14ac:dyDescent="0.3">
      <c r="A531">
        <v>530</v>
      </c>
      <c r="B531" s="4">
        <v>40567</v>
      </c>
      <c r="C531">
        <v>1</v>
      </c>
      <c r="D531">
        <v>5</v>
      </c>
      <c r="E531" t="str">
        <f t="shared" si="24"/>
        <v>5 AM</v>
      </c>
      <c r="F531" t="str">
        <f t="shared" si="25"/>
        <v>Morning</v>
      </c>
      <c r="G531" t="b">
        <v>0</v>
      </c>
      <c r="H531">
        <v>1</v>
      </c>
      <c r="I531" t="str">
        <f>_xlfn.XLOOKUP(Append15[[#This Row],[Week day]],Mappings!$B$3:$B$9,Mappings!$C$3:$C$9)</f>
        <v>Monday</v>
      </c>
      <c r="J531" t="str">
        <f t="shared" si="26"/>
        <v>Weekday</v>
      </c>
      <c r="K531">
        <v>1</v>
      </c>
      <c r="L531" t="str">
        <f>_xlfn.XLOOKUP(Append15[[#This Row],[WeatherSituation]],Mappings!$E$3:$E$6,Mappings!$F$3:$F$6)</f>
        <v>Clear Sky</v>
      </c>
      <c r="M531">
        <v>0.02</v>
      </c>
      <c r="N531">
        <v>6.0600000000000001E-2</v>
      </c>
      <c r="O531">
        <v>0.48</v>
      </c>
      <c r="P531">
        <v>0.1343</v>
      </c>
      <c r="Q531">
        <v>0</v>
      </c>
      <c r="R531">
        <v>5</v>
      </c>
      <c r="S531">
        <v>5</v>
      </c>
    </row>
    <row r="532" spans="1:19" x14ac:dyDescent="0.3">
      <c r="A532">
        <v>531</v>
      </c>
      <c r="B532" s="4">
        <v>40567</v>
      </c>
      <c r="C532">
        <v>1</v>
      </c>
      <c r="D532">
        <v>6</v>
      </c>
      <c r="E532" t="str">
        <f t="shared" si="24"/>
        <v>6 AM</v>
      </c>
      <c r="F532" t="str">
        <f t="shared" si="25"/>
        <v>Morning</v>
      </c>
      <c r="G532" t="b">
        <v>0</v>
      </c>
      <c r="H532">
        <v>1</v>
      </c>
      <c r="I532" t="str">
        <f>_xlfn.XLOOKUP(Append15[[#This Row],[Week day]],Mappings!$B$3:$B$9,Mappings!$C$3:$C$9)</f>
        <v>Monday</v>
      </c>
      <c r="J532" t="str">
        <f t="shared" si="26"/>
        <v>Weekday</v>
      </c>
      <c r="K532">
        <v>1</v>
      </c>
      <c r="L532" t="str">
        <f>_xlfn.XLOOKUP(Append15[[#This Row],[WeatherSituation]],Mappings!$E$3:$E$6,Mappings!$F$3:$F$6)</f>
        <v>Clear Sky</v>
      </c>
      <c r="M532">
        <v>0.02</v>
      </c>
      <c r="N532">
        <v>7.5800000000000006E-2</v>
      </c>
      <c r="O532">
        <v>0.48</v>
      </c>
      <c r="P532">
        <v>8.9599999999999999E-2</v>
      </c>
      <c r="Q532">
        <v>0</v>
      </c>
      <c r="R532">
        <v>15</v>
      </c>
      <c r="S532">
        <v>15</v>
      </c>
    </row>
    <row r="533" spans="1:19" x14ac:dyDescent="0.3">
      <c r="A533">
        <v>532</v>
      </c>
      <c r="B533" s="4">
        <v>40567</v>
      </c>
      <c r="C533">
        <v>1</v>
      </c>
      <c r="D533">
        <v>7</v>
      </c>
      <c r="E533" t="str">
        <f t="shared" si="24"/>
        <v>7 AM</v>
      </c>
      <c r="F533" t="str">
        <f t="shared" si="25"/>
        <v>Morning</v>
      </c>
      <c r="G533" t="b">
        <v>0</v>
      </c>
      <c r="H533">
        <v>1</v>
      </c>
      <c r="I533" t="str">
        <f>_xlfn.XLOOKUP(Append15[[#This Row],[Week day]],Mappings!$B$3:$B$9,Mappings!$C$3:$C$9)</f>
        <v>Monday</v>
      </c>
      <c r="J533" t="str">
        <f t="shared" si="26"/>
        <v>Weekday</v>
      </c>
      <c r="K533">
        <v>1</v>
      </c>
      <c r="L533" t="str">
        <f>_xlfn.XLOOKUP(Append15[[#This Row],[WeatherSituation]],Mappings!$E$3:$E$6,Mappings!$F$3:$F$6)</f>
        <v>Clear Sky</v>
      </c>
      <c r="M533">
        <v>0.02</v>
      </c>
      <c r="N533">
        <v>0.1212</v>
      </c>
      <c r="O533">
        <v>0.48</v>
      </c>
      <c r="P533">
        <v>0</v>
      </c>
      <c r="Q533">
        <v>5</v>
      </c>
      <c r="R533">
        <v>79</v>
      </c>
      <c r="S533">
        <v>84</v>
      </c>
    </row>
    <row r="534" spans="1:19" x14ac:dyDescent="0.3">
      <c r="A534">
        <v>533</v>
      </c>
      <c r="B534" s="4">
        <v>40567</v>
      </c>
      <c r="C534">
        <v>1</v>
      </c>
      <c r="D534">
        <v>8</v>
      </c>
      <c r="E534" t="str">
        <f t="shared" si="24"/>
        <v>8 AM</v>
      </c>
      <c r="F534" t="str">
        <f t="shared" si="25"/>
        <v>Morning</v>
      </c>
      <c r="G534" t="b">
        <v>0</v>
      </c>
      <c r="H534">
        <v>1</v>
      </c>
      <c r="I534" t="str">
        <f>_xlfn.XLOOKUP(Append15[[#This Row],[Week day]],Mappings!$B$3:$B$9,Mappings!$C$3:$C$9)</f>
        <v>Monday</v>
      </c>
      <c r="J534" t="str">
        <f t="shared" si="26"/>
        <v>Weekday</v>
      </c>
      <c r="K534">
        <v>1</v>
      </c>
      <c r="L534" t="str">
        <f>_xlfn.XLOOKUP(Append15[[#This Row],[WeatherSituation]],Mappings!$E$3:$E$6,Mappings!$F$3:$F$6)</f>
        <v>Clear Sky</v>
      </c>
      <c r="M534">
        <v>0.04</v>
      </c>
      <c r="N534">
        <v>0.13639999999999999</v>
      </c>
      <c r="O534">
        <v>0.49</v>
      </c>
      <c r="P534">
        <v>0</v>
      </c>
      <c r="Q534">
        <v>6</v>
      </c>
      <c r="R534">
        <v>171</v>
      </c>
      <c r="S534">
        <v>177</v>
      </c>
    </row>
    <row r="535" spans="1:19" x14ac:dyDescent="0.3">
      <c r="A535">
        <v>534</v>
      </c>
      <c r="B535" s="4">
        <v>40567</v>
      </c>
      <c r="C535">
        <v>1</v>
      </c>
      <c r="D535">
        <v>9</v>
      </c>
      <c r="E535" t="str">
        <f t="shared" si="24"/>
        <v>9 AM</v>
      </c>
      <c r="F535" t="str">
        <f t="shared" si="25"/>
        <v>Morning</v>
      </c>
      <c r="G535" t="b">
        <v>0</v>
      </c>
      <c r="H535">
        <v>1</v>
      </c>
      <c r="I535" t="str">
        <f>_xlfn.XLOOKUP(Append15[[#This Row],[Week day]],Mappings!$B$3:$B$9,Mappings!$C$3:$C$9)</f>
        <v>Monday</v>
      </c>
      <c r="J535" t="str">
        <f t="shared" si="26"/>
        <v>Weekday</v>
      </c>
      <c r="K535">
        <v>1</v>
      </c>
      <c r="L535" t="str">
        <f>_xlfn.XLOOKUP(Append15[[#This Row],[WeatherSituation]],Mappings!$E$3:$E$6,Mappings!$F$3:$F$6)</f>
        <v>Clear Sky</v>
      </c>
      <c r="M535">
        <v>0.06</v>
      </c>
      <c r="N535">
        <v>0.1515</v>
      </c>
      <c r="O535">
        <v>0.41</v>
      </c>
      <c r="P535">
        <v>0</v>
      </c>
      <c r="Q535">
        <v>4</v>
      </c>
      <c r="R535">
        <v>98</v>
      </c>
      <c r="S535">
        <v>102</v>
      </c>
    </row>
    <row r="536" spans="1:19" x14ac:dyDescent="0.3">
      <c r="A536">
        <v>535</v>
      </c>
      <c r="B536" s="4">
        <v>40567</v>
      </c>
      <c r="C536">
        <v>1</v>
      </c>
      <c r="D536">
        <v>10</v>
      </c>
      <c r="E536" t="str">
        <f t="shared" si="24"/>
        <v>10 AM</v>
      </c>
      <c r="F536" t="str">
        <f t="shared" si="25"/>
        <v>Morning</v>
      </c>
      <c r="G536" t="b">
        <v>0</v>
      </c>
      <c r="H536">
        <v>1</v>
      </c>
      <c r="I536" t="str">
        <f>_xlfn.XLOOKUP(Append15[[#This Row],[Week day]],Mappings!$B$3:$B$9,Mappings!$C$3:$C$9)</f>
        <v>Monday</v>
      </c>
      <c r="J536" t="str">
        <f t="shared" si="26"/>
        <v>Weekday</v>
      </c>
      <c r="K536">
        <v>1</v>
      </c>
      <c r="L536" t="str">
        <f>_xlfn.XLOOKUP(Append15[[#This Row],[WeatherSituation]],Mappings!$E$3:$E$6,Mappings!$F$3:$F$6)</f>
        <v>Clear Sky</v>
      </c>
      <c r="M536">
        <v>0.1</v>
      </c>
      <c r="N536">
        <v>0.13639999999999999</v>
      </c>
      <c r="O536">
        <v>0.42</v>
      </c>
      <c r="P536">
        <v>0</v>
      </c>
      <c r="Q536">
        <v>6</v>
      </c>
      <c r="R536">
        <v>34</v>
      </c>
      <c r="S536">
        <v>40</v>
      </c>
    </row>
    <row r="537" spans="1:19" x14ac:dyDescent="0.3">
      <c r="A537">
        <v>536</v>
      </c>
      <c r="B537" s="4">
        <v>40567</v>
      </c>
      <c r="C537">
        <v>1</v>
      </c>
      <c r="D537">
        <v>11</v>
      </c>
      <c r="E537" t="str">
        <f t="shared" si="24"/>
        <v>11 AM</v>
      </c>
      <c r="F537" t="str">
        <f t="shared" si="25"/>
        <v>Morning</v>
      </c>
      <c r="G537" t="b">
        <v>0</v>
      </c>
      <c r="H537">
        <v>1</v>
      </c>
      <c r="I537" t="str">
        <f>_xlfn.XLOOKUP(Append15[[#This Row],[Week day]],Mappings!$B$3:$B$9,Mappings!$C$3:$C$9)</f>
        <v>Monday</v>
      </c>
      <c r="J537" t="str">
        <f t="shared" si="26"/>
        <v>Weekday</v>
      </c>
      <c r="K537">
        <v>1</v>
      </c>
      <c r="L537" t="str">
        <f>_xlfn.XLOOKUP(Append15[[#This Row],[WeatherSituation]],Mappings!$E$3:$E$6,Mappings!$F$3:$F$6)</f>
        <v>Clear Sky</v>
      </c>
      <c r="M537">
        <v>0.1</v>
      </c>
      <c r="N537">
        <v>0.1212</v>
      </c>
      <c r="O537">
        <v>0.46</v>
      </c>
      <c r="P537">
        <v>0.1343</v>
      </c>
      <c r="Q537">
        <v>3</v>
      </c>
      <c r="R537">
        <v>43</v>
      </c>
      <c r="S537">
        <v>46</v>
      </c>
    </row>
    <row r="538" spans="1:19" x14ac:dyDescent="0.3">
      <c r="A538">
        <v>537</v>
      </c>
      <c r="B538" s="4">
        <v>40567</v>
      </c>
      <c r="C538">
        <v>1</v>
      </c>
      <c r="D538">
        <v>12</v>
      </c>
      <c r="E538" t="str">
        <f t="shared" si="24"/>
        <v>12 PM</v>
      </c>
      <c r="F538" t="str">
        <f t="shared" si="25"/>
        <v>AfterNoon</v>
      </c>
      <c r="G538" t="b">
        <v>0</v>
      </c>
      <c r="H538">
        <v>1</v>
      </c>
      <c r="I538" t="str">
        <f>_xlfn.XLOOKUP(Append15[[#This Row],[Week day]],Mappings!$B$3:$B$9,Mappings!$C$3:$C$9)</f>
        <v>Monday</v>
      </c>
      <c r="J538" t="str">
        <f t="shared" si="26"/>
        <v>Weekday</v>
      </c>
      <c r="K538">
        <v>2</v>
      </c>
      <c r="L538" t="str">
        <f>_xlfn.XLOOKUP(Append15[[#This Row],[WeatherSituation]],Mappings!$E$3:$E$6,Mappings!$F$3:$F$6)</f>
        <v>Mist/Cloudy</v>
      </c>
      <c r="M538">
        <v>0.12</v>
      </c>
      <c r="N538">
        <v>0.13639999999999999</v>
      </c>
      <c r="O538">
        <v>0.42</v>
      </c>
      <c r="P538">
        <v>0.19400000000000001</v>
      </c>
      <c r="Q538">
        <v>11</v>
      </c>
      <c r="R538">
        <v>52</v>
      </c>
      <c r="S538">
        <v>63</v>
      </c>
    </row>
    <row r="539" spans="1:19" x14ac:dyDescent="0.3">
      <c r="A539">
        <v>538</v>
      </c>
      <c r="B539" s="4">
        <v>40567</v>
      </c>
      <c r="C539">
        <v>1</v>
      </c>
      <c r="D539">
        <v>13</v>
      </c>
      <c r="E539" t="str">
        <f t="shared" si="24"/>
        <v>1 PM</v>
      </c>
      <c r="F539" t="str">
        <f t="shared" si="25"/>
        <v>AfterNoon</v>
      </c>
      <c r="G539" t="b">
        <v>0</v>
      </c>
      <c r="H539">
        <v>1</v>
      </c>
      <c r="I539" t="str">
        <f>_xlfn.XLOOKUP(Append15[[#This Row],[Week day]],Mappings!$B$3:$B$9,Mappings!$C$3:$C$9)</f>
        <v>Monday</v>
      </c>
      <c r="J539" t="str">
        <f t="shared" si="26"/>
        <v>Weekday</v>
      </c>
      <c r="K539">
        <v>2</v>
      </c>
      <c r="L539" t="str">
        <f>_xlfn.XLOOKUP(Append15[[#This Row],[WeatherSituation]],Mappings!$E$3:$E$6,Mappings!$F$3:$F$6)</f>
        <v>Mist/Cloudy</v>
      </c>
      <c r="M539">
        <v>0.14000000000000001</v>
      </c>
      <c r="N539">
        <v>0.13639999999999999</v>
      </c>
      <c r="O539">
        <v>0.43</v>
      </c>
      <c r="P539">
        <v>0.22389999999999999</v>
      </c>
      <c r="Q539">
        <v>6</v>
      </c>
      <c r="R539">
        <v>54</v>
      </c>
      <c r="S539">
        <v>60</v>
      </c>
    </row>
    <row r="540" spans="1:19" x14ac:dyDescent="0.3">
      <c r="A540">
        <v>539</v>
      </c>
      <c r="B540" s="4">
        <v>40567</v>
      </c>
      <c r="C540">
        <v>1</v>
      </c>
      <c r="D540">
        <v>14</v>
      </c>
      <c r="E540" t="str">
        <f t="shared" si="24"/>
        <v>2 PM</v>
      </c>
      <c r="F540" t="str">
        <f t="shared" si="25"/>
        <v>AfterNoon</v>
      </c>
      <c r="G540" t="b">
        <v>0</v>
      </c>
      <c r="H540">
        <v>1</v>
      </c>
      <c r="I540" t="str">
        <f>_xlfn.XLOOKUP(Append15[[#This Row],[Week day]],Mappings!$B$3:$B$9,Mappings!$C$3:$C$9)</f>
        <v>Monday</v>
      </c>
      <c r="J540" t="str">
        <f t="shared" si="26"/>
        <v>Weekday</v>
      </c>
      <c r="K540">
        <v>2</v>
      </c>
      <c r="L540" t="str">
        <f>_xlfn.XLOOKUP(Append15[[#This Row],[WeatherSituation]],Mappings!$E$3:$E$6,Mappings!$F$3:$F$6)</f>
        <v>Mist/Cloudy</v>
      </c>
      <c r="M540">
        <v>0.14000000000000001</v>
      </c>
      <c r="N540">
        <v>0.13639999999999999</v>
      </c>
      <c r="O540">
        <v>0.46</v>
      </c>
      <c r="P540">
        <v>0.22389999999999999</v>
      </c>
      <c r="Q540">
        <v>2</v>
      </c>
      <c r="R540">
        <v>43</v>
      </c>
      <c r="S540">
        <v>45</v>
      </c>
    </row>
    <row r="541" spans="1:19" x14ac:dyDescent="0.3">
      <c r="A541">
        <v>540</v>
      </c>
      <c r="B541" s="4">
        <v>40567</v>
      </c>
      <c r="C541">
        <v>1</v>
      </c>
      <c r="D541">
        <v>15</v>
      </c>
      <c r="E541" t="str">
        <f t="shared" si="24"/>
        <v>3 PM</v>
      </c>
      <c r="F541" t="str">
        <f t="shared" si="25"/>
        <v>AfterNoon</v>
      </c>
      <c r="G541" t="b">
        <v>0</v>
      </c>
      <c r="H541">
        <v>1</v>
      </c>
      <c r="I541" t="str">
        <f>_xlfn.XLOOKUP(Append15[[#This Row],[Week day]],Mappings!$B$3:$B$9,Mappings!$C$3:$C$9)</f>
        <v>Monday</v>
      </c>
      <c r="J541" t="str">
        <f t="shared" si="26"/>
        <v>Weekday</v>
      </c>
      <c r="K541">
        <v>1</v>
      </c>
      <c r="L541" t="str">
        <f>_xlfn.XLOOKUP(Append15[[#This Row],[WeatherSituation]],Mappings!$E$3:$E$6,Mappings!$F$3:$F$6)</f>
        <v>Clear Sky</v>
      </c>
      <c r="M541">
        <v>0.16</v>
      </c>
      <c r="N541">
        <v>0.16669999999999999</v>
      </c>
      <c r="O541">
        <v>0.4</v>
      </c>
      <c r="P541">
        <v>0.16420000000000001</v>
      </c>
      <c r="Q541">
        <v>7</v>
      </c>
      <c r="R541">
        <v>50</v>
      </c>
      <c r="S541">
        <v>57</v>
      </c>
    </row>
    <row r="542" spans="1:19" x14ac:dyDescent="0.3">
      <c r="A542">
        <v>541</v>
      </c>
      <c r="B542" s="4">
        <v>40567</v>
      </c>
      <c r="C542">
        <v>1</v>
      </c>
      <c r="D542">
        <v>16</v>
      </c>
      <c r="E542" t="str">
        <f t="shared" si="24"/>
        <v>4 PM</v>
      </c>
      <c r="F542" t="str">
        <f t="shared" si="25"/>
        <v>Evening</v>
      </c>
      <c r="G542" t="b">
        <v>0</v>
      </c>
      <c r="H542">
        <v>1</v>
      </c>
      <c r="I542" t="str">
        <f>_xlfn.XLOOKUP(Append15[[#This Row],[Week day]],Mappings!$B$3:$B$9,Mappings!$C$3:$C$9)</f>
        <v>Monday</v>
      </c>
      <c r="J542" t="str">
        <f t="shared" si="26"/>
        <v>Weekday</v>
      </c>
      <c r="K542">
        <v>1</v>
      </c>
      <c r="L542" t="str">
        <f>_xlfn.XLOOKUP(Append15[[#This Row],[WeatherSituation]],Mappings!$E$3:$E$6,Mappings!$F$3:$F$6)</f>
        <v>Clear Sky</v>
      </c>
      <c r="M542">
        <v>0.16</v>
      </c>
      <c r="N542">
        <v>0.1515</v>
      </c>
      <c r="O542">
        <v>0.47</v>
      </c>
      <c r="P542">
        <v>0.25369999999999998</v>
      </c>
      <c r="Q542">
        <v>4</v>
      </c>
      <c r="R542">
        <v>66</v>
      </c>
      <c r="S542">
        <v>70</v>
      </c>
    </row>
    <row r="543" spans="1:19" x14ac:dyDescent="0.3">
      <c r="A543">
        <v>542</v>
      </c>
      <c r="B543" s="4">
        <v>40567</v>
      </c>
      <c r="C543">
        <v>1</v>
      </c>
      <c r="D543">
        <v>17</v>
      </c>
      <c r="E543" t="str">
        <f t="shared" si="24"/>
        <v>5 PM</v>
      </c>
      <c r="F543" t="str">
        <f t="shared" si="25"/>
        <v>Evening</v>
      </c>
      <c r="G543" t="b">
        <v>0</v>
      </c>
      <c r="H543">
        <v>1</v>
      </c>
      <c r="I543" t="str">
        <f>_xlfn.XLOOKUP(Append15[[#This Row],[Week day]],Mappings!$B$3:$B$9,Mappings!$C$3:$C$9)</f>
        <v>Monday</v>
      </c>
      <c r="J543" t="str">
        <f t="shared" si="26"/>
        <v>Weekday</v>
      </c>
      <c r="K543">
        <v>1</v>
      </c>
      <c r="L543" t="str">
        <f>_xlfn.XLOOKUP(Append15[[#This Row],[WeatherSituation]],Mappings!$E$3:$E$6,Mappings!$F$3:$F$6)</f>
        <v>Clear Sky</v>
      </c>
      <c r="M543">
        <v>0.14000000000000001</v>
      </c>
      <c r="N543">
        <v>0.1212</v>
      </c>
      <c r="O543">
        <v>0.5</v>
      </c>
      <c r="P543">
        <v>0.25369999999999998</v>
      </c>
      <c r="Q543">
        <v>6</v>
      </c>
      <c r="R543">
        <v>178</v>
      </c>
      <c r="S543">
        <v>184</v>
      </c>
    </row>
    <row r="544" spans="1:19" x14ac:dyDescent="0.3">
      <c r="A544">
        <v>543</v>
      </c>
      <c r="B544" s="4">
        <v>40567</v>
      </c>
      <c r="C544">
        <v>1</v>
      </c>
      <c r="D544">
        <v>18</v>
      </c>
      <c r="E544" t="str">
        <f t="shared" si="24"/>
        <v>6 PM</v>
      </c>
      <c r="F544" t="str">
        <f t="shared" si="25"/>
        <v>Evening</v>
      </c>
      <c r="G544" t="b">
        <v>0</v>
      </c>
      <c r="H544">
        <v>1</v>
      </c>
      <c r="I544" t="str">
        <f>_xlfn.XLOOKUP(Append15[[#This Row],[Week day]],Mappings!$B$3:$B$9,Mappings!$C$3:$C$9)</f>
        <v>Monday</v>
      </c>
      <c r="J544" t="str">
        <f t="shared" si="26"/>
        <v>Weekday</v>
      </c>
      <c r="K544">
        <v>1</v>
      </c>
      <c r="L544" t="str">
        <f>_xlfn.XLOOKUP(Append15[[#This Row],[WeatherSituation]],Mappings!$E$3:$E$6,Mappings!$F$3:$F$6)</f>
        <v>Clear Sky</v>
      </c>
      <c r="M544">
        <v>0.14000000000000001</v>
      </c>
      <c r="N544">
        <v>0.13639999999999999</v>
      </c>
      <c r="O544">
        <v>0.59</v>
      </c>
      <c r="P544">
        <v>0.19400000000000001</v>
      </c>
      <c r="Q544">
        <v>8</v>
      </c>
      <c r="R544">
        <v>145</v>
      </c>
      <c r="S544">
        <v>153</v>
      </c>
    </row>
    <row r="545" spans="1:19" x14ac:dyDescent="0.3">
      <c r="A545">
        <v>544</v>
      </c>
      <c r="B545" s="4">
        <v>40567</v>
      </c>
      <c r="C545">
        <v>1</v>
      </c>
      <c r="D545">
        <v>19</v>
      </c>
      <c r="E545" t="str">
        <f t="shared" si="24"/>
        <v>7 PM</v>
      </c>
      <c r="F545" t="str">
        <f t="shared" si="25"/>
        <v>Evening</v>
      </c>
      <c r="G545" t="b">
        <v>0</v>
      </c>
      <c r="H545">
        <v>1</v>
      </c>
      <c r="I545" t="str">
        <f>_xlfn.XLOOKUP(Append15[[#This Row],[Week day]],Mappings!$B$3:$B$9,Mappings!$C$3:$C$9)</f>
        <v>Monday</v>
      </c>
      <c r="J545" t="str">
        <f t="shared" si="26"/>
        <v>Weekday</v>
      </c>
      <c r="K545">
        <v>1</v>
      </c>
      <c r="L545" t="str">
        <f>_xlfn.XLOOKUP(Append15[[#This Row],[WeatherSituation]],Mappings!$E$3:$E$6,Mappings!$F$3:$F$6)</f>
        <v>Clear Sky</v>
      </c>
      <c r="M545">
        <v>0.14000000000000001</v>
      </c>
      <c r="N545">
        <v>0.1515</v>
      </c>
      <c r="O545">
        <v>0.54</v>
      </c>
      <c r="P545">
        <v>0.16420000000000001</v>
      </c>
      <c r="Q545">
        <v>5</v>
      </c>
      <c r="R545">
        <v>101</v>
      </c>
      <c r="S545">
        <v>106</v>
      </c>
    </row>
    <row r="546" spans="1:19" x14ac:dyDescent="0.3">
      <c r="A546">
        <v>545</v>
      </c>
      <c r="B546" s="4">
        <v>40567</v>
      </c>
      <c r="C546">
        <v>1</v>
      </c>
      <c r="D546">
        <v>20</v>
      </c>
      <c r="E546" t="str">
        <f t="shared" si="24"/>
        <v>8 PM</v>
      </c>
      <c r="F546" t="str">
        <f t="shared" si="25"/>
        <v>Night</v>
      </c>
      <c r="G546" t="b">
        <v>0</v>
      </c>
      <c r="H546">
        <v>1</v>
      </c>
      <c r="I546" t="str">
        <f>_xlfn.XLOOKUP(Append15[[#This Row],[Week day]],Mappings!$B$3:$B$9,Mappings!$C$3:$C$9)</f>
        <v>Monday</v>
      </c>
      <c r="J546" t="str">
        <f t="shared" si="26"/>
        <v>Weekday</v>
      </c>
      <c r="K546">
        <v>1</v>
      </c>
      <c r="L546" t="str">
        <f>_xlfn.XLOOKUP(Append15[[#This Row],[WeatherSituation]],Mappings!$E$3:$E$6,Mappings!$F$3:$F$6)</f>
        <v>Clear Sky</v>
      </c>
      <c r="M546">
        <v>0.14000000000000001</v>
      </c>
      <c r="N546">
        <v>0.13639999999999999</v>
      </c>
      <c r="O546">
        <v>0.59</v>
      </c>
      <c r="P546">
        <v>0.19400000000000001</v>
      </c>
      <c r="Q546">
        <v>1</v>
      </c>
      <c r="R546">
        <v>80</v>
      </c>
      <c r="S546">
        <v>81</v>
      </c>
    </row>
    <row r="547" spans="1:19" x14ac:dyDescent="0.3">
      <c r="A547">
        <v>546</v>
      </c>
      <c r="B547" s="4">
        <v>40567</v>
      </c>
      <c r="C547">
        <v>1</v>
      </c>
      <c r="D547">
        <v>21</v>
      </c>
      <c r="E547" t="str">
        <f t="shared" si="24"/>
        <v>9 PM</v>
      </c>
      <c r="F547" t="str">
        <f t="shared" si="25"/>
        <v>Night</v>
      </c>
      <c r="G547" t="b">
        <v>0</v>
      </c>
      <c r="H547">
        <v>1</v>
      </c>
      <c r="I547" t="str">
        <f>_xlfn.XLOOKUP(Append15[[#This Row],[Week day]],Mappings!$B$3:$B$9,Mappings!$C$3:$C$9)</f>
        <v>Monday</v>
      </c>
      <c r="J547" t="str">
        <f t="shared" si="26"/>
        <v>Weekday</v>
      </c>
      <c r="K547">
        <v>1</v>
      </c>
      <c r="L547" t="str">
        <f>_xlfn.XLOOKUP(Append15[[#This Row],[WeatherSituation]],Mappings!$E$3:$E$6,Mappings!$F$3:$F$6)</f>
        <v>Clear Sky</v>
      </c>
      <c r="M547">
        <v>0.14000000000000001</v>
      </c>
      <c r="N547">
        <v>0.1515</v>
      </c>
      <c r="O547">
        <v>0.63</v>
      </c>
      <c r="P547">
        <v>0.16420000000000001</v>
      </c>
      <c r="Q547">
        <v>6</v>
      </c>
      <c r="R547">
        <v>53</v>
      </c>
      <c r="S547">
        <v>59</v>
      </c>
    </row>
    <row r="548" spans="1:19" x14ac:dyDescent="0.3">
      <c r="A548">
        <v>547</v>
      </c>
      <c r="B548" s="4">
        <v>40567</v>
      </c>
      <c r="C548">
        <v>1</v>
      </c>
      <c r="D548">
        <v>22</v>
      </c>
      <c r="E548" t="str">
        <f t="shared" si="24"/>
        <v>10 PM</v>
      </c>
      <c r="F548" t="str">
        <f t="shared" si="25"/>
        <v>Night</v>
      </c>
      <c r="G548" t="b">
        <v>0</v>
      </c>
      <c r="H548">
        <v>1</v>
      </c>
      <c r="I548" t="str">
        <f>_xlfn.XLOOKUP(Append15[[#This Row],[Week day]],Mappings!$B$3:$B$9,Mappings!$C$3:$C$9)</f>
        <v>Monday</v>
      </c>
      <c r="J548" t="str">
        <f t="shared" si="26"/>
        <v>Weekday</v>
      </c>
      <c r="K548">
        <v>2</v>
      </c>
      <c r="L548" t="str">
        <f>_xlfn.XLOOKUP(Append15[[#This Row],[WeatherSituation]],Mappings!$E$3:$E$6,Mappings!$F$3:$F$6)</f>
        <v>Mist/Cloudy</v>
      </c>
      <c r="M548">
        <v>0.14000000000000001</v>
      </c>
      <c r="N548">
        <v>0.13639999999999999</v>
      </c>
      <c r="O548">
        <v>0.63</v>
      </c>
      <c r="P548">
        <v>0.22389999999999999</v>
      </c>
      <c r="Q548">
        <v>3</v>
      </c>
      <c r="R548">
        <v>32</v>
      </c>
      <c r="S548">
        <v>35</v>
      </c>
    </row>
    <row r="549" spans="1:19" x14ac:dyDescent="0.3">
      <c r="A549">
        <v>548</v>
      </c>
      <c r="B549" s="4">
        <v>40567</v>
      </c>
      <c r="C549">
        <v>1</v>
      </c>
      <c r="D549">
        <v>23</v>
      </c>
      <c r="E549" t="str">
        <f t="shared" si="24"/>
        <v>11 PM</v>
      </c>
      <c r="F549" t="str">
        <f t="shared" si="25"/>
        <v>Night</v>
      </c>
      <c r="G549" t="b">
        <v>0</v>
      </c>
      <c r="H549">
        <v>1</v>
      </c>
      <c r="I549" t="str">
        <f>_xlfn.XLOOKUP(Append15[[#This Row],[Week day]],Mappings!$B$3:$B$9,Mappings!$C$3:$C$9)</f>
        <v>Monday</v>
      </c>
      <c r="J549" t="str">
        <f t="shared" si="26"/>
        <v>Weekday</v>
      </c>
      <c r="K549">
        <v>2</v>
      </c>
      <c r="L549" t="str">
        <f>_xlfn.XLOOKUP(Append15[[#This Row],[WeatherSituation]],Mappings!$E$3:$E$6,Mappings!$F$3:$F$6)</f>
        <v>Mist/Cloudy</v>
      </c>
      <c r="M549">
        <v>0.16</v>
      </c>
      <c r="N549">
        <v>0.1515</v>
      </c>
      <c r="O549">
        <v>0.64</v>
      </c>
      <c r="P549">
        <v>0.25369999999999998</v>
      </c>
      <c r="Q549">
        <v>3</v>
      </c>
      <c r="R549">
        <v>21</v>
      </c>
      <c r="S549">
        <v>24</v>
      </c>
    </row>
    <row r="550" spans="1:19" x14ac:dyDescent="0.3">
      <c r="A550">
        <v>549</v>
      </c>
      <c r="B550" s="4">
        <v>40568</v>
      </c>
      <c r="C550">
        <v>1</v>
      </c>
      <c r="D550">
        <v>0</v>
      </c>
      <c r="E550" t="str">
        <f t="shared" si="24"/>
        <v>12 AM</v>
      </c>
      <c r="F550" t="str">
        <f t="shared" si="25"/>
        <v>Night</v>
      </c>
      <c r="G550" t="b">
        <v>0</v>
      </c>
      <c r="H550">
        <v>2</v>
      </c>
      <c r="I550" t="str">
        <f>_xlfn.XLOOKUP(Append15[[#This Row],[Week day]],Mappings!$B$3:$B$9,Mappings!$C$3:$C$9)</f>
        <v>Tuesday</v>
      </c>
      <c r="J550" t="str">
        <f t="shared" si="26"/>
        <v>Weekday</v>
      </c>
      <c r="K550">
        <v>2</v>
      </c>
      <c r="L550" t="str">
        <f>_xlfn.XLOOKUP(Append15[[#This Row],[WeatherSituation]],Mappings!$E$3:$E$6,Mappings!$F$3:$F$6)</f>
        <v>Mist/Cloudy</v>
      </c>
      <c r="M550">
        <v>0.16</v>
      </c>
      <c r="N550">
        <v>0.13639999999999999</v>
      </c>
      <c r="O550">
        <v>0.69</v>
      </c>
      <c r="P550">
        <v>0.28360000000000002</v>
      </c>
      <c r="Q550">
        <v>3</v>
      </c>
      <c r="R550">
        <v>6</v>
      </c>
      <c r="S550">
        <v>9</v>
      </c>
    </row>
    <row r="551" spans="1:19" x14ac:dyDescent="0.3">
      <c r="A551">
        <v>550</v>
      </c>
      <c r="B551" s="4">
        <v>40568</v>
      </c>
      <c r="C551">
        <v>1</v>
      </c>
      <c r="D551">
        <v>1</v>
      </c>
      <c r="E551" t="str">
        <f t="shared" si="24"/>
        <v>1 AM</v>
      </c>
      <c r="F551" t="str">
        <f t="shared" si="25"/>
        <v>Night</v>
      </c>
      <c r="G551" t="b">
        <v>0</v>
      </c>
      <c r="H551">
        <v>2</v>
      </c>
      <c r="I551" t="str">
        <f>_xlfn.XLOOKUP(Append15[[#This Row],[Week day]],Mappings!$B$3:$B$9,Mappings!$C$3:$C$9)</f>
        <v>Tuesday</v>
      </c>
      <c r="J551" t="str">
        <f t="shared" si="26"/>
        <v>Weekday</v>
      </c>
      <c r="K551">
        <v>2</v>
      </c>
      <c r="L551" t="str">
        <f>_xlfn.XLOOKUP(Append15[[#This Row],[WeatherSituation]],Mappings!$E$3:$E$6,Mappings!$F$3:$F$6)</f>
        <v>Mist/Cloudy</v>
      </c>
      <c r="M551">
        <v>0.16</v>
      </c>
      <c r="N551">
        <v>0.16669999999999999</v>
      </c>
      <c r="O551">
        <v>0.69</v>
      </c>
      <c r="P551">
        <v>0.16420000000000001</v>
      </c>
      <c r="Q551">
        <v>0</v>
      </c>
      <c r="R551">
        <v>5</v>
      </c>
      <c r="S551">
        <v>5</v>
      </c>
    </row>
    <row r="552" spans="1:19" x14ac:dyDescent="0.3">
      <c r="A552">
        <v>551</v>
      </c>
      <c r="B552" s="4">
        <v>40568</v>
      </c>
      <c r="C552">
        <v>1</v>
      </c>
      <c r="D552">
        <v>2</v>
      </c>
      <c r="E552" t="str">
        <f t="shared" si="24"/>
        <v>2 AM</v>
      </c>
      <c r="F552" t="str">
        <f t="shared" si="25"/>
        <v>Night</v>
      </c>
      <c r="G552" t="b">
        <v>0</v>
      </c>
      <c r="H552">
        <v>2</v>
      </c>
      <c r="I552" t="str">
        <f>_xlfn.XLOOKUP(Append15[[#This Row],[Week day]],Mappings!$B$3:$B$9,Mappings!$C$3:$C$9)</f>
        <v>Tuesday</v>
      </c>
      <c r="J552" t="str">
        <f t="shared" si="26"/>
        <v>Weekday</v>
      </c>
      <c r="K552">
        <v>1</v>
      </c>
      <c r="L552" t="str">
        <f>_xlfn.XLOOKUP(Append15[[#This Row],[WeatherSituation]],Mappings!$E$3:$E$6,Mappings!$F$3:$F$6)</f>
        <v>Clear Sky</v>
      </c>
      <c r="M552">
        <v>0.16</v>
      </c>
      <c r="N552">
        <v>0.1515</v>
      </c>
      <c r="O552">
        <v>0.69</v>
      </c>
      <c r="P552">
        <v>0.22389999999999999</v>
      </c>
      <c r="Q552">
        <v>0</v>
      </c>
      <c r="R552">
        <v>2</v>
      </c>
      <c r="S552">
        <v>2</v>
      </c>
    </row>
    <row r="553" spans="1:19" x14ac:dyDescent="0.3">
      <c r="A553">
        <v>552</v>
      </c>
      <c r="B553" s="4">
        <v>40568</v>
      </c>
      <c r="C553">
        <v>1</v>
      </c>
      <c r="D553">
        <v>4</v>
      </c>
      <c r="E553" t="str">
        <f t="shared" si="24"/>
        <v>4 AM</v>
      </c>
      <c r="F553" t="str">
        <f t="shared" si="25"/>
        <v>Night</v>
      </c>
      <c r="G553" t="b">
        <v>0</v>
      </c>
      <c r="H553">
        <v>2</v>
      </c>
      <c r="I553" t="str">
        <f>_xlfn.XLOOKUP(Append15[[#This Row],[Week day]],Mappings!$B$3:$B$9,Mappings!$C$3:$C$9)</f>
        <v>Tuesday</v>
      </c>
      <c r="J553" t="str">
        <f t="shared" si="26"/>
        <v>Weekday</v>
      </c>
      <c r="K553">
        <v>1</v>
      </c>
      <c r="L553" t="str">
        <f>_xlfn.XLOOKUP(Append15[[#This Row],[WeatherSituation]],Mappings!$E$3:$E$6,Mappings!$F$3:$F$6)</f>
        <v>Clear Sky</v>
      </c>
      <c r="M553">
        <v>0.14000000000000001</v>
      </c>
      <c r="N553">
        <v>0.16669999999999999</v>
      </c>
      <c r="O553">
        <v>0.74</v>
      </c>
      <c r="P553">
        <v>0.1045</v>
      </c>
      <c r="Q553">
        <v>0</v>
      </c>
      <c r="R553">
        <v>1</v>
      </c>
      <c r="S553">
        <v>1</v>
      </c>
    </row>
    <row r="554" spans="1:19" x14ac:dyDescent="0.3">
      <c r="A554">
        <v>553</v>
      </c>
      <c r="B554" s="4">
        <v>40568</v>
      </c>
      <c r="C554">
        <v>1</v>
      </c>
      <c r="D554">
        <v>5</v>
      </c>
      <c r="E554" t="str">
        <f t="shared" si="24"/>
        <v>5 AM</v>
      </c>
      <c r="F554" t="str">
        <f t="shared" si="25"/>
        <v>Morning</v>
      </c>
      <c r="G554" t="b">
        <v>0</v>
      </c>
      <c r="H554">
        <v>2</v>
      </c>
      <c r="I554" t="str">
        <f>_xlfn.XLOOKUP(Append15[[#This Row],[Week day]],Mappings!$B$3:$B$9,Mappings!$C$3:$C$9)</f>
        <v>Tuesday</v>
      </c>
      <c r="J554" t="str">
        <f t="shared" si="26"/>
        <v>Weekday</v>
      </c>
      <c r="K554">
        <v>1</v>
      </c>
      <c r="L554" t="str">
        <f>_xlfn.XLOOKUP(Append15[[#This Row],[WeatherSituation]],Mappings!$E$3:$E$6,Mappings!$F$3:$F$6)</f>
        <v>Clear Sky</v>
      </c>
      <c r="M554">
        <v>0.14000000000000001</v>
      </c>
      <c r="N554">
        <v>0.13639999999999999</v>
      </c>
      <c r="O554">
        <v>0.74</v>
      </c>
      <c r="P554">
        <v>0.22389999999999999</v>
      </c>
      <c r="Q554">
        <v>0</v>
      </c>
      <c r="R554">
        <v>9</v>
      </c>
      <c r="S554">
        <v>9</v>
      </c>
    </row>
    <row r="555" spans="1:19" x14ac:dyDescent="0.3">
      <c r="A555">
        <v>554</v>
      </c>
      <c r="B555" s="4">
        <v>40568</v>
      </c>
      <c r="C555">
        <v>1</v>
      </c>
      <c r="D555">
        <v>6</v>
      </c>
      <c r="E555" t="str">
        <f t="shared" si="24"/>
        <v>6 AM</v>
      </c>
      <c r="F555" t="str">
        <f t="shared" si="25"/>
        <v>Morning</v>
      </c>
      <c r="G555" t="b">
        <v>0</v>
      </c>
      <c r="H555">
        <v>2</v>
      </c>
      <c r="I555" t="str">
        <f>_xlfn.XLOOKUP(Append15[[#This Row],[Week day]],Mappings!$B$3:$B$9,Mappings!$C$3:$C$9)</f>
        <v>Tuesday</v>
      </c>
      <c r="J555" t="str">
        <f t="shared" si="26"/>
        <v>Weekday</v>
      </c>
      <c r="K555">
        <v>1</v>
      </c>
      <c r="L555" t="str">
        <f>_xlfn.XLOOKUP(Append15[[#This Row],[WeatherSituation]],Mappings!$E$3:$E$6,Mappings!$F$3:$F$6)</f>
        <v>Clear Sky</v>
      </c>
      <c r="M555">
        <v>0.16</v>
      </c>
      <c r="N555">
        <v>0.18179999999999999</v>
      </c>
      <c r="O555">
        <v>0.74</v>
      </c>
      <c r="P555">
        <v>0.1045</v>
      </c>
      <c r="Q555">
        <v>1</v>
      </c>
      <c r="R555">
        <v>35</v>
      </c>
      <c r="S555">
        <v>36</v>
      </c>
    </row>
    <row r="556" spans="1:19" x14ac:dyDescent="0.3">
      <c r="A556">
        <v>555</v>
      </c>
      <c r="B556" s="4">
        <v>40568</v>
      </c>
      <c r="C556">
        <v>1</v>
      </c>
      <c r="D556">
        <v>7</v>
      </c>
      <c r="E556" t="str">
        <f t="shared" si="24"/>
        <v>7 AM</v>
      </c>
      <c r="F556" t="str">
        <f t="shared" si="25"/>
        <v>Morning</v>
      </c>
      <c r="G556" t="b">
        <v>0</v>
      </c>
      <c r="H556">
        <v>2</v>
      </c>
      <c r="I556" t="str">
        <f>_xlfn.XLOOKUP(Append15[[#This Row],[Week day]],Mappings!$B$3:$B$9,Mappings!$C$3:$C$9)</f>
        <v>Tuesday</v>
      </c>
      <c r="J556" t="str">
        <f t="shared" si="26"/>
        <v>Weekday</v>
      </c>
      <c r="K556">
        <v>1</v>
      </c>
      <c r="L556" t="str">
        <f>_xlfn.XLOOKUP(Append15[[#This Row],[WeatherSituation]],Mappings!$E$3:$E$6,Mappings!$F$3:$F$6)</f>
        <v>Clear Sky</v>
      </c>
      <c r="M556">
        <v>0.16</v>
      </c>
      <c r="N556">
        <v>0.1515</v>
      </c>
      <c r="O556">
        <v>0.74</v>
      </c>
      <c r="P556">
        <v>0.22389999999999999</v>
      </c>
      <c r="Q556">
        <v>5</v>
      </c>
      <c r="R556">
        <v>103</v>
      </c>
      <c r="S556">
        <v>108</v>
      </c>
    </row>
    <row r="557" spans="1:19" x14ac:dyDescent="0.3">
      <c r="A557">
        <v>556</v>
      </c>
      <c r="B557" s="4">
        <v>40568</v>
      </c>
      <c r="C557">
        <v>1</v>
      </c>
      <c r="D557">
        <v>8</v>
      </c>
      <c r="E557" t="str">
        <f t="shared" si="24"/>
        <v>8 AM</v>
      </c>
      <c r="F557" t="str">
        <f t="shared" si="25"/>
        <v>Morning</v>
      </c>
      <c r="G557" t="b">
        <v>0</v>
      </c>
      <c r="H557">
        <v>2</v>
      </c>
      <c r="I557" t="str">
        <f>_xlfn.XLOOKUP(Append15[[#This Row],[Week day]],Mappings!$B$3:$B$9,Mappings!$C$3:$C$9)</f>
        <v>Tuesday</v>
      </c>
      <c r="J557" t="str">
        <f t="shared" si="26"/>
        <v>Weekday</v>
      </c>
      <c r="K557">
        <v>2</v>
      </c>
      <c r="L557" t="str">
        <f>_xlfn.XLOOKUP(Append15[[#This Row],[WeatherSituation]],Mappings!$E$3:$E$6,Mappings!$F$3:$F$6)</f>
        <v>Mist/Cloudy</v>
      </c>
      <c r="M557">
        <v>0.16</v>
      </c>
      <c r="N557">
        <v>0.18179999999999999</v>
      </c>
      <c r="O557">
        <v>0.74</v>
      </c>
      <c r="P557">
        <v>0.1343</v>
      </c>
      <c r="Q557">
        <v>5</v>
      </c>
      <c r="R557">
        <v>233</v>
      </c>
      <c r="S557">
        <v>238</v>
      </c>
    </row>
    <row r="558" spans="1:19" x14ac:dyDescent="0.3">
      <c r="A558">
        <v>557</v>
      </c>
      <c r="B558" s="4">
        <v>40568</v>
      </c>
      <c r="C558">
        <v>1</v>
      </c>
      <c r="D558">
        <v>9</v>
      </c>
      <c r="E558" t="str">
        <f t="shared" si="24"/>
        <v>9 AM</v>
      </c>
      <c r="F558" t="str">
        <f t="shared" si="25"/>
        <v>Morning</v>
      </c>
      <c r="G558" t="b">
        <v>0</v>
      </c>
      <c r="H558">
        <v>2</v>
      </c>
      <c r="I558" t="str">
        <f>_xlfn.XLOOKUP(Append15[[#This Row],[Week day]],Mappings!$B$3:$B$9,Mappings!$C$3:$C$9)</f>
        <v>Tuesday</v>
      </c>
      <c r="J558" t="str">
        <f t="shared" si="26"/>
        <v>Weekday</v>
      </c>
      <c r="K558">
        <v>2</v>
      </c>
      <c r="L558" t="str">
        <f>_xlfn.XLOOKUP(Append15[[#This Row],[WeatherSituation]],Mappings!$E$3:$E$6,Mappings!$F$3:$F$6)</f>
        <v>Mist/Cloudy</v>
      </c>
      <c r="M558">
        <v>0.2</v>
      </c>
      <c r="N558">
        <v>0.2273</v>
      </c>
      <c r="O558">
        <v>0.64</v>
      </c>
      <c r="P558">
        <v>8.9599999999999999E-2</v>
      </c>
      <c r="Q558">
        <v>10</v>
      </c>
      <c r="R558">
        <v>134</v>
      </c>
      <c r="S558">
        <v>144</v>
      </c>
    </row>
    <row r="559" spans="1:19" x14ac:dyDescent="0.3">
      <c r="A559">
        <v>558</v>
      </c>
      <c r="B559" s="4">
        <v>40568</v>
      </c>
      <c r="C559">
        <v>1</v>
      </c>
      <c r="D559">
        <v>10</v>
      </c>
      <c r="E559" t="str">
        <f t="shared" si="24"/>
        <v>10 AM</v>
      </c>
      <c r="F559" t="str">
        <f t="shared" si="25"/>
        <v>Morning</v>
      </c>
      <c r="G559" t="b">
        <v>0</v>
      </c>
      <c r="H559">
        <v>2</v>
      </c>
      <c r="I559" t="str">
        <f>_xlfn.XLOOKUP(Append15[[#This Row],[Week day]],Mappings!$B$3:$B$9,Mappings!$C$3:$C$9)</f>
        <v>Tuesday</v>
      </c>
      <c r="J559" t="str">
        <f t="shared" si="26"/>
        <v>Weekday</v>
      </c>
      <c r="K559">
        <v>2</v>
      </c>
      <c r="L559" t="str">
        <f>_xlfn.XLOOKUP(Append15[[#This Row],[WeatherSituation]],Mappings!$E$3:$E$6,Mappings!$F$3:$F$6)</f>
        <v>Mist/Cloudy</v>
      </c>
      <c r="M559">
        <v>0.22</v>
      </c>
      <c r="N559">
        <v>0.2424</v>
      </c>
      <c r="O559">
        <v>0.6</v>
      </c>
      <c r="P559">
        <v>0.1045</v>
      </c>
      <c r="Q559">
        <v>6</v>
      </c>
      <c r="R559">
        <v>49</v>
      </c>
      <c r="S559">
        <v>55</v>
      </c>
    </row>
    <row r="560" spans="1:19" x14ac:dyDescent="0.3">
      <c r="A560">
        <v>559</v>
      </c>
      <c r="B560" s="4">
        <v>40568</v>
      </c>
      <c r="C560">
        <v>1</v>
      </c>
      <c r="D560">
        <v>11</v>
      </c>
      <c r="E560" t="str">
        <f t="shared" si="24"/>
        <v>11 AM</v>
      </c>
      <c r="F560" t="str">
        <f t="shared" si="25"/>
        <v>Morning</v>
      </c>
      <c r="G560" t="b">
        <v>0</v>
      </c>
      <c r="H560">
        <v>2</v>
      </c>
      <c r="I560" t="str">
        <f>_xlfn.XLOOKUP(Append15[[#This Row],[Week day]],Mappings!$B$3:$B$9,Mappings!$C$3:$C$9)</f>
        <v>Tuesday</v>
      </c>
      <c r="J560" t="str">
        <f t="shared" si="26"/>
        <v>Weekday</v>
      </c>
      <c r="K560">
        <v>2</v>
      </c>
      <c r="L560" t="str">
        <f>_xlfn.XLOOKUP(Append15[[#This Row],[WeatherSituation]],Mappings!$E$3:$E$6,Mappings!$F$3:$F$6)</f>
        <v>Mist/Cloudy</v>
      </c>
      <c r="M560">
        <v>0.24</v>
      </c>
      <c r="N560">
        <v>0.2424</v>
      </c>
      <c r="O560">
        <v>0.6</v>
      </c>
      <c r="P560">
        <v>0.1343</v>
      </c>
      <c r="Q560">
        <v>6</v>
      </c>
      <c r="R560">
        <v>55</v>
      </c>
      <c r="S560">
        <v>61</v>
      </c>
    </row>
    <row r="561" spans="1:19" x14ac:dyDescent="0.3">
      <c r="A561">
        <v>560</v>
      </c>
      <c r="B561" s="4">
        <v>40568</v>
      </c>
      <c r="C561">
        <v>1</v>
      </c>
      <c r="D561">
        <v>12</v>
      </c>
      <c r="E561" t="str">
        <f t="shared" si="24"/>
        <v>12 PM</v>
      </c>
      <c r="F561" t="str">
        <f t="shared" si="25"/>
        <v>AfterNoon</v>
      </c>
      <c r="G561" t="b">
        <v>0</v>
      </c>
      <c r="H561">
        <v>2</v>
      </c>
      <c r="I561" t="str">
        <f>_xlfn.XLOOKUP(Append15[[#This Row],[Week day]],Mappings!$B$3:$B$9,Mappings!$C$3:$C$9)</f>
        <v>Tuesday</v>
      </c>
      <c r="J561" t="str">
        <f t="shared" si="26"/>
        <v>Weekday</v>
      </c>
      <c r="K561">
        <v>2</v>
      </c>
      <c r="L561" t="str">
        <f>_xlfn.XLOOKUP(Append15[[#This Row],[WeatherSituation]],Mappings!$E$3:$E$6,Mappings!$F$3:$F$6)</f>
        <v>Mist/Cloudy</v>
      </c>
      <c r="M561">
        <v>0.26</v>
      </c>
      <c r="N561">
        <v>0.28789999999999999</v>
      </c>
      <c r="O561">
        <v>0.56000000000000005</v>
      </c>
      <c r="P561">
        <v>8.9599999999999999E-2</v>
      </c>
      <c r="Q561">
        <v>21</v>
      </c>
      <c r="R561">
        <v>85</v>
      </c>
      <c r="S561">
        <v>106</v>
      </c>
    </row>
    <row r="562" spans="1:19" x14ac:dyDescent="0.3">
      <c r="A562">
        <v>561</v>
      </c>
      <c r="B562" s="4">
        <v>40568</v>
      </c>
      <c r="C562">
        <v>1</v>
      </c>
      <c r="D562">
        <v>13</v>
      </c>
      <c r="E562" t="str">
        <f t="shared" si="24"/>
        <v>1 PM</v>
      </c>
      <c r="F562" t="str">
        <f t="shared" si="25"/>
        <v>AfterNoon</v>
      </c>
      <c r="G562" t="b">
        <v>0</v>
      </c>
      <c r="H562">
        <v>2</v>
      </c>
      <c r="I562" t="str">
        <f>_xlfn.XLOOKUP(Append15[[#This Row],[Week day]],Mappings!$B$3:$B$9,Mappings!$C$3:$C$9)</f>
        <v>Tuesday</v>
      </c>
      <c r="J562" t="str">
        <f t="shared" si="26"/>
        <v>Weekday</v>
      </c>
      <c r="K562">
        <v>2</v>
      </c>
      <c r="L562" t="str">
        <f>_xlfn.XLOOKUP(Append15[[#This Row],[WeatherSituation]],Mappings!$E$3:$E$6,Mappings!$F$3:$F$6)</f>
        <v>Mist/Cloudy</v>
      </c>
      <c r="M562">
        <v>0.26</v>
      </c>
      <c r="N562">
        <v>0.2727</v>
      </c>
      <c r="O562">
        <v>0.56000000000000005</v>
      </c>
      <c r="P562">
        <v>0.1343</v>
      </c>
      <c r="Q562">
        <v>21</v>
      </c>
      <c r="R562">
        <v>72</v>
      </c>
      <c r="S562">
        <v>93</v>
      </c>
    </row>
    <row r="563" spans="1:19" x14ac:dyDescent="0.3">
      <c r="A563">
        <v>562</v>
      </c>
      <c r="B563" s="4">
        <v>40568</v>
      </c>
      <c r="C563">
        <v>1</v>
      </c>
      <c r="D563">
        <v>14</v>
      </c>
      <c r="E563" t="str">
        <f t="shared" si="24"/>
        <v>2 PM</v>
      </c>
      <c r="F563" t="str">
        <f t="shared" si="25"/>
        <v>AfterNoon</v>
      </c>
      <c r="G563" t="b">
        <v>0</v>
      </c>
      <c r="H563">
        <v>2</v>
      </c>
      <c r="I563" t="str">
        <f>_xlfn.XLOOKUP(Append15[[#This Row],[Week day]],Mappings!$B$3:$B$9,Mappings!$C$3:$C$9)</f>
        <v>Tuesday</v>
      </c>
      <c r="J563" t="str">
        <f t="shared" si="26"/>
        <v>Weekday</v>
      </c>
      <c r="K563">
        <v>2</v>
      </c>
      <c r="L563" t="str">
        <f>_xlfn.XLOOKUP(Append15[[#This Row],[WeatherSituation]],Mappings!$E$3:$E$6,Mappings!$F$3:$F$6)</f>
        <v>Mist/Cloudy</v>
      </c>
      <c r="M563">
        <v>0.3</v>
      </c>
      <c r="N563">
        <v>0.33329999999999999</v>
      </c>
      <c r="O563">
        <v>0.45</v>
      </c>
      <c r="P563">
        <v>0</v>
      </c>
      <c r="Q563">
        <v>11</v>
      </c>
      <c r="R563">
        <v>57</v>
      </c>
      <c r="S563">
        <v>68</v>
      </c>
    </row>
    <row r="564" spans="1:19" x14ac:dyDescent="0.3">
      <c r="A564">
        <v>563</v>
      </c>
      <c r="B564" s="4">
        <v>40568</v>
      </c>
      <c r="C564">
        <v>1</v>
      </c>
      <c r="D564">
        <v>15</v>
      </c>
      <c r="E564" t="str">
        <f t="shared" si="24"/>
        <v>3 PM</v>
      </c>
      <c r="F564" t="str">
        <f t="shared" si="25"/>
        <v>AfterNoon</v>
      </c>
      <c r="G564" t="b">
        <v>0</v>
      </c>
      <c r="H564">
        <v>2</v>
      </c>
      <c r="I564" t="str">
        <f>_xlfn.XLOOKUP(Append15[[#This Row],[Week day]],Mappings!$B$3:$B$9,Mappings!$C$3:$C$9)</f>
        <v>Tuesday</v>
      </c>
      <c r="J564" t="str">
        <f t="shared" si="26"/>
        <v>Weekday</v>
      </c>
      <c r="K564">
        <v>2</v>
      </c>
      <c r="L564" t="str">
        <f>_xlfn.XLOOKUP(Append15[[#This Row],[WeatherSituation]],Mappings!$E$3:$E$6,Mappings!$F$3:$F$6)</f>
        <v>Mist/Cloudy</v>
      </c>
      <c r="M564">
        <v>0.32</v>
      </c>
      <c r="N564">
        <v>0.34849999999999998</v>
      </c>
      <c r="O564">
        <v>0.42</v>
      </c>
      <c r="P564">
        <v>0</v>
      </c>
      <c r="Q564">
        <v>21</v>
      </c>
      <c r="R564">
        <v>63</v>
      </c>
      <c r="S564">
        <v>84</v>
      </c>
    </row>
    <row r="565" spans="1:19" x14ac:dyDescent="0.3">
      <c r="A565">
        <v>564</v>
      </c>
      <c r="B565" s="4">
        <v>40568</v>
      </c>
      <c r="C565">
        <v>1</v>
      </c>
      <c r="D565">
        <v>16</v>
      </c>
      <c r="E565" t="str">
        <f t="shared" si="24"/>
        <v>4 PM</v>
      </c>
      <c r="F565" t="str">
        <f t="shared" si="25"/>
        <v>Evening</v>
      </c>
      <c r="G565" t="b">
        <v>0</v>
      </c>
      <c r="H565">
        <v>2</v>
      </c>
      <c r="I565" t="str">
        <f>_xlfn.XLOOKUP(Append15[[#This Row],[Week day]],Mappings!$B$3:$B$9,Mappings!$C$3:$C$9)</f>
        <v>Tuesday</v>
      </c>
      <c r="J565" t="str">
        <f t="shared" si="26"/>
        <v>Weekday</v>
      </c>
      <c r="K565">
        <v>2</v>
      </c>
      <c r="L565" t="str">
        <f>_xlfn.XLOOKUP(Append15[[#This Row],[WeatherSituation]],Mappings!$E$3:$E$6,Mappings!$F$3:$F$6)</f>
        <v>Mist/Cloudy</v>
      </c>
      <c r="M565">
        <v>0.32</v>
      </c>
      <c r="N565">
        <v>0.34849999999999998</v>
      </c>
      <c r="O565">
        <v>0.42</v>
      </c>
      <c r="P565">
        <v>0</v>
      </c>
      <c r="Q565">
        <v>14</v>
      </c>
      <c r="R565">
        <v>102</v>
      </c>
      <c r="S565">
        <v>116</v>
      </c>
    </row>
    <row r="566" spans="1:19" x14ac:dyDescent="0.3">
      <c r="A566">
        <v>565</v>
      </c>
      <c r="B566" s="4">
        <v>40568</v>
      </c>
      <c r="C566">
        <v>1</v>
      </c>
      <c r="D566">
        <v>17</v>
      </c>
      <c r="E566" t="str">
        <f t="shared" si="24"/>
        <v>5 PM</v>
      </c>
      <c r="F566" t="str">
        <f t="shared" si="25"/>
        <v>Evening</v>
      </c>
      <c r="G566" t="b">
        <v>0</v>
      </c>
      <c r="H566">
        <v>2</v>
      </c>
      <c r="I566" t="str">
        <f>_xlfn.XLOOKUP(Append15[[#This Row],[Week day]],Mappings!$B$3:$B$9,Mappings!$C$3:$C$9)</f>
        <v>Tuesday</v>
      </c>
      <c r="J566" t="str">
        <f t="shared" si="26"/>
        <v>Weekday</v>
      </c>
      <c r="K566">
        <v>1</v>
      </c>
      <c r="L566" t="str">
        <f>_xlfn.XLOOKUP(Append15[[#This Row],[WeatherSituation]],Mappings!$E$3:$E$6,Mappings!$F$3:$F$6)</f>
        <v>Clear Sky</v>
      </c>
      <c r="M566">
        <v>0.3</v>
      </c>
      <c r="N566">
        <v>0.33329999999999999</v>
      </c>
      <c r="O566">
        <v>0.45</v>
      </c>
      <c r="P566">
        <v>0</v>
      </c>
      <c r="Q566">
        <v>14</v>
      </c>
      <c r="R566">
        <v>208</v>
      </c>
      <c r="S566">
        <v>222</v>
      </c>
    </row>
    <row r="567" spans="1:19" x14ac:dyDescent="0.3">
      <c r="A567">
        <v>566</v>
      </c>
      <c r="B567" s="4">
        <v>40568</v>
      </c>
      <c r="C567">
        <v>1</v>
      </c>
      <c r="D567">
        <v>18</v>
      </c>
      <c r="E567" t="str">
        <f t="shared" si="24"/>
        <v>6 PM</v>
      </c>
      <c r="F567" t="str">
        <f t="shared" si="25"/>
        <v>Evening</v>
      </c>
      <c r="G567" t="b">
        <v>0</v>
      </c>
      <c r="H567">
        <v>2</v>
      </c>
      <c r="I567" t="str">
        <f>_xlfn.XLOOKUP(Append15[[#This Row],[Week day]],Mappings!$B$3:$B$9,Mappings!$C$3:$C$9)</f>
        <v>Tuesday</v>
      </c>
      <c r="J567" t="str">
        <f t="shared" si="26"/>
        <v>Weekday</v>
      </c>
      <c r="K567">
        <v>2</v>
      </c>
      <c r="L567" t="str">
        <f>_xlfn.XLOOKUP(Append15[[#This Row],[WeatherSituation]],Mappings!$E$3:$E$6,Mappings!$F$3:$F$6)</f>
        <v>Mist/Cloudy</v>
      </c>
      <c r="M567">
        <v>0.3</v>
      </c>
      <c r="N567">
        <v>0.31819999999999998</v>
      </c>
      <c r="O567">
        <v>0.49</v>
      </c>
      <c r="P567">
        <v>8.9599999999999999E-2</v>
      </c>
      <c r="Q567">
        <v>7</v>
      </c>
      <c r="R567">
        <v>218</v>
      </c>
      <c r="S567">
        <v>225</v>
      </c>
    </row>
    <row r="568" spans="1:19" x14ac:dyDescent="0.3">
      <c r="A568">
        <v>567</v>
      </c>
      <c r="B568" s="4">
        <v>40568</v>
      </c>
      <c r="C568">
        <v>1</v>
      </c>
      <c r="D568">
        <v>19</v>
      </c>
      <c r="E568" t="str">
        <f t="shared" si="24"/>
        <v>7 PM</v>
      </c>
      <c r="F568" t="str">
        <f t="shared" si="25"/>
        <v>Evening</v>
      </c>
      <c r="G568" t="b">
        <v>0</v>
      </c>
      <c r="H568">
        <v>2</v>
      </c>
      <c r="I568" t="str">
        <f>_xlfn.XLOOKUP(Append15[[#This Row],[Week day]],Mappings!$B$3:$B$9,Mappings!$C$3:$C$9)</f>
        <v>Tuesday</v>
      </c>
      <c r="J568" t="str">
        <f t="shared" si="26"/>
        <v>Weekday</v>
      </c>
      <c r="K568">
        <v>2</v>
      </c>
      <c r="L568" t="str">
        <f>_xlfn.XLOOKUP(Append15[[#This Row],[WeatherSituation]],Mappings!$E$3:$E$6,Mappings!$F$3:$F$6)</f>
        <v>Mist/Cloudy</v>
      </c>
      <c r="M568">
        <v>0.26</v>
      </c>
      <c r="N568">
        <v>0.2576</v>
      </c>
      <c r="O568">
        <v>0.65</v>
      </c>
      <c r="P568">
        <v>0.16420000000000001</v>
      </c>
      <c r="Q568">
        <v>13</v>
      </c>
      <c r="R568">
        <v>133</v>
      </c>
      <c r="S568">
        <v>146</v>
      </c>
    </row>
    <row r="569" spans="1:19" x14ac:dyDescent="0.3">
      <c r="A569">
        <v>568</v>
      </c>
      <c r="B569" s="4">
        <v>40568</v>
      </c>
      <c r="C569">
        <v>1</v>
      </c>
      <c r="D569">
        <v>20</v>
      </c>
      <c r="E569" t="str">
        <f t="shared" si="24"/>
        <v>8 PM</v>
      </c>
      <c r="F569" t="str">
        <f t="shared" si="25"/>
        <v>Night</v>
      </c>
      <c r="G569" t="b">
        <v>0</v>
      </c>
      <c r="H569">
        <v>2</v>
      </c>
      <c r="I569" t="str">
        <f>_xlfn.XLOOKUP(Append15[[#This Row],[Week day]],Mappings!$B$3:$B$9,Mappings!$C$3:$C$9)</f>
        <v>Tuesday</v>
      </c>
      <c r="J569" t="str">
        <f t="shared" si="26"/>
        <v>Weekday</v>
      </c>
      <c r="K569">
        <v>1</v>
      </c>
      <c r="L569" t="str">
        <f>_xlfn.XLOOKUP(Append15[[#This Row],[WeatherSituation]],Mappings!$E$3:$E$6,Mappings!$F$3:$F$6)</f>
        <v>Clear Sky</v>
      </c>
      <c r="M569">
        <v>0.24</v>
      </c>
      <c r="N569">
        <v>0.2273</v>
      </c>
      <c r="O569">
        <v>0.65</v>
      </c>
      <c r="P569">
        <v>0.19400000000000001</v>
      </c>
      <c r="Q569">
        <v>16</v>
      </c>
      <c r="R569">
        <v>103</v>
      </c>
      <c r="S569">
        <v>119</v>
      </c>
    </row>
    <row r="570" spans="1:19" x14ac:dyDescent="0.3">
      <c r="A570">
        <v>569</v>
      </c>
      <c r="B570" s="4">
        <v>40568</v>
      </c>
      <c r="C570">
        <v>1</v>
      </c>
      <c r="D570">
        <v>21</v>
      </c>
      <c r="E570" t="str">
        <f t="shared" si="24"/>
        <v>9 PM</v>
      </c>
      <c r="F570" t="str">
        <f t="shared" si="25"/>
        <v>Night</v>
      </c>
      <c r="G570" t="b">
        <v>0</v>
      </c>
      <c r="H570">
        <v>2</v>
      </c>
      <c r="I570" t="str">
        <f>_xlfn.XLOOKUP(Append15[[#This Row],[Week day]],Mappings!$B$3:$B$9,Mappings!$C$3:$C$9)</f>
        <v>Tuesday</v>
      </c>
      <c r="J570" t="str">
        <f t="shared" si="26"/>
        <v>Weekday</v>
      </c>
      <c r="K570">
        <v>1</v>
      </c>
      <c r="L570" t="str">
        <f>_xlfn.XLOOKUP(Append15[[#This Row],[WeatherSituation]],Mappings!$E$3:$E$6,Mappings!$F$3:$F$6)</f>
        <v>Clear Sky</v>
      </c>
      <c r="M570">
        <v>0.24</v>
      </c>
      <c r="N570">
        <v>0.2273</v>
      </c>
      <c r="O570">
        <v>0.65</v>
      </c>
      <c r="P570">
        <v>0.19400000000000001</v>
      </c>
      <c r="Q570">
        <v>5</v>
      </c>
      <c r="R570">
        <v>40</v>
      </c>
      <c r="S570">
        <v>45</v>
      </c>
    </row>
    <row r="571" spans="1:19" x14ac:dyDescent="0.3">
      <c r="A571">
        <v>570</v>
      </c>
      <c r="B571" s="4">
        <v>40568</v>
      </c>
      <c r="C571">
        <v>1</v>
      </c>
      <c r="D571">
        <v>22</v>
      </c>
      <c r="E571" t="str">
        <f t="shared" si="24"/>
        <v>10 PM</v>
      </c>
      <c r="F571" t="str">
        <f t="shared" si="25"/>
        <v>Night</v>
      </c>
      <c r="G571" t="b">
        <v>0</v>
      </c>
      <c r="H571">
        <v>2</v>
      </c>
      <c r="I571" t="str">
        <f>_xlfn.XLOOKUP(Append15[[#This Row],[Week day]],Mappings!$B$3:$B$9,Mappings!$C$3:$C$9)</f>
        <v>Tuesday</v>
      </c>
      <c r="J571" t="str">
        <f t="shared" si="26"/>
        <v>Weekday</v>
      </c>
      <c r="K571">
        <v>1</v>
      </c>
      <c r="L571" t="str">
        <f>_xlfn.XLOOKUP(Append15[[#This Row],[WeatherSituation]],Mappings!$E$3:$E$6,Mappings!$F$3:$F$6)</f>
        <v>Clear Sky</v>
      </c>
      <c r="M571">
        <v>0.22</v>
      </c>
      <c r="N571">
        <v>0.2273</v>
      </c>
      <c r="O571">
        <v>0.64</v>
      </c>
      <c r="P571">
        <v>0.16420000000000001</v>
      </c>
      <c r="Q571">
        <v>4</v>
      </c>
      <c r="R571">
        <v>49</v>
      </c>
      <c r="S571">
        <v>53</v>
      </c>
    </row>
    <row r="572" spans="1:19" x14ac:dyDescent="0.3">
      <c r="A572">
        <v>571</v>
      </c>
      <c r="B572" s="4">
        <v>40568</v>
      </c>
      <c r="C572">
        <v>1</v>
      </c>
      <c r="D572">
        <v>23</v>
      </c>
      <c r="E572" t="str">
        <f t="shared" si="24"/>
        <v>11 PM</v>
      </c>
      <c r="F572" t="str">
        <f t="shared" si="25"/>
        <v>Night</v>
      </c>
      <c r="G572" t="b">
        <v>0</v>
      </c>
      <c r="H572">
        <v>2</v>
      </c>
      <c r="I572" t="str">
        <f>_xlfn.XLOOKUP(Append15[[#This Row],[Week day]],Mappings!$B$3:$B$9,Mappings!$C$3:$C$9)</f>
        <v>Tuesday</v>
      </c>
      <c r="J572" t="str">
        <f t="shared" si="26"/>
        <v>Weekday</v>
      </c>
      <c r="K572">
        <v>2</v>
      </c>
      <c r="L572" t="str">
        <f>_xlfn.XLOOKUP(Append15[[#This Row],[WeatherSituation]],Mappings!$E$3:$E$6,Mappings!$F$3:$F$6)</f>
        <v>Mist/Cloudy</v>
      </c>
      <c r="M572">
        <v>0.22</v>
      </c>
      <c r="N572">
        <v>0.2273</v>
      </c>
      <c r="O572">
        <v>0.64</v>
      </c>
      <c r="P572">
        <v>0.16420000000000001</v>
      </c>
      <c r="Q572">
        <v>3</v>
      </c>
      <c r="R572">
        <v>37</v>
      </c>
      <c r="S572">
        <v>40</v>
      </c>
    </row>
    <row r="573" spans="1:19" x14ac:dyDescent="0.3">
      <c r="A573">
        <v>572</v>
      </c>
      <c r="B573" s="4">
        <v>40569</v>
      </c>
      <c r="C573">
        <v>1</v>
      </c>
      <c r="D573">
        <v>0</v>
      </c>
      <c r="E573" t="str">
        <f t="shared" si="24"/>
        <v>12 AM</v>
      </c>
      <c r="F573" t="str">
        <f t="shared" si="25"/>
        <v>Night</v>
      </c>
      <c r="G573" t="b">
        <v>0</v>
      </c>
      <c r="H573">
        <v>3</v>
      </c>
      <c r="I573" t="str">
        <f>_xlfn.XLOOKUP(Append15[[#This Row],[Week day]],Mappings!$B$3:$B$9,Mappings!$C$3:$C$9)</f>
        <v>Wednesday</v>
      </c>
      <c r="J573" t="str">
        <f t="shared" si="26"/>
        <v>Weekday</v>
      </c>
      <c r="K573">
        <v>2</v>
      </c>
      <c r="L573" t="str">
        <f>_xlfn.XLOOKUP(Append15[[#This Row],[WeatherSituation]],Mappings!$E$3:$E$6,Mappings!$F$3:$F$6)</f>
        <v>Mist/Cloudy</v>
      </c>
      <c r="M573">
        <v>0.22</v>
      </c>
      <c r="N573">
        <v>0.2273</v>
      </c>
      <c r="O573">
        <v>0.69</v>
      </c>
      <c r="P573">
        <v>0.1343</v>
      </c>
      <c r="Q573">
        <v>3</v>
      </c>
      <c r="R573">
        <v>14</v>
      </c>
      <c r="S573">
        <v>17</v>
      </c>
    </row>
    <row r="574" spans="1:19" x14ac:dyDescent="0.3">
      <c r="A574">
        <v>573</v>
      </c>
      <c r="B574" s="4">
        <v>40569</v>
      </c>
      <c r="C574">
        <v>1</v>
      </c>
      <c r="D574">
        <v>1</v>
      </c>
      <c r="E574" t="str">
        <f t="shared" si="24"/>
        <v>1 AM</v>
      </c>
      <c r="F574" t="str">
        <f t="shared" si="25"/>
        <v>Night</v>
      </c>
      <c r="G574" t="b">
        <v>0</v>
      </c>
      <c r="H574">
        <v>3</v>
      </c>
      <c r="I574" t="str">
        <f>_xlfn.XLOOKUP(Append15[[#This Row],[Week day]],Mappings!$B$3:$B$9,Mappings!$C$3:$C$9)</f>
        <v>Wednesday</v>
      </c>
      <c r="J574" t="str">
        <f t="shared" si="26"/>
        <v>Weekday</v>
      </c>
      <c r="K574">
        <v>2</v>
      </c>
      <c r="L574" t="str">
        <f>_xlfn.XLOOKUP(Append15[[#This Row],[WeatherSituation]],Mappings!$E$3:$E$6,Mappings!$F$3:$F$6)</f>
        <v>Mist/Cloudy</v>
      </c>
      <c r="M574">
        <v>0.24</v>
      </c>
      <c r="N574">
        <v>0.2424</v>
      </c>
      <c r="O574">
        <v>0.65</v>
      </c>
      <c r="P574">
        <v>0.1343</v>
      </c>
      <c r="Q574">
        <v>0</v>
      </c>
      <c r="R574">
        <v>5</v>
      </c>
      <c r="S574">
        <v>5</v>
      </c>
    </row>
    <row r="575" spans="1:19" x14ac:dyDescent="0.3">
      <c r="A575">
        <v>574</v>
      </c>
      <c r="B575" s="4">
        <v>40569</v>
      </c>
      <c r="C575">
        <v>1</v>
      </c>
      <c r="D575">
        <v>2</v>
      </c>
      <c r="E575" t="str">
        <f t="shared" si="24"/>
        <v>2 AM</v>
      </c>
      <c r="F575" t="str">
        <f t="shared" si="25"/>
        <v>Night</v>
      </c>
      <c r="G575" t="b">
        <v>0</v>
      </c>
      <c r="H575">
        <v>3</v>
      </c>
      <c r="I575" t="str">
        <f>_xlfn.XLOOKUP(Append15[[#This Row],[Week day]],Mappings!$B$3:$B$9,Mappings!$C$3:$C$9)</f>
        <v>Wednesday</v>
      </c>
      <c r="J575" t="str">
        <f t="shared" si="26"/>
        <v>Weekday</v>
      </c>
      <c r="K575">
        <v>3</v>
      </c>
      <c r="L575" t="str">
        <f>_xlfn.XLOOKUP(Append15[[#This Row],[WeatherSituation]],Mappings!$E$3:$E$6,Mappings!$F$3:$F$6)</f>
        <v>Light Rain</v>
      </c>
      <c r="M575">
        <v>0.22</v>
      </c>
      <c r="N575">
        <v>0.2273</v>
      </c>
      <c r="O575">
        <v>0.69</v>
      </c>
      <c r="P575">
        <v>0.19400000000000001</v>
      </c>
      <c r="Q575">
        <v>3</v>
      </c>
      <c r="R575">
        <v>7</v>
      </c>
      <c r="S575">
        <v>10</v>
      </c>
    </row>
    <row r="576" spans="1:19" x14ac:dyDescent="0.3">
      <c r="A576">
        <v>575</v>
      </c>
      <c r="B576" s="4">
        <v>40569</v>
      </c>
      <c r="C576">
        <v>1</v>
      </c>
      <c r="D576">
        <v>5</v>
      </c>
      <c r="E576" t="str">
        <f t="shared" si="24"/>
        <v>5 AM</v>
      </c>
      <c r="F576" t="str">
        <f t="shared" si="25"/>
        <v>Morning</v>
      </c>
      <c r="G576" t="b">
        <v>0</v>
      </c>
      <c r="H576">
        <v>3</v>
      </c>
      <c r="I576" t="str">
        <f>_xlfn.XLOOKUP(Append15[[#This Row],[Week day]],Mappings!$B$3:$B$9,Mappings!$C$3:$C$9)</f>
        <v>Wednesday</v>
      </c>
      <c r="J576" t="str">
        <f t="shared" si="26"/>
        <v>Weekday</v>
      </c>
      <c r="K576">
        <v>3</v>
      </c>
      <c r="L576" t="str">
        <f>_xlfn.XLOOKUP(Append15[[#This Row],[WeatherSituation]],Mappings!$E$3:$E$6,Mappings!$F$3:$F$6)</f>
        <v>Light Rain</v>
      </c>
      <c r="M576">
        <v>0.2</v>
      </c>
      <c r="N576">
        <v>0.18179999999999999</v>
      </c>
      <c r="O576">
        <v>0.86</v>
      </c>
      <c r="P576">
        <v>0.28360000000000002</v>
      </c>
      <c r="Q576">
        <v>0</v>
      </c>
      <c r="R576">
        <v>1</v>
      </c>
      <c r="S576">
        <v>1</v>
      </c>
    </row>
    <row r="577" spans="1:19" x14ac:dyDescent="0.3">
      <c r="A577">
        <v>576</v>
      </c>
      <c r="B577" s="4">
        <v>40569</v>
      </c>
      <c r="C577">
        <v>1</v>
      </c>
      <c r="D577">
        <v>6</v>
      </c>
      <c r="E577" t="str">
        <f t="shared" si="24"/>
        <v>6 AM</v>
      </c>
      <c r="F577" t="str">
        <f t="shared" si="25"/>
        <v>Morning</v>
      </c>
      <c r="G577" t="b">
        <v>0</v>
      </c>
      <c r="H577">
        <v>3</v>
      </c>
      <c r="I577" t="str">
        <f>_xlfn.XLOOKUP(Append15[[#This Row],[Week day]],Mappings!$B$3:$B$9,Mappings!$C$3:$C$9)</f>
        <v>Wednesday</v>
      </c>
      <c r="J577" t="str">
        <f t="shared" si="26"/>
        <v>Weekday</v>
      </c>
      <c r="K577">
        <v>3</v>
      </c>
      <c r="L577" t="str">
        <f>_xlfn.XLOOKUP(Append15[[#This Row],[WeatherSituation]],Mappings!$E$3:$E$6,Mappings!$F$3:$F$6)</f>
        <v>Light Rain</v>
      </c>
      <c r="M577">
        <v>0.2</v>
      </c>
      <c r="N577">
        <v>0.18179999999999999</v>
      </c>
      <c r="O577">
        <v>0.86</v>
      </c>
      <c r="P577">
        <v>0.28360000000000002</v>
      </c>
      <c r="Q577">
        <v>0</v>
      </c>
      <c r="R577">
        <v>8</v>
      </c>
      <c r="S577">
        <v>8</v>
      </c>
    </row>
    <row r="578" spans="1:19" x14ac:dyDescent="0.3">
      <c r="A578">
        <v>577</v>
      </c>
      <c r="B578" s="4">
        <v>40569</v>
      </c>
      <c r="C578">
        <v>1</v>
      </c>
      <c r="D578">
        <v>7</v>
      </c>
      <c r="E578" t="str">
        <f t="shared" ref="E578:E641" si="27">TEXT(D578/24,"h AM/PM")</f>
        <v>7 AM</v>
      </c>
      <c r="F578" t="str">
        <f t="shared" ref="F578:F641" si="28">IF(D578&lt;5,"Night",
IF(D578&lt;=11,"Morning",
IF(D578&lt;16,"AfterNoon",
IF(D578&lt;20,"Evening","Night"))))</f>
        <v>Morning</v>
      </c>
      <c r="G578" t="b">
        <v>0</v>
      </c>
      <c r="H578">
        <v>3</v>
      </c>
      <c r="I578" t="str">
        <f>_xlfn.XLOOKUP(Append15[[#This Row],[Week day]],Mappings!$B$3:$B$9,Mappings!$C$3:$C$9)</f>
        <v>Wednesday</v>
      </c>
      <c r="J578" t="str">
        <f t="shared" ref="J578:J641" si="29">IF(OR(H578=0,H578=6),"Weekend","Weekday")</f>
        <v>Weekday</v>
      </c>
      <c r="K578">
        <v>3</v>
      </c>
      <c r="L578" t="str">
        <f>_xlfn.XLOOKUP(Append15[[#This Row],[WeatherSituation]],Mappings!$E$3:$E$6,Mappings!$F$3:$F$6)</f>
        <v>Light Rain</v>
      </c>
      <c r="M578">
        <v>0.22</v>
      </c>
      <c r="N578">
        <v>0.21210000000000001</v>
      </c>
      <c r="O578">
        <v>0.87</v>
      </c>
      <c r="P578">
        <v>0.29849999999999999</v>
      </c>
      <c r="Q578">
        <v>1</v>
      </c>
      <c r="R578">
        <v>29</v>
      </c>
      <c r="S578">
        <v>30</v>
      </c>
    </row>
    <row r="579" spans="1:19" x14ac:dyDescent="0.3">
      <c r="A579">
        <v>578</v>
      </c>
      <c r="B579" s="4">
        <v>40569</v>
      </c>
      <c r="C579">
        <v>1</v>
      </c>
      <c r="D579">
        <v>8</v>
      </c>
      <c r="E579" t="str">
        <f t="shared" si="27"/>
        <v>8 AM</v>
      </c>
      <c r="F579" t="str">
        <f t="shared" si="28"/>
        <v>Morning</v>
      </c>
      <c r="G579" t="b">
        <v>0</v>
      </c>
      <c r="H579">
        <v>3</v>
      </c>
      <c r="I579" t="str">
        <f>_xlfn.XLOOKUP(Append15[[#This Row],[Week day]],Mappings!$B$3:$B$9,Mappings!$C$3:$C$9)</f>
        <v>Wednesday</v>
      </c>
      <c r="J579" t="str">
        <f t="shared" si="29"/>
        <v>Weekday</v>
      </c>
      <c r="K579">
        <v>3</v>
      </c>
      <c r="L579" t="str">
        <f>_xlfn.XLOOKUP(Append15[[#This Row],[WeatherSituation]],Mappings!$E$3:$E$6,Mappings!$F$3:$F$6)</f>
        <v>Light Rain</v>
      </c>
      <c r="M579">
        <v>0.22</v>
      </c>
      <c r="N579">
        <v>0.21210000000000001</v>
      </c>
      <c r="O579">
        <v>0.87</v>
      </c>
      <c r="P579">
        <v>0.29849999999999999</v>
      </c>
      <c r="Q579">
        <v>3</v>
      </c>
      <c r="R579">
        <v>69</v>
      </c>
      <c r="S579">
        <v>72</v>
      </c>
    </row>
    <row r="580" spans="1:19" x14ac:dyDescent="0.3">
      <c r="A580">
        <v>579</v>
      </c>
      <c r="B580" s="4">
        <v>40569</v>
      </c>
      <c r="C580">
        <v>1</v>
      </c>
      <c r="D580">
        <v>9</v>
      </c>
      <c r="E580" t="str">
        <f t="shared" si="27"/>
        <v>9 AM</v>
      </c>
      <c r="F580" t="str">
        <f t="shared" si="28"/>
        <v>Morning</v>
      </c>
      <c r="G580" t="b">
        <v>0</v>
      </c>
      <c r="H580">
        <v>3</v>
      </c>
      <c r="I580" t="str">
        <f>_xlfn.XLOOKUP(Append15[[#This Row],[Week day]],Mappings!$B$3:$B$9,Mappings!$C$3:$C$9)</f>
        <v>Wednesday</v>
      </c>
      <c r="J580" t="str">
        <f t="shared" si="29"/>
        <v>Weekday</v>
      </c>
      <c r="K580">
        <v>3</v>
      </c>
      <c r="L580" t="str">
        <f>_xlfn.XLOOKUP(Append15[[#This Row],[WeatherSituation]],Mappings!$E$3:$E$6,Mappings!$F$3:$F$6)</f>
        <v>Light Rain</v>
      </c>
      <c r="M580">
        <v>0.22</v>
      </c>
      <c r="N580">
        <v>0.21210000000000001</v>
      </c>
      <c r="O580">
        <v>0.87</v>
      </c>
      <c r="P580">
        <v>0.29849999999999999</v>
      </c>
      <c r="Q580">
        <v>3</v>
      </c>
      <c r="R580">
        <v>55</v>
      </c>
      <c r="S580">
        <v>58</v>
      </c>
    </row>
    <row r="581" spans="1:19" x14ac:dyDescent="0.3">
      <c r="A581">
        <v>580</v>
      </c>
      <c r="B581" s="4">
        <v>40569</v>
      </c>
      <c r="C581">
        <v>1</v>
      </c>
      <c r="D581">
        <v>10</v>
      </c>
      <c r="E581" t="str">
        <f t="shared" si="27"/>
        <v>10 AM</v>
      </c>
      <c r="F581" t="str">
        <f t="shared" si="28"/>
        <v>Morning</v>
      </c>
      <c r="G581" t="b">
        <v>0</v>
      </c>
      <c r="H581">
        <v>3</v>
      </c>
      <c r="I581" t="str">
        <f>_xlfn.XLOOKUP(Append15[[#This Row],[Week day]],Mappings!$B$3:$B$9,Mappings!$C$3:$C$9)</f>
        <v>Wednesday</v>
      </c>
      <c r="J581" t="str">
        <f t="shared" si="29"/>
        <v>Weekday</v>
      </c>
      <c r="K581">
        <v>3</v>
      </c>
      <c r="L581" t="str">
        <f>_xlfn.XLOOKUP(Append15[[#This Row],[WeatherSituation]],Mappings!$E$3:$E$6,Mappings!$F$3:$F$6)</f>
        <v>Light Rain</v>
      </c>
      <c r="M581">
        <v>0.22</v>
      </c>
      <c r="N581">
        <v>0.21210000000000001</v>
      </c>
      <c r="O581">
        <v>0.93</v>
      </c>
      <c r="P581">
        <v>0.28360000000000002</v>
      </c>
      <c r="Q581">
        <v>2</v>
      </c>
      <c r="R581">
        <v>26</v>
      </c>
      <c r="S581">
        <v>28</v>
      </c>
    </row>
    <row r="582" spans="1:19" x14ac:dyDescent="0.3">
      <c r="A582">
        <v>581</v>
      </c>
      <c r="B582" s="4">
        <v>40569</v>
      </c>
      <c r="C582">
        <v>1</v>
      </c>
      <c r="D582">
        <v>11</v>
      </c>
      <c r="E582" t="str">
        <f t="shared" si="27"/>
        <v>11 AM</v>
      </c>
      <c r="F582" t="str">
        <f t="shared" si="28"/>
        <v>Morning</v>
      </c>
      <c r="G582" t="b">
        <v>0</v>
      </c>
      <c r="H582">
        <v>3</v>
      </c>
      <c r="I582" t="str">
        <f>_xlfn.XLOOKUP(Append15[[#This Row],[Week day]],Mappings!$B$3:$B$9,Mappings!$C$3:$C$9)</f>
        <v>Wednesday</v>
      </c>
      <c r="J582" t="str">
        <f t="shared" si="29"/>
        <v>Weekday</v>
      </c>
      <c r="K582">
        <v>3</v>
      </c>
      <c r="L582" t="str">
        <f>_xlfn.XLOOKUP(Append15[[#This Row],[WeatherSituation]],Mappings!$E$3:$E$6,Mappings!$F$3:$F$6)</f>
        <v>Light Rain</v>
      </c>
      <c r="M582">
        <v>0.22</v>
      </c>
      <c r="N582">
        <v>0.19700000000000001</v>
      </c>
      <c r="O582">
        <v>0.93</v>
      </c>
      <c r="P582">
        <v>0.32840000000000003</v>
      </c>
      <c r="Q582">
        <v>6</v>
      </c>
      <c r="R582">
        <v>35</v>
      </c>
      <c r="S582">
        <v>41</v>
      </c>
    </row>
    <row r="583" spans="1:19" x14ac:dyDescent="0.3">
      <c r="A583">
        <v>582</v>
      </c>
      <c r="B583" s="4">
        <v>40569</v>
      </c>
      <c r="C583">
        <v>1</v>
      </c>
      <c r="D583">
        <v>12</v>
      </c>
      <c r="E583" t="str">
        <f t="shared" si="27"/>
        <v>12 PM</v>
      </c>
      <c r="F583" t="str">
        <f t="shared" si="28"/>
        <v>AfterNoon</v>
      </c>
      <c r="G583" t="b">
        <v>0</v>
      </c>
      <c r="H583">
        <v>3</v>
      </c>
      <c r="I583" t="str">
        <f>_xlfn.XLOOKUP(Append15[[#This Row],[Week day]],Mappings!$B$3:$B$9,Mappings!$C$3:$C$9)</f>
        <v>Wednesday</v>
      </c>
      <c r="J583" t="str">
        <f t="shared" si="29"/>
        <v>Weekday</v>
      </c>
      <c r="K583">
        <v>3</v>
      </c>
      <c r="L583" t="str">
        <f>_xlfn.XLOOKUP(Append15[[#This Row],[WeatherSituation]],Mappings!$E$3:$E$6,Mappings!$F$3:$F$6)</f>
        <v>Light Rain</v>
      </c>
      <c r="M583">
        <v>0.22</v>
      </c>
      <c r="N583">
        <v>0.19700000000000001</v>
      </c>
      <c r="O583">
        <v>0.93</v>
      </c>
      <c r="P583">
        <v>0.32840000000000003</v>
      </c>
      <c r="Q583">
        <v>7</v>
      </c>
      <c r="R583">
        <v>41</v>
      </c>
      <c r="S583">
        <v>48</v>
      </c>
    </row>
    <row r="584" spans="1:19" x14ac:dyDescent="0.3">
      <c r="A584">
        <v>583</v>
      </c>
      <c r="B584" s="4">
        <v>40569</v>
      </c>
      <c r="C584">
        <v>1</v>
      </c>
      <c r="D584">
        <v>13</v>
      </c>
      <c r="E584" t="str">
        <f t="shared" si="27"/>
        <v>1 PM</v>
      </c>
      <c r="F584" t="str">
        <f t="shared" si="28"/>
        <v>AfterNoon</v>
      </c>
      <c r="G584" t="b">
        <v>0</v>
      </c>
      <c r="H584">
        <v>3</v>
      </c>
      <c r="I584" t="str">
        <f>_xlfn.XLOOKUP(Append15[[#This Row],[Week day]],Mappings!$B$3:$B$9,Mappings!$C$3:$C$9)</f>
        <v>Wednesday</v>
      </c>
      <c r="J584" t="str">
        <f t="shared" si="29"/>
        <v>Weekday</v>
      </c>
      <c r="K584">
        <v>3</v>
      </c>
      <c r="L584" t="str">
        <f>_xlfn.XLOOKUP(Append15[[#This Row],[WeatherSituation]],Mappings!$E$3:$E$6,Mappings!$F$3:$F$6)</f>
        <v>Light Rain</v>
      </c>
      <c r="M584">
        <v>0.22</v>
      </c>
      <c r="N584">
        <v>0.19700000000000001</v>
      </c>
      <c r="O584">
        <v>0.93</v>
      </c>
      <c r="P584">
        <v>0.32840000000000003</v>
      </c>
      <c r="Q584">
        <v>4</v>
      </c>
      <c r="R584">
        <v>43</v>
      </c>
      <c r="S584">
        <v>47</v>
      </c>
    </row>
    <row r="585" spans="1:19" x14ac:dyDescent="0.3">
      <c r="A585">
        <v>584</v>
      </c>
      <c r="B585" s="4">
        <v>40569</v>
      </c>
      <c r="C585">
        <v>1</v>
      </c>
      <c r="D585">
        <v>14</v>
      </c>
      <c r="E585" t="str">
        <f t="shared" si="27"/>
        <v>2 PM</v>
      </c>
      <c r="F585" t="str">
        <f t="shared" si="28"/>
        <v>AfterNoon</v>
      </c>
      <c r="G585" t="b">
        <v>0</v>
      </c>
      <c r="H585">
        <v>3</v>
      </c>
      <c r="I585" t="str">
        <f>_xlfn.XLOOKUP(Append15[[#This Row],[Week day]],Mappings!$B$3:$B$9,Mappings!$C$3:$C$9)</f>
        <v>Wednesday</v>
      </c>
      <c r="J585" t="str">
        <f t="shared" si="29"/>
        <v>Weekday</v>
      </c>
      <c r="K585">
        <v>3</v>
      </c>
      <c r="L585" t="str">
        <f>_xlfn.XLOOKUP(Append15[[#This Row],[WeatherSituation]],Mappings!$E$3:$E$6,Mappings!$F$3:$F$6)</f>
        <v>Light Rain</v>
      </c>
      <c r="M585">
        <v>0.22</v>
      </c>
      <c r="N585">
        <v>0.19700000000000001</v>
      </c>
      <c r="O585">
        <v>0.93</v>
      </c>
      <c r="P585">
        <v>0.35820000000000002</v>
      </c>
      <c r="Q585">
        <v>0</v>
      </c>
      <c r="R585">
        <v>36</v>
      </c>
      <c r="S585">
        <v>36</v>
      </c>
    </row>
    <row r="586" spans="1:19" x14ac:dyDescent="0.3">
      <c r="A586">
        <v>585</v>
      </c>
      <c r="B586" s="4">
        <v>40569</v>
      </c>
      <c r="C586">
        <v>1</v>
      </c>
      <c r="D586">
        <v>15</v>
      </c>
      <c r="E586" t="str">
        <f t="shared" si="27"/>
        <v>3 PM</v>
      </c>
      <c r="F586" t="str">
        <f t="shared" si="28"/>
        <v>AfterNoon</v>
      </c>
      <c r="G586" t="b">
        <v>0</v>
      </c>
      <c r="H586">
        <v>3</v>
      </c>
      <c r="I586" t="str">
        <f>_xlfn.XLOOKUP(Append15[[#This Row],[Week day]],Mappings!$B$3:$B$9,Mappings!$C$3:$C$9)</f>
        <v>Wednesday</v>
      </c>
      <c r="J586" t="str">
        <f t="shared" si="29"/>
        <v>Weekday</v>
      </c>
      <c r="K586">
        <v>3</v>
      </c>
      <c r="L586" t="str">
        <f>_xlfn.XLOOKUP(Append15[[#This Row],[WeatherSituation]],Mappings!$E$3:$E$6,Mappings!$F$3:$F$6)</f>
        <v>Light Rain</v>
      </c>
      <c r="M586">
        <v>0.22</v>
      </c>
      <c r="N586">
        <v>0.18179999999999999</v>
      </c>
      <c r="O586">
        <v>0.93</v>
      </c>
      <c r="P586">
        <v>0.4627</v>
      </c>
      <c r="Q586">
        <v>1</v>
      </c>
      <c r="R586">
        <v>42</v>
      </c>
      <c r="S586">
        <v>43</v>
      </c>
    </row>
    <row r="587" spans="1:19" x14ac:dyDescent="0.3">
      <c r="A587">
        <v>586</v>
      </c>
      <c r="B587" s="4">
        <v>40569</v>
      </c>
      <c r="C587">
        <v>1</v>
      </c>
      <c r="D587">
        <v>16</v>
      </c>
      <c r="E587" t="str">
        <f t="shared" si="27"/>
        <v>4 PM</v>
      </c>
      <c r="F587" t="str">
        <f t="shared" si="28"/>
        <v>Evening</v>
      </c>
      <c r="G587" t="b">
        <v>0</v>
      </c>
      <c r="H587">
        <v>3</v>
      </c>
      <c r="I587" t="str">
        <f>_xlfn.XLOOKUP(Append15[[#This Row],[Week day]],Mappings!$B$3:$B$9,Mappings!$C$3:$C$9)</f>
        <v>Wednesday</v>
      </c>
      <c r="J587" t="str">
        <f t="shared" si="29"/>
        <v>Weekday</v>
      </c>
      <c r="K587">
        <v>4</v>
      </c>
      <c r="L587" t="str">
        <f>_xlfn.XLOOKUP(Append15[[#This Row],[WeatherSituation]],Mappings!$E$3:$E$6,Mappings!$F$3:$F$6)</f>
        <v>Heavy Rain/Snow</v>
      </c>
      <c r="M587">
        <v>0.22</v>
      </c>
      <c r="N587">
        <v>0.19700000000000001</v>
      </c>
      <c r="O587">
        <v>0.93</v>
      </c>
      <c r="P587">
        <v>0.32840000000000003</v>
      </c>
      <c r="Q587">
        <v>1</v>
      </c>
      <c r="R587">
        <v>35</v>
      </c>
      <c r="S587">
        <v>36</v>
      </c>
    </row>
    <row r="588" spans="1:19" x14ac:dyDescent="0.3">
      <c r="A588">
        <v>587</v>
      </c>
      <c r="B588" s="4">
        <v>40569</v>
      </c>
      <c r="C588">
        <v>1</v>
      </c>
      <c r="D588">
        <v>17</v>
      </c>
      <c r="E588" t="str">
        <f t="shared" si="27"/>
        <v>5 PM</v>
      </c>
      <c r="F588" t="str">
        <f t="shared" si="28"/>
        <v>Evening</v>
      </c>
      <c r="G588" t="b">
        <v>0</v>
      </c>
      <c r="H588">
        <v>3</v>
      </c>
      <c r="I588" t="str">
        <f>_xlfn.XLOOKUP(Append15[[#This Row],[Week day]],Mappings!$B$3:$B$9,Mappings!$C$3:$C$9)</f>
        <v>Wednesday</v>
      </c>
      <c r="J588" t="str">
        <f t="shared" si="29"/>
        <v>Weekday</v>
      </c>
      <c r="K588">
        <v>3</v>
      </c>
      <c r="L588" t="str">
        <f>_xlfn.XLOOKUP(Append15[[#This Row],[WeatherSituation]],Mappings!$E$3:$E$6,Mappings!$F$3:$F$6)</f>
        <v>Light Rain</v>
      </c>
      <c r="M588">
        <v>0.2</v>
      </c>
      <c r="N588">
        <v>0.18179999999999999</v>
      </c>
      <c r="O588">
        <v>0.93</v>
      </c>
      <c r="P588">
        <v>0.35820000000000002</v>
      </c>
      <c r="Q588">
        <v>0</v>
      </c>
      <c r="R588">
        <v>26</v>
      </c>
      <c r="S588">
        <v>26</v>
      </c>
    </row>
    <row r="589" spans="1:19" x14ac:dyDescent="0.3">
      <c r="A589">
        <v>588</v>
      </c>
      <c r="B589" s="4">
        <v>40570</v>
      </c>
      <c r="C589">
        <v>1</v>
      </c>
      <c r="D589">
        <v>16</v>
      </c>
      <c r="E589" t="str">
        <f t="shared" si="27"/>
        <v>4 PM</v>
      </c>
      <c r="F589" t="str">
        <f t="shared" si="28"/>
        <v>Evening</v>
      </c>
      <c r="G589" t="b">
        <v>0</v>
      </c>
      <c r="H589">
        <v>4</v>
      </c>
      <c r="I589" t="str">
        <f>_xlfn.XLOOKUP(Append15[[#This Row],[Week day]],Mappings!$B$3:$B$9,Mappings!$C$3:$C$9)</f>
        <v>Thursday</v>
      </c>
      <c r="J589" t="str">
        <f t="shared" si="29"/>
        <v>Weekday</v>
      </c>
      <c r="K589">
        <v>1</v>
      </c>
      <c r="L589" t="str">
        <f>_xlfn.XLOOKUP(Append15[[#This Row],[WeatherSituation]],Mappings!$E$3:$E$6,Mappings!$F$3:$F$6)</f>
        <v>Clear Sky</v>
      </c>
      <c r="M589">
        <v>0.22</v>
      </c>
      <c r="N589">
        <v>0.2273</v>
      </c>
      <c r="O589">
        <v>0.55000000000000004</v>
      </c>
      <c r="P589">
        <v>0.19400000000000001</v>
      </c>
      <c r="Q589">
        <v>1</v>
      </c>
      <c r="R589">
        <v>23</v>
      </c>
      <c r="S589">
        <v>24</v>
      </c>
    </row>
    <row r="590" spans="1:19" x14ac:dyDescent="0.3">
      <c r="A590">
        <v>589</v>
      </c>
      <c r="B590" s="4">
        <v>40570</v>
      </c>
      <c r="C590">
        <v>1</v>
      </c>
      <c r="D590">
        <v>17</v>
      </c>
      <c r="E590" t="str">
        <f t="shared" si="27"/>
        <v>5 PM</v>
      </c>
      <c r="F590" t="str">
        <f t="shared" si="28"/>
        <v>Evening</v>
      </c>
      <c r="G590" t="b">
        <v>0</v>
      </c>
      <c r="H590">
        <v>4</v>
      </c>
      <c r="I590" t="str">
        <f>_xlfn.XLOOKUP(Append15[[#This Row],[Week day]],Mappings!$B$3:$B$9,Mappings!$C$3:$C$9)</f>
        <v>Thursday</v>
      </c>
      <c r="J590" t="str">
        <f t="shared" si="29"/>
        <v>Weekday</v>
      </c>
      <c r="K590">
        <v>1</v>
      </c>
      <c r="L590" t="str">
        <f>_xlfn.XLOOKUP(Append15[[#This Row],[WeatherSituation]],Mappings!$E$3:$E$6,Mappings!$F$3:$F$6)</f>
        <v>Clear Sky</v>
      </c>
      <c r="M590">
        <v>0.22</v>
      </c>
      <c r="N590">
        <v>0.2424</v>
      </c>
      <c r="O590">
        <v>0.55000000000000004</v>
      </c>
      <c r="P590">
        <v>0.1045</v>
      </c>
      <c r="Q590">
        <v>2</v>
      </c>
      <c r="R590">
        <v>82</v>
      </c>
      <c r="S590">
        <v>84</v>
      </c>
    </row>
    <row r="591" spans="1:19" x14ac:dyDescent="0.3">
      <c r="A591">
        <v>590</v>
      </c>
      <c r="B591" s="4">
        <v>40570</v>
      </c>
      <c r="C591">
        <v>1</v>
      </c>
      <c r="D591">
        <v>18</v>
      </c>
      <c r="E591" t="str">
        <f t="shared" si="27"/>
        <v>6 PM</v>
      </c>
      <c r="F591" t="str">
        <f t="shared" si="28"/>
        <v>Evening</v>
      </c>
      <c r="G591" t="b">
        <v>0</v>
      </c>
      <c r="H591">
        <v>4</v>
      </c>
      <c r="I591" t="str">
        <f>_xlfn.XLOOKUP(Append15[[#This Row],[Week day]],Mappings!$B$3:$B$9,Mappings!$C$3:$C$9)</f>
        <v>Thursday</v>
      </c>
      <c r="J591" t="str">
        <f t="shared" si="29"/>
        <v>Weekday</v>
      </c>
      <c r="K591">
        <v>1</v>
      </c>
      <c r="L591" t="str">
        <f>_xlfn.XLOOKUP(Append15[[#This Row],[WeatherSituation]],Mappings!$E$3:$E$6,Mappings!$F$3:$F$6)</f>
        <v>Clear Sky</v>
      </c>
      <c r="M591">
        <v>0.2</v>
      </c>
      <c r="N591">
        <v>0.2273</v>
      </c>
      <c r="O591">
        <v>0.69</v>
      </c>
      <c r="P591">
        <v>8.9599999999999999E-2</v>
      </c>
      <c r="Q591">
        <v>3</v>
      </c>
      <c r="R591">
        <v>101</v>
      </c>
      <c r="S591">
        <v>104</v>
      </c>
    </row>
    <row r="592" spans="1:19" x14ac:dyDescent="0.3">
      <c r="A592">
        <v>591</v>
      </c>
      <c r="B592" s="4">
        <v>40570</v>
      </c>
      <c r="C592">
        <v>1</v>
      </c>
      <c r="D592">
        <v>19</v>
      </c>
      <c r="E592" t="str">
        <f t="shared" si="27"/>
        <v>7 PM</v>
      </c>
      <c r="F592" t="str">
        <f t="shared" si="28"/>
        <v>Evening</v>
      </c>
      <c r="G592" t="b">
        <v>0</v>
      </c>
      <c r="H592">
        <v>4</v>
      </c>
      <c r="I592" t="str">
        <f>_xlfn.XLOOKUP(Append15[[#This Row],[Week day]],Mappings!$B$3:$B$9,Mappings!$C$3:$C$9)</f>
        <v>Thursday</v>
      </c>
      <c r="J592" t="str">
        <f t="shared" si="29"/>
        <v>Weekday</v>
      </c>
      <c r="K592">
        <v>1</v>
      </c>
      <c r="L592" t="str">
        <f>_xlfn.XLOOKUP(Append15[[#This Row],[WeatherSituation]],Mappings!$E$3:$E$6,Mappings!$F$3:$F$6)</f>
        <v>Clear Sky</v>
      </c>
      <c r="M592">
        <v>0.2</v>
      </c>
      <c r="N592">
        <v>0.2273</v>
      </c>
      <c r="O592">
        <v>0.69</v>
      </c>
      <c r="P592">
        <v>8.9599999999999999E-2</v>
      </c>
      <c r="Q592">
        <v>3</v>
      </c>
      <c r="R592">
        <v>76</v>
      </c>
      <c r="S592">
        <v>79</v>
      </c>
    </row>
    <row r="593" spans="1:19" x14ac:dyDescent="0.3">
      <c r="A593">
        <v>592</v>
      </c>
      <c r="B593" s="4">
        <v>40570</v>
      </c>
      <c r="C593">
        <v>1</v>
      </c>
      <c r="D593">
        <v>20</v>
      </c>
      <c r="E593" t="str">
        <f t="shared" si="27"/>
        <v>8 PM</v>
      </c>
      <c r="F593" t="str">
        <f t="shared" si="28"/>
        <v>Night</v>
      </c>
      <c r="G593" t="b">
        <v>0</v>
      </c>
      <c r="H593">
        <v>4</v>
      </c>
      <c r="I593" t="str">
        <f>_xlfn.XLOOKUP(Append15[[#This Row],[Week day]],Mappings!$B$3:$B$9,Mappings!$C$3:$C$9)</f>
        <v>Thursday</v>
      </c>
      <c r="J593" t="str">
        <f t="shared" si="29"/>
        <v>Weekday</v>
      </c>
      <c r="K593">
        <v>1</v>
      </c>
      <c r="L593" t="str">
        <f>_xlfn.XLOOKUP(Append15[[#This Row],[WeatherSituation]],Mappings!$E$3:$E$6,Mappings!$F$3:$F$6)</f>
        <v>Clear Sky</v>
      </c>
      <c r="M593">
        <v>0.18</v>
      </c>
      <c r="N593">
        <v>0.21210000000000001</v>
      </c>
      <c r="O593">
        <v>0.74</v>
      </c>
      <c r="P593">
        <v>8.9599999999999999E-2</v>
      </c>
      <c r="Q593">
        <v>4</v>
      </c>
      <c r="R593">
        <v>55</v>
      </c>
      <c r="S593">
        <v>59</v>
      </c>
    </row>
    <row r="594" spans="1:19" x14ac:dyDescent="0.3">
      <c r="A594">
        <v>593</v>
      </c>
      <c r="B594" s="4">
        <v>40570</v>
      </c>
      <c r="C594">
        <v>1</v>
      </c>
      <c r="D594">
        <v>21</v>
      </c>
      <c r="E594" t="str">
        <f t="shared" si="27"/>
        <v>9 PM</v>
      </c>
      <c r="F594" t="str">
        <f t="shared" si="28"/>
        <v>Night</v>
      </c>
      <c r="G594" t="b">
        <v>0</v>
      </c>
      <c r="H594">
        <v>4</v>
      </c>
      <c r="I594" t="str">
        <f>_xlfn.XLOOKUP(Append15[[#This Row],[Week day]],Mappings!$B$3:$B$9,Mappings!$C$3:$C$9)</f>
        <v>Thursday</v>
      </c>
      <c r="J594" t="str">
        <f t="shared" si="29"/>
        <v>Weekday</v>
      </c>
      <c r="K594">
        <v>1</v>
      </c>
      <c r="L594" t="str">
        <f>_xlfn.XLOOKUP(Append15[[#This Row],[WeatherSituation]],Mappings!$E$3:$E$6,Mappings!$F$3:$F$6)</f>
        <v>Clear Sky</v>
      </c>
      <c r="M594">
        <v>0.18</v>
      </c>
      <c r="N594">
        <v>0.21210000000000001</v>
      </c>
      <c r="O594">
        <v>0.74</v>
      </c>
      <c r="P594">
        <v>8.9599999999999999E-2</v>
      </c>
      <c r="Q594">
        <v>2</v>
      </c>
      <c r="R594">
        <v>36</v>
      </c>
      <c r="S594">
        <v>38</v>
      </c>
    </row>
    <row r="595" spans="1:19" x14ac:dyDescent="0.3">
      <c r="A595">
        <v>594</v>
      </c>
      <c r="B595" s="4">
        <v>40570</v>
      </c>
      <c r="C595">
        <v>1</v>
      </c>
      <c r="D595">
        <v>22</v>
      </c>
      <c r="E595" t="str">
        <f t="shared" si="27"/>
        <v>10 PM</v>
      </c>
      <c r="F595" t="str">
        <f t="shared" si="28"/>
        <v>Night</v>
      </c>
      <c r="G595" t="b">
        <v>0</v>
      </c>
      <c r="H595">
        <v>4</v>
      </c>
      <c r="I595" t="str">
        <f>_xlfn.XLOOKUP(Append15[[#This Row],[Week day]],Mappings!$B$3:$B$9,Mappings!$C$3:$C$9)</f>
        <v>Thursday</v>
      </c>
      <c r="J595" t="str">
        <f t="shared" si="29"/>
        <v>Weekday</v>
      </c>
      <c r="K595">
        <v>1</v>
      </c>
      <c r="L595" t="str">
        <f>_xlfn.XLOOKUP(Append15[[#This Row],[WeatherSituation]],Mappings!$E$3:$E$6,Mappings!$F$3:$F$6)</f>
        <v>Clear Sky</v>
      </c>
      <c r="M595">
        <v>0.18</v>
      </c>
      <c r="N595">
        <v>0.21210000000000001</v>
      </c>
      <c r="O595">
        <v>0.74</v>
      </c>
      <c r="P595">
        <v>8.9599999999999999E-2</v>
      </c>
      <c r="Q595">
        <v>0</v>
      </c>
      <c r="R595">
        <v>27</v>
      </c>
      <c r="S595">
        <v>27</v>
      </c>
    </row>
    <row r="596" spans="1:19" x14ac:dyDescent="0.3">
      <c r="A596">
        <v>595</v>
      </c>
      <c r="B596" s="4">
        <v>40570</v>
      </c>
      <c r="C596">
        <v>1</v>
      </c>
      <c r="D596">
        <v>23</v>
      </c>
      <c r="E596" t="str">
        <f t="shared" si="27"/>
        <v>11 PM</v>
      </c>
      <c r="F596" t="str">
        <f t="shared" si="28"/>
        <v>Night</v>
      </c>
      <c r="G596" t="b">
        <v>0</v>
      </c>
      <c r="H596">
        <v>4</v>
      </c>
      <c r="I596" t="str">
        <f>_xlfn.XLOOKUP(Append15[[#This Row],[Week day]],Mappings!$B$3:$B$9,Mappings!$C$3:$C$9)</f>
        <v>Thursday</v>
      </c>
      <c r="J596" t="str">
        <f t="shared" si="29"/>
        <v>Weekday</v>
      </c>
      <c r="K596">
        <v>1</v>
      </c>
      <c r="L596" t="str">
        <f>_xlfn.XLOOKUP(Append15[[#This Row],[WeatherSituation]],Mappings!$E$3:$E$6,Mappings!$F$3:$F$6)</f>
        <v>Clear Sky</v>
      </c>
      <c r="M596">
        <v>0.18</v>
      </c>
      <c r="N596">
        <v>0.19700000000000001</v>
      </c>
      <c r="O596">
        <v>0.8</v>
      </c>
      <c r="P596">
        <v>0.16420000000000001</v>
      </c>
      <c r="Q596">
        <v>0</v>
      </c>
      <c r="R596">
        <v>16</v>
      </c>
      <c r="S596">
        <v>16</v>
      </c>
    </row>
    <row r="597" spans="1:19" x14ac:dyDescent="0.3">
      <c r="A597">
        <v>596</v>
      </c>
      <c r="B597" s="4">
        <v>40571</v>
      </c>
      <c r="C597">
        <v>1</v>
      </c>
      <c r="D597">
        <v>0</v>
      </c>
      <c r="E597" t="str">
        <f t="shared" si="27"/>
        <v>12 AM</v>
      </c>
      <c r="F597" t="str">
        <f t="shared" si="28"/>
        <v>Night</v>
      </c>
      <c r="G597" t="b">
        <v>0</v>
      </c>
      <c r="H597">
        <v>5</v>
      </c>
      <c r="I597" t="str">
        <f>_xlfn.XLOOKUP(Append15[[#This Row],[Week day]],Mappings!$B$3:$B$9,Mappings!$C$3:$C$9)</f>
        <v>Friday</v>
      </c>
      <c r="J597" t="str">
        <f t="shared" si="29"/>
        <v>Weekday</v>
      </c>
      <c r="K597">
        <v>2</v>
      </c>
      <c r="L597" t="str">
        <f>_xlfn.XLOOKUP(Append15[[#This Row],[WeatherSituation]],Mappings!$E$3:$E$6,Mappings!$F$3:$F$6)</f>
        <v>Mist/Cloudy</v>
      </c>
      <c r="M597">
        <v>0.2</v>
      </c>
      <c r="N597">
        <v>0.21210000000000001</v>
      </c>
      <c r="O597">
        <v>0.75</v>
      </c>
      <c r="P597">
        <v>0.1343</v>
      </c>
      <c r="Q597">
        <v>0</v>
      </c>
      <c r="R597">
        <v>9</v>
      </c>
      <c r="S597">
        <v>9</v>
      </c>
    </row>
    <row r="598" spans="1:19" x14ac:dyDescent="0.3">
      <c r="A598">
        <v>597</v>
      </c>
      <c r="B598" s="4">
        <v>40571</v>
      </c>
      <c r="C598">
        <v>1</v>
      </c>
      <c r="D598">
        <v>1</v>
      </c>
      <c r="E598" t="str">
        <f t="shared" si="27"/>
        <v>1 AM</v>
      </c>
      <c r="F598" t="str">
        <f t="shared" si="28"/>
        <v>Night</v>
      </c>
      <c r="G598" t="b">
        <v>0</v>
      </c>
      <c r="H598">
        <v>5</v>
      </c>
      <c r="I598" t="str">
        <f>_xlfn.XLOOKUP(Append15[[#This Row],[Week day]],Mappings!$B$3:$B$9,Mappings!$C$3:$C$9)</f>
        <v>Friday</v>
      </c>
      <c r="J598" t="str">
        <f t="shared" si="29"/>
        <v>Weekday</v>
      </c>
      <c r="K598">
        <v>2</v>
      </c>
      <c r="L598" t="str">
        <f>_xlfn.XLOOKUP(Append15[[#This Row],[WeatherSituation]],Mappings!$E$3:$E$6,Mappings!$F$3:$F$6)</f>
        <v>Mist/Cloudy</v>
      </c>
      <c r="M598">
        <v>0.2</v>
      </c>
      <c r="N598">
        <v>0.21210000000000001</v>
      </c>
      <c r="O598">
        <v>0.75</v>
      </c>
      <c r="P598">
        <v>0.1343</v>
      </c>
      <c r="Q598">
        <v>1</v>
      </c>
      <c r="R598">
        <v>2</v>
      </c>
      <c r="S598">
        <v>3</v>
      </c>
    </row>
    <row r="599" spans="1:19" x14ac:dyDescent="0.3">
      <c r="A599">
        <v>598</v>
      </c>
      <c r="B599" s="4">
        <v>40571</v>
      </c>
      <c r="C599">
        <v>1</v>
      </c>
      <c r="D599">
        <v>2</v>
      </c>
      <c r="E599" t="str">
        <f t="shared" si="27"/>
        <v>2 AM</v>
      </c>
      <c r="F599" t="str">
        <f t="shared" si="28"/>
        <v>Night</v>
      </c>
      <c r="G599" t="b">
        <v>0</v>
      </c>
      <c r="H599">
        <v>5</v>
      </c>
      <c r="I599" t="str">
        <f>_xlfn.XLOOKUP(Append15[[#This Row],[Week day]],Mappings!$B$3:$B$9,Mappings!$C$3:$C$9)</f>
        <v>Friday</v>
      </c>
      <c r="J599" t="str">
        <f t="shared" si="29"/>
        <v>Weekday</v>
      </c>
      <c r="K599">
        <v>2</v>
      </c>
      <c r="L599" t="str">
        <f>_xlfn.XLOOKUP(Append15[[#This Row],[WeatherSituation]],Mappings!$E$3:$E$6,Mappings!$F$3:$F$6)</f>
        <v>Mist/Cloudy</v>
      </c>
      <c r="M599">
        <v>0.2</v>
      </c>
      <c r="N599">
        <v>0.21210000000000001</v>
      </c>
      <c r="O599">
        <v>0.75</v>
      </c>
      <c r="P599">
        <v>0.16420000000000001</v>
      </c>
      <c r="Q599">
        <v>0</v>
      </c>
      <c r="R599">
        <v>2</v>
      </c>
      <c r="S599">
        <v>2</v>
      </c>
    </row>
    <row r="600" spans="1:19" x14ac:dyDescent="0.3">
      <c r="A600">
        <v>599</v>
      </c>
      <c r="B600" s="4">
        <v>40571</v>
      </c>
      <c r="C600">
        <v>1</v>
      </c>
      <c r="D600">
        <v>3</v>
      </c>
      <c r="E600" t="str">
        <f t="shared" si="27"/>
        <v>3 AM</v>
      </c>
      <c r="F600" t="str">
        <f t="shared" si="28"/>
        <v>Night</v>
      </c>
      <c r="G600" t="b">
        <v>0</v>
      </c>
      <c r="H600">
        <v>5</v>
      </c>
      <c r="I600" t="str">
        <f>_xlfn.XLOOKUP(Append15[[#This Row],[Week day]],Mappings!$B$3:$B$9,Mappings!$C$3:$C$9)</f>
        <v>Friday</v>
      </c>
      <c r="J600" t="str">
        <f t="shared" si="29"/>
        <v>Weekday</v>
      </c>
      <c r="K600">
        <v>2</v>
      </c>
      <c r="L600" t="str">
        <f>_xlfn.XLOOKUP(Append15[[#This Row],[WeatherSituation]],Mappings!$E$3:$E$6,Mappings!$F$3:$F$6)</f>
        <v>Mist/Cloudy</v>
      </c>
      <c r="M600">
        <v>0.2</v>
      </c>
      <c r="N600">
        <v>0.2273</v>
      </c>
      <c r="O600">
        <v>0.75</v>
      </c>
      <c r="P600">
        <v>0.1045</v>
      </c>
      <c r="Q600">
        <v>1</v>
      </c>
      <c r="R600">
        <v>0</v>
      </c>
      <c r="S600">
        <v>1</v>
      </c>
    </row>
    <row r="601" spans="1:19" x14ac:dyDescent="0.3">
      <c r="A601">
        <v>600</v>
      </c>
      <c r="B601" s="4">
        <v>40571</v>
      </c>
      <c r="C601">
        <v>1</v>
      </c>
      <c r="D601">
        <v>5</v>
      </c>
      <c r="E601" t="str">
        <f t="shared" si="27"/>
        <v>5 AM</v>
      </c>
      <c r="F601" t="str">
        <f t="shared" si="28"/>
        <v>Morning</v>
      </c>
      <c r="G601" t="b">
        <v>0</v>
      </c>
      <c r="H601">
        <v>5</v>
      </c>
      <c r="I601" t="str">
        <f>_xlfn.XLOOKUP(Append15[[#This Row],[Week day]],Mappings!$B$3:$B$9,Mappings!$C$3:$C$9)</f>
        <v>Friday</v>
      </c>
      <c r="J601" t="str">
        <f t="shared" si="29"/>
        <v>Weekday</v>
      </c>
      <c r="K601">
        <v>2</v>
      </c>
      <c r="L601" t="str">
        <f>_xlfn.XLOOKUP(Append15[[#This Row],[WeatherSituation]],Mappings!$E$3:$E$6,Mappings!$F$3:$F$6)</f>
        <v>Mist/Cloudy</v>
      </c>
      <c r="M601">
        <v>0.18</v>
      </c>
      <c r="N601">
        <v>0.21210000000000001</v>
      </c>
      <c r="O601">
        <v>0.8</v>
      </c>
      <c r="P601">
        <v>0.1045</v>
      </c>
      <c r="Q601">
        <v>0</v>
      </c>
      <c r="R601">
        <v>4</v>
      </c>
      <c r="S601">
        <v>4</v>
      </c>
    </row>
    <row r="602" spans="1:19" x14ac:dyDescent="0.3">
      <c r="A602">
        <v>601</v>
      </c>
      <c r="B602" s="4">
        <v>40571</v>
      </c>
      <c r="C602">
        <v>1</v>
      </c>
      <c r="D602">
        <v>6</v>
      </c>
      <c r="E602" t="str">
        <f t="shared" si="27"/>
        <v>6 AM</v>
      </c>
      <c r="F602" t="str">
        <f t="shared" si="28"/>
        <v>Morning</v>
      </c>
      <c r="G602" t="b">
        <v>0</v>
      </c>
      <c r="H602">
        <v>5</v>
      </c>
      <c r="I602" t="str">
        <f>_xlfn.XLOOKUP(Append15[[#This Row],[Week day]],Mappings!$B$3:$B$9,Mappings!$C$3:$C$9)</f>
        <v>Friday</v>
      </c>
      <c r="J602" t="str">
        <f t="shared" si="29"/>
        <v>Weekday</v>
      </c>
      <c r="K602">
        <v>2</v>
      </c>
      <c r="L602" t="str">
        <f>_xlfn.XLOOKUP(Append15[[#This Row],[WeatherSituation]],Mappings!$E$3:$E$6,Mappings!$F$3:$F$6)</f>
        <v>Mist/Cloudy</v>
      </c>
      <c r="M602">
        <v>0.18</v>
      </c>
      <c r="N602">
        <v>0.19700000000000001</v>
      </c>
      <c r="O602">
        <v>0.8</v>
      </c>
      <c r="P602">
        <v>0.1343</v>
      </c>
      <c r="Q602">
        <v>0</v>
      </c>
      <c r="R602">
        <v>16</v>
      </c>
      <c r="S602">
        <v>16</v>
      </c>
    </row>
    <row r="603" spans="1:19" x14ac:dyDescent="0.3">
      <c r="A603">
        <v>602</v>
      </c>
      <c r="B603" s="4">
        <v>40571</v>
      </c>
      <c r="C603">
        <v>1</v>
      </c>
      <c r="D603">
        <v>7</v>
      </c>
      <c r="E603" t="str">
        <f t="shared" si="27"/>
        <v>7 AM</v>
      </c>
      <c r="F603" t="str">
        <f t="shared" si="28"/>
        <v>Morning</v>
      </c>
      <c r="G603" t="b">
        <v>0</v>
      </c>
      <c r="H603">
        <v>5</v>
      </c>
      <c r="I603" t="str">
        <f>_xlfn.XLOOKUP(Append15[[#This Row],[Week day]],Mappings!$B$3:$B$9,Mappings!$C$3:$C$9)</f>
        <v>Friday</v>
      </c>
      <c r="J603" t="str">
        <f t="shared" si="29"/>
        <v>Weekday</v>
      </c>
      <c r="K603">
        <v>2</v>
      </c>
      <c r="L603" t="str">
        <f>_xlfn.XLOOKUP(Append15[[#This Row],[WeatherSituation]],Mappings!$E$3:$E$6,Mappings!$F$3:$F$6)</f>
        <v>Mist/Cloudy</v>
      </c>
      <c r="M603">
        <v>0.16</v>
      </c>
      <c r="N603">
        <v>0.19700000000000001</v>
      </c>
      <c r="O603">
        <v>0.86</v>
      </c>
      <c r="P603">
        <v>8.9599999999999999E-2</v>
      </c>
      <c r="Q603">
        <v>2</v>
      </c>
      <c r="R603">
        <v>58</v>
      </c>
      <c r="S603">
        <v>60</v>
      </c>
    </row>
    <row r="604" spans="1:19" x14ac:dyDescent="0.3">
      <c r="A604">
        <v>603</v>
      </c>
      <c r="B604" s="4">
        <v>40571</v>
      </c>
      <c r="C604">
        <v>1</v>
      </c>
      <c r="D604">
        <v>8</v>
      </c>
      <c r="E604" t="str">
        <f t="shared" si="27"/>
        <v>8 AM</v>
      </c>
      <c r="F604" t="str">
        <f t="shared" si="28"/>
        <v>Morning</v>
      </c>
      <c r="G604" t="b">
        <v>0</v>
      </c>
      <c r="H604">
        <v>5</v>
      </c>
      <c r="I604" t="str">
        <f>_xlfn.XLOOKUP(Append15[[#This Row],[Week day]],Mappings!$B$3:$B$9,Mappings!$C$3:$C$9)</f>
        <v>Friday</v>
      </c>
      <c r="J604" t="str">
        <f t="shared" si="29"/>
        <v>Weekday</v>
      </c>
      <c r="K604">
        <v>2</v>
      </c>
      <c r="L604" t="str">
        <f>_xlfn.XLOOKUP(Append15[[#This Row],[WeatherSituation]],Mappings!$E$3:$E$6,Mappings!$F$3:$F$6)</f>
        <v>Mist/Cloudy</v>
      </c>
      <c r="M604">
        <v>0.16</v>
      </c>
      <c r="N604">
        <v>0.19700000000000001</v>
      </c>
      <c r="O604">
        <v>0.86</v>
      </c>
      <c r="P604">
        <v>8.9599999999999999E-2</v>
      </c>
      <c r="Q604">
        <v>2</v>
      </c>
      <c r="R604">
        <v>155</v>
      </c>
      <c r="S604">
        <v>157</v>
      </c>
    </row>
    <row r="605" spans="1:19" x14ac:dyDescent="0.3">
      <c r="A605">
        <v>604</v>
      </c>
      <c r="B605" s="4">
        <v>40571</v>
      </c>
      <c r="C605">
        <v>1</v>
      </c>
      <c r="D605">
        <v>9</v>
      </c>
      <c r="E605" t="str">
        <f t="shared" si="27"/>
        <v>9 AM</v>
      </c>
      <c r="F605" t="str">
        <f t="shared" si="28"/>
        <v>Morning</v>
      </c>
      <c r="G605" t="b">
        <v>0</v>
      </c>
      <c r="H605">
        <v>5</v>
      </c>
      <c r="I605" t="str">
        <f>_xlfn.XLOOKUP(Append15[[#This Row],[Week day]],Mappings!$B$3:$B$9,Mappings!$C$3:$C$9)</f>
        <v>Friday</v>
      </c>
      <c r="J605" t="str">
        <f t="shared" si="29"/>
        <v>Weekday</v>
      </c>
      <c r="K605">
        <v>3</v>
      </c>
      <c r="L605" t="str">
        <f>_xlfn.XLOOKUP(Append15[[#This Row],[WeatherSituation]],Mappings!$E$3:$E$6,Mappings!$F$3:$F$6)</f>
        <v>Light Rain</v>
      </c>
      <c r="M605">
        <v>0.18</v>
      </c>
      <c r="N605">
        <v>0.21210000000000001</v>
      </c>
      <c r="O605">
        <v>0.86</v>
      </c>
      <c r="P605">
        <v>8.9599999999999999E-2</v>
      </c>
      <c r="Q605">
        <v>6</v>
      </c>
      <c r="R605">
        <v>95</v>
      </c>
      <c r="S605">
        <v>101</v>
      </c>
    </row>
    <row r="606" spans="1:19" x14ac:dyDescent="0.3">
      <c r="A606">
        <v>605</v>
      </c>
      <c r="B606" s="4">
        <v>40571</v>
      </c>
      <c r="C606">
        <v>1</v>
      </c>
      <c r="D606">
        <v>10</v>
      </c>
      <c r="E606" t="str">
        <f t="shared" si="27"/>
        <v>10 AM</v>
      </c>
      <c r="F606" t="str">
        <f t="shared" si="28"/>
        <v>Morning</v>
      </c>
      <c r="G606" t="b">
        <v>0</v>
      </c>
      <c r="H606">
        <v>5</v>
      </c>
      <c r="I606" t="str">
        <f>_xlfn.XLOOKUP(Append15[[#This Row],[Week day]],Mappings!$B$3:$B$9,Mappings!$C$3:$C$9)</f>
        <v>Friday</v>
      </c>
      <c r="J606" t="str">
        <f t="shared" si="29"/>
        <v>Weekday</v>
      </c>
      <c r="K606">
        <v>3</v>
      </c>
      <c r="L606" t="str">
        <f>_xlfn.XLOOKUP(Append15[[#This Row],[WeatherSituation]],Mappings!$E$3:$E$6,Mappings!$F$3:$F$6)</f>
        <v>Light Rain</v>
      </c>
      <c r="M606">
        <v>0.18</v>
      </c>
      <c r="N606">
        <v>0.21210000000000001</v>
      </c>
      <c r="O606">
        <v>0.86</v>
      </c>
      <c r="P606">
        <v>0.1045</v>
      </c>
      <c r="Q606">
        <v>0</v>
      </c>
      <c r="R606">
        <v>49</v>
      </c>
      <c r="S606">
        <v>49</v>
      </c>
    </row>
    <row r="607" spans="1:19" x14ac:dyDescent="0.3">
      <c r="A607">
        <v>606</v>
      </c>
      <c r="B607" s="4">
        <v>40571</v>
      </c>
      <c r="C607">
        <v>1</v>
      </c>
      <c r="D607">
        <v>11</v>
      </c>
      <c r="E607" t="str">
        <f t="shared" si="27"/>
        <v>11 AM</v>
      </c>
      <c r="F607" t="str">
        <f t="shared" si="28"/>
        <v>Morning</v>
      </c>
      <c r="G607" t="b">
        <v>0</v>
      </c>
      <c r="H607">
        <v>5</v>
      </c>
      <c r="I607" t="str">
        <f>_xlfn.XLOOKUP(Append15[[#This Row],[Week day]],Mappings!$B$3:$B$9,Mappings!$C$3:$C$9)</f>
        <v>Friday</v>
      </c>
      <c r="J607" t="str">
        <f t="shared" si="29"/>
        <v>Weekday</v>
      </c>
      <c r="K607">
        <v>3</v>
      </c>
      <c r="L607" t="str">
        <f>_xlfn.XLOOKUP(Append15[[#This Row],[WeatherSituation]],Mappings!$E$3:$E$6,Mappings!$F$3:$F$6)</f>
        <v>Light Rain</v>
      </c>
      <c r="M607">
        <v>0.18</v>
      </c>
      <c r="N607">
        <v>0.21210000000000001</v>
      </c>
      <c r="O607">
        <v>0.93</v>
      </c>
      <c r="P607">
        <v>0.1045</v>
      </c>
      <c r="Q607">
        <v>0</v>
      </c>
      <c r="R607">
        <v>30</v>
      </c>
      <c r="S607">
        <v>30</v>
      </c>
    </row>
    <row r="608" spans="1:19" x14ac:dyDescent="0.3">
      <c r="A608">
        <v>607</v>
      </c>
      <c r="B608" s="4">
        <v>40571</v>
      </c>
      <c r="C608">
        <v>1</v>
      </c>
      <c r="D608">
        <v>12</v>
      </c>
      <c r="E608" t="str">
        <f t="shared" si="27"/>
        <v>12 PM</v>
      </c>
      <c r="F608" t="str">
        <f t="shared" si="28"/>
        <v>AfterNoon</v>
      </c>
      <c r="G608" t="b">
        <v>0</v>
      </c>
      <c r="H608">
        <v>5</v>
      </c>
      <c r="I608" t="str">
        <f>_xlfn.XLOOKUP(Append15[[#This Row],[Week day]],Mappings!$B$3:$B$9,Mappings!$C$3:$C$9)</f>
        <v>Friday</v>
      </c>
      <c r="J608" t="str">
        <f t="shared" si="29"/>
        <v>Weekday</v>
      </c>
      <c r="K608">
        <v>3</v>
      </c>
      <c r="L608" t="str">
        <f>_xlfn.XLOOKUP(Append15[[#This Row],[WeatherSituation]],Mappings!$E$3:$E$6,Mappings!$F$3:$F$6)</f>
        <v>Light Rain</v>
      </c>
      <c r="M608">
        <v>0.18</v>
      </c>
      <c r="N608">
        <v>0.21210000000000001</v>
      </c>
      <c r="O608">
        <v>0.93</v>
      </c>
      <c r="P608">
        <v>0.1045</v>
      </c>
      <c r="Q608">
        <v>1</v>
      </c>
      <c r="R608">
        <v>28</v>
      </c>
      <c r="S608">
        <v>29</v>
      </c>
    </row>
    <row r="609" spans="1:19" x14ac:dyDescent="0.3">
      <c r="A609">
        <v>608</v>
      </c>
      <c r="B609" s="4">
        <v>40571</v>
      </c>
      <c r="C609">
        <v>1</v>
      </c>
      <c r="D609">
        <v>13</v>
      </c>
      <c r="E609" t="str">
        <f t="shared" si="27"/>
        <v>1 PM</v>
      </c>
      <c r="F609" t="str">
        <f t="shared" si="28"/>
        <v>AfterNoon</v>
      </c>
      <c r="G609" t="b">
        <v>0</v>
      </c>
      <c r="H609">
        <v>5</v>
      </c>
      <c r="I609" t="str">
        <f>_xlfn.XLOOKUP(Append15[[#This Row],[Week day]],Mappings!$B$3:$B$9,Mappings!$C$3:$C$9)</f>
        <v>Friday</v>
      </c>
      <c r="J609" t="str">
        <f t="shared" si="29"/>
        <v>Weekday</v>
      </c>
      <c r="K609">
        <v>3</v>
      </c>
      <c r="L609" t="str">
        <f>_xlfn.XLOOKUP(Append15[[#This Row],[WeatherSituation]],Mappings!$E$3:$E$6,Mappings!$F$3:$F$6)</f>
        <v>Light Rain</v>
      </c>
      <c r="M609">
        <v>0.18</v>
      </c>
      <c r="N609">
        <v>0.21210000000000001</v>
      </c>
      <c r="O609">
        <v>0.93</v>
      </c>
      <c r="P609">
        <v>0.1045</v>
      </c>
      <c r="Q609">
        <v>0</v>
      </c>
      <c r="R609">
        <v>31</v>
      </c>
      <c r="S609">
        <v>31</v>
      </c>
    </row>
    <row r="610" spans="1:19" x14ac:dyDescent="0.3">
      <c r="A610">
        <v>609</v>
      </c>
      <c r="B610" s="4">
        <v>40571</v>
      </c>
      <c r="C610">
        <v>1</v>
      </c>
      <c r="D610">
        <v>14</v>
      </c>
      <c r="E610" t="str">
        <f t="shared" si="27"/>
        <v>2 PM</v>
      </c>
      <c r="F610" t="str">
        <f t="shared" si="28"/>
        <v>AfterNoon</v>
      </c>
      <c r="G610" t="b">
        <v>0</v>
      </c>
      <c r="H610">
        <v>5</v>
      </c>
      <c r="I610" t="str">
        <f>_xlfn.XLOOKUP(Append15[[#This Row],[Week day]],Mappings!$B$3:$B$9,Mappings!$C$3:$C$9)</f>
        <v>Friday</v>
      </c>
      <c r="J610" t="str">
        <f t="shared" si="29"/>
        <v>Weekday</v>
      </c>
      <c r="K610">
        <v>3</v>
      </c>
      <c r="L610" t="str">
        <f>_xlfn.XLOOKUP(Append15[[#This Row],[WeatherSituation]],Mappings!$E$3:$E$6,Mappings!$F$3:$F$6)</f>
        <v>Light Rain</v>
      </c>
      <c r="M610">
        <v>0.22</v>
      </c>
      <c r="N610">
        <v>0.2727</v>
      </c>
      <c r="O610">
        <v>0.8</v>
      </c>
      <c r="P610">
        <v>0</v>
      </c>
      <c r="Q610">
        <v>2</v>
      </c>
      <c r="R610">
        <v>36</v>
      </c>
      <c r="S610">
        <v>38</v>
      </c>
    </row>
    <row r="611" spans="1:19" x14ac:dyDescent="0.3">
      <c r="A611">
        <v>610</v>
      </c>
      <c r="B611" s="4">
        <v>40571</v>
      </c>
      <c r="C611">
        <v>1</v>
      </c>
      <c r="D611">
        <v>15</v>
      </c>
      <c r="E611" t="str">
        <f t="shared" si="27"/>
        <v>3 PM</v>
      </c>
      <c r="F611" t="str">
        <f t="shared" si="28"/>
        <v>AfterNoon</v>
      </c>
      <c r="G611" t="b">
        <v>0</v>
      </c>
      <c r="H611">
        <v>5</v>
      </c>
      <c r="I611" t="str">
        <f>_xlfn.XLOOKUP(Append15[[#This Row],[Week day]],Mappings!$B$3:$B$9,Mappings!$C$3:$C$9)</f>
        <v>Friday</v>
      </c>
      <c r="J611" t="str">
        <f t="shared" si="29"/>
        <v>Weekday</v>
      </c>
      <c r="K611">
        <v>2</v>
      </c>
      <c r="L611" t="str">
        <f>_xlfn.XLOOKUP(Append15[[#This Row],[WeatherSituation]],Mappings!$E$3:$E$6,Mappings!$F$3:$F$6)</f>
        <v>Mist/Cloudy</v>
      </c>
      <c r="M611">
        <v>0.2</v>
      </c>
      <c r="N611">
        <v>0.2576</v>
      </c>
      <c r="O611">
        <v>0.86</v>
      </c>
      <c r="P611">
        <v>0</v>
      </c>
      <c r="Q611">
        <v>1</v>
      </c>
      <c r="R611">
        <v>40</v>
      </c>
      <c r="S611">
        <v>41</v>
      </c>
    </row>
    <row r="612" spans="1:19" x14ac:dyDescent="0.3">
      <c r="A612">
        <v>611</v>
      </c>
      <c r="B612" s="4">
        <v>40571</v>
      </c>
      <c r="C612">
        <v>1</v>
      </c>
      <c r="D612">
        <v>16</v>
      </c>
      <c r="E612" t="str">
        <f t="shared" si="27"/>
        <v>4 PM</v>
      </c>
      <c r="F612" t="str">
        <f t="shared" si="28"/>
        <v>Evening</v>
      </c>
      <c r="G612" t="b">
        <v>0</v>
      </c>
      <c r="H612">
        <v>5</v>
      </c>
      <c r="I612" t="str">
        <f>_xlfn.XLOOKUP(Append15[[#This Row],[Week day]],Mappings!$B$3:$B$9,Mappings!$C$3:$C$9)</f>
        <v>Friday</v>
      </c>
      <c r="J612" t="str">
        <f t="shared" si="29"/>
        <v>Weekday</v>
      </c>
      <c r="K612">
        <v>1</v>
      </c>
      <c r="L612" t="str">
        <f>_xlfn.XLOOKUP(Append15[[#This Row],[WeatherSituation]],Mappings!$E$3:$E$6,Mappings!$F$3:$F$6)</f>
        <v>Clear Sky</v>
      </c>
      <c r="M612">
        <v>0.22</v>
      </c>
      <c r="N612">
        <v>0.2727</v>
      </c>
      <c r="O612">
        <v>0.8</v>
      </c>
      <c r="P612">
        <v>0</v>
      </c>
      <c r="Q612">
        <v>10</v>
      </c>
      <c r="R612">
        <v>70</v>
      </c>
      <c r="S612">
        <v>80</v>
      </c>
    </row>
    <row r="613" spans="1:19" x14ac:dyDescent="0.3">
      <c r="A613">
        <v>612</v>
      </c>
      <c r="B613" s="4">
        <v>40571</v>
      </c>
      <c r="C613">
        <v>1</v>
      </c>
      <c r="D613">
        <v>17</v>
      </c>
      <c r="E613" t="str">
        <f t="shared" si="27"/>
        <v>5 PM</v>
      </c>
      <c r="F613" t="str">
        <f t="shared" si="28"/>
        <v>Evening</v>
      </c>
      <c r="G613" t="b">
        <v>0</v>
      </c>
      <c r="H613">
        <v>5</v>
      </c>
      <c r="I613" t="str">
        <f>_xlfn.XLOOKUP(Append15[[#This Row],[Week day]],Mappings!$B$3:$B$9,Mappings!$C$3:$C$9)</f>
        <v>Friday</v>
      </c>
      <c r="J613" t="str">
        <f t="shared" si="29"/>
        <v>Weekday</v>
      </c>
      <c r="K613">
        <v>1</v>
      </c>
      <c r="L613" t="str">
        <f>_xlfn.XLOOKUP(Append15[[#This Row],[WeatherSituation]],Mappings!$E$3:$E$6,Mappings!$F$3:$F$6)</f>
        <v>Clear Sky</v>
      </c>
      <c r="M613">
        <v>0.24</v>
      </c>
      <c r="N613">
        <v>0.2424</v>
      </c>
      <c r="O613">
        <v>0.75</v>
      </c>
      <c r="P613">
        <v>0.1343</v>
      </c>
      <c r="Q613">
        <v>2</v>
      </c>
      <c r="R613">
        <v>147</v>
      </c>
      <c r="S613">
        <v>149</v>
      </c>
    </row>
    <row r="614" spans="1:19" x14ac:dyDescent="0.3">
      <c r="A614">
        <v>613</v>
      </c>
      <c r="B614" s="4">
        <v>40571</v>
      </c>
      <c r="C614">
        <v>1</v>
      </c>
      <c r="D614">
        <v>18</v>
      </c>
      <c r="E614" t="str">
        <f t="shared" si="27"/>
        <v>6 PM</v>
      </c>
      <c r="F614" t="str">
        <f t="shared" si="28"/>
        <v>Evening</v>
      </c>
      <c r="G614" t="b">
        <v>0</v>
      </c>
      <c r="H614">
        <v>5</v>
      </c>
      <c r="I614" t="str">
        <f>_xlfn.XLOOKUP(Append15[[#This Row],[Week day]],Mappings!$B$3:$B$9,Mappings!$C$3:$C$9)</f>
        <v>Friday</v>
      </c>
      <c r="J614" t="str">
        <f t="shared" si="29"/>
        <v>Weekday</v>
      </c>
      <c r="K614">
        <v>1</v>
      </c>
      <c r="L614" t="str">
        <f>_xlfn.XLOOKUP(Append15[[#This Row],[WeatherSituation]],Mappings!$E$3:$E$6,Mappings!$F$3:$F$6)</f>
        <v>Clear Sky</v>
      </c>
      <c r="M614">
        <v>0.24</v>
      </c>
      <c r="N614">
        <v>0.2273</v>
      </c>
      <c r="O614">
        <v>0.75</v>
      </c>
      <c r="P614">
        <v>0.19400000000000001</v>
      </c>
      <c r="Q614">
        <v>2</v>
      </c>
      <c r="R614">
        <v>107</v>
      </c>
      <c r="S614">
        <v>109</v>
      </c>
    </row>
    <row r="615" spans="1:19" x14ac:dyDescent="0.3">
      <c r="A615">
        <v>614</v>
      </c>
      <c r="B615" s="4">
        <v>40571</v>
      </c>
      <c r="C615">
        <v>1</v>
      </c>
      <c r="D615">
        <v>19</v>
      </c>
      <c r="E615" t="str">
        <f t="shared" si="27"/>
        <v>7 PM</v>
      </c>
      <c r="F615" t="str">
        <f t="shared" si="28"/>
        <v>Evening</v>
      </c>
      <c r="G615" t="b">
        <v>0</v>
      </c>
      <c r="H615">
        <v>5</v>
      </c>
      <c r="I615" t="str">
        <f>_xlfn.XLOOKUP(Append15[[#This Row],[Week day]],Mappings!$B$3:$B$9,Mappings!$C$3:$C$9)</f>
        <v>Friday</v>
      </c>
      <c r="J615" t="str">
        <f t="shared" si="29"/>
        <v>Weekday</v>
      </c>
      <c r="K615">
        <v>2</v>
      </c>
      <c r="L615" t="str">
        <f>_xlfn.XLOOKUP(Append15[[#This Row],[WeatherSituation]],Mappings!$E$3:$E$6,Mappings!$F$3:$F$6)</f>
        <v>Mist/Cloudy</v>
      </c>
      <c r="M615">
        <v>0.24</v>
      </c>
      <c r="N615">
        <v>0.2424</v>
      </c>
      <c r="O615">
        <v>0.75</v>
      </c>
      <c r="P615">
        <v>0.1343</v>
      </c>
      <c r="Q615">
        <v>5</v>
      </c>
      <c r="R615">
        <v>84</v>
      </c>
      <c r="S615">
        <v>89</v>
      </c>
    </row>
    <row r="616" spans="1:19" x14ac:dyDescent="0.3">
      <c r="A616">
        <v>615</v>
      </c>
      <c r="B616" s="4">
        <v>40571</v>
      </c>
      <c r="C616">
        <v>1</v>
      </c>
      <c r="D616">
        <v>20</v>
      </c>
      <c r="E616" t="str">
        <f t="shared" si="27"/>
        <v>8 PM</v>
      </c>
      <c r="F616" t="str">
        <f t="shared" si="28"/>
        <v>Night</v>
      </c>
      <c r="G616" t="b">
        <v>0</v>
      </c>
      <c r="H616">
        <v>5</v>
      </c>
      <c r="I616" t="str">
        <f>_xlfn.XLOOKUP(Append15[[#This Row],[Week day]],Mappings!$B$3:$B$9,Mappings!$C$3:$C$9)</f>
        <v>Friday</v>
      </c>
      <c r="J616" t="str">
        <f t="shared" si="29"/>
        <v>Weekday</v>
      </c>
      <c r="K616">
        <v>2</v>
      </c>
      <c r="L616" t="str">
        <f>_xlfn.XLOOKUP(Append15[[#This Row],[WeatherSituation]],Mappings!$E$3:$E$6,Mappings!$F$3:$F$6)</f>
        <v>Mist/Cloudy</v>
      </c>
      <c r="M616">
        <v>0.24</v>
      </c>
      <c r="N616">
        <v>0.2273</v>
      </c>
      <c r="O616">
        <v>0.7</v>
      </c>
      <c r="P616">
        <v>0.19400000000000001</v>
      </c>
      <c r="Q616">
        <v>1</v>
      </c>
      <c r="R616">
        <v>61</v>
      </c>
      <c r="S616">
        <v>62</v>
      </c>
    </row>
    <row r="617" spans="1:19" x14ac:dyDescent="0.3">
      <c r="A617">
        <v>616</v>
      </c>
      <c r="B617" s="4">
        <v>40571</v>
      </c>
      <c r="C617">
        <v>1</v>
      </c>
      <c r="D617">
        <v>21</v>
      </c>
      <c r="E617" t="str">
        <f t="shared" si="27"/>
        <v>9 PM</v>
      </c>
      <c r="F617" t="str">
        <f t="shared" si="28"/>
        <v>Night</v>
      </c>
      <c r="G617" t="b">
        <v>0</v>
      </c>
      <c r="H617">
        <v>5</v>
      </c>
      <c r="I617" t="str">
        <f>_xlfn.XLOOKUP(Append15[[#This Row],[Week day]],Mappings!$B$3:$B$9,Mappings!$C$3:$C$9)</f>
        <v>Friday</v>
      </c>
      <c r="J617" t="str">
        <f t="shared" si="29"/>
        <v>Weekday</v>
      </c>
      <c r="K617">
        <v>2</v>
      </c>
      <c r="L617" t="str">
        <f>_xlfn.XLOOKUP(Append15[[#This Row],[WeatherSituation]],Mappings!$E$3:$E$6,Mappings!$F$3:$F$6)</f>
        <v>Mist/Cloudy</v>
      </c>
      <c r="M617">
        <v>0.22</v>
      </c>
      <c r="N617">
        <v>0.2273</v>
      </c>
      <c r="O617">
        <v>0.75</v>
      </c>
      <c r="P617">
        <v>0.1343</v>
      </c>
      <c r="Q617">
        <v>1</v>
      </c>
      <c r="R617">
        <v>57</v>
      </c>
      <c r="S617">
        <v>58</v>
      </c>
    </row>
    <row r="618" spans="1:19" x14ac:dyDescent="0.3">
      <c r="A618">
        <v>617</v>
      </c>
      <c r="B618" s="4">
        <v>40571</v>
      </c>
      <c r="C618">
        <v>1</v>
      </c>
      <c r="D618">
        <v>22</v>
      </c>
      <c r="E618" t="str">
        <f t="shared" si="27"/>
        <v>10 PM</v>
      </c>
      <c r="F618" t="str">
        <f t="shared" si="28"/>
        <v>Night</v>
      </c>
      <c r="G618" t="b">
        <v>0</v>
      </c>
      <c r="H618">
        <v>5</v>
      </c>
      <c r="I618" t="str">
        <f>_xlfn.XLOOKUP(Append15[[#This Row],[Week day]],Mappings!$B$3:$B$9,Mappings!$C$3:$C$9)</f>
        <v>Friday</v>
      </c>
      <c r="J618" t="str">
        <f t="shared" si="29"/>
        <v>Weekday</v>
      </c>
      <c r="K618">
        <v>1</v>
      </c>
      <c r="L618" t="str">
        <f>_xlfn.XLOOKUP(Append15[[#This Row],[WeatherSituation]],Mappings!$E$3:$E$6,Mappings!$F$3:$F$6)</f>
        <v>Clear Sky</v>
      </c>
      <c r="M618">
        <v>0.24</v>
      </c>
      <c r="N618">
        <v>0.21210000000000001</v>
      </c>
      <c r="O618">
        <v>0.65</v>
      </c>
      <c r="P618">
        <v>0.35820000000000002</v>
      </c>
      <c r="Q618">
        <v>0</v>
      </c>
      <c r="R618">
        <v>26</v>
      </c>
      <c r="S618">
        <v>26</v>
      </c>
    </row>
    <row r="619" spans="1:19" x14ac:dyDescent="0.3">
      <c r="A619">
        <v>618</v>
      </c>
      <c r="B619" s="4">
        <v>40571</v>
      </c>
      <c r="C619">
        <v>1</v>
      </c>
      <c r="D619">
        <v>23</v>
      </c>
      <c r="E619" t="str">
        <f t="shared" si="27"/>
        <v>11 PM</v>
      </c>
      <c r="F619" t="str">
        <f t="shared" si="28"/>
        <v>Night</v>
      </c>
      <c r="G619" t="b">
        <v>0</v>
      </c>
      <c r="H619">
        <v>5</v>
      </c>
      <c r="I619" t="str">
        <f>_xlfn.XLOOKUP(Append15[[#This Row],[Week day]],Mappings!$B$3:$B$9,Mappings!$C$3:$C$9)</f>
        <v>Friday</v>
      </c>
      <c r="J619" t="str">
        <f t="shared" si="29"/>
        <v>Weekday</v>
      </c>
      <c r="K619">
        <v>1</v>
      </c>
      <c r="L619" t="str">
        <f>_xlfn.XLOOKUP(Append15[[#This Row],[WeatherSituation]],Mappings!$E$3:$E$6,Mappings!$F$3:$F$6)</f>
        <v>Clear Sky</v>
      </c>
      <c r="M619">
        <v>0.24</v>
      </c>
      <c r="N619">
        <v>0.2273</v>
      </c>
      <c r="O619">
        <v>0.6</v>
      </c>
      <c r="P619">
        <v>0.22389999999999999</v>
      </c>
      <c r="Q619">
        <v>1</v>
      </c>
      <c r="R619">
        <v>22</v>
      </c>
      <c r="S619">
        <v>23</v>
      </c>
    </row>
    <row r="620" spans="1:19" x14ac:dyDescent="0.3">
      <c r="A620">
        <v>619</v>
      </c>
      <c r="B620" s="4">
        <v>40572</v>
      </c>
      <c r="C620">
        <v>1</v>
      </c>
      <c r="D620">
        <v>0</v>
      </c>
      <c r="E620" t="str">
        <f t="shared" si="27"/>
        <v>12 AM</v>
      </c>
      <c r="F620" t="str">
        <f t="shared" si="28"/>
        <v>Night</v>
      </c>
      <c r="G620" t="b">
        <v>0</v>
      </c>
      <c r="H620">
        <v>6</v>
      </c>
      <c r="I620" t="str">
        <f>_xlfn.XLOOKUP(Append15[[#This Row],[Week day]],Mappings!$B$3:$B$9,Mappings!$C$3:$C$9)</f>
        <v>Saturday</v>
      </c>
      <c r="J620" t="str">
        <f t="shared" si="29"/>
        <v>Weekend</v>
      </c>
      <c r="K620">
        <v>1</v>
      </c>
      <c r="L620" t="str">
        <f>_xlfn.XLOOKUP(Append15[[#This Row],[WeatherSituation]],Mappings!$E$3:$E$6,Mappings!$F$3:$F$6)</f>
        <v>Clear Sky</v>
      </c>
      <c r="M620">
        <v>0.22</v>
      </c>
      <c r="N620">
        <v>0.19700000000000001</v>
      </c>
      <c r="O620">
        <v>0.64</v>
      </c>
      <c r="P620">
        <v>0.35820000000000002</v>
      </c>
      <c r="Q620">
        <v>2</v>
      </c>
      <c r="R620">
        <v>26</v>
      </c>
      <c r="S620">
        <v>28</v>
      </c>
    </row>
    <row r="621" spans="1:19" x14ac:dyDescent="0.3">
      <c r="A621">
        <v>620</v>
      </c>
      <c r="B621" s="4">
        <v>40572</v>
      </c>
      <c r="C621">
        <v>1</v>
      </c>
      <c r="D621">
        <v>1</v>
      </c>
      <c r="E621" t="str">
        <f t="shared" si="27"/>
        <v>1 AM</v>
      </c>
      <c r="F621" t="str">
        <f t="shared" si="28"/>
        <v>Night</v>
      </c>
      <c r="G621" t="b">
        <v>0</v>
      </c>
      <c r="H621">
        <v>6</v>
      </c>
      <c r="I621" t="str">
        <f>_xlfn.XLOOKUP(Append15[[#This Row],[Week day]],Mappings!$B$3:$B$9,Mappings!$C$3:$C$9)</f>
        <v>Saturday</v>
      </c>
      <c r="J621" t="str">
        <f t="shared" si="29"/>
        <v>Weekend</v>
      </c>
      <c r="K621">
        <v>1</v>
      </c>
      <c r="L621" t="str">
        <f>_xlfn.XLOOKUP(Append15[[#This Row],[WeatherSituation]],Mappings!$E$3:$E$6,Mappings!$F$3:$F$6)</f>
        <v>Clear Sky</v>
      </c>
      <c r="M621">
        <v>0.22</v>
      </c>
      <c r="N621">
        <v>0.2273</v>
      </c>
      <c r="O621">
        <v>0.64</v>
      </c>
      <c r="P621">
        <v>0.19400000000000001</v>
      </c>
      <c r="Q621">
        <v>0</v>
      </c>
      <c r="R621">
        <v>20</v>
      </c>
      <c r="S621">
        <v>20</v>
      </c>
    </row>
    <row r="622" spans="1:19" x14ac:dyDescent="0.3">
      <c r="A622">
        <v>621</v>
      </c>
      <c r="B622" s="4">
        <v>40572</v>
      </c>
      <c r="C622">
        <v>1</v>
      </c>
      <c r="D622">
        <v>2</v>
      </c>
      <c r="E622" t="str">
        <f t="shared" si="27"/>
        <v>2 AM</v>
      </c>
      <c r="F622" t="str">
        <f t="shared" si="28"/>
        <v>Night</v>
      </c>
      <c r="G622" t="b">
        <v>0</v>
      </c>
      <c r="H622">
        <v>6</v>
      </c>
      <c r="I622" t="str">
        <f>_xlfn.XLOOKUP(Append15[[#This Row],[Week day]],Mappings!$B$3:$B$9,Mappings!$C$3:$C$9)</f>
        <v>Saturday</v>
      </c>
      <c r="J622" t="str">
        <f t="shared" si="29"/>
        <v>Weekend</v>
      </c>
      <c r="K622">
        <v>1</v>
      </c>
      <c r="L622" t="str">
        <f>_xlfn.XLOOKUP(Append15[[#This Row],[WeatherSituation]],Mappings!$E$3:$E$6,Mappings!$F$3:$F$6)</f>
        <v>Clear Sky</v>
      </c>
      <c r="M622">
        <v>0.22</v>
      </c>
      <c r="N622">
        <v>0.2273</v>
      </c>
      <c r="O622">
        <v>0.64</v>
      </c>
      <c r="P622">
        <v>0.16420000000000001</v>
      </c>
      <c r="Q622">
        <v>0</v>
      </c>
      <c r="R622">
        <v>15</v>
      </c>
      <c r="S622">
        <v>15</v>
      </c>
    </row>
    <row r="623" spans="1:19" x14ac:dyDescent="0.3">
      <c r="A623">
        <v>622</v>
      </c>
      <c r="B623" s="4">
        <v>40572</v>
      </c>
      <c r="C623">
        <v>1</v>
      </c>
      <c r="D623">
        <v>3</v>
      </c>
      <c r="E623" t="str">
        <f t="shared" si="27"/>
        <v>3 AM</v>
      </c>
      <c r="F623" t="str">
        <f t="shared" si="28"/>
        <v>Night</v>
      </c>
      <c r="G623" t="b">
        <v>0</v>
      </c>
      <c r="H623">
        <v>6</v>
      </c>
      <c r="I623" t="str">
        <f>_xlfn.XLOOKUP(Append15[[#This Row],[Week day]],Mappings!$B$3:$B$9,Mappings!$C$3:$C$9)</f>
        <v>Saturday</v>
      </c>
      <c r="J623" t="str">
        <f t="shared" si="29"/>
        <v>Weekend</v>
      </c>
      <c r="K623">
        <v>1</v>
      </c>
      <c r="L623" t="str">
        <f>_xlfn.XLOOKUP(Append15[[#This Row],[WeatherSituation]],Mappings!$E$3:$E$6,Mappings!$F$3:$F$6)</f>
        <v>Clear Sky</v>
      </c>
      <c r="M623">
        <v>0.2</v>
      </c>
      <c r="N623">
        <v>0.21210000000000001</v>
      </c>
      <c r="O623">
        <v>0.64</v>
      </c>
      <c r="P623">
        <v>0.1343</v>
      </c>
      <c r="Q623">
        <v>3</v>
      </c>
      <c r="R623">
        <v>5</v>
      </c>
      <c r="S623">
        <v>8</v>
      </c>
    </row>
    <row r="624" spans="1:19" x14ac:dyDescent="0.3">
      <c r="A624">
        <v>623</v>
      </c>
      <c r="B624" s="4">
        <v>40572</v>
      </c>
      <c r="C624">
        <v>1</v>
      </c>
      <c r="D624">
        <v>4</v>
      </c>
      <c r="E624" t="str">
        <f t="shared" si="27"/>
        <v>4 AM</v>
      </c>
      <c r="F624" t="str">
        <f t="shared" si="28"/>
        <v>Night</v>
      </c>
      <c r="G624" t="b">
        <v>0</v>
      </c>
      <c r="H624">
        <v>6</v>
      </c>
      <c r="I624" t="str">
        <f>_xlfn.XLOOKUP(Append15[[#This Row],[Week day]],Mappings!$B$3:$B$9,Mappings!$C$3:$C$9)</f>
        <v>Saturday</v>
      </c>
      <c r="J624" t="str">
        <f t="shared" si="29"/>
        <v>Weekend</v>
      </c>
      <c r="K624">
        <v>1</v>
      </c>
      <c r="L624" t="str">
        <f>_xlfn.XLOOKUP(Append15[[#This Row],[WeatherSituation]],Mappings!$E$3:$E$6,Mappings!$F$3:$F$6)</f>
        <v>Clear Sky</v>
      </c>
      <c r="M624">
        <v>0.16</v>
      </c>
      <c r="N624">
        <v>0.18179999999999999</v>
      </c>
      <c r="O624">
        <v>0.69</v>
      </c>
      <c r="P624">
        <v>0.1045</v>
      </c>
      <c r="Q624">
        <v>1</v>
      </c>
      <c r="R624">
        <v>2</v>
      </c>
      <c r="S624">
        <v>3</v>
      </c>
    </row>
    <row r="625" spans="1:19" x14ac:dyDescent="0.3">
      <c r="A625">
        <v>624</v>
      </c>
      <c r="B625" s="4">
        <v>40572</v>
      </c>
      <c r="C625">
        <v>1</v>
      </c>
      <c r="D625">
        <v>6</v>
      </c>
      <c r="E625" t="str">
        <f t="shared" si="27"/>
        <v>6 AM</v>
      </c>
      <c r="F625" t="str">
        <f t="shared" si="28"/>
        <v>Morning</v>
      </c>
      <c r="G625" t="b">
        <v>0</v>
      </c>
      <c r="H625">
        <v>6</v>
      </c>
      <c r="I625" t="str">
        <f>_xlfn.XLOOKUP(Append15[[#This Row],[Week day]],Mappings!$B$3:$B$9,Mappings!$C$3:$C$9)</f>
        <v>Saturday</v>
      </c>
      <c r="J625" t="str">
        <f t="shared" si="29"/>
        <v>Weekend</v>
      </c>
      <c r="K625">
        <v>1</v>
      </c>
      <c r="L625" t="str">
        <f>_xlfn.XLOOKUP(Append15[[#This Row],[WeatherSituation]],Mappings!$E$3:$E$6,Mappings!$F$3:$F$6)</f>
        <v>Clear Sky</v>
      </c>
      <c r="M625">
        <v>0.16</v>
      </c>
      <c r="N625">
        <v>0.18179999999999999</v>
      </c>
      <c r="O625">
        <v>0.64</v>
      </c>
      <c r="P625">
        <v>0.1343</v>
      </c>
      <c r="Q625">
        <v>0</v>
      </c>
      <c r="R625">
        <v>2</v>
      </c>
      <c r="S625">
        <v>2</v>
      </c>
    </row>
    <row r="626" spans="1:19" x14ac:dyDescent="0.3">
      <c r="A626">
        <v>625</v>
      </c>
      <c r="B626" s="4">
        <v>40572</v>
      </c>
      <c r="C626">
        <v>1</v>
      </c>
      <c r="D626">
        <v>7</v>
      </c>
      <c r="E626" t="str">
        <f t="shared" si="27"/>
        <v>7 AM</v>
      </c>
      <c r="F626" t="str">
        <f t="shared" si="28"/>
        <v>Morning</v>
      </c>
      <c r="G626" t="b">
        <v>0</v>
      </c>
      <c r="H626">
        <v>6</v>
      </c>
      <c r="I626" t="str">
        <f>_xlfn.XLOOKUP(Append15[[#This Row],[Week day]],Mappings!$B$3:$B$9,Mappings!$C$3:$C$9)</f>
        <v>Saturday</v>
      </c>
      <c r="J626" t="str">
        <f t="shared" si="29"/>
        <v>Weekend</v>
      </c>
      <c r="K626">
        <v>1</v>
      </c>
      <c r="L626" t="str">
        <f>_xlfn.XLOOKUP(Append15[[#This Row],[WeatherSituation]],Mappings!$E$3:$E$6,Mappings!$F$3:$F$6)</f>
        <v>Clear Sky</v>
      </c>
      <c r="M626">
        <v>0.16</v>
      </c>
      <c r="N626">
        <v>0.18179999999999999</v>
      </c>
      <c r="O626">
        <v>0.59</v>
      </c>
      <c r="P626">
        <v>0.1045</v>
      </c>
      <c r="Q626">
        <v>1</v>
      </c>
      <c r="R626">
        <v>4</v>
      </c>
      <c r="S626">
        <v>5</v>
      </c>
    </row>
    <row r="627" spans="1:19" x14ac:dyDescent="0.3">
      <c r="A627">
        <v>626</v>
      </c>
      <c r="B627" s="4">
        <v>40572</v>
      </c>
      <c r="C627">
        <v>1</v>
      </c>
      <c r="D627">
        <v>8</v>
      </c>
      <c r="E627" t="str">
        <f t="shared" si="27"/>
        <v>8 AM</v>
      </c>
      <c r="F627" t="str">
        <f t="shared" si="28"/>
        <v>Morning</v>
      </c>
      <c r="G627" t="b">
        <v>0</v>
      </c>
      <c r="H627">
        <v>6</v>
      </c>
      <c r="I627" t="str">
        <f>_xlfn.XLOOKUP(Append15[[#This Row],[Week day]],Mappings!$B$3:$B$9,Mappings!$C$3:$C$9)</f>
        <v>Saturday</v>
      </c>
      <c r="J627" t="str">
        <f t="shared" si="29"/>
        <v>Weekend</v>
      </c>
      <c r="K627">
        <v>1</v>
      </c>
      <c r="L627" t="str">
        <f>_xlfn.XLOOKUP(Append15[[#This Row],[WeatherSituation]],Mappings!$E$3:$E$6,Mappings!$F$3:$F$6)</f>
        <v>Clear Sky</v>
      </c>
      <c r="M627">
        <v>0.18</v>
      </c>
      <c r="N627">
        <v>0.19700000000000001</v>
      </c>
      <c r="O627">
        <v>0.55000000000000004</v>
      </c>
      <c r="P627">
        <v>0.16420000000000001</v>
      </c>
      <c r="Q627">
        <v>3</v>
      </c>
      <c r="R627">
        <v>31</v>
      </c>
      <c r="S627">
        <v>34</v>
      </c>
    </row>
    <row r="628" spans="1:19" x14ac:dyDescent="0.3">
      <c r="A628">
        <v>627</v>
      </c>
      <c r="B628" s="4">
        <v>40572</v>
      </c>
      <c r="C628">
        <v>1</v>
      </c>
      <c r="D628">
        <v>9</v>
      </c>
      <c r="E628" t="str">
        <f t="shared" si="27"/>
        <v>9 AM</v>
      </c>
      <c r="F628" t="str">
        <f t="shared" si="28"/>
        <v>Morning</v>
      </c>
      <c r="G628" t="b">
        <v>0</v>
      </c>
      <c r="H628">
        <v>6</v>
      </c>
      <c r="I628" t="str">
        <f>_xlfn.XLOOKUP(Append15[[#This Row],[Week day]],Mappings!$B$3:$B$9,Mappings!$C$3:$C$9)</f>
        <v>Saturday</v>
      </c>
      <c r="J628" t="str">
        <f t="shared" si="29"/>
        <v>Weekend</v>
      </c>
      <c r="K628">
        <v>1</v>
      </c>
      <c r="L628" t="str">
        <f>_xlfn.XLOOKUP(Append15[[#This Row],[WeatherSituation]],Mappings!$E$3:$E$6,Mappings!$F$3:$F$6)</f>
        <v>Clear Sky</v>
      </c>
      <c r="M628">
        <v>0.18</v>
      </c>
      <c r="N628">
        <v>0.21210000000000001</v>
      </c>
      <c r="O628">
        <v>0.59</v>
      </c>
      <c r="P628">
        <v>8.9599999999999999E-2</v>
      </c>
      <c r="Q628">
        <v>0</v>
      </c>
      <c r="R628">
        <v>34</v>
      </c>
      <c r="S628">
        <v>34</v>
      </c>
    </row>
    <row r="629" spans="1:19" x14ac:dyDescent="0.3">
      <c r="A629">
        <v>628</v>
      </c>
      <c r="B629" s="4">
        <v>40572</v>
      </c>
      <c r="C629">
        <v>1</v>
      </c>
      <c r="D629">
        <v>10</v>
      </c>
      <c r="E629" t="str">
        <f t="shared" si="27"/>
        <v>10 AM</v>
      </c>
      <c r="F629" t="str">
        <f t="shared" si="28"/>
        <v>Morning</v>
      </c>
      <c r="G629" t="b">
        <v>0</v>
      </c>
      <c r="H629">
        <v>6</v>
      </c>
      <c r="I629" t="str">
        <f>_xlfn.XLOOKUP(Append15[[#This Row],[Week day]],Mappings!$B$3:$B$9,Mappings!$C$3:$C$9)</f>
        <v>Saturday</v>
      </c>
      <c r="J629" t="str">
        <f t="shared" si="29"/>
        <v>Weekend</v>
      </c>
      <c r="K629">
        <v>2</v>
      </c>
      <c r="L629" t="str">
        <f>_xlfn.XLOOKUP(Append15[[#This Row],[WeatherSituation]],Mappings!$E$3:$E$6,Mappings!$F$3:$F$6)</f>
        <v>Mist/Cloudy</v>
      </c>
      <c r="M629">
        <v>0.18</v>
      </c>
      <c r="N629">
        <v>0.21210000000000001</v>
      </c>
      <c r="O629">
        <v>0.64</v>
      </c>
      <c r="P629">
        <v>0.1045</v>
      </c>
      <c r="Q629">
        <v>4</v>
      </c>
      <c r="R629">
        <v>51</v>
      </c>
      <c r="S629">
        <v>55</v>
      </c>
    </row>
    <row r="630" spans="1:19" x14ac:dyDescent="0.3">
      <c r="A630">
        <v>629</v>
      </c>
      <c r="B630" s="4">
        <v>40572</v>
      </c>
      <c r="C630">
        <v>1</v>
      </c>
      <c r="D630">
        <v>11</v>
      </c>
      <c r="E630" t="str">
        <f t="shared" si="27"/>
        <v>11 AM</v>
      </c>
      <c r="F630" t="str">
        <f t="shared" si="28"/>
        <v>Morning</v>
      </c>
      <c r="G630" t="b">
        <v>0</v>
      </c>
      <c r="H630">
        <v>6</v>
      </c>
      <c r="I630" t="str">
        <f>_xlfn.XLOOKUP(Append15[[#This Row],[Week day]],Mappings!$B$3:$B$9,Mappings!$C$3:$C$9)</f>
        <v>Saturday</v>
      </c>
      <c r="J630" t="str">
        <f t="shared" si="29"/>
        <v>Weekend</v>
      </c>
      <c r="K630">
        <v>2</v>
      </c>
      <c r="L630" t="str">
        <f>_xlfn.XLOOKUP(Append15[[#This Row],[WeatherSituation]],Mappings!$E$3:$E$6,Mappings!$F$3:$F$6)</f>
        <v>Mist/Cloudy</v>
      </c>
      <c r="M630">
        <v>0.18</v>
      </c>
      <c r="N630">
        <v>0.19700000000000001</v>
      </c>
      <c r="O630">
        <v>0.64</v>
      </c>
      <c r="P630">
        <v>0.1343</v>
      </c>
      <c r="Q630">
        <v>4</v>
      </c>
      <c r="R630">
        <v>60</v>
      </c>
      <c r="S630">
        <v>64</v>
      </c>
    </row>
    <row r="631" spans="1:19" x14ac:dyDescent="0.3">
      <c r="A631">
        <v>630</v>
      </c>
      <c r="B631" s="4">
        <v>40572</v>
      </c>
      <c r="C631">
        <v>1</v>
      </c>
      <c r="D631">
        <v>12</v>
      </c>
      <c r="E631" t="str">
        <f t="shared" si="27"/>
        <v>12 PM</v>
      </c>
      <c r="F631" t="str">
        <f t="shared" si="28"/>
        <v>AfterNoon</v>
      </c>
      <c r="G631" t="b">
        <v>0</v>
      </c>
      <c r="H631">
        <v>6</v>
      </c>
      <c r="I631" t="str">
        <f>_xlfn.XLOOKUP(Append15[[#This Row],[Week day]],Mappings!$B$3:$B$9,Mappings!$C$3:$C$9)</f>
        <v>Saturday</v>
      </c>
      <c r="J631" t="str">
        <f t="shared" si="29"/>
        <v>Weekend</v>
      </c>
      <c r="K631">
        <v>2</v>
      </c>
      <c r="L631" t="str">
        <f>_xlfn.XLOOKUP(Append15[[#This Row],[WeatherSituation]],Mappings!$E$3:$E$6,Mappings!$F$3:$F$6)</f>
        <v>Mist/Cloudy</v>
      </c>
      <c r="M631">
        <v>0.2</v>
      </c>
      <c r="N631">
        <v>0.19700000000000001</v>
      </c>
      <c r="O631">
        <v>0.59</v>
      </c>
      <c r="P631">
        <v>0.19400000000000001</v>
      </c>
      <c r="Q631">
        <v>12</v>
      </c>
      <c r="R631">
        <v>66</v>
      </c>
      <c r="S631">
        <v>78</v>
      </c>
    </row>
    <row r="632" spans="1:19" x14ac:dyDescent="0.3">
      <c r="A632">
        <v>631</v>
      </c>
      <c r="B632" s="4">
        <v>40572</v>
      </c>
      <c r="C632">
        <v>1</v>
      </c>
      <c r="D632">
        <v>13</v>
      </c>
      <c r="E632" t="str">
        <f t="shared" si="27"/>
        <v>1 PM</v>
      </c>
      <c r="F632" t="str">
        <f t="shared" si="28"/>
        <v>AfterNoon</v>
      </c>
      <c r="G632" t="b">
        <v>0</v>
      </c>
      <c r="H632">
        <v>6</v>
      </c>
      <c r="I632" t="str">
        <f>_xlfn.XLOOKUP(Append15[[#This Row],[Week day]],Mappings!$B$3:$B$9,Mappings!$C$3:$C$9)</f>
        <v>Saturday</v>
      </c>
      <c r="J632" t="str">
        <f t="shared" si="29"/>
        <v>Weekend</v>
      </c>
      <c r="K632">
        <v>2</v>
      </c>
      <c r="L632" t="str">
        <f>_xlfn.XLOOKUP(Append15[[#This Row],[WeatherSituation]],Mappings!$E$3:$E$6,Mappings!$F$3:$F$6)</f>
        <v>Mist/Cloudy</v>
      </c>
      <c r="M632">
        <v>0.22</v>
      </c>
      <c r="N632">
        <v>0.2273</v>
      </c>
      <c r="O632">
        <v>0.55000000000000004</v>
      </c>
      <c r="P632">
        <v>0.16420000000000001</v>
      </c>
      <c r="Q632">
        <v>9</v>
      </c>
      <c r="R632">
        <v>56</v>
      </c>
      <c r="S632">
        <v>65</v>
      </c>
    </row>
    <row r="633" spans="1:19" x14ac:dyDescent="0.3">
      <c r="A633">
        <v>632</v>
      </c>
      <c r="B633" s="4">
        <v>40572</v>
      </c>
      <c r="C633">
        <v>1</v>
      </c>
      <c r="D633">
        <v>14</v>
      </c>
      <c r="E633" t="str">
        <f t="shared" si="27"/>
        <v>2 PM</v>
      </c>
      <c r="F633" t="str">
        <f t="shared" si="28"/>
        <v>AfterNoon</v>
      </c>
      <c r="G633" t="b">
        <v>0</v>
      </c>
      <c r="H633">
        <v>6</v>
      </c>
      <c r="I633" t="str">
        <f>_xlfn.XLOOKUP(Append15[[#This Row],[Week day]],Mappings!$B$3:$B$9,Mappings!$C$3:$C$9)</f>
        <v>Saturday</v>
      </c>
      <c r="J633" t="str">
        <f t="shared" si="29"/>
        <v>Weekend</v>
      </c>
      <c r="K633">
        <v>2</v>
      </c>
      <c r="L633" t="str">
        <f>_xlfn.XLOOKUP(Append15[[#This Row],[WeatherSituation]],Mappings!$E$3:$E$6,Mappings!$F$3:$F$6)</f>
        <v>Mist/Cloudy</v>
      </c>
      <c r="M633">
        <v>0.22</v>
      </c>
      <c r="N633">
        <v>0.2273</v>
      </c>
      <c r="O633">
        <v>0.6</v>
      </c>
      <c r="P633">
        <v>0.1343</v>
      </c>
      <c r="Q633">
        <v>10</v>
      </c>
      <c r="R633">
        <v>89</v>
      </c>
      <c r="S633">
        <v>99</v>
      </c>
    </row>
    <row r="634" spans="1:19" x14ac:dyDescent="0.3">
      <c r="A634">
        <v>633</v>
      </c>
      <c r="B634" s="4">
        <v>40572</v>
      </c>
      <c r="C634">
        <v>1</v>
      </c>
      <c r="D634">
        <v>15</v>
      </c>
      <c r="E634" t="str">
        <f t="shared" si="27"/>
        <v>3 PM</v>
      </c>
      <c r="F634" t="str">
        <f t="shared" si="28"/>
        <v>AfterNoon</v>
      </c>
      <c r="G634" t="b">
        <v>0</v>
      </c>
      <c r="H634">
        <v>6</v>
      </c>
      <c r="I634" t="str">
        <f>_xlfn.XLOOKUP(Append15[[#This Row],[Week day]],Mappings!$B$3:$B$9,Mappings!$C$3:$C$9)</f>
        <v>Saturday</v>
      </c>
      <c r="J634" t="str">
        <f t="shared" si="29"/>
        <v>Weekend</v>
      </c>
      <c r="K634">
        <v>1</v>
      </c>
      <c r="L634" t="str">
        <f>_xlfn.XLOOKUP(Append15[[#This Row],[WeatherSituation]],Mappings!$E$3:$E$6,Mappings!$F$3:$F$6)</f>
        <v>Clear Sky</v>
      </c>
      <c r="M634">
        <v>0.22</v>
      </c>
      <c r="N634">
        <v>0.21210000000000001</v>
      </c>
      <c r="O634">
        <v>0.69</v>
      </c>
      <c r="P634">
        <v>0.25369999999999998</v>
      </c>
      <c r="Q634">
        <v>22</v>
      </c>
      <c r="R634">
        <v>98</v>
      </c>
      <c r="S634">
        <v>120</v>
      </c>
    </row>
    <row r="635" spans="1:19" x14ac:dyDescent="0.3">
      <c r="A635">
        <v>634</v>
      </c>
      <c r="B635" s="4">
        <v>40572</v>
      </c>
      <c r="C635">
        <v>1</v>
      </c>
      <c r="D635">
        <v>16</v>
      </c>
      <c r="E635" t="str">
        <f t="shared" si="27"/>
        <v>4 PM</v>
      </c>
      <c r="F635" t="str">
        <f t="shared" si="28"/>
        <v>Evening</v>
      </c>
      <c r="G635" t="b">
        <v>0</v>
      </c>
      <c r="H635">
        <v>6</v>
      </c>
      <c r="I635" t="str">
        <f>_xlfn.XLOOKUP(Append15[[#This Row],[Week day]],Mappings!$B$3:$B$9,Mappings!$C$3:$C$9)</f>
        <v>Saturday</v>
      </c>
      <c r="J635" t="str">
        <f t="shared" si="29"/>
        <v>Weekend</v>
      </c>
      <c r="K635">
        <v>1</v>
      </c>
      <c r="L635" t="str">
        <f>_xlfn.XLOOKUP(Append15[[#This Row],[WeatherSituation]],Mappings!$E$3:$E$6,Mappings!$F$3:$F$6)</f>
        <v>Clear Sky</v>
      </c>
      <c r="M635">
        <v>0.24</v>
      </c>
      <c r="N635">
        <v>0.2424</v>
      </c>
      <c r="O635">
        <v>0.6</v>
      </c>
      <c r="P635">
        <v>0.16420000000000001</v>
      </c>
      <c r="Q635">
        <v>19</v>
      </c>
      <c r="R635">
        <v>88</v>
      </c>
      <c r="S635">
        <v>107</v>
      </c>
    </row>
    <row r="636" spans="1:19" x14ac:dyDescent="0.3">
      <c r="A636">
        <v>635</v>
      </c>
      <c r="B636" s="4">
        <v>40572</v>
      </c>
      <c r="C636">
        <v>1</v>
      </c>
      <c r="D636">
        <v>17</v>
      </c>
      <c r="E636" t="str">
        <f t="shared" si="27"/>
        <v>5 PM</v>
      </c>
      <c r="F636" t="str">
        <f t="shared" si="28"/>
        <v>Evening</v>
      </c>
      <c r="G636" t="b">
        <v>0</v>
      </c>
      <c r="H636">
        <v>6</v>
      </c>
      <c r="I636" t="str">
        <f>_xlfn.XLOOKUP(Append15[[#This Row],[Week day]],Mappings!$B$3:$B$9,Mappings!$C$3:$C$9)</f>
        <v>Saturday</v>
      </c>
      <c r="J636" t="str">
        <f t="shared" si="29"/>
        <v>Weekend</v>
      </c>
      <c r="K636">
        <v>1</v>
      </c>
      <c r="L636" t="str">
        <f>_xlfn.XLOOKUP(Append15[[#This Row],[WeatherSituation]],Mappings!$E$3:$E$6,Mappings!$F$3:$F$6)</f>
        <v>Clear Sky</v>
      </c>
      <c r="M636">
        <v>0.24</v>
      </c>
      <c r="N636">
        <v>0.28789999999999999</v>
      </c>
      <c r="O636">
        <v>0.6</v>
      </c>
      <c r="P636">
        <v>0</v>
      </c>
      <c r="Q636">
        <v>9</v>
      </c>
      <c r="R636">
        <v>82</v>
      </c>
      <c r="S636">
        <v>91</v>
      </c>
    </row>
    <row r="637" spans="1:19" x14ac:dyDescent="0.3">
      <c r="A637">
        <v>636</v>
      </c>
      <c r="B637" s="4">
        <v>40572</v>
      </c>
      <c r="C637">
        <v>1</v>
      </c>
      <c r="D637">
        <v>18</v>
      </c>
      <c r="E637" t="str">
        <f t="shared" si="27"/>
        <v>6 PM</v>
      </c>
      <c r="F637" t="str">
        <f t="shared" si="28"/>
        <v>Evening</v>
      </c>
      <c r="G637" t="b">
        <v>0</v>
      </c>
      <c r="H637">
        <v>6</v>
      </c>
      <c r="I637" t="str">
        <f>_xlfn.XLOOKUP(Append15[[#This Row],[Week day]],Mappings!$B$3:$B$9,Mappings!$C$3:$C$9)</f>
        <v>Saturday</v>
      </c>
      <c r="J637" t="str">
        <f t="shared" si="29"/>
        <v>Weekend</v>
      </c>
      <c r="K637">
        <v>1</v>
      </c>
      <c r="L637" t="str">
        <f>_xlfn.XLOOKUP(Append15[[#This Row],[WeatherSituation]],Mappings!$E$3:$E$6,Mappings!$F$3:$F$6)</f>
        <v>Clear Sky</v>
      </c>
      <c r="M637">
        <v>0.22</v>
      </c>
      <c r="N637">
        <v>0.2273</v>
      </c>
      <c r="O637">
        <v>0.69</v>
      </c>
      <c r="P637">
        <v>0.1343</v>
      </c>
      <c r="Q637">
        <v>9</v>
      </c>
      <c r="R637">
        <v>59</v>
      </c>
      <c r="S637">
        <v>68</v>
      </c>
    </row>
    <row r="638" spans="1:19" x14ac:dyDescent="0.3">
      <c r="A638">
        <v>637</v>
      </c>
      <c r="B638" s="4">
        <v>40572</v>
      </c>
      <c r="C638">
        <v>1</v>
      </c>
      <c r="D638">
        <v>19</v>
      </c>
      <c r="E638" t="str">
        <f t="shared" si="27"/>
        <v>7 PM</v>
      </c>
      <c r="F638" t="str">
        <f t="shared" si="28"/>
        <v>Evening</v>
      </c>
      <c r="G638" t="b">
        <v>0</v>
      </c>
      <c r="H638">
        <v>6</v>
      </c>
      <c r="I638" t="str">
        <f>_xlfn.XLOOKUP(Append15[[#This Row],[Week day]],Mappings!$B$3:$B$9,Mappings!$C$3:$C$9)</f>
        <v>Saturday</v>
      </c>
      <c r="J638" t="str">
        <f t="shared" si="29"/>
        <v>Weekend</v>
      </c>
      <c r="K638">
        <v>2</v>
      </c>
      <c r="L638" t="str">
        <f>_xlfn.XLOOKUP(Append15[[#This Row],[WeatherSituation]],Mappings!$E$3:$E$6,Mappings!$F$3:$F$6)</f>
        <v>Mist/Cloudy</v>
      </c>
      <c r="M638">
        <v>0.22</v>
      </c>
      <c r="N638">
        <v>0.21210000000000001</v>
      </c>
      <c r="O638">
        <v>0.69</v>
      </c>
      <c r="P638">
        <v>0.25369999999999998</v>
      </c>
      <c r="Q638">
        <v>6</v>
      </c>
      <c r="R638">
        <v>52</v>
      </c>
      <c r="S638">
        <v>58</v>
      </c>
    </row>
    <row r="639" spans="1:19" x14ac:dyDescent="0.3">
      <c r="A639">
        <v>638</v>
      </c>
      <c r="B639" s="4">
        <v>40572</v>
      </c>
      <c r="C639">
        <v>1</v>
      </c>
      <c r="D639">
        <v>20</v>
      </c>
      <c r="E639" t="str">
        <f t="shared" si="27"/>
        <v>8 PM</v>
      </c>
      <c r="F639" t="str">
        <f t="shared" si="28"/>
        <v>Night</v>
      </c>
      <c r="G639" t="b">
        <v>0</v>
      </c>
      <c r="H639">
        <v>6</v>
      </c>
      <c r="I639" t="str">
        <f>_xlfn.XLOOKUP(Append15[[#This Row],[Week day]],Mappings!$B$3:$B$9,Mappings!$C$3:$C$9)</f>
        <v>Saturday</v>
      </c>
      <c r="J639" t="str">
        <f t="shared" si="29"/>
        <v>Weekend</v>
      </c>
      <c r="K639">
        <v>1</v>
      </c>
      <c r="L639" t="str">
        <f>_xlfn.XLOOKUP(Append15[[#This Row],[WeatherSituation]],Mappings!$E$3:$E$6,Mappings!$F$3:$F$6)</f>
        <v>Clear Sky</v>
      </c>
      <c r="M639">
        <v>0.18</v>
      </c>
      <c r="N639">
        <v>0.21210000000000001</v>
      </c>
      <c r="O639">
        <v>0.74</v>
      </c>
      <c r="P639">
        <v>8.9599999999999999E-2</v>
      </c>
      <c r="Q639">
        <v>1</v>
      </c>
      <c r="R639">
        <v>42</v>
      </c>
      <c r="S639">
        <v>43</v>
      </c>
    </row>
    <row r="640" spans="1:19" x14ac:dyDescent="0.3">
      <c r="A640">
        <v>639</v>
      </c>
      <c r="B640" s="4">
        <v>40572</v>
      </c>
      <c r="C640">
        <v>1</v>
      </c>
      <c r="D640">
        <v>21</v>
      </c>
      <c r="E640" t="str">
        <f t="shared" si="27"/>
        <v>9 PM</v>
      </c>
      <c r="F640" t="str">
        <f t="shared" si="28"/>
        <v>Night</v>
      </c>
      <c r="G640" t="b">
        <v>0</v>
      </c>
      <c r="H640">
        <v>6</v>
      </c>
      <c r="I640" t="str">
        <f>_xlfn.XLOOKUP(Append15[[#This Row],[Week day]],Mappings!$B$3:$B$9,Mappings!$C$3:$C$9)</f>
        <v>Saturday</v>
      </c>
      <c r="J640" t="str">
        <f t="shared" si="29"/>
        <v>Weekend</v>
      </c>
      <c r="K640">
        <v>1</v>
      </c>
      <c r="L640" t="str">
        <f>_xlfn.XLOOKUP(Append15[[#This Row],[WeatherSituation]],Mappings!$E$3:$E$6,Mappings!$F$3:$F$6)</f>
        <v>Clear Sky</v>
      </c>
      <c r="M640">
        <v>0.18</v>
      </c>
      <c r="N640">
        <v>0.21210000000000001</v>
      </c>
      <c r="O640">
        <v>0.74</v>
      </c>
      <c r="P640">
        <v>8.9599999999999999E-2</v>
      </c>
      <c r="Q640">
        <v>1</v>
      </c>
      <c r="R640">
        <v>35</v>
      </c>
      <c r="S640">
        <v>36</v>
      </c>
    </row>
    <row r="641" spans="1:19" x14ac:dyDescent="0.3">
      <c r="A641">
        <v>640</v>
      </c>
      <c r="B641" s="4">
        <v>40572</v>
      </c>
      <c r="C641">
        <v>1</v>
      </c>
      <c r="D641">
        <v>22</v>
      </c>
      <c r="E641" t="str">
        <f t="shared" si="27"/>
        <v>10 PM</v>
      </c>
      <c r="F641" t="str">
        <f t="shared" si="28"/>
        <v>Night</v>
      </c>
      <c r="G641" t="b">
        <v>0</v>
      </c>
      <c r="H641">
        <v>6</v>
      </c>
      <c r="I641" t="str">
        <f>_xlfn.XLOOKUP(Append15[[#This Row],[Week day]],Mappings!$B$3:$B$9,Mappings!$C$3:$C$9)</f>
        <v>Saturday</v>
      </c>
      <c r="J641" t="str">
        <f t="shared" si="29"/>
        <v>Weekend</v>
      </c>
      <c r="K641">
        <v>1</v>
      </c>
      <c r="L641" t="str">
        <f>_xlfn.XLOOKUP(Append15[[#This Row],[WeatherSituation]],Mappings!$E$3:$E$6,Mappings!$F$3:$F$6)</f>
        <v>Clear Sky</v>
      </c>
      <c r="M641">
        <v>0.16</v>
      </c>
      <c r="N641">
        <v>0.19700000000000001</v>
      </c>
      <c r="O641">
        <v>0.8</v>
      </c>
      <c r="P641">
        <v>8.9599999999999999E-2</v>
      </c>
      <c r="Q641">
        <v>4</v>
      </c>
      <c r="R641">
        <v>28</v>
      </c>
      <c r="S641">
        <v>32</v>
      </c>
    </row>
    <row r="642" spans="1:19" x14ac:dyDescent="0.3">
      <c r="A642">
        <v>641</v>
      </c>
      <c r="B642" s="4">
        <v>40572</v>
      </c>
      <c r="C642">
        <v>1</v>
      </c>
      <c r="D642">
        <v>23</v>
      </c>
      <c r="E642" t="str">
        <f t="shared" ref="E642:E705" si="30">TEXT(D642/24,"h AM/PM")</f>
        <v>11 PM</v>
      </c>
      <c r="F642" t="str">
        <f t="shared" ref="F642:F705" si="31">IF(D642&lt;5,"Night",
IF(D642&lt;=11,"Morning",
IF(D642&lt;16,"AfterNoon",
IF(D642&lt;20,"Evening","Night"))))</f>
        <v>Night</v>
      </c>
      <c r="G642" t="b">
        <v>0</v>
      </c>
      <c r="H642">
        <v>6</v>
      </c>
      <c r="I642" t="str">
        <f>_xlfn.XLOOKUP(Append15[[#This Row],[Week day]],Mappings!$B$3:$B$9,Mappings!$C$3:$C$9)</f>
        <v>Saturday</v>
      </c>
      <c r="J642" t="str">
        <f t="shared" ref="J642:J705" si="32">IF(OR(H642=0,H642=6),"Weekend","Weekday")</f>
        <v>Weekend</v>
      </c>
      <c r="K642">
        <v>1</v>
      </c>
      <c r="L642" t="str">
        <f>_xlfn.XLOOKUP(Append15[[#This Row],[WeatherSituation]],Mappings!$E$3:$E$6,Mappings!$F$3:$F$6)</f>
        <v>Clear Sky</v>
      </c>
      <c r="M642">
        <v>0.16</v>
      </c>
      <c r="N642">
        <v>0.19700000000000001</v>
      </c>
      <c r="O642">
        <v>0.8</v>
      </c>
      <c r="P642">
        <v>8.9599999999999999E-2</v>
      </c>
      <c r="Q642">
        <v>3</v>
      </c>
      <c r="R642">
        <v>30</v>
      </c>
      <c r="S642">
        <v>33</v>
      </c>
    </row>
    <row r="643" spans="1:19" x14ac:dyDescent="0.3">
      <c r="A643">
        <v>642</v>
      </c>
      <c r="B643" s="4">
        <v>40573</v>
      </c>
      <c r="C643">
        <v>1</v>
      </c>
      <c r="D643">
        <v>0</v>
      </c>
      <c r="E643" t="str">
        <f t="shared" si="30"/>
        <v>12 AM</v>
      </c>
      <c r="F643" t="str">
        <f t="shared" si="31"/>
        <v>Night</v>
      </c>
      <c r="G643" t="b">
        <v>0</v>
      </c>
      <c r="H643">
        <v>0</v>
      </c>
      <c r="I643" t="str">
        <f>_xlfn.XLOOKUP(Append15[[#This Row],[Week day]],Mappings!$B$3:$B$9,Mappings!$C$3:$C$9)</f>
        <v>Sunday</v>
      </c>
      <c r="J643" t="str">
        <f t="shared" si="32"/>
        <v>Weekend</v>
      </c>
      <c r="K643">
        <v>1</v>
      </c>
      <c r="L643" t="str">
        <f>_xlfn.XLOOKUP(Append15[[#This Row],[WeatherSituation]],Mappings!$E$3:$E$6,Mappings!$F$3:$F$6)</f>
        <v>Clear Sky</v>
      </c>
      <c r="M643">
        <v>0.16</v>
      </c>
      <c r="N643">
        <v>0.18179999999999999</v>
      </c>
      <c r="O643">
        <v>0.8</v>
      </c>
      <c r="P643">
        <v>0.1045</v>
      </c>
      <c r="Q643">
        <v>0</v>
      </c>
      <c r="R643">
        <v>33</v>
      </c>
      <c r="S643">
        <v>33</v>
      </c>
    </row>
    <row r="644" spans="1:19" x14ac:dyDescent="0.3">
      <c r="A644">
        <v>643</v>
      </c>
      <c r="B644" s="4">
        <v>40573</v>
      </c>
      <c r="C644">
        <v>1</v>
      </c>
      <c r="D644">
        <v>1</v>
      </c>
      <c r="E644" t="str">
        <f t="shared" si="30"/>
        <v>1 AM</v>
      </c>
      <c r="F644" t="str">
        <f t="shared" si="31"/>
        <v>Night</v>
      </c>
      <c r="G644" t="b">
        <v>0</v>
      </c>
      <c r="H644">
        <v>0</v>
      </c>
      <c r="I644" t="str">
        <f>_xlfn.XLOOKUP(Append15[[#This Row],[Week day]],Mappings!$B$3:$B$9,Mappings!$C$3:$C$9)</f>
        <v>Sunday</v>
      </c>
      <c r="J644" t="str">
        <f t="shared" si="32"/>
        <v>Weekend</v>
      </c>
      <c r="K644">
        <v>1</v>
      </c>
      <c r="L644" t="str">
        <f>_xlfn.XLOOKUP(Append15[[#This Row],[WeatherSituation]],Mappings!$E$3:$E$6,Mappings!$F$3:$F$6)</f>
        <v>Clear Sky</v>
      </c>
      <c r="M644">
        <v>0.14000000000000001</v>
      </c>
      <c r="N644">
        <v>0.21210000000000001</v>
      </c>
      <c r="O644">
        <v>0.8</v>
      </c>
      <c r="P644">
        <v>0</v>
      </c>
      <c r="Q644">
        <v>7</v>
      </c>
      <c r="R644">
        <v>22</v>
      </c>
      <c r="S644">
        <v>29</v>
      </c>
    </row>
    <row r="645" spans="1:19" x14ac:dyDescent="0.3">
      <c r="A645">
        <v>644</v>
      </c>
      <c r="B645" s="4">
        <v>40573</v>
      </c>
      <c r="C645">
        <v>1</v>
      </c>
      <c r="D645">
        <v>2</v>
      </c>
      <c r="E645" t="str">
        <f t="shared" si="30"/>
        <v>2 AM</v>
      </c>
      <c r="F645" t="str">
        <f t="shared" si="31"/>
        <v>Night</v>
      </c>
      <c r="G645" t="b">
        <v>0</v>
      </c>
      <c r="H645">
        <v>0</v>
      </c>
      <c r="I645" t="str">
        <f>_xlfn.XLOOKUP(Append15[[#This Row],[Week day]],Mappings!$B$3:$B$9,Mappings!$C$3:$C$9)</f>
        <v>Sunday</v>
      </c>
      <c r="J645" t="str">
        <f t="shared" si="32"/>
        <v>Weekend</v>
      </c>
      <c r="K645">
        <v>1</v>
      </c>
      <c r="L645" t="str">
        <f>_xlfn.XLOOKUP(Append15[[#This Row],[WeatherSituation]],Mappings!$E$3:$E$6,Mappings!$F$3:$F$6)</f>
        <v>Clear Sky</v>
      </c>
      <c r="M645">
        <v>0.16</v>
      </c>
      <c r="N645">
        <v>0.2273</v>
      </c>
      <c r="O645">
        <v>0.8</v>
      </c>
      <c r="P645">
        <v>0</v>
      </c>
      <c r="Q645">
        <v>1</v>
      </c>
      <c r="R645">
        <v>10</v>
      </c>
      <c r="S645">
        <v>11</v>
      </c>
    </row>
    <row r="646" spans="1:19" x14ac:dyDescent="0.3">
      <c r="A646">
        <v>645</v>
      </c>
      <c r="B646" s="4">
        <v>40573</v>
      </c>
      <c r="C646">
        <v>1</v>
      </c>
      <c r="D646">
        <v>3</v>
      </c>
      <c r="E646" t="str">
        <f t="shared" si="30"/>
        <v>3 AM</v>
      </c>
      <c r="F646" t="str">
        <f t="shared" si="31"/>
        <v>Night</v>
      </c>
      <c r="G646" t="b">
        <v>0</v>
      </c>
      <c r="H646">
        <v>0</v>
      </c>
      <c r="I646" t="str">
        <f>_xlfn.XLOOKUP(Append15[[#This Row],[Week day]],Mappings!$B$3:$B$9,Mappings!$C$3:$C$9)</f>
        <v>Sunday</v>
      </c>
      <c r="J646" t="str">
        <f t="shared" si="32"/>
        <v>Weekend</v>
      </c>
      <c r="K646">
        <v>1</v>
      </c>
      <c r="L646" t="str">
        <f>_xlfn.XLOOKUP(Append15[[#This Row],[WeatherSituation]],Mappings!$E$3:$E$6,Mappings!$F$3:$F$6)</f>
        <v>Clear Sky</v>
      </c>
      <c r="M646">
        <v>0.14000000000000001</v>
      </c>
      <c r="N646">
        <v>0.21210000000000001</v>
      </c>
      <c r="O646">
        <v>0.93</v>
      </c>
      <c r="P646">
        <v>0</v>
      </c>
      <c r="Q646">
        <v>1</v>
      </c>
      <c r="R646">
        <v>7</v>
      </c>
      <c r="S646">
        <v>8</v>
      </c>
    </row>
    <row r="647" spans="1:19" x14ac:dyDescent="0.3">
      <c r="A647">
        <v>646</v>
      </c>
      <c r="B647" s="4">
        <v>40573</v>
      </c>
      <c r="C647">
        <v>1</v>
      </c>
      <c r="D647">
        <v>4</v>
      </c>
      <c r="E647" t="str">
        <f t="shared" si="30"/>
        <v>4 AM</v>
      </c>
      <c r="F647" t="str">
        <f t="shared" si="31"/>
        <v>Night</v>
      </c>
      <c r="G647" t="b">
        <v>0</v>
      </c>
      <c r="H647">
        <v>0</v>
      </c>
      <c r="I647" t="str">
        <f>_xlfn.XLOOKUP(Append15[[#This Row],[Week day]],Mappings!$B$3:$B$9,Mappings!$C$3:$C$9)</f>
        <v>Sunday</v>
      </c>
      <c r="J647" t="str">
        <f t="shared" si="32"/>
        <v>Weekend</v>
      </c>
      <c r="K647">
        <v>1</v>
      </c>
      <c r="L647" t="str">
        <f>_xlfn.XLOOKUP(Append15[[#This Row],[WeatherSituation]],Mappings!$E$3:$E$6,Mappings!$F$3:$F$6)</f>
        <v>Clear Sky</v>
      </c>
      <c r="M647">
        <v>0.14000000000000001</v>
      </c>
      <c r="N647">
        <v>0.21210000000000001</v>
      </c>
      <c r="O647">
        <v>0.93</v>
      </c>
      <c r="P647">
        <v>0</v>
      </c>
      <c r="Q647">
        <v>0</v>
      </c>
      <c r="R647">
        <v>1</v>
      </c>
      <c r="S647">
        <v>1</v>
      </c>
    </row>
    <row r="648" spans="1:19" x14ac:dyDescent="0.3">
      <c r="A648">
        <v>647</v>
      </c>
      <c r="B648" s="4">
        <v>40573</v>
      </c>
      <c r="C648">
        <v>1</v>
      </c>
      <c r="D648">
        <v>5</v>
      </c>
      <c r="E648" t="str">
        <f t="shared" si="30"/>
        <v>5 AM</v>
      </c>
      <c r="F648" t="str">
        <f t="shared" si="31"/>
        <v>Morning</v>
      </c>
      <c r="G648" t="b">
        <v>0</v>
      </c>
      <c r="H648">
        <v>0</v>
      </c>
      <c r="I648" t="str">
        <f>_xlfn.XLOOKUP(Append15[[#This Row],[Week day]],Mappings!$B$3:$B$9,Mappings!$C$3:$C$9)</f>
        <v>Sunday</v>
      </c>
      <c r="J648" t="str">
        <f t="shared" si="32"/>
        <v>Weekend</v>
      </c>
      <c r="K648">
        <v>1</v>
      </c>
      <c r="L648" t="str">
        <f>_xlfn.XLOOKUP(Append15[[#This Row],[WeatherSituation]],Mappings!$E$3:$E$6,Mappings!$F$3:$F$6)</f>
        <v>Clear Sky</v>
      </c>
      <c r="M648">
        <v>0.14000000000000001</v>
      </c>
      <c r="N648">
        <v>0.21210000000000001</v>
      </c>
      <c r="O648">
        <v>0.86</v>
      </c>
      <c r="P648">
        <v>0</v>
      </c>
      <c r="Q648">
        <v>0</v>
      </c>
      <c r="R648">
        <v>3</v>
      </c>
      <c r="S648">
        <v>3</v>
      </c>
    </row>
    <row r="649" spans="1:19" x14ac:dyDescent="0.3">
      <c r="A649">
        <v>648</v>
      </c>
      <c r="B649" s="4">
        <v>40573</v>
      </c>
      <c r="C649">
        <v>1</v>
      </c>
      <c r="D649">
        <v>7</v>
      </c>
      <c r="E649" t="str">
        <f t="shared" si="30"/>
        <v>7 AM</v>
      </c>
      <c r="F649" t="str">
        <f t="shared" si="31"/>
        <v>Morning</v>
      </c>
      <c r="G649" t="b">
        <v>0</v>
      </c>
      <c r="H649">
        <v>0</v>
      </c>
      <c r="I649" t="str">
        <f>_xlfn.XLOOKUP(Append15[[#This Row],[Week day]],Mappings!$B$3:$B$9,Mappings!$C$3:$C$9)</f>
        <v>Sunday</v>
      </c>
      <c r="J649" t="str">
        <f t="shared" si="32"/>
        <v>Weekend</v>
      </c>
      <c r="K649">
        <v>1</v>
      </c>
      <c r="L649" t="str">
        <f>_xlfn.XLOOKUP(Append15[[#This Row],[WeatherSituation]],Mappings!$E$3:$E$6,Mappings!$F$3:$F$6)</f>
        <v>Clear Sky</v>
      </c>
      <c r="M649">
        <v>0.14000000000000001</v>
      </c>
      <c r="N649">
        <v>0.21210000000000001</v>
      </c>
      <c r="O649">
        <v>0.86</v>
      </c>
      <c r="P649">
        <v>0</v>
      </c>
      <c r="Q649">
        <v>0</v>
      </c>
      <c r="R649">
        <v>3</v>
      </c>
      <c r="S649">
        <v>3</v>
      </c>
    </row>
    <row r="650" spans="1:19" x14ac:dyDescent="0.3">
      <c r="A650">
        <v>649</v>
      </c>
      <c r="B650" s="4">
        <v>40573</v>
      </c>
      <c r="C650">
        <v>1</v>
      </c>
      <c r="D650">
        <v>8</v>
      </c>
      <c r="E650" t="str">
        <f t="shared" si="30"/>
        <v>8 AM</v>
      </c>
      <c r="F650" t="str">
        <f t="shared" si="31"/>
        <v>Morning</v>
      </c>
      <c r="G650" t="b">
        <v>0</v>
      </c>
      <c r="H650">
        <v>0</v>
      </c>
      <c r="I650" t="str">
        <f>_xlfn.XLOOKUP(Append15[[#This Row],[Week day]],Mappings!$B$3:$B$9,Mappings!$C$3:$C$9)</f>
        <v>Sunday</v>
      </c>
      <c r="J650" t="str">
        <f t="shared" si="32"/>
        <v>Weekend</v>
      </c>
      <c r="K650">
        <v>2</v>
      </c>
      <c r="L650" t="str">
        <f>_xlfn.XLOOKUP(Append15[[#This Row],[WeatherSituation]],Mappings!$E$3:$E$6,Mappings!$F$3:$F$6)</f>
        <v>Mist/Cloudy</v>
      </c>
      <c r="M650">
        <v>0.14000000000000001</v>
      </c>
      <c r="N650">
        <v>0.21210000000000001</v>
      </c>
      <c r="O650">
        <v>0.86</v>
      </c>
      <c r="P650">
        <v>0</v>
      </c>
      <c r="Q650">
        <v>1</v>
      </c>
      <c r="R650">
        <v>11</v>
      </c>
      <c r="S650">
        <v>12</v>
      </c>
    </row>
    <row r="651" spans="1:19" x14ac:dyDescent="0.3">
      <c r="A651">
        <v>650</v>
      </c>
      <c r="B651" s="4">
        <v>40573</v>
      </c>
      <c r="C651">
        <v>1</v>
      </c>
      <c r="D651">
        <v>9</v>
      </c>
      <c r="E651" t="str">
        <f t="shared" si="30"/>
        <v>9 AM</v>
      </c>
      <c r="F651" t="str">
        <f t="shared" si="31"/>
        <v>Morning</v>
      </c>
      <c r="G651" t="b">
        <v>0</v>
      </c>
      <c r="H651">
        <v>0</v>
      </c>
      <c r="I651" t="str">
        <f>_xlfn.XLOOKUP(Append15[[#This Row],[Week day]],Mappings!$B$3:$B$9,Mappings!$C$3:$C$9)</f>
        <v>Sunday</v>
      </c>
      <c r="J651" t="str">
        <f t="shared" si="32"/>
        <v>Weekend</v>
      </c>
      <c r="K651">
        <v>2</v>
      </c>
      <c r="L651" t="str">
        <f>_xlfn.XLOOKUP(Append15[[#This Row],[WeatherSituation]],Mappings!$E$3:$E$6,Mappings!$F$3:$F$6)</f>
        <v>Mist/Cloudy</v>
      </c>
      <c r="M651">
        <v>0.16</v>
      </c>
      <c r="N651">
        <v>0.2273</v>
      </c>
      <c r="O651">
        <v>0.8</v>
      </c>
      <c r="P651">
        <v>0</v>
      </c>
      <c r="Q651">
        <v>4</v>
      </c>
      <c r="R651">
        <v>34</v>
      </c>
      <c r="S651">
        <v>38</v>
      </c>
    </row>
    <row r="652" spans="1:19" x14ac:dyDescent="0.3">
      <c r="A652">
        <v>651</v>
      </c>
      <c r="B652" s="4">
        <v>40573</v>
      </c>
      <c r="C652">
        <v>1</v>
      </c>
      <c r="D652">
        <v>10</v>
      </c>
      <c r="E652" t="str">
        <f t="shared" si="30"/>
        <v>10 AM</v>
      </c>
      <c r="F652" t="str">
        <f t="shared" si="31"/>
        <v>Morning</v>
      </c>
      <c r="G652" t="b">
        <v>0</v>
      </c>
      <c r="H652">
        <v>0</v>
      </c>
      <c r="I652" t="str">
        <f>_xlfn.XLOOKUP(Append15[[#This Row],[Week day]],Mappings!$B$3:$B$9,Mappings!$C$3:$C$9)</f>
        <v>Sunday</v>
      </c>
      <c r="J652" t="str">
        <f t="shared" si="32"/>
        <v>Weekend</v>
      </c>
      <c r="K652">
        <v>2</v>
      </c>
      <c r="L652" t="str">
        <f>_xlfn.XLOOKUP(Append15[[#This Row],[WeatherSituation]],Mappings!$E$3:$E$6,Mappings!$F$3:$F$6)</f>
        <v>Mist/Cloudy</v>
      </c>
      <c r="M652">
        <v>0.18</v>
      </c>
      <c r="N652">
        <v>0.2424</v>
      </c>
      <c r="O652">
        <v>0.8</v>
      </c>
      <c r="P652">
        <v>0</v>
      </c>
      <c r="Q652">
        <v>7</v>
      </c>
      <c r="R652">
        <v>57</v>
      </c>
      <c r="S652">
        <v>64</v>
      </c>
    </row>
    <row r="653" spans="1:19" x14ac:dyDescent="0.3">
      <c r="A653">
        <v>652</v>
      </c>
      <c r="B653" s="4">
        <v>40573</v>
      </c>
      <c r="C653">
        <v>1</v>
      </c>
      <c r="D653">
        <v>11</v>
      </c>
      <c r="E653" t="str">
        <f t="shared" si="30"/>
        <v>11 AM</v>
      </c>
      <c r="F653" t="str">
        <f t="shared" si="31"/>
        <v>Morning</v>
      </c>
      <c r="G653" t="b">
        <v>0</v>
      </c>
      <c r="H653">
        <v>0</v>
      </c>
      <c r="I653" t="str">
        <f>_xlfn.XLOOKUP(Append15[[#This Row],[Week day]],Mappings!$B$3:$B$9,Mappings!$C$3:$C$9)</f>
        <v>Sunday</v>
      </c>
      <c r="J653" t="str">
        <f t="shared" si="32"/>
        <v>Weekend</v>
      </c>
      <c r="K653">
        <v>1</v>
      </c>
      <c r="L653" t="str">
        <f>_xlfn.XLOOKUP(Append15[[#This Row],[WeatherSituation]],Mappings!$E$3:$E$6,Mappings!$F$3:$F$6)</f>
        <v>Clear Sky</v>
      </c>
      <c r="M653">
        <v>0.22</v>
      </c>
      <c r="N653">
        <v>0.2727</v>
      </c>
      <c r="O653">
        <v>0.75</v>
      </c>
      <c r="P653">
        <v>0</v>
      </c>
      <c r="Q653">
        <v>9</v>
      </c>
      <c r="R653">
        <v>50</v>
      </c>
      <c r="S653">
        <v>59</v>
      </c>
    </row>
    <row r="654" spans="1:19" x14ac:dyDescent="0.3">
      <c r="A654">
        <v>653</v>
      </c>
      <c r="B654" s="4">
        <v>40573</v>
      </c>
      <c r="C654">
        <v>1</v>
      </c>
      <c r="D654">
        <v>12</v>
      </c>
      <c r="E654" t="str">
        <f t="shared" si="30"/>
        <v>12 PM</v>
      </c>
      <c r="F654" t="str">
        <f t="shared" si="31"/>
        <v>AfterNoon</v>
      </c>
      <c r="G654" t="b">
        <v>0</v>
      </c>
      <c r="H654">
        <v>0</v>
      </c>
      <c r="I654" t="str">
        <f>_xlfn.XLOOKUP(Append15[[#This Row],[Week day]],Mappings!$B$3:$B$9,Mappings!$C$3:$C$9)</f>
        <v>Sunday</v>
      </c>
      <c r="J654" t="str">
        <f t="shared" si="32"/>
        <v>Weekend</v>
      </c>
      <c r="K654">
        <v>1</v>
      </c>
      <c r="L654" t="str">
        <f>_xlfn.XLOOKUP(Append15[[#This Row],[WeatherSituation]],Mappings!$E$3:$E$6,Mappings!$F$3:$F$6)</f>
        <v>Clear Sky</v>
      </c>
      <c r="M654">
        <v>0.3</v>
      </c>
      <c r="N654">
        <v>0.31819999999999998</v>
      </c>
      <c r="O654">
        <v>0.52</v>
      </c>
      <c r="P654">
        <v>0.1045</v>
      </c>
      <c r="Q654">
        <v>10</v>
      </c>
      <c r="R654">
        <v>87</v>
      </c>
      <c r="S654">
        <v>97</v>
      </c>
    </row>
    <row r="655" spans="1:19" x14ac:dyDescent="0.3">
      <c r="A655">
        <v>654</v>
      </c>
      <c r="B655" s="4">
        <v>40573</v>
      </c>
      <c r="C655">
        <v>1</v>
      </c>
      <c r="D655">
        <v>13</v>
      </c>
      <c r="E655" t="str">
        <f t="shared" si="30"/>
        <v>1 PM</v>
      </c>
      <c r="F655" t="str">
        <f t="shared" si="31"/>
        <v>AfterNoon</v>
      </c>
      <c r="G655" t="b">
        <v>0</v>
      </c>
      <c r="H655">
        <v>0</v>
      </c>
      <c r="I655" t="str">
        <f>_xlfn.XLOOKUP(Append15[[#This Row],[Week day]],Mappings!$B$3:$B$9,Mappings!$C$3:$C$9)</f>
        <v>Sunday</v>
      </c>
      <c r="J655" t="str">
        <f t="shared" si="32"/>
        <v>Weekend</v>
      </c>
      <c r="K655">
        <v>1</v>
      </c>
      <c r="L655" t="str">
        <f>_xlfn.XLOOKUP(Append15[[#This Row],[WeatherSituation]],Mappings!$E$3:$E$6,Mappings!$F$3:$F$6)</f>
        <v>Clear Sky</v>
      </c>
      <c r="M655">
        <v>0.28000000000000003</v>
      </c>
      <c r="N655">
        <v>0.28789999999999999</v>
      </c>
      <c r="O655">
        <v>0.61</v>
      </c>
      <c r="P655">
        <v>0.1045</v>
      </c>
      <c r="Q655">
        <v>13</v>
      </c>
      <c r="R655">
        <v>71</v>
      </c>
      <c r="S655">
        <v>84</v>
      </c>
    </row>
    <row r="656" spans="1:19" x14ac:dyDescent="0.3">
      <c r="A656">
        <v>655</v>
      </c>
      <c r="B656" s="4">
        <v>40573</v>
      </c>
      <c r="C656">
        <v>1</v>
      </c>
      <c r="D656">
        <v>14</v>
      </c>
      <c r="E656" t="str">
        <f t="shared" si="30"/>
        <v>2 PM</v>
      </c>
      <c r="F656" t="str">
        <f t="shared" si="31"/>
        <v>AfterNoon</v>
      </c>
      <c r="G656" t="b">
        <v>0</v>
      </c>
      <c r="H656">
        <v>0</v>
      </c>
      <c r="I656" t="str">
        <f>_xlfn.XLOOKUP(Append15[[#This Row],[Week day]],Mappings!$B$3:$B$9,Mappings!$C$3:$C$9)</f>
        <v>Sunday</v>
      </c>
      <c r="J656" t="str">
        <f t="shared" si="32"/>
        <v>Weekend</v>
      </c>
      <c r="K656">
        <v>1</v>
      </c>
      <c r="L656" t="str">
        <f>_xlfn.XLOOKUP(Append15[[#This Row],[WeatherSituation]],Mappings!$E$3:$E$6,Mappings!$F$3:$F$6)</f>
        <v>Clear Sky</v>
      </c>
      <c r="M656">
        <v>0.28000000000000003</v>
      </c>
      <c r="N656">
        <v>0.30299999999999999</v>
      </c>
      <c r="O656">
        <v>0.61</v>
      </c>
      <c r="P656">
        <v>8.9599999999999999E-2</v>
      </c>
      <c r="Q656">
        <v>18</v>
      </c>
      <c r="R656">
        <v>104</v>
      </c>
      <c r="S656">
        <v>122</v>
      </c>
    </row>
    <row r="657" spans="1:19" x14ac:dyDescent="0.3">
      <c r="A657">
        <v>656</v>
      </c>
      <c r="B657" s="4">
        <v>40573</v>
      </c>
      <c r="C657">
        <v>1</v>
      </c>
      <c r="D657">
        <v>15</v>
      </c>
      <c r="E657" t="str">
        <f t="shared" si="30"/>
        <v>3 PM</v>
      </c>
      <c r="F657" t="str">
        <f t="shared" si="31"/>
        <v>AfterNoon</v>
      </c>
      <c r="G657" t="b">
        <v>0</v>
      </c>
      <c r="H657">
        <v>0</v>
      </c>
      <c r="I657" t="str">
        <f>_xlfn.XLOOKUP(Append15[[#This Row],[Week day]],Mappings!$B$3:$B$9,Mappings!$C$3:$C$9)</f>
        <v>Sunday</v>
      </c>
      <c r="J657" t="str">
        <f t="shared" si="32"/>
        <v>Weekend</v>
      </c>
      <c r="K657">
        <v>1</v>
      </c>
      <c r="L657" t="str">
        <f>_xlfn.XLOOKUP(Append15[[#This Row],[WeatherSituation]],Mappings!$E$3:$E$6,Mappings!$F$3:$F$6)</f>
        <v>Clear Sky</v>
      </c>
      <c r="M657">
        <v>0.3</v>
      </c>
      <c r="N657">
        <v>0.33329999999999999</v>
      </c>
      <c r="O657">
        <v>0.56000000000000005</v>
      </c>
      <c r="P657">
        <v>0</v>
      </c>
      <c r="Q657">
        <v>14</v>
      </c>
      <c r="R657">
        <v>95</v>
      </c>
      <c r="S657">
        <v>109</v>
      </c>
    </row>
    <row r="658" spans="1:19" x14ac:dyDescent="0.3">
      <c r="A658">
        <v>657</v>
      </c>
      <c r="B658" s="4">
        <v>40573</v>
      </c>
      <c r="C658">
        <v>1</v>
      </c>
      <c r="D658">
        <v>16</v>
      </c>
      <c r="E658" t="str">
        <f t="shared" si="30"/>
        <v>4 PM</v>
      </c>
      <c r="F658" t="str">
        <f t="shared" si="31"/>
        <v>Evening</v>
      </c>
      <c r="G658" t="b">
        <v>0</v>
      </c>
      <c r="H658">
        <v>0</v>
      </c>
      <c r="I658" t="str">
        <f>_xlfn.XLOOKUP(Append15[[#This Row],[Week day]],Mappings!$B$3:$B$9,Mappings!$C$3:$C$9)</f>
        <v>Sunday</v>
      </c>
      <c r="J658" t="str">
        <f t="shared" si="32"/>
        <v>Weekend</v>
      </c>
      <c r="K658">
        <v>1</v>
      </c>
      <c r="L658" t="str">
        <f>_xlfn.XLOOKUP(Append15[[#This Row],[WeatherSituation]],Mappings!$E$3:$E$6,Mappings!$F$3:$F$6)</f>
        <v>Clear Sky</v>
      </c>
      <c r="M658">
        <v>0.3</v>
      </c>
      <c r="N658">
        <v>0.33329999999999999</v>
      </c>
      <c r="O658">
        <v>0.56000000000000005</v>
      </c>
      <c r="P658">
        <v>0</v>
      </c>
      <c r="Q658">
        <v>19</v>
      </c>
      <c r="R658">
        <v>104</v>
      </c>
      <c r="S658">
        <v>123</v>
      </c>
    </row>
    <row r="659" spans="1:19" x14ac:dyDescent="0.3">
      <c r="A659">
        <v>658</v>
      </c>
      <c r="B659" s="4">
        <v>40573</v>
      </c>
      <c r="C659">
        <v>1</v>
      </c>
      <c r="D659">
        <v>17</v>
      </c>
      <c r="E659" t="str">
        <f t="shared" si="30"/>
        <v>5 PM</v>
      </c>
      <c r="F659" t="str">
        <f t="shared" si="31"/>
        <v>Evening</v>
      </c>
      <c r="G659" t="b">
        <v>0</v>
      </c>
      <c r="H659">
        <v>0</v>
      </c>
      <c r="I659" t="str">
        <f>_xlfn.XLOOKUP(Append15[[#This Row],[Week day]],Mappings!$B$3:$B$9,Mappings!$C$3:$C$9)</f>
        <v>Sunday</v>
      </c>
      <c r="J659" t="str">
        <f t="shared" si="32"/>
        <v>Weekend</v>
      </c>
      <c r="K659">
        <v>1</v>
      </c>
      <c r="L659" t="str">
        <f>_xlfn.XLOOKUP(Append15[[#This Row],[WeatherSituation]],Mappings!$E$3:$E$6,Mappings!$F$3:$F$6)</f>
        <v>Clear Sky</v>
      </c>
      <c r="M659">
        <v>0.3</v>
      </c>
      <c r="N659">
        <v>0.28789999999999999</v>
      </c>
      <c r="O659">
        <v>0.56000000000000005</v>
      </c>
      <c r="P659">
        <v>0.19400000000000001</v>
      </c>
      <c r="Q659">
        <v>6</v>
      </c>
      <c r="R659">
        <v>71</v>
      </c>
      <c r="S659">
        <v>77</v>
      </c>
    </row>
    <row r="660" spans="1:19" x14ac:dyDescent="0.3">
      <c r="A660">
        <v>659</v>
      </c>
      <c r="B660" s="4">
        <v>40573</v>
      </c>
      <c r="C660">
        <v>1</v>
      </c>
      <c r="D660">
        <v>18</v>
      </c>
      <c r="E660" t="str">
        <f t="shared" si="30"/>
        <v>6 PM</v>
      </c>
      <c r="F660" t="str">
        <f t="shared" si="31"/>
        <v>Evening</v>
      </c>
      <c r="G660" t="b">
        <v>0</v>
      </c>
      <c r="H660">
        <v>0</v>
      </c>
      <c r="I660" t="str">
        <f>_xlfn.XLOOKUP(Append15[[#This Row],[Week day]],Mappings!$B$3:$B$9,Mappings!$C$3:$C$9)</f>
        <v>Sunday</v>
      </c>
      <c r="J660" t="str">
        <f t="shared" si="32"/>
        <v>Weekend</v>
      </c>
      <c r="K660">
        <v>1</v>
      </c>
      <c r="L660" t="str">
        <f>_xlfn.XLOOKUP(Append15[[#This Row],[WeatherSituation]],Mappings!$E$3:$E$6,Mappings!$F$3:$F$6)</f>
        <v>Clear Sky</v>
      </c>
      <c r="M660">
        <v>0.26</v>
      </c>
      <c r="N660">
        <v>0.2576</v>
      </c>
      <c r="O660">
        <v>0.65</v>
      </c>
      <c r="P660">
        <v>0.16420000000000001</v>
      </c>
      <c r="Q660">
        <v>8</v>
      </c>
      <c r="R660">
        <v>57</v>
      </c>
      <c r="S660">
        <v>65</v>
      </c>
    </row>
    <row r="661" spans="1:19" x14ac:dyDescent="0.3">
      <c r="A661">
        <v>660</v>
      </c>
      <c r="B661" s="4">
        <v>40573</v>
      </c>
      <c r="C661">
        <v>1</v>
      </c>
      <c r="D661">
        <v>19</v>
      </c>
      <c r="E661" t="str">
        <f t="shared" si="30"/>
        <v>7 PM</v>
      </c>
      <c r="F661" t="str">
        <f t="shared" si="31"/>
        <v>Evening</v>
      </c>
      <c r="G661" t="b">
        <v>0</v>
      </c>
      <c r="H661">
        <v>0</v>
      </c>
      <c r="I661" t="str">
        <f>_xlfn.XLOOKUP(Append15[[#This Row],[Week day]],Mappings!$B$3:$B$9,Mappings!$C$3:$C$9)</f>
        <v>Sunday</v>
      </c>
      <c r="J661" t="str">
        <f t="shared" si="32"/>
        <v>Weekend</v>
      </c>
      <c r="K661">
        <v>1</v>
      </c>
      <c r="L661" t="str">
        <f>_xlfn.XLOOKUP(Append15[[#This Row],[WeatherSituation]],Mappings!$E$3:$E$6,Mappings!$F$3:$F$6)</f>
        <v>Clear Sky</v>
      </c>
      <c r="M661">
        <v>0.26</v>
      </c>
      <c r="N661">
        <v>0.2576</v>
      </c>
      <c r="O661">
        <v>0.65</v>
      </c>
      <c r="P661">
        <v>0.19400000000000001</v>
      </c>
      <c r="Q661">
        <v>9</v>
      </c>
      <c r="R661">
        <v>46</v>
      </c>
      <c r="S661">
        <v>55</v>
      </c>
    </row>
    <row r="662" spans="1:19" x14ac:dyDescent="0.3">
      <c r="A662">
        <v>661</v>
      </c>
      <c r="B662" s="4">
        <v>40573</v>
      </c>
      <c r="C662">
        <v>1</v>
      </c>
      <c r="D662">
        <v>20</v>
      </c>
      <c r="E662" t="str">
        <f t="shared" si="30"/>
        <v>8 PM</v>
      </c>
      <c r="F662" t="str">
        <f t="shared" si="31"/>
        <v>Night</v>
      </c>
      <c r="G662" t="b">
        <v>0</v>
      </c>
      <c r="H662">
        <v>0</v>
      </c>
      <c r="I662" t="str">
        <f>_xlfn.XLOOKUP(Append15[[#This Row],[Week day]],Mappings!$B$3:$B$9,Mappings!$C$3:$C$9)</f>
        <v>Sunday</v>
      </c>
      <c r="J662" t="str">
        <f t="shared" si="32"/>
        <v>Weekend</v>
      </c>
      <c r="K662">
        <v>2</v>
      </c>
      <c r="L662" t="str">
        <f>_xlfn.XLOOKUP(Append15[[#This Row],[WeatherSituation]],Mappings!$E$3:$E$6,Mappings!$F$3:$F$6)</f>
        <v>Mist/Cloudy</v>
      </c>
      <c r="M662">
        <v>0.26</v>
      </c>
      <c r="N662">
        <v>0.2727</v>
      </c>
      <c r="O662">
        <v>0.65</v>
      </c>
      <c r="P662">
        <v>0.1045</v>
      </c>
      <c r="Q662">
        <v>3</v>
      </c>
      <c r="R662">
        <v>30</v>
      </c>
      <c r="S662">
        <v>33</v>
      </c>
    </row>
    <row r="663" spans="1:19" x14ac:dyDescent="0.3">
      <c r="A663">
        <v>662</v>
      </c>
      <c r="B663" s="4">
        <v>40573</v>
      </c>
      <c r="C663">
        <v>1</v>
      </c>
      <c r="D663">
        <v>21</v>
      </c>
      <c r="E663" t="str">
        <f t="shared" si="30"/>
        <v>9 PM</v>
      </c>
      <c r="F663" t="str">
        <f t="shared" si="31"/>
        <v>Night</v>
      </c>
      <c r="G663" t="b">
        <v>0</v>
      </c>
      <c r="H663">
        <v>0</v>
      </c>
      <c r="I663" t="str">
        <f>_xlfn.XLOOKUP(Append15[[#This Row],[Week day]],Mappings!$B$3:$B$9,Mappings!$C$3:$C$9)</f>
        <v>Sunday</v>
      </c>
      <c r="J663" t="str">
        <f t="shared" si="32"/>
        <v>Weekend</v>
      </c>
      <c r="K663">
        <v>2</v>
      </c>
      <c r="L663" t="str">
        <f>_xlfn.XLOOKUP(Append15[[#This Row],[WeatherSituation]],Mappings!$E$3:$E$6,Mappings!$F$3:$F$6)</f>
        <v>Mist/Cloudy</v>
      </c>
      <c r="M663">
        <v>0.24</v>
      </c>
      <c r="N663">
        <v>0.2424</v>
      </c>
      <c r="O663">
        <v>0.7</v>
      </c>
      <c r="P663">
        <v>0.16420000000000001</v>
      </c>
      <c r="Q663">
        <v>3</v>
      </c>
      <c r="R663">
        <v>25</v>
      </c>
      <c r="S663">
        <v>28</v>
      </c>
    </row>
    <row r="664" spans="1:19" x14ac:dyDescent="0.3">
      <c r="A664">
        <v>663</v>
      </c>
      <c r="B664" s="4">
        <v>40573</v>
      </c>
      <c r="C664">
        <v>1</v>
      </c>
      <c r="D664">
        <v>22</v>
      </c>
      <c r="E664" t="str">
        <f t="shared" si="30"/>
        <v>10 PM</v>
      </c>
      <c r="F664" t="str">
        <f t="shared" si="31"/>
        <v>Night</v>
      </c>
      <c r="G664" t="b">
        <v>0</v>
      </c>
      <c r="H664">
        <v>0</v>
      </c>
      <c r="I664" t="str">
        <f>_xlfn.XLOOKUP(Append15[[#This Row],[Week day]],Mappings!$B$3:$B$9,Mappings!$C$3:$C$9)</f>
        <v>Sunday</v>
      </c>
      <c r="J664" t="str">
        <f t="shared" si="32"/>
        <v>Weekend</v>
      </c>
      <c r="K664">
        <v>2</v>
      </c>
      <c r="L664" t="str">
        <f>_xlfn.XLOOKUP(Append15[[#This Row],[WeatherSituation]],Mappings!$E$3:$E$6,Mappings!$F$3:$F$6)</f>
        <v>Mist/Cloudy</v>
      </c>
      <c r="M664">
        <v>0.24</v>
      </c>
      <c r="N664">
        <v>0.2273</v>
      </c>
      <c r="O664">
        <v>0.7</v>
      </c>
      <c r="P664">
        <v>0.19400000000000001</v>
      </c>
      <c r="Q664">
        <v>2</v>
      </c>
      <c r="R664">
        <v>19</v>
      </c>
      <c r="S664">
        <v>21</v>
      </c>
    </row>
    <row r="665" spans="1:19" x14ac:dyDescent="0.3">
      <c r="A665">
        <v>664</v>
      </c>
      <c r="B665" s="4">
        <v>40573</v>
      </c>
      <c r="C665">
        <v>1</v>
      </c>
      <c r="D665">
        <v>23</v>
      </c>
      <c r="E665" t="str">
        <f t="shared" si="30"/>
        <v>11 PM</v>
      </c>
      <c r="F665" t="str">
        <f t="shared" si="31"/>
        <v>Night</v>
      </c>
      <c r="G665" t="b">
        <v>0</v>
      </c>
      <c r="H665">
        <v>0</v>
      </c>
      <c r="I665" t="str">
        <f>_xlfn.XLOOKUP(Append15[[#This Row],[Week day]],Mappings!$B$3:$B$9,Mappings!$C$3:$C$9)</f>
        <v>Sunday</v>
      </c>
      <c r="J665" t="str">
        <f t="shared" si="32"/>
        <v>Weekend</v>
      </c>
      <c r="K665">
        <v>2</v>
      </c>
      <c r="L665" t="str">
        <f>_xlfn.XLOOKUP(Append15[[#This Row],[WeatherSituation]],Mappings!$E$3:$E$6,Mappings!$F$3:$F$6)</f>
        <v>Mist/Cloudy</v>
      </c>
      <c r="M665">
        <v>0.24</v>
      </c>
      <c r="N665">
        <v>0.21210000000000001</v>
      </c>
      <c r="O665">
        <v>0.65</v>
      </c>
      <c r="P665">
        <v>0.28360000000000002</v>
      </c>
      <c r="Q665">
        <v>5</v>
      </c>
      <c r="R665">
        <v>16</v>
      </c>
      <c r="S665">
        <v>21</v>
      </c>
    </row>
    <row r="666" spans="1:19" x14ac:dyDescent="0.3">
      <c r="A666">
        <v>665</v>
      </c>
      <c r="B666" s="4">
        <v>40574</v>
      </c>
      <c r="C666">
        <v>1</v>
      </c>
      <c r="D666">
        <v>0</v>
      </c>
      <c r="E666" t="str">
        <f t="shared" si="30"/>
        <v>12 AM</v>
      </c>
      <c r="F666" t="str">
        <f t="shared" si="31"/>
        <v>Night</v>
      </c>
      <c r="G666" t="b">
        <v>0</v>
      </c>
      <c r="H666">
        <v>1</v>
      </c>
      <c r="I666" t="str">
        <f>_xlfn.XLOOKUP(Append15[[#This Row],[Week day]],Mappings!$B$3:$B$9,Mappings!$C$3:$C$9)</f>
        <v>Monday</v>
      </c>
      <c r="J666" t="str">
        <f t="shared" si="32"/>
        <v>Weekday</v>
      </c>
      <c r="K666">
        <v>2</v>
      </c>
      <c r="L666" t="str">
        <f>_xlfn.XLOOKUP(Append15[[#This Row],[WeatherSituation]],Mappings!$E$3:$E$6,Mappings!$F$3:$F$6)</f>
        <v>Mist/Cloudy</v>
      </c>
      <c r="M666">
        <v>0.24</v>
      </c>
      <c r="N666">
        <v>0.2273</v>
      </c>
      <c r="O666">
        <v>0.65</v>
      </c>
      <c r="P666">
        <v>0.22389999999999999</v>
      </c>
      <c r="Q666">
        <v>1</v>
      </c>
      <c r="R666">
        <v>6</v>
      </c>
      <c r="S666">
        <v>7</v>
      </c>
    </row>
    <row r="667" spans="1:19" x14ac:dyDescent="0.3">
      <c r="A667">
        <v>666</v>
      </c>
      <c r="B667" s="4">
        <v>40574</v>
      </c>
      <c r="C667">
        <v>1</v>
      </c>
      <c r="D667">
        <v>1</v>
      </c>
      <c r="E667" t="str">
        <f t="shared" si="30"/>
        <v>1 AM</v>
      </c>
      <c r="F667" t="str">
        <f t="shared" si="31"/>
        <v>Night</v>
      </c>
      <c r="G667" t="b">
        <v>0</v>
      </c>
      <c r="H667">
        <v>1</v>
      </c>
      <c r="I667" t="str">
        <f>_xlfn.XLOOKUP(Append15[[#This Row],[Week day]],Mappings!$B$3:$B$9,Mappings!$C$3:$C$9)</f>
        <v>Monday</v>
      </c>
      <c r="J667" t="str">
        <f t="shared" si="32"/>
        <v>Weekday</v>
      </c>
      <c r="K667">
        <v>1</v>
      </c>
      <c r="L667" t="str">
        <f>_xlfn.XLOOKUP(Append15[[#This Row],[WeatherSituation]],Mappings!$E$3:$E$6,Mappings!$F$3:$F$6)</f>
        <v>Clear Sky</v>
      </c>
      <c r="M667">
        <v>0.22</v>
      </c>
      <c r="N667">
        <v>0.21210000000000001</v>
      </c>
      <c r="O667">
        <v>0.64</v>
      </c>
      <c r="P667">
        <v>0.25369999999999998</v>
      </c>
      <c r="Q667">
        <v>2</v>
      </c>
      <c r="R667">
        <v>5</v>
      </c>
      <c r="S667">
        <v>7</v>
      </c>
    </row>
    <row r="668" spans="1:19" x14ac:dyDescent="0.3">
      <c r="A668">
        <v>667</v>
      </c>
      <c r="B668" s="4">
        <v>40574</v>
      </c>
      <c r="C668">
        <v>1</v>
      </c>
      <c r="D668">
        <v>2</v>
      </c>
      <c r="E668" t="str">
        <f t="shared" si="30"/>
        <v>2 AM</v>
      </c>
      <c r="F668" t="str">
        <f t="shared" si="31"/>
        <v>Night</v>
      </c>
      <c r="G668" t="b">
        <v>0</v>
      </c>
      <c r="H668">
        <v>1</v>
      </c>
      <c r="I668" t="str">
        <f>_xlfn.XLOOKUP(Append15[[#This Row],[Week day]],Mappings!$B$3:$B$9,Mappings!$C$3:$C$9)</f>
        <v>Monday</v>
      </c>
      <c r="J668" t="str">
        <f t="shared" si="32"/>
        <v>Weekday</v>
      </c>
      <c r="K668">
        <v>1</v>
      </c>
      <c r="L668" t="str">
        <f>_xlfn.XLOOKUP(Append15[[#This Row],[WeatherSituation]],Mappings!$E$3:$E$6,Mappings!$F$3:$F$6)</f>
        <v>Clear Sky</v>
      </c>
      <c r="M668">
        <v>0.22</v>
      </c>
      <c r="N668">
        <v>0.2273</v>
      </c>
      <c r="O668">
        <v>0.64</v>
      </c>
      <c r="P668">
        <v>0.19400000000000001</v>
      </c>
      <c r="Q668">
        <v>0</v>
      </c>
      <c r="R668">
        <v>1</v>
      </c>
      <c r="S668">
        <v>1</v>
      </c>
    </row>
    <row r="669" spans="1:19" x14ac:dyDescent="0.3">
      <c r="A669">
        <v>668</v>
      </c>
      <c r="B669" s="4">
        <v>40574</v>
      </c>
      <c r="C669">
        <v>1</v>
      </c>
      <c r="D669">
        <v>3</v>
      </c>
      <c r="E669" t="str">
        <f t="shared" si="30"/>
        <v>3 AM</v>
      </c>
      <c r="F669" t="str">
        <f t="shared" si="31"/>
        <v>Night</v>
      </c>
      <c r="G669" t="b">
        <v>0</v>
      </c>
      <c r="H669">
        <v>1</v>
      </c>
      <c r="I669" t="str">
        <f>_xlfn.XLOOKUP(Append15[[#This Row],[Week day]],Mappings!$B$3:$B$9,Mappings!$C$3:$C$9)</f>
        <v>Monday</v>
      </c>
      <c r="J669" t="str">
        <f t="shared" si="32"/>
        <v>Weekday</v>
      </c>
      <c r="K669">
        <v>1</v>
      </c>
      <c r="L669" t="str">
        <f>_xlfn.XLOOKUP(Append15[[#This Row],[WeatherSituation]],Mappings!$E$3:$E$6,Mappings!$F$3:$F$6)</f>
        <v>Clear Sky</v>
      </c>
      <c r="M669">
        <v>0.22</v>
      </c>
      <c r="N669">
        <v>0.2273</v>
      </c>
      <c r="O669">
        <v>0.64</v>
      </c>
      <c r="P669">
        <v>0.19400000000000001</v>
      </c>
      <c r="Q669">
        <v>0</v>
      </c>
      <c r="R669">
        <v>2</v>
      </c>
      <c r="S669">
        <v>2</v>
      </c>
    </row>
    <row r="670" spans="1:19" x14ac:dyDescent="0.3">
      <c r="A670">
        <v>669</v>
      </c>
      <c r="B670" s="4">
        <v>40574</v>
      </c>
      <c r="C670">
        <v>1</v>
      </c>
      <c r="D670">
        <v>4</v>
      </c>
      <c r="E670" t="str">
        <f t="shared" si="30"/>
        <v>4 AM</v>
      </c>
      <c r="F670" t="str">
        <f t="shared" si="31"/>
        <v>Night</v>
      </c>
      <c r="G670" t="b">
        <v>0</v>
      </c>
      <c r="H670">
        <v>1</v>
      </c>
      <c r="I670" t="str">
        <f>_xlfn.XLOOKUP(Append15[[#This Row],[Week day]],Mappings!$B$3:$B$9,Mappings!$C$3:$C$9)</f>
        <v>Monday</v>
      </c>
      <c r="J670" t="str">
        <f t="shared" si="32"/>
        <v>Weekday</v>
      </c>
      <c r="K670">
        <v>1</v>
      </c>
      <c r="L670" t="str">
        <f>_xlfn.XLOOKUP(Append15[[#This Row],[WeatherSituation]],Mappings!$E$3:$E$6,Mappings!$F$3:$F$6)</f>
        <v>Clear Sky</v>
      </c>
      <c r="M670">
        <v>0.2</v>
      </c>
      <c r="N670">
        <v>0.19700000000000001</v>
      </c>
      <c r="O670">
        <v>0.59</v>
      </c>
      <c r="P670">
        <v>0.22389999999999999</v>
      </c>
      <c r="Q670">
        <v>0</v>
      </c>
      <c r="R670">
        <v>2</v>
      </c>
      <c r="S670">
        <v>2</v>
      </c>
    </row>
    <row r="671" spans="1:19" x14ac:dyDescent="0.3">
      <c r="A671">
        <v>670</v>
      </c>
      <c r="B671" s="4">
        <v>40574</v>
      </c>
      <c r="C671">
        <v>1</v>
      </c>
      <c r="D671">
        <v>5</v>
      </c>
      <c r="E671" t="str">
        <f t="shared" si="30"/>
        <v>5 AM</v>
      </c>
      <c r="F671" t="str">
        <f t="shared" si="31"/>
        <v>Morning</v>
      </c>
      <c r="G671" t="b">
        <v>0</v>
      </c>
      <c r="H671">
        <v>1</v>
      </c>
      <c r="I671" t="str">
        <f>_xlfn.XLOOKUP(Append15[[#This Row],[Week day]],Mappings!$B$3:$B$9,Mappings!$C$3:$C$9)</f>
        <v>Monday</v>
      </c>
      <c r="J671" t="str">
        <f t="shared" si="32"/>
        <v>Weekday</v>
      </c>
      <c r="K671">
        <v>1</v>
      </c>
      <c r="L671" t="str">
        <f>_xlfn.XLOOKUP(Append15[[#This Row],[WeatherSituation]],Mappings!$E$3:$E$6,Mappings!$F$3:$F$6)</f>
        <v>Clear Sky</v>
      </c>
      <c r="M671">
        <v>0.18</v>
      </c>
      <c r="N671">
        <v>0.16669999999999999</v>
      </c>
      <c r="O671">
        <v>0.64</v>
      </c>
      <c r="P671">
        <v>0.28360000000000002</v>
      </c>
      <c r="Q671">
        <v>0</v>
      </c>
      <c r="R671">
        <v>8</v>
      </c>
      <c r="S671">
        <v>8</v>
      </c>
    </row>
    <row r="672" spans="1:19" x14ac:dyDescent="0.3">
      <c r="A672">
        <v>671</v>
      </c>
      <c r="B672" s="4">
        <v>40574</v>
      </c>
      <c r="C672">
        <v>1</v>
      </c>
      <c r="D672">
        <v>6</v>
      </c>
      <c r="E672" t="str">
        <f t="shared" si="30"/>
        <v>6 AM</v>
      </c>
      <c r="F672" t="str">
        <f t="shared" si="31"/>
        <v>Morning</v>
      </c>
      <c r="G672" t="b">
        <v>0</v>
      </c>
      <c r="H672">
        <v>1</v>
      </c>
      <c r="I672" t="str">
        <f>_xlfn.XLOOKUP(Append15[[#This Row],[Week day]],Mappings!$B$3:$B$9,Mappings!$C$3:$C$9)</f>
        <v>Monday</v>
      </c>
      <c r="J672" t="str">
        <f t="shared" si="32"/>
        <v>Weekday</v>
      </c>
      <c r="K672">
        <v>1</v>
      </c>
      <c r="L672" t="str">
        <f>_xlfn.XLOOKUP(Append15[[#This Row],[WeatherSituation]],Mappings!$E$3:$E$6,Mappings!$F$3:$F$6)</f>
        <v>Clear Sky</v>
      </c>
      <c r="M672">
        <v>0.16</v>
      </c>
      <c r="N672">
        <v>0.13639999999999999</v>
      </c>
      <c r="O672">
        <v>0.69</v>
      </c>
      <c r="P672">
        <v>0.32840000000000003</v>
      </c>
      <c r="Q672">
        <v>0</v>
      </c>
      <c r="R672">
        <v>37</v>
      </c>
      <c r="S672">
        <v>37</v>
      </c>
    </row>
    <row r="673" spans="1:19" x14ac:dyDescent="0.3">
      <c r="A673">
        <v>672</v>
      </c>
      <c r="B673" s="4">
        <v>40574</v>
      </c>
      <c r="C673">
        <v>1</v>
      </c>
      <c r="D673">
        <v>7</v>
      </c>
      <c r="E673" t="str">
        <f t="shared" si="30"/>
        <v>7 AM</v>
      </c>
      <c r="F673" t="str">
        <f t="shared" si="31"/>
        <v>Morning</v>
      </c>
      <c r="G673" t="b">
        <v>0</v>
      </c>
      <c r="H673">
        <v>1</v>
      </c>
      <c r="I673" t="str">
        <f>_xlfn.XLOOKUP(Append15[[#This Row],[Week day]],Mappings!$B$3:$B$9,Mappings!$C$3:$C$9)</f>
        <v>Monday</v>
      </c>
      <c r="J673" t="str">
        <f t="shared" si="32"/>
        <v>Weekday</v>
      </c>
      <c r="K673">
        <v>2</v>
      </c>
      <c r="L673" t="str">
        <f>_xlfn.XLOOKUP(Append15[[#This Row],[WeatherSituation]],Mappings!$E$3:$E$6,Mappings!$F$3:$F$6)</f>
        <v>Mist/Cloudy</v>
      </c>
      <c r="M673">
        <v>0.16</v>
      </c>
      <c r="N673">
        <v>0.13639999999999999</v>
      </c>
      <c r="O673">
        <v>0.64</v>
      </c>
      <c r="P673">
        <v>0.28360000000000002</v>
      </c>
      <c r="Q673">
        <v>1</v>
      </c>
      <c r="R673">
        <v>71</v>
      </c>
      <c r="S673">
        <v>72</v>
      </c>
    </row>
    <row r="674" spans="1:19" x14ac:dyDescent="0.3">
      <c r="A674">
        <v>673</v>
      </c>
      <c r="B674" s="4">
        <v>40574</v>
      </c>
      <c r="C674">
        <v>1</v>
      </c>
      <c r="D674">
        <v>8</v>
      </c>
      <c r="E674" t="str">
        <f t="shared" si="30"/>
        <v>8 AM</v>
      </c>
      <c r="F674" t="str">
        <f t="shared" si="31"/>
        <v>Morning</v>
      </c>
      <c r="G674" t="b">
        <v>0</v>
      </c>
      <c r="H674">
        <v>1</v>
      </c>
      <c r="I674" t="str">
        <f>_xlfn.XLOOKUP(Append15[[#This Row],[Week day]],Mappings!$B$3:$B$9,Mappings!$C$3:$C$9)</f>
        <v>Monday</v>
      </c>
      <c r="J674" t="str">
        <f t="shared" si="32"/>
        <v>Weekday</v>
      </c>
      <c r="K674">
        <v>2</v>
      </c>
      <c r="L674" t="str">
        <f>_xlfn.XLOOKUP(Append15[[#This Row],[WeatherSituation]],Mappings!$E$3:$E$6,Mappings!$F$3:$F$6)</f>
        <v>Mist/Cloudy</v>
      </c>
      <c r="M674">
        <v>0.16</v>
      </c>
      <c r="N674">
        <v>0.13639999999999999</v>
      </c>
      <c r="O674">
        <v>0.59</v>
      </c>
      <c r="P674">
        <v>0.28360000000000002</v>
      </c>
      <c r="Q674">
        <v>3</v>
      </c>
      <c r="R674">
        <v>182</v>
      </c>
      <c r="S674">
        <v>185</v>
      </c>
    </row>
    <row r="675" spans="1:19" x14ac:dyDescent="0.3">
      <c r="A675">
        <v>674</v>
      </c>
      <c r="B675" s="4">
        <v>40574</v>
      </c>
      <c r="C675">
        <v>1</v>
      </c>
      <c r="D675">
        <v>9</v>
      </c>
      <c r="E675" t="str">
        <f t="shared" si="30"/>
        <v>9 AM</v>
      </c>
      <c r="F675" t="str">
        <f t="shared" si="31"/>
        <v>Morning</v>
      </c>
      <c r="G675" t="b">
        <v>0</v>
      </c>
      <c r="H675">
        <v>1</v>
      </c>
      <c r="I675" t="str">
        <f>_xlfn.XLOOKUP(Append15[[#This Row],[Week day]],Mappings!$B$3:$B$9,Mappings!$C$3:$C$9)</f>
        <v>Monday</v>
      </c>
      <c r="J675" t="str">
        <f t="shared" si="32"/>
        <v>Weekday</v>
      </c>
      <c r="K675">
        <v>2</v>
      </c>
      <c r="L675" t="str">
        <f>_xlfn.XLOOKUP(Append15[[#This Row],[WeatherSituation]],Mappings!$E$3:$E$6,Mappings!$F$3:$F$6)</f>
        <v>Mist/Cloudy</v>
      </c>
      <c r="M675">
        <v>0.16</v>
      </c>
      <c r="N675">
        <v>0.13639999999999999</v>
      </c>
      <c r="O675">
        <v>0.59</v>
      </c>
      <c r="P675">
        <v>0.29849999999999999</v>
      </c>
      <c r="Q675">
        <v>0</v>
      </c>
      <c r="R675">
        <v>112</v>
      </c>
      <c r="S675">
        <v>112</v>
      </c>
    </row>
    <row r="676" spans="1:19" x14ac:dyDescent="0.3">
      <c r="A676">
        <v>675</v>
      </c>
      <c r="B676" s="4">
        <v>40574</v>
      </c>
      <c r="C676">
        <v>1</v>
      </c>
      <c r="D676">
        <v>10</v>
      </c>
      <c r="E676" t="str">
        <f t="shared" si="30"/>
        <v>10 AM</v>
      </c>
      <c r="F676" t="str">
        <f t="shared" si="31"/>
        <v>Morning</v>
      </c>
      <c r="G676" t="b">
        <v>0</v>
      </c>
      <c r="H676">
        <v>1</v>
      </c>
      <c r="I676" t="str">
        <f>_xlfn.XLOOKUP(Append15[[#This Row],[Week day]],Mappings!$B$3:$B$9,Mappings!$C$3:$C$9)</f>
        <v>Monday</v>
      </c>
      <c r="J676" t="str">
        <f t="shared" si="32"/>
        <v>Weekday</v>
      </c>
      <c r="K676">
        <v>2</v>
      </c>
      <c r="L676" t="str">
        <f>_xlfn.XLOOKUP(Append15[[#This Row],[WeatherSituation]],Mappings!$E$3:$E$6,Mappings!$F$3:$F$6)</f>
        <v>Mist/Cloudy</v>
      </c>
      <c r="M676">
        <v>0.16</v>
      </c>
      <c r="N676">
        <v>0.1515</v>
      </c>
      <c r="O676">
        <v>0.59</v>
      </c>
      <c r="P676">
        <v>0.19400000000000001</v>
      </c>
      <c r="Q676">
        <v>1</v>
      </c>
      <c r="R676">
        <v>68</v>
      </c>
      <c r="S676">
        <v>69</v>
      </c>
    </row>
    <row r="677" spans="1:19" x14ac:dyDescent="0.3">
      <c r="A677">
        <v>676</v>
      </c>
      <c r="B677" s="4">
        <v>40574</v>
      </c>
      <c r="C677">
        <v>1</v>
      </c>
      <c r="D677">
        <v>11</v>
      </c>
      <c r="E677" t="str">
        <f t="shared" si="30"/>
        <v>11 AM</v>
      </c>
      <c r="F677" t="str">
        <f t="shared" si="31"/>
        <v>Morning</v>
      </c>
      <c r="G677" t="b">
        <v>0</v>
      </c>
      <c r="H677">
        <v>1</v>
      </c>
      <c r="I677" t="str">
        <f>_xlfn.XLOOKUP(Append15[[#This Row],[Week day]],Mappings!$B$3:$B$9,Mappings!$C$3:$C$9)</f>
        <v>Monday</v>
      </c>
      <c r="J677" t="str">
        <f t="shared" si="32"/>
        <v>Weekday</v>
      </c>
      <c r="K677">
        <v>2</v>
      </c>
      <c r="L677" t="str">
        <f>_xlfn.XLOOKUP(Append15[[#This Row],[WeatherSituation]],Mappings!$E$3:$E$6,Mappings!$F$3:$F$6)</f>
        <v>Mist/Cloudy</v>
      </c>
      <c r="M677">
        <v>0.16</v>
      </c>
      <c r="N677">
        <v>0.1515</v>
      </c>
      <c r="O677">
        <v>0.59</v>
      </c>
      <c r="P677">
        <v>0.19400000000000001</v>
      </c>
      <c r="Q677">
        <v>2</v>
      </c>
      <c r="R677">
        <v>46</v>
      </c>
      <c r="S677">
        <v>48</v>
      </c>
    </row>
    <row r="678" spans="1:19" x14ac:dyDescent="0.3">
      <c r="A678">
        <v>677</v>
      </c>
      <c r="B678" s="4">
        <v>40574</v>
      </c>
      <c r="C678">
        <v>1</v>
      </c>
      <c r="D678">
        <v>12</v>
      </c>
      <c r="E678" t="str">
        <f t="shared" si="30"/>
        <v>12 PM</v>
      </c>
      <c r="F678" t="str">
        <f t="shared" si="31"/>
        <v>AfterNoon</v>
      </c>
      <c r="G678" t="b">
        <v>0</v>
      </c>
      <c r="H678">
        <v>1</v>
      </c>
      <c r="I678" t="str">
        <f>_xlfn.XLOOKUP(Append15[[#This Row],[Week day]],Mappings!$B$3:$B$9,Mappings!$C$3:$C$9)</f>
        <v>Monday</v>
      </c>
      <c r="J678" t="str">
        <f t="shared" si="32"/>
        <v>Weekday</v>
      </c>
      <c r="K678">
        <v>2</v>
      </c>
      <c r="L678" t="str">
        <f>_xlfn.XLOOKUP(Append15[[#This Row],[WeatherSituation]],Mappings!$E$3:$E$6,Mappings!$F$3:$F$6)</f>
        <v>Mist/Cloudy</v>
      </c>
      <c r="M678">
        <v>0.18</v>
      </c>
      <c r="N678">
        <v>0.21210000000000001</v>
      </c>
      <c r="O678">
        <v>0.55000000000000004</v>
      </c>
      <c r="P678">
        <v>0.1045</v>
      </c>
      <c r="Q678">
        <v>6</v>
      </c>
      <c r="R678">
        <v>62</v>
      </c>
      <c r="S678">
        <v>68</v>
      </c>
    </row>
    <row r="679" spans="1:19" x14ac:dyDescent="0.3">
      <c r="A679">
        <v>678</v>
      </c>
      <c r="B679" s="4">
        <v>40574</v>
      </c>
      <c r="C679">
        <v>1</v>
      </c>
      <c r="D679">
        <v>13</v>
      </c>
      <c r="E679" t="str">
        <f t="shared" si="30"/>
        <v>1 PM</v>
      </c>
      <c r="F679" t="str">
        <f t="shared" si="31"/>
        <v>AfterNoon</v>
      </c>
      <c r="G679" t="b">
        <v>0</v>
      </c>
      <c r="H679">
        <v>1</v>
      </c>
      <c r="I679" t="str">
        <f>_xlfn.XLOOKUP(Append15[[#This Row],[Week day]],Mappings!$B$3:$B$9,Mappings!$C$3:$C$9)</f>
        <v>Monday</v>
      </c>
      <c r="J679" t="str">
        <f t="shared" si="32"/>
        <v>Weekday</v>
      </c>
      <c r="K679">
        <v>2</v>
      </c>
      <c r="L679" t="str">
        <f>_xlfn.XLOOKUP(Append15[[#This Row],[WeatherSituation]],Mappings!$E$3:$E$6,Mappings!$F$3:$F$6)</f>
        <v>Mist/Cloudy</v>
      </c>
      <c r="M679">
        <v>0.16</v>
      </c>
      <c r="N679">
        <v>0.2273</v>
      </c>
      <c r="O679">
        <v>0.59</v>
      </c>
      <c r="P679">
        <v>0</v>
      </c>
      <c r="Q679">
        <v>2</v>
      </c>
      <c r="R679">
        <v>52</v>
      </c>
      <c r="S679">
        <v>54</v>
      </c>
    </row>
    <row r="680" spans="1:19" x14ac:dyDescent="0.3">
      <c r="A680">
        <v>679</v>
      </c>
      <c r="B680" s="4">
        <v>40574</v>
      </c>
      <c r="C680">
        <v>1</v>
      </c>
      <c r="D680">
        <v>14</v>
      </c>
      <c r="E680" t="str">
        <f t="shared" si="30"/>
        <v>2 PM</v>
      </c>
      <c r="F680" t="str">
        <f t="shared" si="31"/>
        <v>AfterNoon</v>
      </c>
      <c r="G680" t="b">
        <v>0</v>
      </c>
      <c r="H680">
        <v>1</v>
      </c>
      <c r="I680" t="str">
        <f>_xlfn.XLOOKUP(Append15[[#This Row],[Week day]],Mappings!$B$3:$B$9,Mappings!$C$3:$C$9)</f>
        <v>Monday</v>
      </c>
      <c r="J680" t="str">
        <f t="shared" si="32"/>
        <v>Weekday</v>
      </c>
      <c r="K680">
        <v>2</v>
      </c>
      <c r="L680" t="str">
        <f>_xlfn.XLOOKUP(Append15[[#This Row],[WeatherSituation]],Mappings!$E$3:$E$6,Mappings!$F$3:$F$6)</f>
        <v>Mist/Cloudy</v>
      </c>
      <c r="M680">
        <v>0.18</v>
      </c>
      <c r="N680">
        <v>0.19700000000000001</v>
      </c>
      <c r="O680">
        <v>0.55000000000000004</v>
      </c>
      <c r="P680">
        <v>0.1343</v>
      </c>
      <c r="Q680">
        <v>1</v>
      </c>
      <c r="R680">
        <v>85</v>
      </c>
      <c r="S680">
        <v>86</v>
      </c>
    </row>
    <row r="681" spans="1:19" x14ac:dyDescent="0.3">
      <c r="A681">
        <v>680</v>
      </c>
      <c r="B681" s="4">
        <v>40574</v>
      </c>
      <c r="C681">
        <v>1</v>
      </c>
      <c r="D681">
        <v>15</v>
      </c>
      <c r="E681" t="str">
        <f t="shared" si="30"/>
        <v>3 PM</v>
      </c>
      <c r="F681" t="str">
        <f t="shared" si="31"/>
        <v>AfterNoon</v>
      </c>
      <c r="G681" t="b">
        <v>0</v>
      </c>
      <c r="H681">
        <v>1</v>
      </c>
      <c r="I681" t="str">
        <f>_xlfn.XLOOKUP(Append15[[#This Row],[Week day]],Mappings!$B$3:$B$9,Mappings!$C$3:$C$9)</f>
        <v>Monday</v>
      </c>
      <c r="J681" t="str">
        <f t="shared" si="32"/>
        <v>Weekday</v>
      </c>
      <c r="K681">
        <v>2</v>
      </c>
      <c r="L681" t="str">
        <f>_xlfn.XLOOKUP(Append15[[#This Row],[WeatherSituation]],Mappings!$E$3:$E$6,Mappings!$F$3:$F$6)</f>
        <v>Mist/Cloudy</v>
      </c>
      <c r="M681">
        <v>0.16</v>
      </c>
      <c r="N681">
        <v>0.18179999999999999</v>
      </c>
      <c r="O681">
        <v>0.59</v>
      </c>
      <c r="P681">
        <v>0.1343</v>
      </c>
      <c r="Q681">
        <v>3</v>
      </c>
      <c r="R681">
        <v>41</v>
      </c>
      <c r="S681">
        <v>44</v>
      </c>
    </row>
    <row r="682" spans="1:19" x14ac:dyDescent="0.3">
      <c r="A682">
        <v>681</v>
      </c>
      <c r="B682" s="4">
        <v>40574</v>
      </c>
      <c r="C682">
        <v>1</v>
      </c>
      <c r="D682">
        <v>16</v>
      </c>
      <c r="E682" t="str">
        <f t="shared" si="30"/>
        <v>4 PM</v>
      </c>
      <c r="F682" t="str">
        <f t="shared" si="31"/>
        <v>Evening</v>
      </c>
      <c r="G682" t="b">
        <v>0</v>
      </c>
      <c r="H682">
        <v>1</v>
      </c>
      <c r="I682" t="str">
        <f>_xlfn.XLOOKUP(Append15[[#This Row],[Week day]],Mappings!$B$3:$B$9,Mappings!$C$3:$C$9)</f>
        <v>Monday</v>
      </c>
      <c r="J682" t="str">
        <f t="shared" si="32"/>
        <v>Weekday</v>
      </c>
      <c r="K682">
        <v>2</v>
      </c>
      <c r="L682" t="str">
        <f>_xlfn.XLOOKUP(Append15[[#This Row],[WeatherSituation]],Mappings!$E$3:$E$6,Mappings!$F$3:$F$6)</f>
        <v>Mist/Cloudy</v>
      </c>
      <c r="M682">
        <v>0.16</v>
      </c>
      <c r="N682">
        <v>0.18179999999999999</v>
      </c>
      <c r="O682">
        <v>0.56000000000000005</v>
      </c>
      <c r="P682">
        <v>0.19400000000000001</v>
      </c>
      <c r="Q682">
        <v>3</v>
      </c>
      <c r="R682">
        <v>83</v>
      </c>
      <c r="S682">
        <v>86</v>
      </c>
    </row>
    <row r="683" spans="1:19" x14ac:dyDescent="0.3">
      <c r="A683">
        <v>682</v>
      </c>
      <c r="B683" s="4">
        <v>40574</v>
      </c>
      <c r="C683">
        <v>1</v>
      </c>
      <c r="D683">
        <v>17</v>
      </c>
      <c r="E683" t="str">
        <f t="shared" si="30"/>
        <v>5 PM</v>
      </c>
      <c r="F683" t="str">
        <f t="shared" si="31"/>
        <v>Evening</v>
      </c>
      <c r="G683" t="b">
        <v>0</v>
      </c>
      <c r="H683">
        <v>1</v>
      </c>
      <c r="I683" t="str">
        <f>_xlfn.XLOOKUP(Append15[[#This Row],[Week day]],Mappings!$B$3:$B$9,Mappings!$C$3:$C$9)</f>
        <v>Monday</v>
      </c>
      <c r="J683" t="str">
        <f t="shared" si="32"/>
        <v>Weekday</v>
      </c>
      <c r="K683">
        <v>2</v>
      </c>
      <c r="L683" t="str">
        <f>_xlfn.XLOOKUP(Append15[[#This Row],[WeatherSituation]],Mappings!$E$3:$E$6,Mappings!$F$3:$F$6)</f>
        <v>Mist/Cloudy</v>
      </c>
      <c r="M683">
        <v>0.16</v>
      </c>
      <c r="N683">
        <v>0.1515</v>
      </c>
      <c r="O683">
        <v>0.59</v>
      </c>
      <c r="P683">
        <v>0.19400000000000001</v>
      </c>
      <c r="Q683">
        <v>6</v>
      </c>
      <c r="R683">
        <v>155</v>
      </c>
      <c r="S683">
        <v>161</v>
      </c>
    </row>
    <row r="684" spans="1:19" x14ac:dyDescent="0.3">
      <c r="A684">
        <v>683</v>
      </c>
      <c r="B684" s="4">
        <v>40574</v>
      </c>
      <c r="C684">
        <v>1</v>
      </c>
      <c r="D684">
        <v>18</v>
      </c>
      <c r="E684" t="str">
        <f t="shared" si="30"/>
        <v>6 PM</v>
      </c>
      <c r="F684" t="str">
        <f t="shared" si="31"/>
        <v>Evening</v>
      </c>
      <c r="G684" t="b">
        <v>0</v>
      </c>
      <c r="H684">
        <v>1</v>
      </c>
      <c r="I684" t="str">
        <f>_xlfn.XLOOKUP(Append15[[#This Row],[Week day]],Mappings!$B$3:$B$9,Mappings!$C$3:$C$9)</f>
        <v>Monday</v>
      </c>
      <c r="J684" t="str">
        <f t="shared" si="32"/>
        <v>Weekday</v>
      </c>
      <c r="K684">
        <v>2</v>
      </c>
      <c r="L684" t="str">
        <f>_xlfn.XLOOKUP(Append15[[#This Row],[WeatherSituation]],Mappings!$E$3:$E$6,Mappings!$F$3:$F$6)</f>
        <v>Mist/Cloudy</v>
      </c>
      <c r="M684">
        <v>0.16</v>
      </c>
      <c r="N684">
        <v>0.1515</v>
      </c>
      <c r="O684">
        <v>0.55000000000000004</v>
      </c>
      <c r="P684">
        <v>0.22389999999999999</v>
      </c>
      <c r="Q684">
        <v>3</v>
      </c>
      <c r="R684">
        <v>153</v>
      </c>
      <c r="S684">
        <v>156</v>
      </c>
    </row>
    <row r="685" spans="1:19" x14ac:dyDescent="0.3">
      <c r="A685">
        <v>684</v>
      </c>
      <c r="B685" s="4">
        <v>40574</v>
      </c>
      <c r="C685">
        <v>1</v>
      </c>
      <c r="D685">
        <v>19</v>
      </c>
      <c r="E685" t="str">
        <f t="shared" si="30"/>
        <v>7 PM</v>
      </c>
      <c r="F685" t="str">
        <f t="shared" si="31"/>
        <v>Evening</v>
      </c>
      <c r="G685" t="b">
        <v>0</v>
      </c>
      <c r="H685">
        <v>1</v>
      </c>
      <c r="I685" t="str">
        <f>_xlfn.XLOOKUP(Append15[[#This Row],[Week day]],Mappings!$B$3:$B$9,Mappings!$C$3:$C$9)</f>
        <v>Monday</v>
      </c>
      <c r="J685" t="str">
        <f t="shared" si="32"/>
        <v>Weekday</v>
      </c>
      <c r="K685">
        <v>1</v>
      </c>
      <c r="L685" t="str">
        <f>_xlfn.XLOOKUP(Append15[[#This Row],[WeatherSituation]],Mappings!$E$3:$E$6,Mappings!$F$3:$F$6)</f>
        <v>Clear Sky</v>
      </c>
      <c r="M685">
        <v>0.3</v>
      </c>
      <c r="N685">
        <v>0.31819999999999998</v>
      </c>
      <c r="O685">
        <v>0.61</v>
      </c>
      <c r="P685">
        <v>0.1045</v>
      </c>
      <c r="Q685">
        <v>3</v>
      </c>
      <c r="R685">
        <v>108</v>
      </c>
      <c r="S685">
        <v>111</v>
      </c>
    </row>
    <row r="686" spans="1:19" x14ac:dyDescent="0.3">
      <c r="A686">
        <v>685</v>
      </c>
      <c r="B686" s="4">
        <v>40574</v>
      </c>
      <c r="C686">
        <v>1</v>
      </c>
      <c r="D686">
        <v>20</v>
      </c>
      <c r="E686" t="str">
        <f t="shared" si="30"/>
        <v>8 PM</v>
      </c>
      <c r="F686" t="str">
        <f t="shared" si="31"/>
        <v>Night</v>
      </c>
      <c r="G686" t="b">
        <v>0</v>
      </c>
      <c r="H686">
        <v>1</v>
      </c>
      <c r="I686" t="str">
        <f>_xlfn.XLOOKUP(Append15[[#This Row],[Week day]],Mappings!$B$3:$B$9,Mappings!$C$3:$C$9)</f>
        <v>Monday</v>
      </c>
      <c r="J686" t="str">
        <f t="shared" si="32"/>
        <v>Weekday</v>
      </c>
      <c r="K686">
        <v>3</v>
      </c>
      <c r="L686" t="str">
        <f>_xlfn.XLOOKUP(Append15[[#This Row],[WeatherSituation]],Mappings!$E$3:$E$6,Mappings!$F$3:$F$6)</f>
        <v>Light Rain</v>
      </c>
      <c r="M686">
        <v>0.16</v>
      </c>
      <c r="N686">
        <v>0.16669999999999999</v>
      </c>
      <c r="O686">
        <v>0.59</v>
      </c>
      <c r="P686">
        <v>0.16420000000000001</v>
      </c>
      <c r="Q686">
        <v>0</v>
      </c>
      <c r="R686">
        <v>78</v>
      </c>
      <c r="S686">
        <v>78</v>
      </c>
    </row>
    <row r="687" spans="1:19" x14ac:dyDescent="0.3">
      <c r="A687">
        <v>686</v>
      </c>
      <c r="B687" s="4">
        <v>40574</v>
      </c>
      <c r="C687">
        <v>1</v>
      </c>
      <c r="D687">
        <v>21</v>
      </c>
      <c r="E687" t="str">
        <f t="shared" si="30"/>
        <v>9 PM</v>
      </c>
      <c r="F687" t="str">
        <f t="shared" si="31"/>
        <v>Night</v>
      </c>
      <c r="G687" t="b">
        <v>0</v>
      </c>
      <c r="H687">
        <v>1</v>
      </c>
      <c r="I687" t="str">
        <f>_xlfn.XLOOKUP(Append15[[#This Row],[Week day]],Mappings!$B$3:$B$9,Mappings!$C$3:$C$9)</f>
        <v>Monday</v>
      </c>
      <c r="J687" t="str">
        <f t="shared" si="32"/>
        <v>Weekday</v>
      </c>
      <c r="K687">
        <v>3</v>
      </c>
      <c r="L687" t="str">
        <f>_xlfn.XLOOKUP(Append15[[#This Row],[WeatherSituation]],Mappings!$E$3:$E$6,Mappings!$F$3:$F$6)</f>
        <v>Light Rain</v>
      </c>
      <c r="M687">
        <v>0.16</v>
      </c>
      <c r="N687">
        <v>0.19700000000000001</v>
      </c>
      <c r="O687">
        <v>0.59</v>
      </c>
      <c r="P687">
        <v>8.9599999999999999E-2</v>
      </c>
      <c r="Q687">
        <v>3</v>
      </c>
      <c r="R687">
        <v>53</v>
      </c>
      <c r="S687">
        <v>56</v>
      </c>
    </row>
    <row r="688" spans="1:19" x14ac:dyDescent="0.3">
      <c r="A688">
        <v>687</v>
      </c>
      <c r="B688" s="4">
        <v>40574</v>
      </c>
      <c r="C688">
        <v>1</v>
      </c>
      <c r="D688">
        <v>22</v>
      </c>
      <c r="E688" t="str">
        <f t="shared" si="30"/>
        <v>10 PM</v>
      </c>
      <c r="F688" t="str">
        <f t="shared" si="31"/>
        <v>Night</v>
      </c>
      <c r="G688" t="b">
        <v>0</v>
      </c>
      <c r="H688">
        <v>1</v>
      </c>
      <c r="I688" t="str">
        <f>_xlfn.XLOOKUP(Append15[[#This Row],[Week day]],Mappings!$B$3:$B$9,Mappings!$C$3:$C$9)</f>
        <v>Monday</v>
      </c>
      <c r="J688" t="str">
        <f t="shared" si="32"/>
        <v>Weekday</v>
      </c>
      <c r="K688">
        <v>2</v>
      </c>
      <c r="L688" t="str">
        <f>_xlfn.XLOOKUP(Append15[[#This Row],[WeatherSituation]],Mappings!$E$3:$E$6,Mappings!$F$3:$F$6)</f>
        <v>Mist/Cloudy</v>
      </c>
      <c r="M688">
        <v>0.16</v>
      </c>
      <c r="N688">
        <v>0.18179999999999999</v>
      </c>
      <c r="O688">
        <v>0.59</v>
      </c>
      <c r="P688">
        <v>0.1045</v>
      </c>
      <c r="Q688">
        <v>0</v>
      </c>
      <c r="R688">
        <v>34</v>
      </c>
      <c r="S688">
        <v>34</v>
      </c>
    </row>
    <row r="689" spans="1:19" x14ac:dyDescent="0.3">
      <c r="A689">
        <v>688</v>
      </c>
      <c r="B689" s="4">
        <v>40574</v>
      </c>
      <c r="C689">
        <v>1</v>
      </c>
      <c r="D689">
        <v>23</v>
      </c>
      <c r="E689" t="str">
        <f t="shared" si="30"/>
        <v>11 PM</v>
      </c>
      <c r="F689" t="str">
        <f t="shared" si="31"/>
        <v>Night</v>
      </c>
      <c r="G689" t="b">
        <v>0</v>
      </c>
      <c r="H689">
        <v>1</v>
      </c>
      <c r="I689" t="str">
        <f>_xlfn.XLOOKUP(Append15[[#This Row],[Week day]],Mappings!$B$3:$B$9,Mappings!$C$3:$C$9)</f>
        <v>Monday</v>
      </c>
      <c r="J689" t="str">
        <f t="shared" si="32"/>
        <v>Weekday</v>
      </c>
      <c r="K689">
        <v>2</v>
      </c>
      <c r="L689" t="str">
        <f>_xlfn.XLOOKUP(Append15[[#This Row],[WeatherSituation]],Mappings!$E$3:$E$6,Mappings!$F$3:$F$6)</f>
        <v>Mist/Cloudy</v>
      </c>
      <c r="M689">
        <v>0.16</v>
      </c>
      <c r="N689">
        <v>0.19700000000000001</v>
      </c>
      <c r="O689">
        <v>0.64</v>
      </c>
      <c r="P689">
        <v>8.9599999999999999E-2</v>
      </c>
      <c r="Q689">
        <v>2</v>
      </c>
      <c r="R689">
        <v>15</v>
      </c>
      <c r="S689">
        <v>17</v>
      </c>
    </row>
    <row r="690" spans="1:19" x14ac:dyDescent="0.3">
      <c r="A690">
        <v>689</v>
      </c>
      <c r="B690" s="4">
        <v>40575</v>
      </c>
      <c r="C690">
        <v>2</v>
      </c>
      <c r="D690">
        <v>0</v>
      </c>
      <c r="E690" t="str">
        <f t="shared" si="30"/>
        <v>12 AM</v>
      </c>
      <c r="F690" t="str">
        <f t="shared" si="31"/>
        <v>Night</v>
      </c>
      <c r="G690" t="b">
        <v>0</v>
      </c>
      <c r="H690">
        <v>2</v>
      </c>
      <c r="I690" t="str">
        <f>_xlfn.XLOOKUP(Append15[[#This Row],[Week day]],Mappings!$B$3:$B$9,Mappings!$C$3:$C$9)</f>
        <v>Tuesday</v>
      </c>
      <c r="J690" t="str">
        <f t="shared" si="32"/>
        <v>Weekday</v>
      </c>
      <c r="K690">
        <v>2</v>
      </c>
      <c r="L690" t="str">
        <f>_xlfn.XLOOKUP(Append15[[#This Row],[WeatherSituation]],Mappings!$E$3:$E$6,Mappings!$F$3:$F$6)</f>
        <v>Mist/Cloudy</v>
      </c>
      <c r="M690">
        <v>0.16</v>
      </c>
      <c r="N690">
        <v>0.18179999999999999</v>
      </c>
      <c r="O690">
        <v>0.64</v>
      </c>
      <c r="P690">
        <v>0.1045</v>
      </c>
      <c r="Q690">
        <v>2</v>
      </c>
      <c r="R690">
        <v>6</v>
      </c>
      <c r="S690">
        <v>8</v>
      </c>
    </row>
    <row r="691" spans="1:19" x14ac:dyDescent="0.3">
      <c r="A691">
        <v>690</v>
      </c>
      <c r="B691" s="4">
        <v>40575</v>
      </c>
      <c r="C691">
        <v>2</v>
      </c>
      <c r="D691">
        <v>1</v>
      </c>
      <c r="E691" t="str">
        <f t="shared" si="30"/>
        <v>1 AM</v>
      </c>
      <c r="F691" t="str">
        <f t="shared" si="31"/>
        <v>Night</v>
      </c>
      <c r="G691" t="b">
        <v>0</v>
      </c>
      <c r="H691">
        <v>2</v>
      </c>
      <c r="I691" t="str">
        <f>_xlfn.XLOOKUP(Append15[[#This Row],[Week day]],Mappings!$B$3:$B$9,Mappings!$C$3:$C$9)</f>
        <v>Tuesday</v>
      </c>
      <c r="J691" t="str">
        <f t="shared" si="32"/>
        <v>Weekday</v>
      </c>
      <c r="K691">
        <v>2</v>
      </c>
      <c r="L691" t="str">
        <f>_xlfn.XLOOKUP(Append15[[#This Row],[WeatherSituation]],Mappings!$E$3:$E$6,Mappings!$F$3:$F$6)</f>
        <v>Mist/Cloudy</v>
      </c>
      <c r="M691">
        <v>0.16</v>
      </c>
      <c r="N691">
        <v>0.18179999999999999</v>
      </c>
      <c r="O691">
        <v>0.69</v>
      </c>
      <c r="P691">
        <v>0.1045</v>
      </c>
      <c r="Q691">
        <v>0</v>
      </c>
      <c r="R691">
        <v>3</v>
      </c>
      <c r="S691">
        <v>3</v>
      </c>
    </row>
    <row r="692" spans="1:19" x14ac:dyDescent="0.3">
      <c r="A692">
        <v>691</v>
      </c>
      <c r="B692" s="4">
        <v>40575</v>
      </c>
      <c r="C692">
        <v>2</v>
      </c>
      <c r="D692">
        <v>2</v>
      </c>
      <c r="E692" t="str">
        <f t="shared" si="30"/>
        <v>2 AM</v>
      </c>
      <c r="F692" t="str">
        <f t="shared" si="31"/>
        <v>Night</v>
      </c>
      <c r="G692" t="b">
        <v>0</v>
      </c>
      <c r="H692">
        <v>2</v>
      </c>
      <c r="I692" t="str">
        <f>_xlfn.XLOOKUP(Append15[[#This Row],[Week day]],Mappings!$B$3:$B$9,Mappings!$C$3:$C$9)</f>
        <v>Tuesday</v>
      </c>
      <c r="J692" t="str">
        <f t="shared" si="32"/>
        <v>Weekday</v>
      </c>
      <c r="K692">
        <v>2</v>
      </c>
      <c r="L692" t="str">
        <f>_xlfn.XLOOKUP(Append15[[#This Row],[WeatherSituation]],Mappings!$E$3:$E$6,Mappings!$F$3:$F$6)</f>
        <v>Mist/Cloudy</v>
      </c>
      <c r="M692">
        <v>0.16</v>
      </c>
      <c r="N692">
        <v>0.2273</v>
      </c>
      <c r="O692">
        <v>0.69</v>
      </c>
      <c r="P692">
        <v>0</v>
      </c>
      <c r="Q692">
        <v>0</v>
      </c>
      <c r="R692">
        <v>2</v>
      </c>
      <c r="S692">
        <v>2</v>
      </c>
    </row>
    <row r="693" spans="1:19" x14ac:dyDescent="0.3">
      <c r="A693">
        <v>692</v>
      </c>
      <c r="B693" s="4">
        <v>40575</v>
      </c>
      <c r="C693">
        <v>2</v>
      </c>
      <c r="D693">
        <v>3</v>
      </c>
      <c r="E693" t="str">
        <f t="shared" si="30"/>
        <v>3 AM</v>
      </c>
      <c r="F693" t="str">
        <f t="shared" si="31"/>
        <v>Night</v>
      </c>
      <c r="G693" t="b">
        <v>0</v>
      </c>
      <c r="H693">
        <v>2</v>
      </c>
      <c r="I693" t="str">
        <f>_xlfn.XLOOKUP(Append15[[#This Row],[Week day]],Mappings!$B$3:$B$9,Mappings!$C$3:$C$9)</f>
        <v>Tuesday</v>
      </c>
      <c r="J693" t="str">
        <f t="shared" si="32"/>
        <v>Weekday</v>
      </c>
      <c r="K693">
        <v>2</v>
      </c>
      <c r="L693" t="str">
        <f>_xlfn.XLOOKUP(Append15[[#This Row],[WeatherSituation]],Mappings!$E$3:$E$6,Mappings!$F$3:$F$6)</f>
        <v>Mist/Cloudy</v>
      </c>
      <c r="M693">
        <v>0.16</v>
      </c>
      <c r="N693">
        <v>0.2273</v>
      </c>
      <c r="O693">
        <v>0.69</v>
      </c>
      <c r="P693">
        <v>0</v>
      </c>
      <c r="Q693">
        <v>0</v>
      </c>
      <c r="R693">
        <v>2</v>
      </c>
      <c r="S693">
        <v>2</v>
      </c>
    </row>
    <row r="694" spans="1:19" x14ac:dyDescent="0.3">
      <c r="A694">
        <v>693</v>
      </c>
      <c r="B694" s="4">
        <v>40575</v>
      </c>
      <c r="C694">
        <v>2</v>
      </c>
      <c r="D694">
        <v>5</v>
      </c>
      <c r="E694" t="str">
        <f t="shared" si="30"/>
        <v>5 AM</v>
      </c>
      <c r="F694" t="str">
        <f t="shared" si="31"/>
        <v>Morning</v>
      </c>
      <c r="G694" t="b">
        <v>0</v>
      </c>
      <c r="H694">
        <v>2</v>
      </c>
      <c r="I694" t="str">
        <f>_xlfn.XLOOKUP(Append15[[#This Row],[Week day]],Mappings!$B$3:$B$9,Mappings!$C$3:$C$9)</f>
        <v>Tuesday</v>
      </c>
      <c r="J694" t="str">
        <f t="shared" si="32"/>
        <v>Weekday</v>
      </c>
      <c r="K694">
        <v>3</v>
      </c>
      <c r="L694" t="str">
        <f>_xlfn.XLOOKUP(Append15[[#This Row],[WeatherSituation]],Mappings!$E$3:$E$6,Mappings!$F$3:$F$6)</f>
        <v>Light Rain</v>
      </c>
      <c r="M694">
        <v>0.14000000000000001</v>
      </c>
      <c r="N694">
        <v>0.21210000000000001</v>
      </c>
      <c r="O694">
        <v>0.93</v>
      </c>
      <c r="P694">
        <v>0</v>
      </c>
      <c r="Q694">
        <v>0</v>
      </c>
      <c r="R694">
        <v>3</v>
      </c>
      <c r="S694">
        <v>3</v>
      </c>
    </row>
    <row r="695" spans="1:19" x14ac:dyDescent="0.3">
      <c r="A695">
        <v>694</v>
      </c>
      <c r="B695" s="4">
        <v>40575</v>
      </c>
      <c r="C695">
        <v>2</v>
      </c>
      <c r="D695">
        <v>6</v>
      </c>
      <c r="E695" t="str">
        <f t="shared" si="30"/>
        <v>6 AM</v>
      </c>
      <c r="F695" t="str">
        <f t="shared" si="31"/>
        <v>Morning</v>
      </c>
      <c r="G695" t="b">
        <v>0</v>
      </c>
      <c r="H695">
        <v>2</v>
      </c>
      <c r="I695" t="str">
        <f>_xlfn.XLOOKUP(Append15[[#This Row],[Week day]],Mappings!$B$3:$B$9,Mappings!$C$3:$C$9)</f>
        <v>Tuesday</v>
      </c>
      <c r="J695" t="str">
        <f t="shared" si="32"/>
        <v>Weekday</v>
      </c>
      <c r="K695">
        <v>3</v>
      </c>
      <c r="L695" t="str">
        <f>_xlfn.XLOOKUP(Append15[[#This Row],[WeatherSituation]],Mappings!$E$3:$E$6,Mappings!$F$3:$F$6)</f>
        <v>Light Rain</v>
      </c>
      <c r="M695">
        <v>0.14000000000000001</v>
      </c>
      <c r="N695">
        <v>0.21210000000000001</v>
      </c>
      <c r="O695">
        <v>0.93</v>
      </c>
      <c r="P695">
        <v>0</v>
      </c>
      <c r="Q695">
        <v>0</v>
      </c>
      <c r="R695">
        <v>22</v>
      </c>
      <c r="S695">
        <v>22</v>
      </c>
    </row>
    <row r="696" spans="1:19" x14ac:dyDescent="0.3">
      <c r="A696">
        <v>695</v>
      </c>
      <c r="B696" s="4">
        <v>40575</v>
      </c>
      <c r="C696">
        <v>2</v>
      </c>
      <c r="D696">
        <v>7</v>
      </c>
      <c r="E696" t="str">
        <f t="shared" si="30"/>
        <v>7 AM</v>
      </c>
      <c r="F696" t="str">
        <f t="shared" si="31"/>
        <v>Morning</v>
      </c>
      <c r="G696" t="b">
        <v>0</v>
      </c>
      <c r="H696">
        <v>2</v>
      </c>
      <c r="I696" t="str">
        <f>_xlfn.XLOOKUP(Append15[[#This Row],[Week day]],Mappings!$B$3:$B$9,Mappings!$C$3:$C$9)</f>
        <v>Tuesday</v>
      </c>
      <c r="J696" t="str">
        <f t="shared" si="32"/>
        <v>Weekday</v>
      </c>
      <c r="K696">
        <v>3</v>
      </c>
      <c r="L696" t="str">
        <f>_xlfn.XLOOKUP(Append15[[#This Row],[WeatherSituation]],Mappings!$E$3:$E$6,Mappings!$F$3:$F$6)</f>
        <v>Light Rain</v>
      </c>
      <c r="M696">
        <v>0.16</v>
      </c>
      <c r="N696">
        <v>0.2273</v>
      </c>
      <c r="O696">
        <v>0.93</v>
      </c>
      <c r="P696">
        <v>0</v>
      </c>
      <c r="Q696">
        <v>0</v>
      </c>
      <c r="R696">
        <v>52</v>
      </c>
      <c r="S696">
        <v>52</v>
      </c>
    </row>
    <row r="697" spans="1:19" x14ac:dyDescent="0.3">
      <c r="A697">
        <v>696</v>
      </c>
      <c r="B697" s="4">
        <v>40575</v>
      </c>
      <c r="C697">
        <v>2</v>
      </c>
      <c r="D697">
        <v>8</v>
      </c>
      <c r="E697" t="str">
        <f t="shared" si="30"/>
        <v>8 AM</v>
      </c>
      <c r="F697" t="str">
        <f t="shared" si="31"/>
        <v>Morning</v>
      </c>
      <c r="G697" t="b">
        <v>0</v>
      </c>
      <c r="H697">
        <v>2</v>
      </c>
      <c r="I697" t="str">
        <f>_xlfn.XLOOKUP(Append15[[#This Row],[Week day]],Mappings!$B$3:$B$9,Mappings!$C$3:$C$9)</f>
        <v>Tuesday</v>
      </c>
      <c r="J697" t="str">
        <f t="shared" si="32"/>
        <v>Weekday</v>
      </c>
      <c r="K697">
        <v>3</v>
      </c>
      <c r="L697" t="str">
        <f>_xlfn.XLOOKUP(Append15[[#This Row],[WeatherSituation]],Mappings!$E$3:$E$6,Mappings!$F$3:$F$6)</f>
        <v>Light Rain</v>
      </c>
      <c r="M697">
        <v>0.16</v>
      </c>
      <c r="N697">
        <v>0.2273</v>
      </c>
      <c r="O697">
        <v>0.93</v>
      </c>
      <c r="P697">
        <v>0</v>
      </c>
      <c r="Q697">
        <v>3</v>
      </c>
      <c r="R697">
        <v>132</v>
      </c>
      <c r="S697">
        <v>135</v>
      </c>
    </row>
    <row r="698" spans="1:19" x14ac:dyDescent="0.3">
      <c r="A698">
        <v>697</v>
      </c>
      <c r="B698" s="4">
        <v>40575</v>
      </c>
      <c r="C698">
        <v>2</v>
      </c>
      <c r="D698">
        <v>9</v>
      </c>
      <c r="E698" t="str">
        <f t="shared" si="30"/>
        <v>9 AM</v>
      </c>
      <c r="F698" t="str">
        <f t="shared" si="31"/>
        <v>Morning</v>
      </c>
      <c r="G698" t="b">
        <v>0</v>
      </c>
      <c r="H698">
        <v>2</v>
      </c>
      <c r="I698" t="str">
        <f>_xlfn.XLOOKUP(Append15[[#This Row],[Week day]],Mappings!$B$3:$B$9,Mappings!$C$3:$C$9)</f>
        <v>Tuesday</v>
      </c>
      <c r="J698" t="str">
        <f t="shared" si="32"/>
        <v>Weekday</v>
      </c>
      <c r="K698">
        <v>2</v>
      </c>
      <c r="L698" t="str">
        <f>_xlfn.XLOOKUP(Append15[[#This Row],[WeatherSituation]],Mappings!$E$3:$E$6,Mappings!$F$3:$F$6)</f>
        <v>Mist/Cloudy</v>
      </c>
      <c r="M698">
        <v>0.16</v>
      </c>
      <c r="N698">
        <v>0.2273</v>
      </c>
      <c r="O698">
        <v>0.93</v>
      </c>
      <c r="P698">
        <v>0</v>
      </c>
      <c r="Q698">
        <v>2</v>
      </c>
      <c r="R698">
        <v>114</v>
      </c>
      <c r="S698">
        <v>116</v>
      </c>
    </row>
    <row r="699" spans="1:19" x14ac:dyDescent="0.3">
      <c r="A699">
        <v>698</v>
      </c>
      <c r="B699" s="4">
        <v>40575</v>
      </c>
      <c r="C699">
        <v>2</v>
      </c>
      <c r="D699">
        <v>10</v>
      </c>
      <c r="E699" t="str">
        <f t="shared" si="30"/>
        <v>10 AM</v>
      </c>
      <c r="F699" t="str">
        <f t="shared" si="31"/>
        <v>Morning</v>
      </c>
      <c r="G699" t="b">
        <v>0</v>
      </c>
      <c r="H699">
        <v>2</v>
      </c>
      <c r="I699" t="str">
        <f>_xlfn.XLOOKUP(Append15[[#This Row],[Week day]],Mappings!$B$3:$B$9,Mappings!$C$3:$C$9)</f>
        <v>Tuesday</v>
      </c>
      <c r="J699" t="str">
        <f t="shared" si="32"/>
        <v>Weekday</v>
      </c>
      <c r="K699">
        <v>2</v>
      </c>
      <c r="L699" t="str">
        <f>_xlfn.XLOOKUP(Append15[[#This Row],[WeatherSituation]],Mappings!$E$3:$E$6,Mappings!$F$3:$F$6)</f>
        <v>Mist/Cloudy</v>
      </c>
      <c r="M699">
        <v>0.16</v>
      </c>
      <c r="N699">
        <v>0.2273</v>
      </c>
      <c r="O699">
        <v>0.93</v>
      </c>
      <c r="P699">
        <v>0</v>
      </c>
      <c r="Q699">
        <v>0</v>
      </c>
      <c r="R699">
        <v>47</v>
      </c>
      <c r="S699">
        <v>47</v>
      </c>
    </row>
    <row r="700" spans="1:19" x14ac:dyDescent="0.3">
      <c r="A700">
        <v>699</v>
      </c>
      <c r="B700" s="4">
        <v>40575</v>
      </c>
      <c r="C700">
        <v>2</v>
      </c>
      <c r="D700">
        <v>11</v>
      </c>
      <c r="E700" t="str">
        <f t="shared" si="30"/>
        <v>11 AM</v>
      </c>
      <c r="F700" t="str">
        <f t="shared" si="31"/>
        <v>Morning</v>
      </c>
      <c r="G700" t="b">
        <v>0</v>
      </c>
      <c r="H700">
        <v>2</v>
      </c>
      <c r="I700" t="str">
        <f>_xlfn.XLOOKUP(Append15[[#This Row],[Week day]],Mappings!$B$3:$B$9,Mappings!$C$3:$C$9)</f>
        <v>Tuesday</v>
      </c>
      <c r="J700" t="str">
        <f t="shared" si="32"/>
        <v>Weekday</v>
      </c>
      <c r="K700">
        <v>2</v>
      </c>
      <c r="L700" t="str">
        <f>_xlfn.XLOOKUP(Append15[[#This Row],[WeatherSituation]],Mappings!$E$3:$E$6,Mappings!$F$3:$F$6)</f>
        <v>Mist/Cloudy</v>
      </c>
      <c r="M700">
        <v>0.18</v>
      </c>
      <c r="N700">
        <v>0.2424</v>
      </c>
      <c r="O700">
        <v>0.86</v>
      </c>
      <c r="P700">
        <v>0</v>
      </c>
      <c r="Q700">
        <v>2</v>
      </c>
      <c r="R700">
        <v>49</v>
      </c>
      <c r="S700">
        <v>51</v>
      </c>
    </row>
    <row r="701" spans="1:19" x14ac:dyDescent="0.3">
      <c r="A701">
        <v>700</v>
      </c>
      <c r="B701" s="4">
        <v>40575</v>
      </c>
      <c r="C701">
        <v>2</v>
      </c>
      <c r="D701">
        <v>12</v>
      </c>
      <c r="E701" t="str">
        <f t="shared" si="30"/>
        <v>12 PM</v>
      </c>
      <c r="F701" t="str">
        <f t="shared" si="31"/>
        <v>AfterNoon</v>
      </c>
      <c r="G701" t="b">
        <v>0</v>
      </c>
      <c r="H701">
        <v>2</v>
      </c>
      <c r="I701" t="str">
        <f>_xlfn.XLOOKUP(Append15[[#This Row],[Week day]],Mappings!$B$3:$B$9,Mappings!$C$3:$C$9)</f>
        <v>Tuesday</v>
      </c>
      <c r="J701" t="str">
        <f t="shared" si="32"/>
        <v>Weekday</v>
      </c>
      <c r="K701">
        <v>2</v>
      </c>
      <c r="L701" t="str">
        <f>_xlfn.XLOOKUP(Append15[[#This Row],[WeatherSituation]],Mappings!$E$3:$E$6,Mappings!$F$3:$F$6)</f>
        <v>Mist/Cloudy</v>
      </c>
      <c r="M701">
        <v>0.2</v>
      </c>
      <c r="N701">
        <v>0.2576</v>
      </c>
      <c r="O701">
        <v>0.86</v>
      </c>
      <c r="P701">
        <v>0</v>
      </c>
      <c r="Q701">
        <v>2</v>
      </c>
      <c r="R701">
        <v>53</v>
      </c>
      <c r="S701">
        <v>55</v>
      </c>
    </row>
    <row r="702" spans="1:19" x14ac:dyDescent="0.3">
      <c r="A702">
        <v>701</v>
      </c>
      <c r="B702" s="4">
        <v>40575</v>
      </c>
      <c r="C702">
        <v>2</v>
      </c>
      <c r="D702">
        <v>13</v>
      </c>
      <c r="E702" t="str">
        <f t="shared" si="30"/>
        <v>1 PM</v>
      </c>
      <c r="F702" t="str">
        <f t="shared" si="31"/>
        <v>AfterNoon</v>
      </c>
      <c r="G702" t="b">
        <v>0</v>
      </c>
      <c r="H702">
        <v>2</v>
      </c>
      <c r="I702" t="str">
        <f>_xlfn.XLOOKUP(Append15[[#This Row],[Week day]],Mappings!$B$3:$B$9,Mappings!$C$3:$C$9)</f>
        <v>Tuesday</v>
      </c>
      <c r="J702" t="str">
        <f t="shared" si="32"/>
        <v>Weekday</v>
      </c>
      <c r="K702">
        <v>2</v>
      </c>
      <c r="L702" t="str">
        <f>_xlfn.XLOOKUP(Append15[[#This Row],[WeatherSituation]],Mappings!$E$3:$E$6,Mappings!$F$3:$F$6)</f>
        <v>Mist/Cloudy</v>
      </c>
      <c r="M702">
        <v>0.2</v>
      </c>
      <c r="N702">
        <v>0.2576</v>
      </c>
      <c r="O702">
        <v>0.86</v>
      </c>
      <c r="P702">
        <v>0</v>
      </c>
      <c r="Q702">
        <v>3</v>
      </c>
      <c r="R702">
        <v>49</v>
      </c>
      <c r="S702">
        <v>52</v>
      </c>
    </row>
    <row r="703" spans="1:19" x14ac:dyDescent="0.3">
      <c r="A703">
        <v>702</v>
      </c>
      <c r="B703" s="4">
        <v>40575</v>
      </c>
      <c r="C703">
        <v>2</v>
      </c>
      <c r="D703">
        <v>14</v>
      </c>
      <c r="E703" t="str">
        <f t="shared" si="30"/>
        <v>2 PM</v>
      </c>
      <c r="F703" t="str">
        <f t="shared" si="31"/>
        <v>AfterNoon</v>
      </c>
      <c r="G703" t="b">
        <v>0</v>
      </c>
      <c r="H703">
        <v>2</v>
      </c>
      <c r="I703" t="str">
        <f>_xlfn.XLOOKUP(Append15[[#This Row],[Week day]],Mappings!$B$3:$B$9,Mappings!$C$3:$C$9)</f>
        <v>Tuesday</v>
      </c>
      <c r="J703" t="str">
        <f t="shared" si="32"/>
        <v>Weekday</v>
      </c>
      <c r="K703">
        <v>2</v>
      </c>
      <c r="L703" t="str">
        <f>_xlfn.XLOOKUP(Append15[[#This Row],[WeatherSituation]],Mappings!$E$3:$E$6,Mappings!$F$3:$F$6)</f>
        <v>Mist/Cloudy</v>
      </c>
      <c r="M703">
        <v>0.22</v>
      </c>
      <c r="N703">
        <v>0.2576</v>
      </c>
      <c r="O703">
        <v>0.8</v>
      </c>
      <c r="P703">
        <v>8.9599999999999999E-2</v>
      </c>
      <c r="Q703">
        <v>5</v>
      </c>
      <c r="R703">
        <v>49</v>
      </c>
      <c r="S703">
        <v>54</v>
      </c>
    </row>
    <row r="704" spans="1:19" x14ac:dyDescent="0.3">
      <c r="A704">
        <v>703</v>
      </c>
      <c r="B704" s="4">
        <v>40575</v>
      </c>
      <c r="C704">
        <v>2</v>
      </c>
      <c r="D704">
        <v>15</v>
      </c>
      <c r="E704" t="str">
        <f t="shared" si="30"/>
        <v>3 PM</v>
      </c>
      <c r="F704" t="str">
        <f t="shared" si="31"/>
        <v>AfterNoon</v>
      </c>
      <c r="G704" t="b">
        <v>0</v>
      </c>
      <c r="H704">
        <v>2</v>
      </c>
      <c r="I704" t="str">
        <f>_xlfn.XLOOKUP(Append15[[#This Row],[Week day]],Mappings!$B$3:$B$9,Mappings!$C$3:$C$9)</f>
        <v>Tuesday</v>
      </c>
      <c r="J704" t="str">
        <f t="shared" si="32"/>
        <v>Weekday</v>
      </c>
      <c r="K704">
        <v>2</v>
      </c>
      <c r="L704" t="str">
        <f>_xlfn.XLOOKUP(Append15[[#This Row],[WeatherSituation]],Mappings!$E$3:$E$6,Mappings!$F$3:$F$6)</f>
        <v>Mist/Cloudy</v>
      </c>
      <c r="M704">
        <v>0.24</v>
      </c>
      <c r="N704">
        <v>0.28789999999999999</v>
      </c>
      <c r="O704">
        <v>0.75</v>
      </c>
      <c r="P704">
        <v>0</v>
      </c>
      <c r="Q704">
        <v>7</v>
      </c>
      <c r="R704">
        <v>45</v>
      </c>
      <c r="S704">
        <v>52</v>
      </c>
    </row>
    <row r="705" spans="1:19" x14ac:dyDescent="0.3">
      <c r="A705">
        <v>704</v>
      </c>
      <c r="B705" s="4">
        <v>40575</v>
      </c>
      <c r="C705">
        <v>2</v>
      </c>
      <c r="D705">
        <v>16</v>
      </c>
      <c r="E705" t="str">
        <f t="shared" si="30"/>
        <v>4 PM</v>
      </c>
      <c r="F705" t="str">
        <f t="shared" si="31"/>
        <v>Evening</v>
      </c>
      <c r="G705" t="b">
        <v>0</v>
      </c>
      <c r="H705">
        <v>2</v>
      </c>
      <c r="I705" t="str">
        <f>_xlfn.XLOOKUP(Append15[[#This Row],[Week day]],Mappings!$B$3:$B$9,Mappings!$C$3:$C$9)</f>
        <v>Tuesday</v>
      </c>
      <c r="J705" t="str">
        <f t="shared" si="32"/>
        <v>Weekday</v>
      </c>
      <c r="K705">
        <v>2</v>
      </c>
      <c r="L705" t="str">
        <f>_xlfn.XLOOKUP(Append15[[#This Row],[WeatherSituation]],Mappings!$E$3:$E$6,Mappings!$F$3:$F$6)</f>
        <v>Mist/Cloudy</v>
      </c>
      <c r="M705">
        <v>0.24</v>
      </c>
      <c r="N705">
        <v>0.2424</v>
      </c>
      <c r="O705">
        <v>0.75</v>
      </c>
      <c r="P705">
        <v>0.1343</v>
      </c>
      <c r="Q705">
        <v>3</v>
      </c>
      <c r="R705">
        <v>61</v>
      </c>
      <c r="S705">
        <v>64</v>
      </c>
    </row>
    <row r="706" spans="1:19" x14ac:dyDescent="0.3">
      <c r="A706">
        <v>705</v>
      </c>
      <c r="B706" s="4">
        <v>40575</v>
      </c>
      <c r="C706">
        <v>2</v>
      </c>
      <c r="D706">
        <v>17</v>
      </c>
      <c r="E706" t="str">
        <f t="shared" ref="E706:E769" si="33">TEXT(D706/24,"h AM/PM")</f>
        <v>5 PM</v>
      </c>
      <c r="F706" t="str">
        <f t="shared" ref="F706:F769" si="34">IF(D706&lt;5,"Night",
IF(D706&lt;=11,"Morning",
IF(D706&lt;16,"AfterNoon",
IF(D706&lt;20,"Evening","Night"))))</f>
        <v>Evening</v>
      </c>
      <c r="G706" t="b">
        <v>0</v>
      </c>
      <c r="H706">
        <v>2</v>
      </c>
      <c r="I706" t="str">
        <f>_xlfn.XLOOKUP(Append15[[#This Row],[Week day]],Mappings!$B$3:$B$9,Mappings!$C$3:$C$9)</f>
        <v>Tuesday</v>
      </c>
      <c r="J706" t="str">
        <f t="shared" ref="J706:J769" si="35">IF(OR(H706=0,H706=6),"Weekend","Weekday")</f>
        <v>Weekday</v>
      </c>
      <c r="K706">
        <v>2</v>
      </c>
      <c r="L706" t="str">
        <f>_xlfn.XLOOKUP(Append15[[#This Row],[WeatherSituation]],Mappings!$E$3:$E$6,Mappings!$F$3:$F$6)</f>
        <v>Mist/Cloudy</v>
      </c>
      <c r="M706">
        <v>0.24</v>
      </c>
      <c r="N706">
        <v>0.28789999999999999</v>
      </c>
      <c r="O706">
        <v>0.75</v>
      </c>
      <c r="P706">
        <v>0</v>
      </c>
      <c r="Q706">
        <v>4</v>
      </c>
      <c r="R706">
        <v>172</v>
      </c>
      <c r="S706">
        <v>176</v>
      </c>
    </row>
    <row r="707" spans="1:19" x14ac:dyDescent="0.3">
      <c r="A707">
        <v>706</v>
      </c>
      <c r="B707" s="4">
        <v>40575</v>
      </c>
      <c r="C707">
        <v>2</v>
      </c>
      <c r="D707">
        <v>18</v>
      </c>
      <c r="E707" t="str">
        <f t="shared" si="33"/>
        <v>6 PM</v>
      </c>
      <c r="F707" t="str">
        <f t="shared" si="34"/>
        <v>Evening</v>
      </c>
      <c r="G707" t="b">
        <v>0</v>
      </c>
      <c r="H707">
        <v>2</v>
      </c>
      <c r="I707" t="str">
        <f>_xlfn.XLOOKUP(Append15[[#This Row],[Week day]],Mappings!$B$3:$B$9,Mappings!$C$3:$C$9)</f>
        <v>Tuesday</v>
      </c>
      <c r="J707" t="str">
        <f t="shared" si="35"/>
        <v>Weekday</v>
      </c>
      <c r="K707">
        <v>2</v>
      </c>
      <c r="L707" t="str">
        <f>_xlfn.XLOOKUP(Append15[[#This Row],[WeatherSituation]],Mappings!$E$3:$E$6,Mappings!$F$3:$F$6)</f>
        <v>Mist/Cloudy</v>
      </c>
      <c r="M707">
        <v>0.24</v>
      </c>
      <c r="N707">
        <v>0.2576</v>
      </c>
      <c r="O707">
        <v>0.81</v>
      </c>
      <c r="P707">
        <v>0.1045</v>
      </c>
      <c r="Q707">
        <v>3</v>
      </c>
      <c r="R707">
        <v>165</v>
      </c>
      <c r="S707">
        <v>168</v>
      </c>
    </row>
    <row r="708" spans="1:19" x14ac:dyDescent="0.3">
      <c r="A708">
        <v>707</v>
      </c>
      <c r="B708" s="4">
        <v>40575</v>
      </c>
      <c r="C708">
        <v>2</v>
      </c>
      <c r="D708">
        <v>19</v>
      </c>
      <c r="E708" t="str">
        <f t="shared" si="33"/>
        <v>7 PM</v>
      </c>
      <c r="F708" t="str">
        <f t="shared" si="34"/>
        <v>Evening</v>
      </c>
      <c r="G708" t="b">
        <v>0</v>
      </c>
      <c r="H708">
        <v>2</v>
      </c>
      <c r="I708" t="str">
        <f>_xlfn.XLOOKUP(Append15[[#This Row],[Week day]],Mappings!$B$3:$B$9,Mappings!$C$3:$C$9)</f>
        <v>Tuesday</v>
      </c>
      <c r="J708" t="str">
        <f t="shared" si="35"/>
        <v>Weekday</v>
      </c>
      <c r="K708">
        <v>2</v>
      </c>
      <c r="L708" t="str">
        <f>_xlfn.XLOOKUP(Append15[[#This Row],[WeatherSituation]],Mappings!$E$3:$E$6,Mappings!$F$3:$F$6)</f>
        <v>Mist/Cloudy</v>
      </c>
      <c r="M708">
        <v>0.24</v>
      </c>
      <c r="N708">
        <v>0.2424</v>
      </c>
      <c r="O708">
        <v>0.81</v>
      </c>
      <c r="P708">
        <v>0.1343</v>
      </c>
      <c r="Q708">
        <v>3</v>
      </c>
      <c r="R708">
        <v>105</v>
      </c>
      <c r="S708">
        <v>108</v>
      </c>
    </row>
    <row r="709" spans="1:19" x14ac:dyDescent="0.3">
      <c r="A709">
        <v>708</v>
      </c>
      <c r="B709" s="4">
        <v>40575</v>
      </c>
      <c r="C709">
        <v>2</v>
      </c>
      <c r="D709">
        <v>20</v>
      </c>
      <c r="E709" t="str">
        <f t="shared" si="33"/>
        <v>8 PM</v>
      </c>
      <c r="F709" t="str">
        <f t="shared" si="34"/>
        <v>Night</v>
      </c>
      <c r="G709" t="b">
        <v>0</v>
      </c>
      <c r="H709">
        <v>2</v>
      </c>
      <c r="I709" t="str">
        <f>_xlfn.XLOOKUP(Append15[[#This Row],[Week day]],Mappings!$B$3:$B$9,Mappings!$C$3:$C$9)</f>
        <v>Tuesday</v>
      </c>
      <c r="J709" t="str">
        <f t="shared" si="35"/>
        <v>Weekday</v>
      </c>
      <c r="K709">
        <v>2</v>
      </c>
      <c r="L709" t="str">
        <f>_xlfn.XLOOKUP(Append15[[#This Row],[WeatherSituation]],Mappings!$E$3:$E$6,Mappings!$F$3:$F$6)</f>
        <v>Mist/Cloudy</v>
      </c>
      <c r="M709">
        <v>0.22</v>
      </c>
      <c r="N709">
        <v>0.2273</v>
      </c>
      <c r="O709">
        <v>0.87</v>
      </c>
      <c r="P709">
        <v>0.1343</v>
      </c>
      <c r="Q709">
        <v>5</v>
      </c>
      <c r="R709">
        <v>69</v>
      </c>
      <c r="S709">
        <v>74</v>
      </c>
    </row>
    <row r="710" spans="1:19" x14ac:dyDescent="0.3">
      <c r="A710">
        <v>709</v>
      </c>
      <c r="B710" s="4">
        <v>40575</v>
      </c>
      <c r="C710">
        <v>2</v>
      </c>
      <c r="D710">
        <v>21</v>
      </c>
      <c r="E710" t="str">
        <f t="shared" si="33"/>
        <v>9 PM</v>
      </c>
      <c r="F710" t="str">
        <f t="shared" si="34"/>
        <v>Night</v>
      </c>
      <c r="G710" t="b">
        <v>0</v>
      </c>
      <c r="H710">
        <v>2</v>
      </c>
      <c r="I710" t="str">
        <f>_xlfn.XLOOKUP(Append15[[#This Row],[Week day]],Mappings!$B$3:$B$9,Mappings!$C$3:$C$9)</f>
        <v>Tuesday</v>
      </c>
      <c r="J710" t="str">
        <f t="shared" si="35"/>
        <v>Weekday</v>
      </c>
      <c r="K710">
        <v>2</v>
      </c>
      <c r="L710" t="str">
        <f>_xlfn.XLOOKUP(Append15[[#This Row],[WeatherSituation]],Mappings!$E$3:$E$6,Mappings!$F$3:$F$6)</f>
        <v>Mist/Cloudy</v>
      </c>
      <c r="M710">
        <v>0.22</v>
      </c>
      <c r="N710">
        <v>0.2273</v>
      </c>
      <c r="O710">
        <v>0.87</v>
      </c>
      <c r="P710">
        <v>0.1343</v>
      </c>
      <c r="Q710">
        <v>0</v>
      </c>
      <c r="R710">
        <v>64</v>
      </c>
      <c r="S710">
        <v>64</v>
      </c>
    </row>
    <row r="711" spans="1:19" x14ac:dyDescent="0.3">
      <c r="A711">
        <v>710</v>
      </c>
      <c r="B711" s="4">
        <v>40575</v>
      </c>
      <c r="C711">
        <v>2</v>
      </c>
      <c r="D711">
        <v>22</v>
      </c>
      <c r="E711" t="str">
        <f t="shared" si="33"/>
        <v>10 PM</v>
      </c>
      <c r="F711" t="str">
        <f t="shared" si="34"/>
        <v>Night</v>
      </c>
      <c r="G711" t="b">
        <v>0</v>
      </c>
      <c r="H711">
        <v>2</v>
      </c>
      <c r="I711" t="str">
        <f>_xlfn.XLOOKUP(Append15[[#This Row],[Week day]],Mappings!$B$3:$B$9,Mappings!$C$3:$C$9)</f>
        <v>Tuesday</v>
      </c>
      <c r="J711" t="str">
        <f t="shared" si="35"/>
        <v>Weekday</v>
      </c>
      <c r="K711">
        <v>2</v>
      </c>
      <c r="L711" t="str">
        <f>_xlfn.XLOOKUP(Append15[[#This Row],[WeatherSituation]],Mappings!$E$3:$E$6,Mappings!$F$3:$F$6)</f>
        <v>Mist/Cloudy</v>
      </c>
      <c r="M711">
        <v>0.22</v>
      </c>
      <c r="N711">
        <v>0.2576</v>
      </c>
      <c r="O711">
        <v>0.87</v>
      </c>
      <c r="P711">
        <v>8.9599999999999999E-2</v>
      </c>
      <c r="Q711">
        <v>2</v>
      </c>
      <c r="R711">
        <v>34</v>
      </c>
      <c r="S711">
        <v>36</v>
      </c>
    </row>
    <row r="712" spans="1:19" x14ac:dyDescent="0.3">
      <c r="A712">
        <v>711</v>
      </c>
      <c r="B712" s="4">
        <v>40575</v>
      </c>
      <c r="C712">
        <v>2</v>
      </c>
      <c r="D712">
        <v>23</v>
      </c>
      <c r="E712" t="str">
        <f t="shared" si="33"/>
        <v>11 PM</v>
      </c>
      <c r="F712" t="str">
        <f t="shared" si="34"/>
        <v>Night</v>
      </c>
      <c r="G712" t="b">
        <v>0</v>
      </c>
      <c r="H712">
        <v>2</v>
      </c>
      <c r="I712" t="str">
        <f>_xlfn.XLOOKUP(Append15[[#This Row],[Week day]],Mappings!$B$3:$B$9,Mappings!$C$3:$C$9)</f>
        <v>Tuesday</v>
      </c>
      <c r="J712" t="str">
        <f t="shared" si="35"/>
        <v>Weekday</v>
      </c>
      <c r="K712">
        <v>3</v>
      </c>
      <c r="L712" t="str">
        <f>_xlfn.XLOOKUP(Append15[[#This Row],[WeatherSituation]],Mappings!$E$3:$E$6,Mappings!$F$3:$F$6)</f>
        <v>Light Rain</v>
      </c>
      <c r="M712">
        <v>0.2</v>
      </c>
      <c r="N712">
        <v>0.19700000000000001</v>
      </c>
      <c r="O712">
        <v>0.93</v>
      </c>
      <c r="P712">
        <v>0.19400000000000001</v>
      </c>
      <c r="Q712">
        <v>1</v>
      </c>
      <c r="R712">
        <v>15</v>
      </c>
      <c r="S712">
        <v>16</v>
      </c>
    </row>
    <row r="713" spans="1:19" x14ac:dyDescent="0.3">
      <c r="A713">
        <v>712</v>
      </c>
      <c r="B713" s="4">
        <v>40576</v>
      </c>
      <c r="C713">
        <v>2</v>
      </c>
      <c r="D713">
        <v>0</v>
      </c>
      <c r="E713" t="str">
        <f t="shared" si="33"/>
        <v>12 AM</v>
      </c>
      <c r="F713" t="str">
        <f t="shared" si="34"/>
        <v>Night</v>
      </c>
      <c r="G713" t="b">
        <v>0</v>
      </c>
      <c r="H713">
        <v>3</v>
      </c>
      <c r="I713" t="str">
        <f>_xlfn.XLOOKUP(Append15[[#This Row],[Week day]],Mappings!$B$3:$B$9,Mappings!$C$3:$C$9)</f>
        <v>Wednesday</v>
      </c>
      <c r="J713" t="str">
        <f t="shared" si="35"/>
        <v>Weekday</v>
      </c>
      <c r="K713">
        <v>3</v>
      </c>
      <c r="L713" t="str">
        <f>_xlfn.XLOOKUP(Append15[[#This Row],[WeatherSituation]],Mappings!$E$3:$E$6,Mappings!$F$3:$F$6)</f>
        <v>Light Rain</v>
      </c>
      <c r="M713">
        <v>0.22</v>
      </c>
      <c r="N713">
        <v>0.2424</v>
      </c>
      <c r="O713">
        <v>0.93</v>
      </c>
      <c r="P713">
        <v>0.1045</v>
      </c>
      <c r="Q713">
        <v>0</v>
      </c>
      <c r="R713">
        <v>2</v>
      </c>
      <c r="S713">
        <v>2</v>
      </c>
    </row>
    <row r="714" spans="1:19" x14ac:dyDescent="0.3">
      <c r="A714">
        <v>713</v>
      </c>
      <c r="B714" s="4">
        <v>40576</v>
      </c>
      <c r="C714">
        <v>2</v>
      </c>
      <c r="D714">
        <v>1</v>
      </c>
      <c r="E714" t="str">
        <f t="shared" si="33"/>
        <v>1 AM</v>
      </c>
      <c r="F714" t="str">
        <f t="shared" si="34"/>
        <v>Night</v>
      </c>
      <c r="G714" t="b">
        <v>0</v>
      </c>
      <c r="H714">
        <v>3</v>
      </c>
      <c r="I714" t="str">
        <f>_xlfn.XLOOKUP(Append15[[#This Row],[Week day]],Mappings!$B$3:$B$9,Mappings!$C$3:$C$9)</f>
        <v>Wednesday</v>
      </c>
      <c r="J714" t="str">
        <f t="shared" si="35"/>
        <v>Weekday</v>
      </c>
      <c r="K714">
        <v>3</v>
      </c>
      <c r="L714" t="str">
        <f>_xlfn.XLOOKUP(Append15[[#This Row],[WeatherSituation]],Mappings!$E$3:$E$6,Mappings!$F$3:$F$6)</f>
        <v>Light Rain</v>
      </c>
      <c r="M714">
        <v>0.22</v>
      </c>
      <c r="N714">
        <v>0.2273</v>
      </c>
      <c r="O714">
        <v>0.93</v>
      </c>
      <c r="P714">
        <v>0.19400000000000001</v>
      </c>
      <c r="Q714">
        <v>0</v>
      </c>
      <c r="R714">
        <v>3</v>
      </c>
      <c r="S714">
        <v>3</v>
      </c>
    </row>
    <row r="715" spans="1:19" x14ac:dyDescent="0.3">
      <c r="A715">
        <v>714</v>
      </c>
      <c r="B715" s="4">
        <v>40576</v>
      </c>
      <c r="C715">
        <v>2</v>
      </c>
      <c r="D715">
        <v>2</v>
      </c>
      <c r="E715" t="str">
        <f t="shared" si="33"/>
        <v>2 AM</v>
      </c>
      <c r="F715" t="str">
        <f t="shared" si="34"/>
        <v>Night</v>
      </c>
      <c r="G715" t="b">
        <v>0</v>
      </c>
      <c r="H715">
        <v>3</v>
      </c>
      <c r="I715" t="str">
        <f>_xlfn.XLOOKUP(Append15[[#This Row],[Week day]],Mappings!$B$3:$B$9,Mappings!$C$3:$C$9)</f>
        <v>Wednesday</v>
      </c>
      <c r="J715" t="str">
        <f t="shared" si="35"/>
        <v>Weekday</v>
      </c>
      <c r="K715">
        <v>3</v>
      </c>
      <c r="L715" t="str">
        <f>_xlfn.XLOOKUP(Append15[[#This Row],[WeatherSituation]],Mappings!$E$3:$E$6,Mappings!$F$3:$F$6)</f>
        <v>Light Rain</v>
      </c>
      <c r="M715">
        <v>0.22</v>
      </c>
      <c r="N715">
        <v>0.2273</v>
      </c>
      <c r="O715">
        <v>0.93</v>
      </c>
      <c r="P715">
        <v>0.1343</v>
      </c>
      <c r="Q715">
        <v>4</v>
      </c>
      <c r="R715">
        <v>0</v>
      </c>
      <c r="S715">
        <v>4</v>
      </c>
    </row>
    <row r="716" spans="1:19" x14ac:dyDescent="0.3">
      <c r="A716">
        <v>715</v>
      </c>
      <c r="B716" s="4">
        <v>40576</v>
      </c>
      <c r="C716">
        <v>2</v>
      </c>
      <c r="D716">
        <v>3</v>
      </c>
      <c r="E716" t="str">
        <f t="shared" si="33"/>
        <v>3 AM</v>
      </c>
      <c r="F716" t="str">
        <f t="shared" si="34"/>
        <v>Night</v>
      </c>
      <c r="G716" t="b">
        <v>0</v>
      </c>
      <c r="H716">
        <v>3</v>
      </c>
      <c r="I716" t="str">
        <f>_xlfn.XLOOKUP(Append15[[#This Row],[Week day]],Mappings!$B$3:$B$9,Mappings!$C$3:$C$9)</f>
        <v>Wednesday</v>
      </c>
      <c r="J716" t="str">
        <f t="shared" si="35"/>
        <v>Weekday</v>
      </c>
      <c r="K716">
        <v>3</v>
      </c>
      <c r="L716" t="str">
        <f>_xlfn.XLOOKUP(Append15[[#This Row],[WeatherSituation]],Mappings!$E$3:$E$6,Mappings!$F$3:$F$6)</f>
        <v>Light Rain</v>
      </c>
      <c r="M716">
        <v>0.22</v>
      </c>
      <c r="N716">
        <v>0.2273</v>
      </c>
      <c r="O716">
        <v>0.93</v>
      </c>
      <c r="P716">
        <v>0.1343</v>
      </c>
      <c r="Q716">
        <v>0</v>
      </c>
      <c r="R716">
        <v>1</v>
      </c>
      <c r="S716">
        <v>1</v>
      </c>
    </row>
    <row r="717" spans="1:19" x14ac:dyDescent="0.3">
      <c r="A717">
        <v>716</v>
      </c>
      <c r="B717" s="4">
        <v>40576</v>
      </c>
      <c r="C717">
        <v>2</v>
      </c>
      <c r="D717">
        <v>4</v>
      </c>
      <c r="E717" t="str">
        <f t="shared" si="33"/>
        <v>4 AM</v>
      </c>
      <c r="F717" t="str">
        <f t="shared" si="34"/>
        <v>Night</v>
      </c>
      <c r="G717" t="b">
        <v>0</v>
      </c>
      <c r="H717">
        <v>3</v>
      </c>
      <c r="I717" t="str">
        <f>_xlfn.XLOOKUP(Append15[[#This Row],[Week day]],Mappings!$B$3:$B$9,Mappings!$C$3:$C$9)</f>
        <v>Wednesday</v>
      </c>
      <c r="J717" t="str">
        <f t="shared" si="35"/>
        <v>Weekday</v>
      </c>
      <c r="K717">
        <v>3</v>
      </c>
      <c r="L717" t="str">
        <f>_xlfn.XLOOKUP(Append15[[#This Row],[WeatherSituation]],Mappings!$E$3:$E$6,Mappings!$F$3:$F$6)</f>
        <v>Light Rain</v>
      </c>
      <c r="M717">
        <v>0.22</v>
      </c>
      <c r="N717">
        <v>0.21210000000000001</v>
      </c>
      <c r="O717">
        <v>0.93</v>
      </c>
      <c r="P717">
        <v>0.28360000000000002</v>
      </c>
      <c r="Q717">
        <v>0</v>
      </c>
      <c r="R717">
        <v>1</v>
      </c>
      <c r="S717">
        <v>1</v>
      </c>
    </row>
    <row r="718" spans="1:19" x14ac:dyDescent="0.3">
      <c r="A718">
        <v>717</v>
      </c>
      <c r="B718" s="4">
        <v>40576</v>
      </c>
      <c r="C718">
        <v>2</v>
      </c>
      <c r="D718">
        <v>5</v>
      </c>
      <c r="E718" t="str">
        <f t="shared" si="33"/>
        <v>5 AM</v>
      </c>
      <c r="F718" t="str">
        <f t="shared" si="34"/>
        <v>Morning</v>
      </c>
      <c r="G718" t="b">
        <v>0</v>
      </c>
      <c r="H718">
        <v>3</v>
      </c>
      <c r="I718" t="str">
        <f>_xlfn.XLOOKUP(Append15[[#This Row],[Week day]],Mappings!$B$3:$B$9,Mappings!$C$3:$C$9)</f>
        <v>Wednesday</v>
      </c>
      <c r="J718" t="str">
        <f t="shared" si="35"/>
        <v>Weekday</v>
      </c>
      <c r="K718">
        <v>3</v>
      </c>
      <c r="L718" t="str">
        <f>_xlfn.XLOOKUP(Append15[[#This Row],[WeatherSituation]],Mappings!$E$3:$E$6,Mappings!$F$3:$F$6)</f>
        <v>Light Rain</v>
      </c>
      <c r="M718">
        <v>0.22</v>
      </c>
      <c r="N718">
        <v>0.2424</v>
      </c>
      <c r="O718">
        <v>0.93</v>
      </c>
      <c r="P718">
        <v>0.1045</v>
      </c>
      <c r="Q718">
        <v>0</v>
      </c>
      <c r="R718">
        <v>3</v>
      </c>
      <c r="S718">
        <v>3</v>
      </c>
    </row>
    <row r="719" spans="1:19" x14ac:dyDescent="0.3">
      <c r="A719">
        <v>718</v>
      </c>
      <c r="B719" s="4">
        <v>40576</v>
      </c>
      <c r="C719">
        <v>2</v>
      </c>
      <c r="D719">
        <v>6</v>
      </c>
      <c r="E719" t="str">
        <f t="shared" si="33"/>
        <v>6 AM</v>
      </c>
      <c r="F719" t="str">
        <f t="shared" si="34"/>
        <v>Morning</v>
      </c>
      <c r="G719" t="b">
        <v>0</v>
      </c>
      <c r="H719">
        <v>3</v>
      </c>
      <c r="I719" t="str">
        <f>_xlfn.XLOOKUP(Append15[[#This Row],[Week day]],Mappings!$B$3:$B$9,Mappings!$C$3:$C$9)</f>
        <v>Wednesday</v>
      </c>
      <c r="J719" t="str">
        <f t="shared" si="35"/>
        <v>Weekday</v>
      </c>
      <c r="K719">
        <v>3</v>
      </c>
      <c r="L719" t="str">
        <f>_xlfn.XLOOKUP(Append15[[#This Row],[WeatherSituation]],Mappings!$E$3:$E$6,Mappings!$F$3:$F$6)</f>
        <v>Light Rain</v>
      </c>
      <c r="M719">
        <v>0.22</v>
      </c>
      <c r="N719">
        <v>0.2424</v>
      </c>
      <c r="O719">
        <v>0.93</v>
      </c>
      <c r="P719">
        <v>0.1045</v>
      </c>
      <c r="Q719">
        <v>1</v>
      </c>
      <c r="R719">
        <v>17</v>
      </c>
      <c r="S719">
        <v>18</v>
      </c>
    </row>
    <row r="720" spans="1:19" x14ac:dyDescent="0.3">
      <c r="A720">
        <v>719</v>
      </c>
      <c r="B720" s="4">
        <v>40576</v>
      </c>
      <c r="C720">
        <v>2</v>
      </c>
      <c r="D720">
        <v>7</v>
      </c>
      <c r="E720" t="str">
        <f t="shared" si="33"/>
        <v>7 AM</v>
      </c>
      <c r="F720" t="str">
        <f t="shared" si="34"/>
        <v>Morning</v>
      </c>
      <c r="G720" t="b">
        <v>0</v>
      </c>
      <c r="H720">
        <v>3</v>
      </c>
      <c r="I720" t="str">
        <f>_xlfn.XLOOKUP(Append15[[#This Row],[Week day]],Mappings!$B$3:$B$9,Mappings!$C$3:$C$9)</f>
        <v>Wednesday</v>
      </c>
      <c r="J720" t="str">
        <f t="shared" si="35"/>
        <v>Weekday</v>
      </c>
      <c r="K720">
        <v>3</v>
      </c>
      <c r="L720" t="str">
        <f>_xlfn.XLOOKUP(Append15[[#This Row],[WeatherSituation]],Mappings!$E$3:$E$6,Mappings!$F$3:$F$6)</f>
        <v>Light Rain</v>
      </c>
      <c r="M720">
        <v>0.22</v>
      </c>
      <c r="N720">
        <v>0.21210000000000001</v>
      </c>
      <c r="O720">
        <v>0.93</v>
      </c>
      <c r="P720">
        <v>0.22389999999999999</v>
      </c>
      <c r="Q720">
        <v>1</v>
      </c>
      <c r="R720">
        <v>48</v>
      </c>
      <c r="S720">
        <v>49</v>
      </c>
    </row>
    <row r="721" spans="1:19" x14ac:dyDescent="0.3">
      <c r="A721">
        <v>720</v>
      </c>
      <c r="B721" s="4">
        <v>40576</v>
      </c>
      <c r="C721">
        <v>2</v>
      </c>
      <c r="D721">
        <v>8</v>
      </c>
      <c r="E721" t="str">
        <f t="shared" si="33"/>
        <v>8 AM</v>
      </c>
      <c r="F721" t="str">
        <f t="shared" si="34"/>
        <v>Morning</v>
      </c>
      <c r="G721" t="b">
        <v>0</v>
      </c>
      <c r="H721">
        <v>3</v>
      </c>
      <c r="I721" t="str">
        <f>_xlfn.XLOOKUP(Append15[[#This Row],[Week day]],Mappings!$B$3:$B$9,Mappings!$C$3:$C$9)</f>
        <v>Wednesday</v>
      </c>
      <c r="J721" t="str">
        <f t="shared" si="35"/>
        <v>Weekday</v>
      </c>
      <c r="K721">
        <v>3</v>
      </c>
      <c r="L721" t="str">
        <f>_xlfn.XLOOKUP(Append15[[#This Row],[WeatherSituation]],Mappings!$E$3:$E$6,Mappings!$F$3:$F$6)</f>
        <v>Light Rain</v>
      </c>
      <c r="M721">
        <v>0.22</v>
      </c>
      <c r="N721">
        <v>0.21210000000000001</v>
      </c>
      <c r="O721">
        <v>0.93</v>
      </c>
      <c r="P721">
        <v>0.22389999999999999</v>
      </c>
      <c r="Q721">
        <v>1</v>
      </c>
      <c r="R721">
        <v>154</v>
      </c>
      <c r="S721">
        <v>155</v>
      </c>
    </row>
    <row r="722" spans="1:19" x14ac:dyDescent="0.3">
      <c r="A722">
        <v>721</v>
      </c>
      <c r="B722" s="4">
        <v>40576</v>
      </c>
      <c r="C722">
        <v>2</v>
      </c>
      <c r="D722">
        <v>9</v>
      </c>
      <c r="E722" t="str">
        <f t="shared" si="33"/>
        <v>9 AM</v>
      </c>
      <c r="F722" t="str">
        <f t="shared" si="34"/>
        <v>Morning</v>
      </c>
      <c r="G722" t="b">
        <v>0</v>
      </c>
      <c r="H722">
        <v>3</v>
      </c>
      <c r="I722" t="str">
        <f>_xlfn.XLOOKUP(Append15[[#This Row],[Week day]],Mappings!$B$3:$B$9,Mappings!$C$3:$C$9)</f>
        <v>Wednesday</v>
      </c>
      <c r="J722" t="str">
        <f t="shared" si="35"/>
        <v>Weekday</v>
      </c>
      <c r="K722">
        <v>2</v>
      </c>
      <c r="L722" t="str">
        <f>_xlfn.XLOOKUP(Append15[[#This Row],[WeatherSituation]],Mappings!$E$3:$E$6,Mappings!$F$3:$F$6)</f>
        <v>Mist/Cloudy</v>
      </c>
      <c r="M722">
        <v>0.24</v>
      </c>
      <c r="N722">
        <v>0.2576</v>
      </c>
      <c r="O722">
        <v>0.93</v>
      </c>
      <c r="P722">
        <v>8.9599999999999999E-2</v>
      </c>
      <c r="Q722">
        <v>4</v>
      </c>
      <c r="R722">
        <v>119</v>
      </c>
      <c r="S722">
        <v>123</v>
      </c>
    </row>
    <row r="723" spans="1:19" x14ac:dyDescent="0.3">
      <c r="A723">
        <v>722</v>
      </c>
      <c r="B723" s="4">
        <v>40576</v>
      </c>
      <c r="C723">
        <v>2</v>
      </c>
      <c r="D723">
        <v>10</v>
      </c>
      <c r="E723" t="str">
        <f t="shared" si="33"/>
        <v>10 AM</v>
      </c>
      <c r="F723" t="str">
        <f t="shared" si="34"/>
        <v>Morning</v>
      </c>
      <c r="G723" t="b">
        <v>0</v>
      </c>
      <c r="H723">
        <v>3</v>
      </c>
      <c r="I723" t="str">
        <f>_xlfn.XLOOKUP(Append15[[#This Row],[Week day]],Mappings!$B$3:$B$9,Mappings!$C$3:$C$9)</f>
        <v>Wednesday</v>
      </c>
      <c r="J723" t="str">
        <f t="shared" si="35"/>
        <v>Weekday</v>
      </c>
      <c r="K723">
        <v>2</v>
      </c>
      <c r="L723" t="str">
        <f>_xlfn.XLOOKUP(Append15[[#This Row],[WeatherSituation]],Mappings!$E$3:$E$6,Mappings!$F$3:$F$6)</f>
        <v>Mist/Cloudy</v>
      </c>
      <c r="M723">
        <v>0.22</v>
      </c>
      <c r="N723">
        <v>0.2727</v>
      </c>
      <c r="O723">
        <v>1</v>
      </c>
      <c r="P723">
        <v>0</v>
      </c>
      <c r="Q723">
        <v>2</v>
      </c>
      <c r="R723">
        <v>59</v>
      </c>
      <c r="S723">
        <v>61</v>
      </c>
    </row>
    <row r="724" spans="1:19" x14ac:dyDescent="0.3">
      <c r="A724">
        <v>723</v>
      </c>
      <c r="B724" s="4">
        <v>40576</v>
      </c>
      <c r="C724">
        <v>2</v>
      </c>
      <c r="D724">
        <v>11</v>
      </c>
      <c r="E724" t="str">
        <f t="shared" si="33"/>
        <v>11 AM</v>
      </c>
      <c r="F724" t="str">
        <f t="shared" si="34"/>
        <v>Morning</v>
      </c>
      <c r="G724" t="b">
        <v>0</v>
      </c>
      <c r="H724">
        <v>3</v>
      </c>
      <c r="I724" t="str">
        <f>_xlfn.XLOOKUP(Append15[[#This Row],[Week day]],Mappings!$B$3:$B$9,Mappings!$C$3:$C$9)</f>
        <v>Wednesday</v>
      </c>
      <c r="J724" t="str">
        <f t="shared" si="35"/>
        <v>Weekday</v>
      </c>
      <c r="K724">
        <v>2</v>
      </c>
      <c r="L724" t="str">
        <f>_xlfn.XLOOKUP(Append15[[#This Row],[WeatherSituation]],Mappings!$E$3:$E$6,Mappings!$F$3:$F$6)</f>
        <v>Mist/Cloudy</v>
      </c>
      <c r="M724">
        <v>0.24</v>
      </c>
      <c r="N724">
        <v>0.2273</v>
      </c>
      <c r="O724">
        <v>0.93</v>
      </c>
      <c r="P724">
        <v>0.19400000000000001</v>
      </c>
      <c r="Q724">
        <v>5</v>
      </c>
      <c r="R724">
        <v>47</v>
      </c>
      <c r="S724">
        <v>52</v>
      </c>
    </row>
    <row r="725" spans="1:19" x14ac:dyDescent="0.3">
      <c r="A725">
        <v>724</v>
      </c>
      <c r="B725" s="4">
        <v>40576</v>
      </c>
      <c r="C725">
        <v>2</v>
      </c>
      <c r="D725">
        <v>12</v>
      </c>
      <c r="E725" t="str">
        <f t="shared" si="33"/>
        <v>12 PM</v>
      </c>
      <c r="F725" t="str">
        <f t="shared" si="34"/>
        <v>AfterNoon</v>
      </c>
      <c r="G725" t="b">
        <v>0</v>
      </c>
      <c r="H725">
        <v>3</v>
      </c>
      <c r="I725" t="str">
        <f>_xlfn.XLOOKUP(Append15[[#This Row],[Week day]],Mappings!$B$3:$B$9,Mappings!$C$3:$C$9)</f>
        <v>Wednesday</v>
      </c>
      <c r="J725" t="str">
        <f t="shared" si="35"/>
        <v>Weekday</v>
      </c>
      <c r="K725">
        <v>2</v>
      </c>
      <c r="L725" t="str">
        <f>_xlfn.XLOOKUP(Append15[[#This Row],[WeatherSituation]],Mappings!$E$3:$E$6,Mappings!$F$3:$F$6)</f>
        <v>Mist/Cloudy</v>
      </c>
      <c r="M725">
        <v>0.24</v>
      </c>
      <c r="N725">
        <v>0.2273</v>
      </c>
      <c r="O725">
        <v>0.93</v>
      </c>
      <c r="P725">
        <v>0.22389999999999999</v>
      </c>
      <c r="Q725">
        <v>3</v>
      </c>
      <c r="R725">
        <v>61</v>
      </c>
      <c r="S725">
        <v>64</v>
      </c>
    </row>
    <row r="726" spans="1:19" x14ac:dyDescent="0.3">
      <c r="A726">
        <v>725</v>
      </c>
      <c r="B726" s="4">
        <v>40576</v>
      </c>
      <c r="C726">
        <v>2</v>
      </c>
      <c r="D726">
        <v>13</v>
      </c>
      <c r="E726" t="str">
        <f t="shared" si="33"/>
        <v>1 PM</v>
      </c>
      <c r="F726" t="str">
        <f t="shared" si="34"/>
        <v>AfterNoon</v>
      </c>
      <c r="G726" t="b">
        <v>0</v>
      </c>
      <c r="H726">
        <v>3</v>
      </c>
      <c r="I726" t="str">
        <f>_xlfn.XLOOKUP(Append15[[#This Row],[Week day]],Mappings!$B$3:$B$9,Mappings!$C$3:$C$9)</f>
        <v>Wednesday</v>
      </c>
      <c r="J726" t="str">
        <f t="shared" si="35"/>
        <v>Weekday</v>
      </c>
      <c r="K726">
        <v>1</v>
      </c>
      <c r="L726" t="str">
        <f>_xlfn.XLOOKUP(Append15[[#This Row],[WeatherSituation]],Mappings!$E$3:$E$6,Mappings!$F$3:$F$6)</f>
        <v>Clear Sky</v>
      </c>
      <c r="M726">
        <v>0.34</v>
      </c>
      <c r="N726">
        <v>0.33329999999999999</v>
      </c>
      <c r="O726">
        <v>0.93</v>
      </c>
      <c r="P726">
        <v>0.16420000000000001</v>
      </c>
      <c r="Q726">
        <v>1</v>
      </c>
      <c r="R726">
        <v>74</v>
      </c>
      <c r="S726">
        <v>75</v>
      </c>
    </row>
    <row r="727" spans="1:19" x14ac:dyDescent="0.3">
      <c r="A727">
        <v>726</v>
      </c>
      <c r="B727" s="4">
        <v>40576</v>
      </c>
      <c r="C727">
        <v>2</v>
      </c>
      <c r="D727">
        <v>14</v>
      </c>
      <c r="E727" t="str">
        <f t="shared" si="33"/>
        <v>2 PM</v>
      </c>
      <c r="F727" t="str">
        <f t="shared" si="34"/>
        <v>AfterNoon</v>
      </c>
      <c r="G727" t="b">
        <v>0</v>
      </c>
      <c r="H727">
        <v>3</v>
      </c>
      <c r="I727" t="str">
        <f>_xlfn.XLOOKUP(Append15[[#This Row],[Week day]],Mappings!$B$3:$B$9,Mappings!$C$3:$C$9)</f>
        <v>Wednesday</v>
      </c>
      <c r="J727" t="str">
        <f t="shared" si="35"/>
        <v>Weekday</v>
      </c>
      <c r="K727">
        <v>1</v>
      </c>
      <c r="L727" t="str">
        <f>_xlfn.XLOOKUP(Append15[[#This Row],[WeatherSituation]],Mappings!$E$3:$E$6,Mappings!$F$3:$F$6)</f>
        <v>Clear Sky</v>
      </c>
      <c r="M727">
        <v>0.38</v>
      </c>
      <c r="N727">
        <v>0.39389999999999997</v>
      </c>
      <c r="O727">
        <v>0.82</v>
      </c>
      <c r="P727">
        <v>0.3881</v>
      </c>
      <c r="Q727">
        <v>2</v>
      </c>
      <c r="R727">
        <v>61</v>
      </c>
      <c r="S727">
        <v>63</v>
      </c>
    </row>
    <row r="728" spans="1:19" x14ac:dyDescent="0.3">
      <c r="A728">
        <v>727</v>
      </c>
      <c r="B728" s="4">
        <v>40576</v>
      </c>
      <c r="C728">
        <v>2</v>
      </c>
      <c r="D728">
        <v>15</v>
      </c>
      <c r="E728" t="str">
        <f t="shared" si="33"/>
        <v>3 PM</v>
      </c>
      <c r="F728" t="str">
        <f t="shared" si="34"/>
        <v>AfterNoon</v>
      </c>
      <c r="G728" t="b">
        <v>0</v>
      </c>
      <c r="H728">
        <v>3</v>
      </c>
      <c r="I728" t="str">
        <f>_xlfn.XLOOKUP(Append15[[#This Row],[Week day]],Mappings!$B$3:$B$9,Mappings!$C$3:$C$9)</f>
        <v>Wednesday</v>
      </c>
      <c r="J728" t="str">
        <f t="shared" si="35"/>
        <v>Weekday</v>
      </c>
      <c r="K728">
        <v>1</v>
      </c>
      <c r="L728" t="str">
        <f>_xlfn.XLOOKUP(Append15[[#This Row],[WeatherSituation]],Mappings!$E$3:$E$6,Mappings!$F$3:$F$6)</f>
        <v>Clear Sky</v>
      </c>
      <c r="M728">
        <v>0.38</v>
      </c>
      <c r="N728">
        <v>0.39389999999999997</v>
      </c>
      <c r="O728">
        <v>0.76</v>
      </c>
      <c r="P728">
        <v>0.32840000000000003</v>
      </c>
      <c r="Q728">
        <v>10</v>
      </c>
      <c r="R728">
        <v>66</v>
      </c>
      <c r="S728">
        <v>76</v>
      </c>
    </row>
    <row r="729" spans="1:19" x14ac:dyDescent="0.3">
      <c r="A729">
        <v>728</v>
      </c>
      <c r="B729" s="4">
        <v>40576</v>
      </c>
      <c r="C729">
        <v>2</v>
      </c>
      <c r="D729">
        <v>16</v>
      </c>
      <c r="E729" t="str">
        <f t="shared" si="33"/>
        <v>4 PM</v>
      </c>
      <c r="F729" t="str">
        <f t="shared" si="34"/>
        <v>Evening</v>
      </c>
      <c r="G729" t="b">
        <v>0</v>
      </c>
      <c r="H729">
        <v>3</v>
      </c>
      <c r="I729" t="str">
        <f>_xlfn.XLOOKUP(Append15[[#This Row],[Week day]],Mappings!$B$3:$B$9,Mappings!$C$3:$C$9)</f>
        <v>Wednesday</v>
      </c>
      <c r="J729" t="str">
        <f t="shared" si="35"/>
        <v>Weekday</v>
      </c>
      <c r="K729">
        <v>1</v>
      </c>
      <c r="L729" t="str">
        <f>_xlfn.XLOOKUP(Append15[[#This Row],[WeatherSituation]],Mappings!$E$3:$E$6,Mappings!$F$3:$F$6)</f>
        <v>Clear Sky</v>
      </c>
      <c r="M729">
        <v>0.36</v>
      </c>
      <c r="N729">
        <v>0.33329999999999999</v>
      </c>
      <c r="O729">
        <v>0.71</v>
      </c>
      <c r="P729">
        <v>0.29849999999999999</v>
      </c>
      <c r="Q729">
        <v>8</v>
      </c>
      <c r="R729">
        <v>95</v>
      </c>
      <c r="S729">
        <v>103</v>
      </c>
    </row>
    <row r="730" spans="1:19" x14ac:dyDescent="0.3">
      <c r="A730">
        <v>729</v>
      </c>
      <c r="B730" s="4">
        <v>40576</v>
      </c>
      <c r="C730">
        <v>2</v>
      </c>
      <c r="D730">
        <v>17</v>
      </c>
      <c r="E730" t="str">
        <f t="shared" si="33"/>
        <v>5 PM</v>
      </c>
      <c r="F730" t="str">
        <f t="shared" si="34"/>
        <v>Evening</v>
      </c>
      <c r="G730" t="b">
        <v>0</v>
      </c>
      <c r="H730">
        <v>3</v>
      </c>
      <c r="I730" t="str">
        <f>_xlfn.XLOOKUP(Append15[[#This Row],[Week day]],Mappings!$B$3:$B$9,Mappings!$C$3:$C$9)</f>
        <v>Wednesday</v>
      </c>
      <c r="J730" t="str">
        <f t="shared" si="35"/>
        <v>Weekday</v>
      </c>
      <c r="K730">
        <v>1</v>
      </c>
      <c r="L730" t="str">
        <f>_xlfn.XLOOKUP(Append15[[#This Row],[WeatherSituation]],Mappings!$E$3:$E$6,Mappings!$F$3:$F$6)</f>
        <v>Clear Sky</v>
      </c>
      <c r="M730">
        <v>0.36</v>
      </c>
      <c r="N730">
        <v>0.31819999999999998</v>
      </c>
      <c r="O730">
        <v>0.53</v>
      </c>
      <c r="P730">
        <v>0.52239999999999998</v>
      </c>
      <c r="Q730">
        <v>7</v>
      </c>
      <c r="R730">
        <v>183</v>
      </c>
      <c r="S730">
        <v>190</v>
      </c>
    </row>
    <row r="731" spans="1:19" x14ac:dyDescent="0.3">
      <c r="A731">
        <v>730</v>
      </c>
      <c r="B731" s="4">
        <v>40576</v>
      </c>
      <c r="C731">
        <v>2</v>
      </c>
      <c r="D731">
        <v>18</v>
      </c>
      <c r="E731" t="str">
        <f t="shared" si="33"/>
        <v>6 PM</v>
      </c>
      <c r="F731" t="str">
        <f t="shared" si="34"/>
        <v>Evening</v>
      </c>
      <c r="G731" t="b">
        <v>0</v>
      </c>
      <c r="H731">
        <v>3</v>
      </c>
      <c r="I731" t="str">
        <f>_xlfn.XLOOKUP(Append15[[#This Row],[Week day]],Mappings!$B$3:$B$9,Mappings!$C$3:$C$9)</f>
        <v>Wednesday</v>
      </c>
      <c r="J731" t="str">
        <f t="shared" si="35"/>
        <v>Weekday</v>
      </c>
      <c r="K731">
        <v>1</v>
      </c>
      <c r="L731" t="str">
        <f>_xlfn.XLOOKUP(Append15[[#This Row],[WeatherSituation]],Mappings!$E$3:$E$6,Mappings!$F$3:$F$6)</f>
        <v>Clear Sky</v>
      </c>
      <c r="M731">
        <v>0.34</v>
      </c>
      <c r="N731">
        <v>0.28789999999999999</v>
      </c>
      <c r="O731">
        <v>0.42</v>
      </c>
      <c r="P731">
        <v>0.55220000000000002</v>
      </c>
      <c r="Q731">
        <v>7</v>
      </c>
      <c r="R731">
        <v>175</v>
      </c>
      <c r="S731">
        <v>182</v>
      </c>
    </row>
    <row r="732" spans="1:19" x14ac:dyDescent="0.3">
      <c r="A732">
        <v>731</v>
      </c>
      <c r="B732" s="4">
        <v>40576</v>
      </c>
      <c r="C732">
        <v>2</v>
      </c>
      <c r="D732">
        <v>19</v>
      </c>
      <c r="E732" t="str">
        <f t="shared" si="33"/>
        <v>7 PM</v>
      </c>
      <c r="F732" t="str">
        <f t="shared" si="34"/>
        <v>Evening</v>
      </c>
      <c r="G732" t="b">
        <v>0</v>
      </c>
      <c r="H732">
        <v>3</v>
      </c>
      <c r="I732" t="str">
        <f>_xlfn.XLOOKUP(Append15[[#This Row],[Week day]],Mappings!$B$3:$B$9,Mappings!$C$3:$C$9)</f>
        <v>Wednesday</v>
      </c>
      <c r="J732" t="str">
        <f t="shared" si="35"/>
        <v>Weekday</v>
      </c>
      <c r="K732">
        <v>1</v>
      </c>
      <c r="L732" t="str">
        <f>_xlfn.XLOOKUP(Append15[[#This Row],[WeatherSituation]],Mappings!$E$3:$E$6,Mappings!$F$3:$F$6)</f>
        <v>Clear Sky</v>
      </c>
      <c r="M732">
        <v>0.28000000000000003</v>
      </c>
      <c r="N732">
        <v>0.2424</v>
      </c>
      <c r="O732">
        <v>0.45</v>
      </c>
      <c r="P732">
        <v>0.49249999999999999</v>
      </c>
      <c r="Q732">
        <v>3</v>
      </c>
      <c r="R732">
        <v>88</v>
      </c>
      <c r="S732">
        <v>91</v>
      </c>
    </row>
    <row r="733" spans="1:19" x14ac:dyDescent="0.3">
      <c r="A733">
        <v>732</v>
      </c>
      <c r="B733" s="4">
        <v>40576</v>
      </c>
      <c r="C733">
        <v>2</v>
      </c>
      <c r="D733">
        <v>20</v>
      </c>
      <c r="E733" t="str">
        <f t="shared" si="33"/>
        <v>8 PM</v>
      </c>
      <c r="F733" t="str">
        <f t="shared" si="34"/>
        <v>Night</v>
      </c>
      <c r="G733" t="b">
        <v>0</v>
      </c>
      <c r="H733">
        <v>3</v>
      </c>
      <c r="I733" t="str">
        <f>_xlfn.XLOOKUP(Append15[[#This Row],[Week day]],Mappings!$B$3:$B$9,Mappings!$C$3:$C$9)</f>
        <v>Wednesday</v>
      </c>
      <c r="J733" t="str">
        <f t="shared" si="35"/>
        <v>Weekday</v>
      </c>
      <c r="K733">
        <v>1</v>
      </c>
      <c r="L733" t="str">
        <f>_xlfn.XLOOKUP(Append15[[#This Row],[WeatherSituation]],Mappings!$E$3:$E$6,Mappings!$F$3:$F$6)</f>
        <v>Clear Sky</v>
      </c>
      <c r="M733">
        <v>0.24</v>
      </c>
      <c r="N733">
        <v>0.19700000000000001</v>
      </c>
      <c r="O733">
        <v>0.48</v>
      </c>
      <c r="P733">
        <v>0.55220000000000002</v>
      </c>
      <c r="Q733">
        <v>4</v>
      </c>
      <c r="R733">
        <v>71</v>
      </c>
      <c r="S733">
        <v>75</v>
      </c>
    </row>
    <row r="734" spans="1:19" x14ac:dyDescent="0.3">
      <c r="A734">
        <v>733</v>
      </c>
      <c r="B734" s="4">
        <v>40576</v>
      </c>
      <c r="C734">
        <v>2</v>
      </c>
      <c r="D734">
        <v>21</v>
      </c>
      <c r="E734" t="str">
        <f t="shared" si="33"/>
        <v>9 PM</v>
      </c>
      <c r="F734" t="str">
        <f t="shared" si="34"/>
        <v>Night</v>
      </c>
      <c r="G734" t="b">
        <v>0</v>
      </c>
      <c r="H734">
        <v>3</v>
      </c>
      <c r="I734" t="str">
        <f>_xlfn.XLOOKUP(Append15[[#This Row],[Week day]],Mappings!$B$3:$B$9,Mappings!$C$3:$C$9)</f>
        <v>Wednesday</v>
      </c>
      <c r="J734" t="str">
        <f t="shared" si="35"/>
        <v>Weekday</v>
      </c>
      <c r="K734">
        <v>1</v>
      </c>
      <c r="L734" t="str">
        <f>_xlfn.XLOOKUP(Append15[[#This Row],[WeatherSituation]],Mappings!$E$3:$E$6,Mappings!$F$3:$F$6)</f>
        <v>Clear Sky</v>
      </c>
      <c r="M734">
        <v>0.22</v>
      </c>
      <c r="N734">
        <v>0.19700000000000001</v>
      </c>
      <c r="O734">
        <v>0.47</v>
      </c>
      <c r="P734">
        <v>0.32840000000000003</v>
      </c>
      <c r="Q734">
        <v>1</v>
      </c>
      <c r="R734">
        <v>62</v>
      </c>
      <c r="S734">
        <v>63</v>
      </c>
    </row>
    <row r="735" spans="1:19" x14ac:dyDescent="0.3">
      <c r="A735">
        <v>734</v>
      </c>
      <c r="B735" s="4">
        <v>40576</v>
      </c>
      <c r="C735">
        <v>2</v>
      </c>
      <c r="D735">
        <v>22</v>
      </c>
      <c r="E735" t="str">
        <f t="shared" si="33"/>
        <v>10 PM</v>
      </c>
      <c r="F735" t="str">
        <f t="shared" si="34"/>
        <v>Night</v>
      </c>
      <c r="G735" t="b">
        <v>0</v>
      </c>
      <c r="H735">
        <v>3</v>
      </c>
      <c r="I735" t="str">
        <f>_xlfn.XLOOKUP(Append15[[#This Row],[Week day]],Mappings!$B$3:$B$9,Mappings!$C$3:$C$9)</f>
        <v>Wednesday</v>
      </c>
      <c r="J735" t="str">
        <f t="shared" si="35"/>
        <v>Weekday</v>
      </c>
      <c r="K735">
        <v>1</v>
      </c>
      <c r="L735" t="str">
        <f>_xlfn.XLOOKUP(Append15[[#This Row],[WeatherSituation]],Mappings!$E$3:$E$6,Mappings!$F$3:$F$6)</f>
        <v>Clear Sky</v>
      </c>
      <c r="M735">
        <v>0.22</v>
      </c>
      <c r="N735">
        <v>0.21210000000000001</v>
      </c>
      <c r="O735">
        <v>0.44</v>
      </c>
      <c r="P735">
        <v>0.25369999999999998</v>
      </c>
      <c r="Q735">
        <v>5</v>
      </c>
      <c r="R735">
        <v>35</v>
      </c>
      <c r="S735">
        <v>40</v>
      </c>
    </row>
    <row r="736" spans="1:19" x14ac:dyDescent="0.3">
      <c r="A736">
        <v>735</v>
      </c>
      <c r="B736" s="4">
        <v>40576</v>
      </c>
      <c r="C736">
        <v>2</v>
      </c>
      <c r="D736">
        <v>23</v>
      </c>
      <c r="E736" t="str">
        <f t="shared" si="33"/>
        <v>11 PM</v>
      </c>
      <c r="F736" t="str">
        <f t="shared" si="34"/>
        <v>Night</v>
      </c>
      <c r="G736" t="b">
        <v>0</v>
      </c>
      <c r="H736">
        <v>3</v>
      </c>
      <c r="I736" t="str">
        <f>_xlfn.XLOOKUP(Append15[[#This Row],[Week day]],Mappings!$B$3:$B$9,Mappings!$C$3:$C$9)</f>
        <v>Wednesday</v>
      </c>
      <c r="J736" t="str">
        <f t="shared" si="35"/>
        <v>Weekday</v>
      </c>
      <c r="K736">
        <v>1</v>
      </c>
      <c r="L736" t="str">
        <f>_xlfn.XLOOKUP(Append15[[#This Row],[WeatherSituation]],Mappings!$E$3:$E$6,Mappings!$F$3:$F$6)</f>
        <v>Clear Sky</v>
      </c>
      <c r="M736">
        <v>0.2</v>
      </c>
      <c r="N736">
        <v>0.16669999999999999</v>
      </c>
      <c r="O736">
        <v>0.44</v>
      </c>
      <c r="P736">
        <v>0.44779999999999998</v>
      </c>
      <c r="Q736">
        <v>3</v>
      </c>
      <c r="R736">
        <v>29</v>
      </c>
      <c r="S736">
        <v>32</v>
      </c>
    </row>
    <row r="737" spans="1:19" x14ac:dyDescent="0.3">
      <c r="A737">
        <v>736</v>
      </c>
      <c r="B737" s="4">
        <v>40577</v>
      </c>
      <c r="C737">
        <v>2</v>
      </c>
      <c r="D737">
        <v>0</v>
      </c>
      <c r="E737" t="str">
        <f t="shared" si="33"/>
        <v>12 AM</v>
      </c>
      <c r="F737" t="str">
        <f t="shared" si="34"/>
        <v>Night</v>
      </c>
      <c r="G737" t="b">
        <v>0</v>
      </c>
      <c r="H737">
        <v>4</v>
      </c>
      <c r="I737" t="str">
        <f>_xlfn.XLOOKUP(Append15[[#This Row],[Week day]],Mappings!$B$3:$B$9,Mappings!$C$3:$C$9)</f>
        <v>Thursday</v>
      </c>
      <c r="J737" t="str">
        <f t="shared" si="35"/>
        <v>Weekday</v>
      </c>
      <c r="K737">
        <v>1</v>
      </c>
      <c r="L737" t="str">
        <f>_xlfn.XLOOKUP(Append15[[#This Row],[WeatherSituation]],Mappings!$E$3:$E$6,Mappings!$F$3:$F$6)</f>
        <v>Clear Sky</v>
      </c>
      <c r="M737">
        <v>0.2</v>
      </c>
      <c r="N737">
        <v>0.16669999999999999</v>
      </c>
      <c r="O737">
        <v>0.4</v>
      </c>
      <c r="P737">
        <v>0.44779999999999998</v>
      </c>
      <c r="Q737">
        <v>1</v>
      </c>
      <c r="R737">
        <v>11</v>
      </c>
      <c r="S737">
        <v>12</v>
      </c>
    </row>
    <row r="738" spans="1:19" x14ac:dyDescent="0.3">
      <c r="A738">
        <v>737</v>
      </c>
      <c r="B738" s="4">
        <v>40577</v>
      </c>
      <c r="C738">
        <v>2</v>
      </c>
      <c r="D738">
        <v>1</v>
      </c>
      <c r="E738" t="str">
        <f t="shared" si="33"/>
        <v>1 AM</v>
      </c>
      <c r="F738" t="str">
        <f t="shared" si="34"/>
        <v>Night</v>
      </c>
      <c r="G738" t="b">
        <v>0</v>
      </c>
      <c r="H738">
        <v>4</v>
      </c>
      <c r="I738" t="str">
        <f>_xlfn.XLOOKUP(Append15[[#This Row],[Week day]],Mappings!$B$3:$B$9,Mappings!$C$3:$C$9)</f>
        <v>Thursday</v>
      </c>
      <c r="J738" t="str">
        <f t="shared" si="35"/>
        <v>Weekday</v>
      </c>
      <c r="K738">
        <v>1</v>
      </c>
      <c r="L738" t="str">
        <f>_xlfn.XLOOKUP(Append15[[#This Row],[WeatherSituation]],Mappings!$E$3:$E$6,Mappings!$F$3:$F$6)</f>
        <v>Clear Sky</v>
      </c>
      <c r="M738">
        <v>0.2</v>
      </c>
      <c r="N738">
        <v>0.1515</v>
      </c>
      <c r="O738">
        <v>0.44</v>
      </c>
      <c r="P738">
        <v>0.52239999999999998</v>
      </c>
      <c r="Q738">
        <v>0</v>
      </c>
      <c r="R738">
        <v>5</v>
      </c>
      <c r="S738">
        <v>5</v>
      </c>
    </row>
    <row r="739" spans="1:19" x14ac:dyDescent="0.3">
      <c r="A739">
        <v>738</v>
      </c>
      <c r="B739" s="4">
        <v>40577</v>
      </c>
      <c r="C739">
        <v>2</v>
      </c>
      <c r="D739">
        <v>2</v>
      </c>
      <c r="E739" t="str">
        <f t="shared" si="33"/>
        <v>2 AM</v>
      </c>
      <c r="F739" t="str">
        <f t="shared" si="34"/>
        <v>Night</v>
      </c>
      <c r="G739" t="b">
        <v>0</v>
      </c>
      <c r="H739">
        <v>4</v>
      </c>
      <c r="I739" t="str">
        <f>_xlfn.XLOOKUP(Append15[[#This Row],[Week day]],Mappings!$B$3:$B$9,Mappings!$C$3:$C$9)</f>
        <v>Thursday</v>
      </c>
      <c r="J739" t="str">
        <f t="shared" si="35"/>
        <v>Weekday</v>
      </c>
      <c r="K739">
        <v>1</v>
      </c>
      <c r="L739" t="str">
        <f>_xlfn.XLOOKUP(Append15[[#This Row],[WeatherSituation]],Mappings!$E$3:$E$6,Mappings!$F$3:$F$6)</f>
        <v>Clear Sky</v>
      </c>
      <c r="M739">
        <v>0.18</v>
      </c>
      <c r="N739">
        <v>0.16669999999999999</v>
      </c>
      <c r="O739">
        <v>0.43</v>
      </c>
      <c r="P739">
        <v>0.25369999999999998</v>
      </c>
      <c r="Q739">
        <v>0</v>
      </c>
      <c r="R739">
        <v>2</v>
      </c>
      <c r="S739">
        <v>2</v>
      </c>
    </row>
    <row r="740" spans="1:19" x14ac:dyDescent="0.3">
      <c r="A740">
        <v>739</v>
      </c>
      <c r="B740" s="4">
        <v>40577</v>
      </c>
      <c r="C740">
        <v>2</v>
      </c>
      <c r="D740">
        <v>3</v>
      </c>
      <c r="E740" t="str">
        <f t="shared" si="33"/>
        <v>3 AM</v>
      </c>
      <c r="F740" t="str">
        <f t="shared" si="34"/>
        <v>Night</v>
      </c>
      <c r="G740" t="b">
        <v>0</v>
      </c>
      <c r="H740">
        <v>4</v>
      </c>
      <c r="I740" t="str">
        <f>_xlfn.XLOOKUP(Append15[[#This Row],[Week day]],Mappings!$B$3:$B$9,Mappings!$C$3:$C$9)</f>
        <v>Thursday</v>
      </c>
      <c r="J740" t="str">
        <f t="shared" si="35"/>
        <v>Weekday</v>
      </c>
      <c r="K740">
        <v>1</v>
      </c>
      <c r="L740" t="str">
        <f>_xlfn.XLOOKUP(Append15[[#This Row],[WeatherSituation]],Mappings!$E$3:$E$6,Mappings!$F$3:$F$6)</f>
        <v>Clear Sky</v>
      </c>
      <c r="M740">
        <v>0.18</v>
      </c>
      <c r="N740">
        <v>0.16669999999999999</v>
      </c>
      <c r="O740">
        <v>0.43</v>
      </c>
      <c r="P740">
        <v>0.25369999999999998</v>
      </c>
      <c r="Q740">
        <v>0</v>
      </c>
      <c r="R740">
        <v>1</v>
      </c>
      <c r="S740">
        <v>1</v>
      </c>
    </row>
    <row r="741" spans="1:19" x14ac:dyDescent="0.3">
      <c r="A741">
        <v>740</v>
      </c>
      <c r="B741" s="4">
        <v>40577</v>
      </c>
      <c r="C741">
        <v>2</v>
      </c>
      <c r="D741">
        <v>5</v>
      </c>
      <c r="E741" t="str">
        <f t="shared" si="33"/>
        <v>5 AM</v>
      </c>
      <c r="F741" t="str">
        <f t="shared" si="34"/>
        <v>Morning</v>
      </c>
      <c r="G741" t="b">
        <v>0</v>
      </c>
      <c r="H741">
        <v>4</v>
      </c>
      <c r="I741" t="str">
        <f>_xlfn.XLOOKUP(Append15[[#This Row],[Week day]],Mappings!$B$3:$B$9,Mappings!$C$3:$C$9)</f>
        <v>Thursday</v>
      </c>
      <c r="J741" t="str">
        <f t="shared" si="35"/>
        <v>Weekday</v>
      </c>
      <c r="K741">
        <v>1</v>
      </c>
      <c r="L741" t="str">
        <f>_xlfn.XLOOKUP(Append15[[#This Row],[WeatherSituation]],Mappings!$E$3:$E$6,Mappings!$F$3:$F$6)</f>
        <v>Clear Sky</v>
      </c>
      <c r="M741">
        <v>0.16</v>
      </c>
      <c r="N741">
        <v>0.13639999999999999</v>
      </c>
      <c r="O741">
        <v>0.5</v>
      </c>
      <c r="P741">
        <v>0.29849999999999999</v>
      </c>
      <c r="Q741">
        <v>0</v>
      </c>
      <c r="R741">
        <v>2</v>
      </c>
      <c r="S741">
        <v>2</v>
      </c>
    </row>
    <row r="742" spans="1:19" x14ac:dyDescent="0.3">
      <c r="A742">
        <v>741</v>
      </c>
      <c r="B742" s="4">
        <v>40577</v>
      </c>
      <c r="C742">
        <v>2</v>
      </c>
      <c r="D742">
        <v>6</v>
      </c>
      <c r="E742" t="str">
        <f t="shared" si="33"/>
        <v>6 AM</v>
      </c>
      <c r="F742" t="str">
        <f t="shared" si="34"/>
        <v>Morning</v>
      </c>
      <c r="G742" t="b">
        <v>0</v>
      </c>
      <c r="H742">
        <v>4</v>
      </c>
      <c r="I742" t="str">
        <f>_xlfn.XLOOKUP(Append15[[#This Row],[Week day]],Mappings!$B$3:$B$9,Mappings!$C$3:$C$9)</f>
        <v>Thursday</v>
      </c>
      <c r="J742" t="str">
        <f t="shared" si="35"/>
        <v>Weekday</v>
      </c>
      <c r="K742">
        <v>1</v>
      </c>
      <c r="L742" t="str">
        <f>_xlfn.XLOOKUP(Append15[[#This Row],[WeatherSituation]],Mappings!$E$3:$E$6,Mappings!$F$3:$F$6)</f>
        <v>Clear Sky</v>
      </c>
      <c r="M742">
        <v>0.16</v>
      </c>
      <c r="N742">
        <v>0.13639999999999999</v>
      </c>
      <c r="O742">
        <v>0.43</v>
      </c>
      <c r="P742">
        <v>0.35820000000000002</v>
      </c>
      <c r="Q742">
        <v>0</v>
      </c>
      <c r="R742">
        <v>39</v>
      </c>
      <c r="S742">
        <v>39</v>
      </c>
    </row>
    <row r="743" spans="1:19" x14ac:dyDescent="0.3">
      <c r="A743">
        <v>742</v>
      </c>
      <c r="B743" s="4">
        <v>40577</v>
      </c>
      <c r="C743">
        <v>2</v>
      </c>
      <c r="D743">
        <v>7</v>
      </c>
      <c r="E743" t="str">
        <f t="shared" si="33"/>
        <v>7 AM</v>
      </c>
      <c r="F743" t="str">
        <f t="shared" si="34"/>
        <v>Morning</v>
      </c>
      <c r="G743" t="b">
        <v>0</v>
      </c>
      <c r="H743">
        <v>4</v>
      </c>
      <c r="I743" t="str">
        <f>_xlfn.XLOOKUP(Append15[[#This Row],[Week day]],Mappings!$B$3:$B$9,Mappings!$C$3:$C$9)</f>
        <v>Thursday</v>
      </c>
      <c r="J743" t="str">
        <f t="shared" si="35"/>
        <v>Weekday</v>
      </c>
      <c r="K743">
        <v>1</v>
      </c>
      <c r="L743" t="str">
        <f>_xlfn.XLOOKUP(Append15[[#This Row],[WeatherSituation]],Mappings!$E$3:$E$6,Mappings!$F$3:$F$6)</f>
        <v>Clear Sky</v>
      </c>
      <c r="M743">
        <v>0.14000000000000001</v>
      </c>
      <c r="N743">
        <v>0.1212</v>
      </c>
      <c r="O743">
        <v>0.5</v>
      </c>
      <c r="P743">
        <v>0.32840000000000003</v>
      </c>
      <c r="Q743">
        <v>1</v>
      </c>
      <c r="R743">
        <v>86</v>
      </c>
      <c r="S743">
        <v>87</v>
      </c>
    </row>
    <row r="744" spans="1:19" x14ac:dyDescent="0.3">
      <c r="A744">
        <v>743</v>
      </c>
      <c r="B744" s="4">
        <v>40577</v>
      </c>
      <c r="C744">
        <v>2</v>
      </c>
      <c r="D744">
        <v>8</v>
      </c>
      <c r="E744" t="str">
        <f t="shared" si="33"/>
        <v>8 AM</v>
      </c>
      <c r="F744" t="str">
        <f t="shared" si="34"/>
        <v>Morning</v>
      </c>
      <c r="G744" t="b">
        <v>0</v>
      </c>
      <c r="H744">
        <v>4</v>
      </c>
      <c r="I744" t="str">
        <f>_xlfn.XLOOKUP(Append15[[#This Row],[Week day]],Mappings!$B$3:$B$9,Mappings!$C$3:$C$9)</f>
        <v>Thursday</v>
      </c>
      <c r="J744" t="str">
        <f t="shared" si="35"/>
        <v>Weekday</v>
      </c>
      <c r="K744">
        <v>1</v>
      </c>
      <c r="L744" t="str">
        <f>_xlfn.XLOOKUP(Append15[[#This Row],[WeatherSituation]],Mappings!$E$3:$E$6,Mappings!$F$3:$F$6)</f>
        <v>Clear Sky</v>
      </c>
      <c r="M744">
        <v>0.14000000000000001</v>
      </c>
      <c r="N744">
        <v>0.1212</v>
      </c>
      <c r="O744">
        <v>0.5</v>
      </c>
      <c r="P744">
        <v>0.35820000000000002</v>
      </c>
      <c r="Q744">
        <v>4</v>
      </c>
      <c r="R744">
        <v>184</v>
      </c>
      <c r="S744">
        <v>188</v>
      </c>
    </row>
    <row r="745" spans="1:19" x14ac:dyDescent="0.3">
      <c r="A745">
        <v>744</v>
      </c>
      <c r="B745" s="4">
        <v>40577</v>
      </c>
      <c r="C745">
        <v>2</v>
      </c>
      <c r="D745">
        <v>9</v>
      </c>
      <c r="E745" t="str">
        <f t="shared" si="33"/>
        <v>9 AM</v>
      </c>
      <c r="F745" t="str">
        <f t="shared" si="34"/>
        <v>Morning</v>
      </c>
      <c r="G745" t="b">
        <v>0</v>
      </c>
      <c r="H745">
        <v>4</v>
      </c>
      <c r="I745" t="str">
        <f>_xlfn.XLOOKUP(Append15[[#This Row],[Week day]],Mappings!$B$3:$B$9,Mappings!$C$3:$C$9)</f>
        <v>Thursday</v>
      </c>
      <c r="J745" t="str">
        <f t="shared" si="35"/>
        <v>Weekday</v>
      </c>
      <c r="K745">
        <v>1</v>
      </c>
      <c r="L745" t="str">
        <f>_xlfn.XLOOKUP(Append15[[#This Row],[WeatherSituation]],Mappings!$E$3:$E$6,Mappings!$F$3:$F$6)</f>
        <v>Clear Sky</v>
      </c>
      <c r="M745">
        <v>0.16</v>
      </c>
      <c r="N745">
        <v>0.13639999999999999</v>
      </c>
      <c r="O745">
        <v>0.47</v>
      </c>
      <c r="P745">
        <v>0.29849999999999999</v>
      </c>
      <c r="Q745">
        <v>6</v>
      </c>
      <c r="R745">
        <v>127</v>
      </c>
      <c r="S745">
        <v>133</v>
      </c>
    </row>
    <row r="746" spans="1:19" x14ac:dyDescent="0.3">
      <c r="A746">
        <v>745</v>
      </c>
      <c r="B746" s="4">
        <v>40577</v>
      </c>
      <c r="C746">
        <v>2</v>
      </c>
      <c r="D746">
        <v>10</v>
      </c>
      <c r="E746" t="str">
        <f t="shared" si="33"/>
        <v>10 AM</v>
      </c>
      <c r="F746" t="str">
        <f t="shared" si="34"/>
        <v>Morning</v>
      </c>
      <c r="G746" t="b">
        <v>0</v>
      </c>
      <c r="H746">
        <v>4</v>
      </c>
      <c r="I746" t="str">
        <f>_xlfn.XLOOKUP(Append15[[#This Row],[Week day]],Mappings!$B$3:$B$9,Mappings!$C$3:$C$9)</f>
        <v>Thursday</v>
      </c>
      <c r="J746" t="str">
        <f t="shared" si="35"/>
        <v>Weekday</v>
      </c>
      <c r="K746">
        <v>1</v>
      </c>
      <c r="L746" t="str">
        <f>_xlfn.XLOOKUP(Append15[[#This Row],[WeatherSituation]],Mappings!$E$3:$E$6,Mappings!$F$3:$F$6)</f>
        <v>Clear Sky</v>
      </c>
      <c r="M746">
        <v>0.18</v>
      </c>
      <c r="N746">
        <v>0.1515</v>
      </c>
      <c r="O746">
        <v>0.43</v>
      </c>
      <c r="P746">
        <v>0.32840000000000003</v>
      </c>
      <c r="Q746">
        <v>2</v>
      </c>
      <c r="R746">
        <v>50</v>
      </c>
      <c r="S746">
        <v>52</v>
      </c>
    </row>
    <row r="747" spans="1:19" x14ac:dyDescent="0.3">
      <c r="A747">
        <v>746</v>
      </c>
      <c r="B747" s="4">
        <v>40577</v>
      </c>
      <c r="C747">
        <v>2</v>
      </c>
      <c r="D747">
        <v>11</v>
      </c>
      <c r="E747" t="str">
        <f t="shared" si="33"/>
        <v>11 AM</v>
      </c>
      <c r="F747" t="str">
        <f t="shared" si="34"/>
        <v>Morning</v>
      </c>
      <c r="G747" t="b">
        <v>0</v>
      </c>
      <c r="H747">
        <v>4</v>
      </c>
      <c r="I747" t="str">
        <f>_xlfn.XLOOKUP(Append15[[#This Row],[Week day]],Mappings!$B$3:$B$9,Mappings!$C$3:$C$9)</f>
        <v>Thursday</v>
      </c>
      <c r="J747" t="str">
        <f t="shared" si="35"/>
        <v>Weekday</v>
      </c>
      <c r="K747">
        <v>1</v>
      </c>
      <c r="L747" t="str">
        <f>_xlfn.XLOOKUP(Append15[[#This Row],[WeatherSituation]],Mappings!$E$3:$E$6,Mappings!$F$3:$F$6)</f>
        <v>Clear Sky</v>
      </c>
      <c r="M747">
        <v>0.18</v>
      </c>
      <c r="N747">
        <v>0.13639999999999999</v>
      </c>
      <c r="O747">
        <v>0.43</v>
      </c>
      <c r="P747">
        <v>0.44779999999999998</v>
      </c>
      <c r="Q747">
        <v>9</v>
      </c>
      <c r="R747">
        <v>55</v>
      </c>
      <c r="S747">
        <v>64</v>
      </c>
    </row>
    <row r="748" spans="1:19" x14ac:dyDescent="0.3">
      <c r="A748">
        <v>747</v>
      </c>
      <c r="B748" s="4">
        <v>40577</v>
      </c>
      <c r="C748">
        <v>2</v>
      </c>
      <c r="D748">
        <v>12</v>
      </c>
      <c r="E748" t="str">
        <f t="shared" si="33"/>
        <v>12 PM</v>
      </c>
      <c r="F748" t="str">
        <f t="shared" si="34"/>
        <v>AfterNoon</v>
      </c>
      <c r="G748" t="b">
        <v>0</v>
      </c>
      <c r="H748">
        <v>4</v>
      </c>
      <c r="I748" t="str">
        <f>_xlfn.XLOOKUP(Append15[[#This Row],[Week day]],Mappings!$B$3:$B$9,Mappings!$C$3:$C$9)</f>
        <v>Thursday</v>
      </c>
      <c r="J748" t="str">
        <f t="shared" si="35"/>
        <v>Weekday</v>
      </c>
      <c r="K748">
        <v>1</v>
      </c>
      <c r="L748" t="str">
        <f>_xlfn.XLOOKUP(Append15[[#This Row],[WeatherSituation]],Mappings!$E$3:$E$6,Mappings!$F$3:$F$6)</f>
        <v>Clear Sky</v>
      </c>
      <c r="M748">
        <v>0.2</v>
      </c>
      <c r="N748">
        <v>0.18179999999999999</v>
      </c>
      <c r="O748">
        <v>0.4</v>
      </c>
      <c r="P748">
        <v>0.35820000000000002</v>
      </c>
      <c r="Q748">
        <v>2</v>
      </c>
      <c r="R748">
        <v>67</v>
      </c>
      <c r="S748">
        <v>69</v>
      </c>
    </row>
    <row r="749" spans="1:19" x14ac:dyDescent="0.3">
      <c r="A749">
        <v>748</v>
      </c>
      <c r="B749" s="4">
        <v>40577</v>
      </c>
      <c r="C749">
        <v>2</v>
      </c>
      <c r="D749">
        <v>13</v>
      </c>
      <c r="E749" t="str">
        <f t="shared" si="33"/>
        <v>1 PM</v>
      </c>
      <c r="F749" t="str">
        <f t="shared" si="34"/>
        <v>AfterNoon</v>
      </c>
      <c r="G749" t="b">
        <v>0</v>
      </c>
      <c r="H749">
        <v>4</v>
      </c>
      <c r="I749" t="str">
        <f>_xlfn.XLOOKUP(Append15[[#This Row],[Week day]],Mappings!$B$3:$B$9,Mappings!$C$3:$C$9)</f>
        <v>Thursday</v>
      </c>
      <c r="J749" t="str">
        <f t="shared" si="35"/>
        <v>Weekday</v>
      </c>
      <c r="K749">
        <v>1</v>
      </c>
      <c r="L749" t="str">
        <f>_xlfn.XLOOKUP(Append15[[#This Row],[WeatherSituation]],Mappings!$E$3:$E$6,Mappings!$F$3:$F$6)</f>
        <v>Clear Sky</v>
      </c>
      <c r="M749">
        <v>0.2</v>
      </c>
      <c r="N749">
        <v>0.16669999999999999</v>
      </c>
      <c r="O749">
        <v>0.4</v>
      </c>
      <c r="P749">
        <v>0.41789999999999999</v>
      </c>
      <c r="Q749">
        <v>4</v>
      </c>
      <c r="R749">
        <v>47</v>
      </c>
      <c r="S749">
        <v>51</v>
      </c>
    </row>
    <row r="750" spans="1:19" x14ac:dyDescent="0.3">
      <c r="A750">
        <v>749</v>
      </c>
      <c r="B750" s="4">
        <v>40577</v>
      </c>
      <c r="C750">
        <v>2</v>
      </c>
      <c r="D750">
        <v>14</v>
      </c>
      <c r="E750" t="str">
        <f t="shared" si="33"/>
        <v>2 PM</v>
      </c>
      <c r="F750" t="str">
        <f t="shared" si="34"/>
        <v>AfterNoon</v>
      </c>
      <c r="G750" t="b">
        <v>0</v>
      </c>
      <c r="H750">
        <v>4</v>
      </c>
      <c r="I750" t="str">
        <f>_xlfn.XLOOKUP(Append15[[#This Row],[Week day]],Mappings!$B$3:$B$9,Mappings!$C$3:$C$9)</f>
        <v>Thursday</v>
      </c>
      <c r="J750" t="str">
        <f t="shared" si="35"/>
        <v>Weekday</v>
      </c>
      <c r="K750">
        <v>1</v>
      </c>
      <c r="L750" t="str">
        <f>_xlfn.XLOOKUP(Append15[[#This Row],[WeatherSituation]],Mappings!$E$3:$E$6,Mappings!$F$3:$F$6)</f>
        <v>Clear Sky</v>
      </c>
      <c r="M750">
        <v>0.22</v>
      </c>
      <c r="N750">
        <v>0.19700000000000001</v>
      </c>
      <c r="O750">
        <v>0.37</v>
      </c>
      <c r="P750">
        <v>0.3881</v>
      </c>
      <c r="Q750">
        <v>4</v>
      </c>
      <c r="R750">
        <v>43</v>
      </c>
      <c r="S750">
        <v>47</v>
      </c>
    </row>
    <row r="751" spans="1:19" x14ac:dyDescent="0.3">
      <c r="A751">
        <v>750</v>
      </c>
      <c r="B751" s="4">
        <v>40577</v>
      </c>
      <c r="C751">
        <v>2</v>
      </c>
      <c r="D751">
        <v>15</v>
      </c>
      <c r="E751" t="str">
        <f t="shared" si="33"/>
        <v>3 PM</v>
      </c>
      <c r="F751" t="str">
        <f t="shared" si="34"/>
        <v>AfterNoon</v>
      </c>
      <c r="G751" t="b">
        <v>0</v>
      </c>
      <c r="H751">
        <v>4</v>
      </c>
      <c r="I751" t="str">
        <f>_xlfn.XLOOKUP(Append15[[#This Row],[Week day]],Mappings!$B$3:$B$9,Mappings!$C$3:$C$9)</f>
        <v>Thursday</v>
      </c>
      <c r="J751" t="str">
        <f t="shared" si="35"/>
        <v>Weekday</v>
      </c>
      <c r="K751">
        <v>1</v>
      </c>
      <c r="L751" t="str">
        <f>_xlfn.XLOOKUP(Append15[[#This Row],[WeatherSituation]],Mappings!$E$3:$E$6,Mappings!$F$3:$F$6)</f>
        <v>Clear Sky</v>
      </c>
      <c r="M751">
        <v>0.22</v>
      </c>
      <c r="N751">
        <v>0.19700000000000001</v>
      </c>
      <c r="O751">
        <v>0.37</v>
      </c>
      <c r="P751">
        <v>0.32840000000000003</v>
      </c>
      <c r="Q751">
        <v>4</v>
      </c>
      <c r="R751">
        <v>56</v>
      </c>
      <c r="S751">
        <v>60</v>
      </c>
    </row>
    <row r="752" spans="1:19" x14ac:dyDescent="0.3">
      <c r="A752">
        <v>751</v>
      </c>
      <c r="B752" s="4">
        <v>40577</v>
      </c>
      <c r="C752">
        <v>2</v>
      </c>
      <c r="D752">
        <v>16</v>
      </c>
      <c r="E752" t="str">
        <f t="shared" si="33"/>
        <v>4 PM</v>
      </c>
      <c r="F752" t="str">
        <f t="shared" si="34"/>
        <v>Evening</v>
      </c>
      <c r="G752" t="b">
        <v>0</v>
      </c>
      <c r="H752">
        <v>4</v>
      </c>
      <c r="I752" t="str">
        <f>_xlfn.XLOOKUP(Append15[[#This Row],[Week day]],Mappings!$B$3:$B$9,Mappings!$C$3:$C$9)</f>
        <v>Thursday</v>
      </c>
      <c r="J752" t="str">
        <f t="shared" si="35"/>
        <v>Weekday</v>
      </c>
      <c r="K752">
        <v>1</v>
      </c>
      <c r="L752" t="str">
        <f>_xlfn.XLOOKUP(Append15[[#This Row],[WeatherSituation]],Mappings!$E$3:$E$6,Mappings!$F$3:$F$6)</f>
        <v>Clear Sky</v>
      </c>
      <c r="M752">
        <v>0.22</v>
      </c>
      <c r="N752">
        <v>0.21210000000000001</v>
      </c>
      <c r="O752">
        <v>0.37</v>
      </c>
      <c r="P752">
        <v>0.25369999999999998</v>
      </c>
      <c r="Q752">
        <v>5</v>
      </c>
      <c r="R752">
        <v>73</v>
      </c>
      <c r="S752">
        <v>78</v>
      </c>
    </row>
    <row r="753" spans="1:19" x14ac:dyDescent="0.3">
      <c r="A753">
        <v>752</v>
      </c>
      <c r="B753" s="4">
        <v>40577</v>
      </c>
      <c r="C753">
        <v>2</v>
      </c>
      <c r="D753">
        <v>17</v>
      </c>
      <c r="E753" t="str">
        <f t="shared" si="33"/>
        <v>5 PM</v>
      </c>
      <c r="F753" t="str">
        <f t="shared" si="34"/>
        <v>Evening</v>
      </c>
      <c r="G753" t="b">
        <v>0</v>
      </c>
      <c r="H753">
        <v>4</v>
      </c>
      <c r="I753" t="str">
        <f>_xlfn.XLOOKUP(Append15[[#This Row],[Week day]],Mappings!$B$3:$B$9,Mappings!$C$3:$C$9)</f>
        <v>Thursday</v>
      </c>
      <c r="J753" t="str">
        <f t="shared" si="35"/>
        <v>Weekday</v>
      </c>
      <c r="K753">
        <v>1</v>
      </c>
      <c r="L753" t="str">
        <f>_xlfn.XLOOKUP(Append15[[#This Row],[WeatherSituation]],Mappings!$E$3:$E$6,Mappings!$F$3:$F$6)</f>
        <v>Clear Sky</v>
      </c>
      <c r="M753">
        <v>0.2</v>
      </c>
      <c r="N753">
        <v>0.19700000000000001</v>
      </c>
      <c r="O753">
        <v>0.4</v>
      </c>
      <c r="P753">
        <v>0.19400000000000001</v>
      </c>
      <c r="Q753">
        <v>5</v>
      </c>
      <c r="R753">
        <v>170</v>
      </c>
      <c r="S753">
        <v>175</v>
      </c>
    </row>
    <row r="754" spans="1:19" x14ac:dyDescent="0.3">
      <c r="A754">
        <v>753</v>
      </c>
      <c r="B754" s="4">
        <v>40577</v>
      </c>
      <c r="C754">
        <v>2</v>
      </c>
      <c r="D754">
        <v>18</v>
      </c>
      <c r="E754" t="str">
        <f t="shared" si="33"/>
        <v>6 PM</v>
      </c>
      <c r="F754" t="str">
        <f t="shared" si="34"/>
        <v>Evening</v>
      </c>
      <c r="G754" t="b">
        <v>0</v>
      </c>
      <c r="H754">
        <v>4</v>
      </c>
      <c r="I754" t="str">
        <f>_xlfn.XLOOKUP(Append15[[#This Row],[Week day]],Mappings!$B$3:$B$9,Mappings!$C$3:$C$9)</f>
        <v>Thursday</v>
      </c>
      <c r="J754" t="str">
        <f t="shared" si="35"/>
        <v>Weekday</v>
      </c>
      <c r="K754">
        <v>1</v>
      </c>
      <c r="L754" t="str">
        <f>_xlfn.XLOOKUP(Append15[[#This Row],[WeatherSituation]],Mappings!$E$3:$E$6,Mappings!$F$3:$F$6)</f>
        <v>Clear Sky</v>
      </c>
      <c r="M754">
        <v>0.2</v>
      </c>
      <c r="N754">
        <v>0.21210000000000001</v>
      </c>
      <c r="O754">
        <v>0.4</v>
      </c>
      <c r="P754">
        <v>0.16420000000000001</v>
      </c>
      <c r="Q754">
        <v>2</v>
      </c>
      <c r="R754">
        <v>145</v>
      </c>
      <c r="S754">
        <v>147</v>
      </c>
    </row>
    <row r="755" spans="1:19" x14ac:dyDescent="0.3">
      <c r="A755">
        <v>754</v>
      </c>
      <c r="B755" s="4">
        <v>40577</v>
      </c>
      <c r="C755">
        <v>2</v>
      </c>
      <c r="D755">
        <v>19</v>
      </c>
      <c r="E755" t="str">
        <f t="shared" si="33"/>
        <v>7 PM</v>
      </c>
      <c r="F755" t="str">
        <f t="shared" si="34"/>
        <v>Evening</v>
      </c>
      <c r="G755" t="b">
        <v>0</v>
      </c>
      <c r="H755">
        <v>4</v>
      </c>
      <c r="I755" t="str">
        <f>_xlfn.XLOOKUP(Append15[[#This Row],[Week day]],Mappings!$B$3:$B$9,Mappings!$C$3:$C$9)</f>
        <v>Thursday</v>
      </c>
      <c r="J755" t="str">
        <f t="shared" si="35"/>
        <v>Weekday</v>
      </c>
      <c r="K755">
        <v>1</v>
      </c>
      <c r="L755" t="str">
        <f>_xlfn.XLOOKUP(Append15[[#This Row],[WeatherSituation]],Mappings!$E$3:$E$6,Mappings!$F$3:$F$6)</f>
        <v>Clear Sky</v>
      </c>
      <c r="M755">
        <v>0.2</v>
      </c>
      <c r="N755">
        <v>0.2576</v>
      </c>
      <c r="O755">
        <v>0.4</v>
      </c>
      <c r="P755">
        <v>0</v>
      </c>
      <c r="Q755">
        <v>4</v>
      </c>
      <c r="R755">
        <v>92</v>
      </c>
      <c r="S755">
        <v>96</v>
      </c>
    </row>
    <row r="756" spans="1:19" x14ac:dyDescent="0.3">
      <c r="A756">
        <v>755</v>
      </c>
      <c r="B756" s="4">
        <v>40577</v>
      </c>
      <c r="C756">
        <v>2</v>
      </c>
      <c r="D756">
        <v>20</v>
      </c>
      <c r="E756" t="str">
        <f t="shared" si="33"/>
        <v>8 PM</v>
      </c>
      <c r="F756" t="str">
        <f t="shared" si="34"/>
        <v>Night</v>
      </c>
      <c r="G756" t="b">
        <v>0</v>
      </c>
      <c r="H756">
        <v>4</v>
      </c>
      <c r="I756" t="str">
        <f>_xlfn.XLOOKUP(Append15[[#This Row],[Week day]],Mappings!$B$3:$B$9,Mappings!$C$3:$C$9)</f>
        <v>Thursday</v>
      </c>
      <c r="J756" t="str">
        <f t="shared" si="35"/>
        <v>Weekday</v>
      </c>
      <c r="K756">
        <v>1</v>
      </c>
      <c r="L756" t="str">
        <f>_xlfn.XLOOKUP(Append15[[#This Row],[WeatherSituation]],Mappings!$E$3:$E$6,Mappings!$F$3:$F$6)</f>
        <v>Clear Sky</v>
      </c>
      <c r="M756">
        <v>0.2</v>
      </c>
      <c r="N756">
        <v>0.2273</v>
      </c>
      <c r="O756">
        <v>0.47</v>
      </c>
      <c r="P756">
        <v>8.9599999999999999E-2</v>
      </c>
      <c r="Q756">
        <v>1</v>
      </c>
      <c r="R756">
        <v>108</v>
      </c>
      <c r="S756">
        <v>109</v>
      </c>
    </row>
    <row r="757" spans="1:19" x14ac:dyDescent="0.3">
      <c r="A757">
        <v>756</v>
      </c>
      <c r="B757" s="4">
        <v>40577</v>
      </c>
      <c r="C757">
        <v>2</v>
      </c>
      <c r="D757">
        <v>21</v>
      </c>
      <c r="E757" t="str">
        <f t="shared" si="33"/>
        <v>9 PM</v>
      </c>
      <c r="F757" t="str">
        <f t="shared" si="34"/>
        <v>Night</v>
      </c>
      <c r="G757" t="b">
        <v>0</v>
      </c>
      <c r="H757">
        <v>4</v>
      </c>
      <c r="I757" t="str">
        <f>_xlfn.XLOOKUP(Append15[[#This Row],[Week day]],Mappings!$B$3:$B$9,Mappings!$C$3:$C$9)</f>
        <v>Thursday</v>
      </c>
      <c r="J757" t="str">
        <f t="shared" si="35"/>
        <v>Weekday</v>
      </c>
      <c r="K757">
        <v>1</v>
      </c>
      <c r="L757" t="str">
        <f>_xlfn.XLOOKUP(Append15[[#This Row],[WeatherSituation]],Mappings!$E$3:$E$6,Mappings!$F$3:$F$6)</f>
        <v>Clear Sky</v>
      </c>
      <c r="M757">
        <v>0.18</v>
      </c>
      <c r="N757">
        <v>0.21210000000000001</v>
      </c>
      <c r="O757">
        <v>0.55000000000000004</v>
      </c>
      <c r="P757">
        <v>0.1045</v>
      </c>
      <c r="Q757">
        <v>1</v>
      </c>
      <c r="R757">
        <v>53</v>
      </c>
      <c r="S757">
        <v>54</v>
      </c>
    </row>
    <row r="758" spans="1:19" x14ac:dyDescent="0.3">
      <c r="A758">
        <v>757</v>
      </c>
      <c r="B758" s="4">
        <v>40577</v>
      </c>
      <c r="C758">
        <v>2</v>
      </c>
      <c r="D758">
        <v>22</v>
      </c>
      <c r="E758" t="str">
        <f t="shared" si="33"/>
        <v>10 PM</v>
      </c>
      <c r="F758" t="str">
        <f t="shared" si="34"/>
        <v>Night</v>
      </c>
      <c r="G758" t="b">
        <v>0</v>
      </c>
      <c r="H758">
        <v>4</v>
      </c>
      <c r="I758" t="str">
        <f>_xlfn.XLOOKUP(Append15[[#This Row],[Week day]],Mappings!$B$3:$B$9,Mappings!$C$3:$C$9)</f>
        <v>Thursday</v>
      </c>
      <c r="J758" t="str">
        <f t="shared" si="35"/>
        <v>Weekday</v>
      </c>
      <c r="K758">
        <v>1</v>
      </c>
      <c r="L758" t="str">
        <f>_xlfn.XLOOKUP(Append15[[#This Row],[WeatherSituation]],Mappings!$E$3:$E$6,Mappings!$F$3:$F$6)</f>
        <v>Clear Sky</v>
      </c>
      <c r="M758">
        <v>0.18</v>
      </c>
      <c r="N758">
        <v>0.21210000000000001</v>
      </c>
      <c r="O758">
        <v>0.51</v>
      </c>
      <c r="P758">
        <v>8.9599999999999999E-2</v>
      </c>
      <c r="Q758">
        <v>2</v>
      </c>
      <c r="R758">
        <v>39</v>
      </c>
      <c r="S758">
        <v>41</v>
      </c>
    </row>
    <row r="759" spans="1:19" x14ac:dyDescent="0.3">
      <c r="A759">
        <v>758</v>
      </c>
      <c r="B759" s="4">
        <v>40577</v>
      </c>
      <c r="C759">
        <v>2</v>
      </c>
      <c r="D759">
        <v>23</v>
      </c>
      <c r="E759" t="str">
        <f t="shared" si="33"/>
        <v>11 PM</v>
      </c>
      <c r="F759" t="str">
        <f t="shared" si="34"/>
        <v>Night</v>
      </c>
      <c r="G759" t="b">
        <v>0</v>
      </c>
      <c r="H759">
        <v>4</v>
      </c>
      <c r="I759" t="str">
        <f>_xlfn.XLOOKUP(Append15[[#This Row],[Week day]],Mappings!$B$3:$B$9,Mappings!$C$3:$C$9)</f>
        <v>Thursday</v>
      </c>
      <c r="J759" t="str">
        <f t="shared" si="35"/>
        <v>Weekday</v>
      </c>
      <c r="K759">
        <v>1</v>
      </c>
      <c r="L759" t="str">
        <f>_xlfn.XLOOKUP(Append15[[#This Row],[WeatherSituation]],Mappings!$E$3:$E$6,Mappings!$F$3:$F$6)</f>
        <v>Clear Sky</v>
      </c>
      <c r="M759">
        <v>0.2</v>
      </c>
      <c r="N759">
        <v>0.2273</v>
      </c>
      <c r="O759">
        <v>0.47</v>
      </c>
      <c r="P759">
        <v>0.1045</v>
      </c>
      <c r="Q759">
        <v>4</v>
      </c>
      <c r="R759">
        <v>34</v>
      </c>
      <c r="S759">
        <v>38</v>
      </c>
    </row>
    <row r="760" spans="1:19" x14ac:dyDescent="0.3">
      <c r="A760">
        <v>759</v>
      </c>
      <c r="B760" s="4">
        <v>40578</v>
      </c>
      <c r="C760">
        <v>2</v>
      </c>
      <c r="D760">
        <v>0</v>
      </c>
      <c r="E760" t="str">
        <f t="shared" si="33"/>
        <v>12 AM</v>
      </c>
      <c r="F760" t="str">
        <f t="shared" si="34"/>
        <v>Night</v>
      </c>
      <c r="G760" t="b">
        <v>0</v>
      </c>
      <c r="H760">
        <v>5</v>
      </c>
      <c r="I760" t="str">
        <f>_xlfn.XLOOKUP(Append15[[#This Row],[Week day]],Mappings!$B$3:$B$9,Mappings!$C$3:$C$9)</f>
        <v>Friday</v>
      </c>
      <c r="J760" t="str">
        <f t="shared" si="35"/>
        <v>Weekday</v>
      </c>
      <c r="K760">
        <v>2</v>
      </c>
      <c r="L760" t="str">
        <f>_xlfn.XLOOKUP(Append15[[#This Row],[WeatherSituation]],Mappings!$E$3:$E$6,Mappings!$F$3:$F$6)</f>
        <v>Mist/Cloudy</v>
      </c>
      <c r="M760">
        <v>0.2</v>
      </c>
      <c r="N760">
        <v>0.2576</v>
      </c>
      <c r="O760">
        <v>0.44</v>
      </c>
      <c r="P760">
        <v>0</v>
      </c>
      <c r="Q760">
        <v>3</v>
      </c>
      <c r="R760">
        <v>10</v>
      </c>
      <c r="S760">
        <v>13</v>
      </c>
    </row>
    <row r="761" spans="1:19" x14ac:dyDescent="0.3">
      <c r="A761">
        <v>760</v>
      </c>
      <c r="B761" s="4">
        <v>40578</v>
      </c>
      <c r="C761">
        <v>2</v>
      </c>
      <c r="D761">
        <v>1</v>
      </c>
      <c r="E761" t="str">
        <f t="shared" si="33"/>
        <v>1 AM</v>
      </c>
      <c r="F761" t="str">
        <f t="shared" si="34"/>
        <v>Night</v>
      </c>
      <c r="G761" t="b">
        <v>0</v>
      </c>
      <c r="H761">
        <v>5</v>
      </c>
      <c r="I761" t="str">
        <f>_xlfn.XLOOKUP(Append15[[#This Row],[Week day]],Mappings!$B$3:$B$9,Mappings!$C$3:$C$9)</f>
        <v>Friday</v>
      </c>
      <c r="J761" t="str">
        <f t="shared" si="35"/>
        <v>Weekday</v>
      </c>
      <c r="K761">
        <v>2</v>
      </c>
      <c r="L761" t="str">
        <f>_xlfn.XLOOKUP(Append15[[#This Row],[WeatherSituation]],Mappings!$E$3:$E$6,Mappings!$F$3:$F$6)</f>
        <v>Mist/Cloudy</v>
      </c>
      <c r="M761">
        <v>0.16</v>
      </c>
      <c r="N761">
        <v>0.2273</v>
      </c>
      <c r="O761">
        <v>0.59</v>
      </c>
      <c r="P761">
        <v>0</v>
      </c>
      <c r="Q761">
        <v>0</v>
      </c>
      <c r="R761">
        <v>7</v>
      </c>
      <c r="S761">
        <v>7</v>
      </c>
    </row>
    <row r="762" spans="1:19" x14ac:dyDescent="0.3">
      <c r="A762">
        <v>761</v>
      </c>
      <c r="B762" s="4">
        <v>40578</v>
      </c>
      <c r="C762">
        <v>2</v>
      </c>
      <c r="D762">
        <v>2</v>
      </c>
      <c r="E762" t="str">
        <f t="shared" si="33"/>
        <v>2 AM</v>
      </c>
      <c r="F762" t="str">
        <f t="shared" si="34"/>
        <v>Night</v>
      </c>
      <c r="G762" t="b">
        <v>0</v>
      </c>
      <c r="H762">
        <v>5</v>
      </c>
      <c r="I762" t="str">
        <f>_xlfn.XLOOKUP(Append15[[#This Row],[Week day]],Mappings!$B$3:$B$9,Mappings!$C$3:$C$9)</f>
        <v>Friday</v>
      </c>
      <c r="J762" t="str">
        <f t="shared" si="35"/>
        <v>Weekday</v>
      </c>
      <c r="K762">
        <v>2</v>
      </c>
      <c r="L762" t="str">
        <f>_xlfn.XLOOKUP(Append15[[#This Row],[WeatherSituation]],Mappings!$E$3:$E$6,Mappings!$F$3:$F$6)</f>
        <v>Mist/Cloudy</v>
      </c>
      <c r="M762">
        <v>0.14000000000000001</v>
      </c>
      <c r="N762">
        <v>0.16669999999999999</v>
      </c>
      <c r="O762">
        <v>0.63</v>
      </c>
      <c r="P762">
        <v>0.1045</v>
      </c>
      <c r="Q762">
        <v>0</v>
      </c>
      <c r="R762">
        <v>1</v>
      </c>
      <c r="S762">
        <v>1</v>
      </c>
    </row>
    <row r="763" spans="1:19" x14ac:dyDescent="0.3">
      <c r="A763">
        <v>762</v>
      </c>
      <c r="B763" s="4">
        <v>40578</v>
      </c>
      <c r="C763">
        <v>2</v>
      </c>
      <c r="D763">
        <v>3</v>
      </c>
      <c r="E763" t="str">
        <f t="shared" si="33"/>
        <v>3 AM</v>
      </c>
      <c r="F763" t="str">
        <f t="shared" si="34"/>
        <v>Night</v>
      </c>
      <c r="G763" t="b">
        <v>0</v>
      </c>
      <c r="H763">
        <v>5</v>
      </c>
      <c r="I763" t="str">
        <f>_xlfn.XLOOKUP(Append15[[#This Row],[Week day]],Mappings!$B$3:$B$9,Mappings!$C$3:$C$9)</f>
        <v>Friday</v>
      </c>
      <c r="J763" t="str">
        <f t="shared" si="35"/>
        <v>Weekday</v>
      </c>
      <c r="K763">
        <v>2</v>
      </c>
      <c r="L763" t="str">
        <f>_xlfn.XLOOKUP(Append15[[#This Row],[WeatherSituation]],Mappings!$E$3:$E$6,Mappings!$F$3:$F$6)</f>
        <v>Mist/Cloudy</v>
      </c>
      <c r="M763">
        <v>0.14000000000000001</v>
      </c>
      <c r="N763">
        <v>0.16669999999999999</v>
      </c>
      <c r="O763">
        <v>0.63</v>
      </c>
      <c r="P763">
        <v>0.1045</v>
      </c>
      <c r="Q763">
        <v>0</v>
      </c>
      <c r="R763">
        <v>1</v>
      </c>
      <c r="S763">
        <v>1</v>
      </c>
    </row>
    <row r="764" spans="1:19" x14ac:dyDescent="0.3">
      <c r="A764">
        <v>763</v>
      </c>
      <c r="B764" s="4">
        <v>40578</v>
      </c>
      <c r="C764">
        <v>2</v>
      </c>
      <c r="D764">
        <v>5</v>
      </c>
      <c r="E764" t="str">
        <f t="shared" si="33"/>
        <v>5 AM</v>
      </c>
      <c r="F764" t="str">
        <f t="shared" si="34"/>
        <v>Morning</v>
      </c>
      <c r="G764" t="b">
        <v>0</v>
      </c>
      <c r="H764">
        <v>5</v>
      </c>
      <c r="I764" t="str">
        <f>_xlfn.XLOOKUP(Append15[[#This Row],[Week day]],Mappings!$B$3:$B$9,Mappings!$C$3:$C$9)</f>
        <v>Friday</v>
      </c>
      <c r="J764" t="str">
        <f t="shared" si="35"/>
        <v>Weekday</v>
      </c>
      <c r="K764">
        <v>2</v>
      </c>
      <c r="L764" t="str">
        <f>_xlfn.XLOOKUP(Append15[[#This Row],[WeatherSituation]],Mappings!$E$3:$E$6,Mappings!$F$3:$F$6)</f>
        <v>Mist/Cloudy</v>
      </c>
      <c r="M764">
        <v>0.14000000000000001</v>
      </c>
      <c r="N764">
        <v>0.1515</v>
      </c>
      <c r="O764">
        <v>0.63</v>
      </c>
      <c r="P764">
        <v>0.1343</v>
      </c>
      <c r="Q764">
        <v>0</v>
      </c>
      <c r="R764">
        <v>7</v>
      </c>
      <c r="S764">
        <v>7</v>
      </c>
    </row>
    <row r="765" spans="1:19" x14ac:dyDescent="0.3">
      <c r="A765">
        <v>764</v>
      </c>
      <c r="B765" s="4">
        <v>40578</v>
      </c>
      <c r="C765">
        <v>2</v>
      </c>
      <c r="D765">
        <v>6</v>
      </c>
      <c r="E765" t="str">
        <f t="shared" si="33"/>
        <v>6 AM</v>
      </c>
      <c r="F765" t="str">
        <f t="shared" si="34"/>
        <v>Morning</v>
      </c>
      <c r="G765" t="b">
        <v>0</v>
      </c>
      <c r="H765">
        <v>5</v>
      </c>
      <c r="I765" t="str">
        <f>_xlfn.XLOOKUP(Append15[[#This Row],[Week day]],Mappings!$B$3:$B$9,Mappings!$C$3:$C$9)</f>
        <v>Friday</v>
      </c>
      <c r="J765" t="str">
        <f t="shared" si="35"/>
        <v>Weekday</v>
      </c>
      <c r="K765">
        <v>2</v>
      </c>
      <c r="L765" t="str">
        <f>_xlfn.XLOOKUP(Append15[[#This Row],[WeatherSituation]],Mappings!$E$3:$E$6,Mappings!$F$3:$F$6)</f>
        <v>Mist/Cloudy</v>
      </c>
      <c r="M765">
        <v>0.16</v>
      </c>
      <c r="N765">
        <v>0.2273</v>
      </c>
      <c r="O765">
        <v>0.55000000000000004</v>
      </c>
      <c r="P765">
        <v>0</v>
      </c>
      <c r="Q765">
        <v>2</v>
      </c>
      <c r="R765">
        <v>26</v>
      </c>
      <c r="S765">
        <v>28</v>
      </c>
    </row>
    <row r="766" spans="1:19" x14ac:dyDescent="0.3">
      <c r="A766">
        <v>765</v>
      </c>
      <c r="B766" s="4">
        <v>40578</v>
      </c>
      <c r="C766">
        <v>2</v>
      </c>
      <c r="D766">
        <v>7</v>
      </c>
      <c r="E766" t="str">
        <f t="shared" si="33"/>
        <v>7 AM</v>
      </c>
      <c r="F766" t="str">
        <f t="shared" si="34"/>
        <v>Morning</v>
      </c>
      <c r="G766" t="b">
        <v>0</v>
      </c>
      <c r="H766">
        <v>5</v>
      </c>
      <c r="I766" t="str">
        <f>_xlfn.XLOOKUP(Append15[[#This Row],[Week day]],Mappings!$B$3:$B$9,Mappings!$C$3:$C$9)</f>
        <v>Friday</v>
      </c>
      <c r="J766" t="str">
        <f t="shared" si="35"/>
        <v>Weekday</v>
      </c>
      <c r="K766">
        <v>1</v>
      </c>
      <c r="L766" t="str">
        <f>_xlfn.XLOOKUP(Append15[[#This Row],[WeatherSituation]],Mappings!$E$3:$E$6,Mappings!$F$3:$F$6)</f>
        <v>Clear Sky</v>
      </c>
      <c r="M766">
        <v>0.14000000000000001</v>
      </c>
      <c r="N766">
        <v>0.21210000000000001</v>
      </c>
      <c r="O766">
        <v>0.59</v>
      </c>
      <c r="P766">
        <v>0</v>
      </c>
      <c r="Q766">
        <v>0</v>
      </c>
      <c r="R766">
        <v>87</v>
      </c>
      <c r="S766">
        <v>87</v>
      </c>
    </row>
    <row r="767" spans="1:19" x14ac:dyDescent="0.3">
      <c r="A767">
        <v>766</v>
      </c>
      <c r="B767" s="4">
        <v>40578</v>
      </c>
      <c r="C767">
        <v>2</v>
      </c>
      <c r="D767">
        <v>8</v>
      </c>
      <c r="E767" t="str">
        <f t="shared" si="33"/>
        <v>8 AM</v>
      </c>
      <c r="F767" t="str">
        <f t="shared" si="34"/>
        <v>Morning</v>
      </c>
      <c r="G767" t="b">
        <v>0</v>
      </c>
      <c r="H767">
        <v>5</v>
      </c>
      <c r="I767" t="str">
        <f>_xlfn.XLOOKUP(Append15[[#This Row],[Week day]],Mappings!$B$3:$B$9,Mappings!$C$3:$C$9)</f>
        <v>Friday</v>
      </c>
      <c r="J767" t="str">
        <f t="shared" si="35"/>
        <v>Weekday</v>
      </c>
      <c r="K767">
        <v>1</v>
      </c>
      <c r="L767" t="str">
        <f>_xlfn.XLOOKUP(Append15[[#This Row],[WeatherSituation]],Mappings!$E$3:$E$6,Mappings!$F$3:$F$6)</f>
        <v>Clear Sky</v>
      </c>
      <c r="M767">
        <v>0.14000000000000001</v>
      </c>
      <c r="N767">
        <v>0.1515</v>
      </c>
      <c r="O767">
        <v>0.74</v>
      </c>
      <c r="P767">
        <v>0.1343</v>
      </c>
      <c r="Q767">
        <v>3</v>
      </c>
      <c r="R767">
        <v>217</v>
      </c>
      <c r="S767">
        <v>220</v>
      </c>
    </row>
    <row r="768" spans="1:19" x14ac:dyDescent="0.3">
      <c r="A768">
        <v>767</v>
      </c>
      <c r="B768" s="4">
        <v>40578</v>
      </c>
      <c r="C768">
        <v>2</v>
      </c>
      <c r="D768">
        <v>9</v>
      </c>
      <c r="E768" t="str">
        <f t="shared" si="33"/>
        <v>9 AM</v>
      </c>
      <c r="F768" t="str">
        <f t="shared" si="34"/>
        <v>Morning</v>
      </c>
      <c r="G768" t="b">
        <v>0</v>
      </c>
      <c r="H768">
        <v>5</v>
      </c>
      <c r="I768" t="str">
        <f>_xlfn.XLOOKUP(Append15[[#This Row],[Week day]],Mappings!$B$3:$B$9,Mappings!$C$3:$C$9)</f>
        <v>Friday</v>
      </c>
      <c r="J768" t="str">
        <f t="shared" si="35"/>
        <v>Weekday</v>
      </c>
      <c r="K768">
        <v>2</v>
      </c>
      <c r="L768" t="str">
        <f>_xlfn.XLOOKUP(Append15[[#This Row],[WeatherSituation]],Mappings!$E$3:$E$6,Mappings!$F$3:$F$6)</f>
        <v>Mist/Cloudy</v>
      </c>
      <c r="M768">
        <v>0.16</v>
      </c>
      <c r="N768">
        <v>0.18179999999999999</v>
      </c>
      <c r="O768">
        <v>0.8</v>
      </c>
      <c r="P768">
        <v>0.1343</v>
      </c>
      <c r="Q768">
        <v>3</v>
      </c>
      <c r="R768">
        <v>124</v>
      </c>
      <c r="S768">
        <v>127</v>
      </c>
    </row>
    <row r="769" spans="1:19" x14ac:dyDescent="0.3">
      <c r="A769">
        <v>768</v>
      </c>
      <c r="B769" s="4">
        <v>40578</v>
      </c>
      <c r="C769">
        <v>2</v>
      </c>
      <c r="D769">
        <v>10</v>
      </c>
      <c r="E769" t="str">
        <f t="shared" si="33"/>
        <v>10 AM</v>
      </c>
      <c r="F769" t="str">
        <f t="shared" si="34"/>
        <v>Morning</v>
      </c>
      <c r="G769" t="b">
        <v>0</v>
      </c>
      <c r="H769">
        <v>5</v>
      </c>
      <c r="I769" t="str">
        <f>_xlfn.XLOOKUP(Append15[[#This Row],[Week day]],Mappings!$B$3:$B$9,Mappings!$C$3:$C$9)</f>
        <v>Friday</v>
      </c>
      <c r="J769" t="str">
        <f t="shared" si="35"/>
        <v>Weekday</v>
      </c>
      <c r="K769">
        <v>2</v>
      </c>
      <c r="L769" t="str">
        <f>_xlfn.XLOOKUP(Append15[[#This Row],[WeatherSituation]],Mappings!$E$3:$E$6,Mappings!$F$3:$F$6)</f>
        <v>Mist/Cloudy</v>
      </c>
      <c r="M769">
        <v>0.2</v>
      </c>
      <c r="N769">
        <v>0.21210000000000001</v>
      </c>
      <c r="O769">
        <v>0.51</v>
      </c>
      <c r="P769">
        <v>0.1343</v>
      </c>
      <c r="Q769">
        <v>5</v>
      </c>
      <c r="R769">
        <v>46</v>
      </c>
      <c r="S769">
        <v>51</v>
      </c>
    </row>
    <row r="770" spans="1:19" x14ac:dyDescent="0.3">
      <c r="A770">
        <v>769</v>
      </c>
      <c r="B770" s="4">
        <v>40578</v>
      </c>
      <c r="C770">
        <v>2</v>
      </c>
      <c r="D770">
        <v>11</v>
      </c>
      <c r="E770" t="str">
        <f t="shared" ref="E770:E833" si="36">TEXT(D770/24,"h AM/PM")</f>
        <v>11 AM</v>
      </c>
      <c r="F770" t="str">
        <f t="shared" ref="F770:F833" si="37">IF(D770&lt;5,"Night",
IF(D770&lt;=11,"Morning",
IF(D770&lt;16,"AfterNoon",
IF(D770&lt;20,"Evening","Night"))))</f>
        <v>Morning</v>
      </c>
      <c r="G770" t="b">
        <v>0</v>
      </c>
      <c r="H770">
        <v>5</v>
      </c>
      <c r="I770" t="str">
        <f>_xlfn.XLOOKUP(Append15[[#This Row],[Week day]],Mappings!$B$3:$B$9,Mappings!$C$3:$C$9)</f>
        <v>Friday</v>
      </c>
      <c r="J770" t="str">
        <f t="shared" ref="J770:J833" si="38">IF(OR(H770=0,H770=6),"Weekend","Weekday")</f>
        <v>Weekday</v>
      </c>
      <c r="K770">
        <v>1</v>
      </c>
      <c r="L770" t="str">
        <f>_xlfn.XLOOKUP(Append15[[#This Row],[WeatherSituation]],Mappings!$E$3:$E$6,Mappings!$F$3:$F$6)</f>
        <v>Clear Sky</v>
      </c>
      <c r="M770">
        <v>0.22</v>
      </c>
      <c r="N770">
        <v>0.2273</v>
      </c>
      <c r="O770">
        <v>0.51</v>
      </c>
      <c r="P770">
        <v>0.16420000000000001</v>
      </c>
      <c r="Q770">
        <v>3</v>
      </c>
      <c r="R770">
        <v>61</v>
      </c>
      <c r="S770">
        <v>64</v>
      </c>
    </row>
    <row r="771" spans="1:19" x14ac:dyDescent="0.3">
      <c r="A771">
        <v>770</v>
      </c>
      <c r="B771" s="4">
        <v>40578</v>
      </c>
      <c r="C771">
        <v>2</v>
      </c>
      <c r="D771">
        <v>12</v>
      </c>
      <c r="E771" t="str">
        <f t="shared" si="36"/>
        <v>12 PM</v>
      </c>
      <c r="F771" t="str">
        <f t="shared" si="37"/>
        <v>AfterNoon</v>
      </c>
      <c r="G771" t="b">
        <v>0</v>
      </c>
      <c r="H771">
        <v>5</v>
      </c>
      <c r="I771" t="str">
        <f>_xlfn.XLOOKUP(Append15[[#This Row],[Week day]],Mappings!$B$3:$B$9,Mappings!$C$3:$C$9)</f>
        <v>Friday</v>
      </c>
      <c r="J771" t="str">
        <f t="shared" si="38"/>
        <v>Weekday</v>
      </c>
      <c r="K771">
        <v>2</v>
      </c>
      <c r="L771" t="str">
        <f>_xlfn.XLOOKUP(Append15[[#This Row],[WeatherSituation]],Mappings!$E$3:$E$6,Mappings!$F$3:$F$6)</f>
        <v>Mist/Cloudy</v>
      </c>
      <c r="M771">
        <v>0.24</v>
      </c>
      <c r="N771">
        <v>0.2424</v>
      </c>
      <c r="O771">
        <v>0.48</v>
      </c>
      <c r="P771">
        <v>0.16420000000000001</v>
      </c>
      <c r="Q771">
        <v>8</v>
      </c>
      <c r="R771">
        <v>78</v>
      </c>
      <c r="S771">
        <v>86</v>
      </c>
    </row>
    <row r="772" spans="1:19" x14ac:dyDescent="0.3">
      <c r="A772">
        <v>771</v>
      </c>
      <c r="B772" s="4">
        <v>40578</v>
      </c>
      <c r="C772">
        <v>2</v>
      </c>
      <c r="D772">
        <v>13</v>
      </c>
      <c r="E772" t="str">
        <f t="shared" si="36"/>
        <v>1 PM</v>
      </c>
      <c r="F772" t="str">
        <f t="shared" si="37"/>
        <v>AfterNoon</v>
      </c>
      <c r="G772" t="b">
        <v>0</v>
      </c>
      <c r="H772">
        <v>5</v>
      </c>
      <c r="I772" t="str">
        <f>_xlfn.XLOOKUP(Append15[[#This Row],[Week day]],Mappings!$B$3:$B$9,Mappings!$C$3:$C$9)</f>
        <v>Friday</v>
      </c>
      <c r="J772" t="str">
        <f t="shared" si="38"/>
        <v>Weekday</v>
      </c>
      <c r="K772">
        <v>2</v>
      </c>
      <c r="L772" t="str">
        <f>_xlfn.XLOOKUP(Append15[[#This Row],[WeatherSituation]],Mappings!$E$3:$E$6,Mappings!$F$3:$F$6)</f>
        <v>Mist/Cloudy</v>
      </c>
      <c r="M772">
        <v>0.26</v>
      </c>
      <c r="N772">
        <v>0.2576</v>
      </c>
      <c r="O772">
        <v>0.5</v>
      </c>
      <c r="P772">
        <v>0.22389999999999999</v>
      </c>
      <c r="Q772">
        <v>9</v>
      </c>
      <c r="R772">
        <v>73</v>
      </c>
      <c r="S772">
        <v>82</v>
      </c>
    </row>
    <row r="773" spans="1:19" x14ac:dyDescent="0.3">
      <c r="A773">
        <v>772</v>
      </c>
      <c r="B773" s="4">
        <v>40578</v>
      </c>
      <c r="C773">
        <v>2</v>
      </c>
      <c r="D773">
        <v>14</v>
      </c>
      <c r="E773" t="str">
        <f t="shared" si="36"/>
        <v>2 PM</v>
      </c>
      <c r="F773" t="str">
        <f t="shared" si="37"/>
        <v>AfterNoon</v>
      </c>
      <c r="G773" t="b">
        <v>0</v>
      </c>
      <c r="H773">
        <v>5</v>
      </c>
      <c r="I773" t="str">
        <f>_xlfn.XLOOKUP(Append15[[#This Row],[Week day]],Mappings!$B$3:$B$9,Mappings!$C$3:$C$9)</f>
        <v>Friday</v>
      </c>
      <c r="J773" t="str">
        <f t="shared" si="38"/>
        <v>Weekday</v>
      </c>
      <c r="K773">
        <v>2</v>
      </c>
      <c r="L773" t="str">
        <f>_xlfn.XLOOKUP(Append15[[#This Row],[WeatherSituation]],Mappings!$E$3:$E$6,Mappings!$F$3:$F$6)</f>
        <v>Mist/Cloudy</v>
      </c>
      <c r="M773">
        <v>0.28000000000000003</v>
      </c>
      <c r="N773">
        <v>0.2727</v>
      </c>
      <c r="O773">
        <v>0.45</v>
      </c>
      <c r="P773">
        <v>0.16420000000000001</v>
      </c>
      <c r="Q773">
        <v>15</v>
      </c>
      <c r="R773">
        <v>76</v>
      </c>
      <c r="S773">
        <v>91</v>
      </c>
    </row>
    <row r="774" spans="1:19" x14ac:dyDescent="0.3">
      <c r="A774">
        <v>773</v>
      </c>
      <c r="B774" s="4">
        <v>40578</v>
      </c>
      <c r="C774">
        <v>2</v>
      </c>
      <c r="D774">
        <v>15</v>
      </c>
      <c r="E774" t="str">
        <f t="shared" si="36"/>
        <v>3 PM</v>
      </c>
      <c r="F774" t="str">
        <f t="shared" si="37"/>
        <v>AfterNoon</v>
      </c>
      <c r="G774" t="b">
        <v>0</v>
      </c>
      <c r="H774">
        <v>5</v>
      </c>
      <c r="I774" t="str">
        <f>_xlfn.XLOOKUP(Append15[[#This Row],[Week day]],Mappings!$B$3:$B$9,Mappings!$C$3:$C$9)</f>
        <v>Friday</v>
      </c>
      <c r="J774" t="str">
        <f t="shared" si="38"/>
        <v>Weekday</v>
      </c>
      <c r="K774">
        <v>2</v>
      </c>
      <c r="L774" t="str">
        <f>_xlfn.XLOOKUP(Append15[[#This Row],[WeatherSituation]],Mappings!$E$3:$E$6,Mappings!$F$3:$F$6)</f>
        <v>Mist/Cloudy</v>
      </c>
      <c r="M774">
        <v>0.28000000000000003</v>
      </c>
      <c r="N774">
        <v>0.2727</v>
      </c>
      <c r="O774">
        <v>0.48</v>
      </c>
      <c r="P774">
        <v>0.25369999999999998</v>
      </c>
      <c r="Q774">
        <v>9</v>
      </c>
      <c r="R774">
        <v>81</v>
      </c>
      <c r="S774">
        <v>90</v>
      </c>
    </row>
    <row r="775" spans="1:19" x14ac:dyDescent="0.3">
      <c r="A775">
        <v>774</v>
      </c>
      <c r="B775" s="4">
        <v>40578</v>
      </c>
      <c r="C775">
        <v>2</v>
      </c>
      <c r="D775">
        <v>16</v>
      </c>
      <c r="E775" t="str">
        <f t="shared" si="36"/>
        <v>4 PM</v>
      </c>
      <c r="F775" t="str">
        <f t="shared" si="37"/>
        <v>Evening</v>
      </c>
      <c r="G775" t="b">
        <v>0</v>
      </c>
      <c r="H775">
        <v>5</v>
      </c>
      <c r="I775" t="str">
        <f>_xlfn.XLOOKUP(Append15[[#This Row],[Week day]],Mappings!$B$3:$B$9,Mappings!$C$3:$C$9)</f>
        <v>Friday</v>
      </c>
      <c r="J775" t="str">
        <f t="shared" si="38"/>
        <v>Weekday</v>
      </c>
      <c r="K775">
        <v>2</v>
      </c>
      <c r="L775" t="str">
        <f>_xlfn.XLOOKUP(Append15[[#This Row],[WeatherSituation]],Mappings!$E$3:$E$6,Mappings!$F$3:$F$6)</f>
        <v>Mist/Cloudy</v>
      </c>
      <c r="M775">
        <v>0.3</v>
      </c>
      <c r="N775">
        <v>0.28789999999999999</v>
      </c>
      <c r="O775">
        <v>0.42</v>
      </c>
      <c r="P775">
        <v>0.22389999999999999</v>
      </c>
      <c r="Q775">
        <v>8</v>
      </c>
      <c r="R775">
        <v>91</v>
      </c>
      <c r="S775">
        <v>99</v>
      </c>
    </row>
    <row r="776" spans="1:19" x14ac:dyDescent="0.3">
      <c r="A776">
        <v>775</v>
      </c>
      <c r="B776" s="4">
        <v>40578</v>
      </c>
      <c r="C776">
        <v>2</v>
      </c>
      <c r="D776">
        <v>17</v>
      </c>
      <c r="E776" t="str">
        <f t="shared" si="36"/>
        <v>5 PM</v>
      </c>
      <c r="F776" t="str">
        <f t="shared" si="37"/>
        <v>Evening</v>
      </c>
      <c r="G776" t="b">
        <v>0</v>
      </c>
      <c r="H776">
        <v>5</v>
      </c>
      <c r="I776" t="str">
        <f>_xlfn.XLOOKUP(Append15[[#This Row],[Week day]],Mappings!$B$3:$B$9,Mappings!$C$3:$C$9)</f>
        <v>Friday</v>
      </c>
      <c r="J776" t="str">
        <f t="shared" si="38"/>
        <v>Weekday</v>
      </c>
      <c r="K776">
        <v>2</v>
      </c>
      <c r="L776" t="str">
        <f>_xlfn.XLOOKUP(Append15[[#This Row],[WeatherSituation]],Mappings!$E$3:$E$6,Mappings!$F$3:$F$6)</f>
        <v>Mist/Cloudy</v>
      </c>
      <c r="M776">
        <v>0.26</v>
      </c>
      <c r="N776">
        <v>0.2727</v>
      </c>
      <c r="O776">
        <v>0.56000000000000005</v>
      </c>
      <c r="P776">
        <v>0.1343</v>
      </c>
      <c r="Q776">
        <v>10</v>
      </c>
      <c r="R776">
        <v>195</v>
      </c>
      <c r="S776">
        <v>205</v>
      </c>
    </row>
    <row r="777" spans="1:19" x14ac:dyDescent="0.3">
      <c r="A777">
        <v>776</v>
      </c>
      <c r="B777" s="4">
        <v>40578</v>
      </c>
      <c r="C777">
        <v>2</v>
      </c>
      <c r="D777">
        <v>18</v>
      </c>
      <c r="E777" t="str">
        <f t="shared" si="36"/>
        <v>6 PM</v>
      </c>
      <c r="F777" t="str">
        <f t="shared" si="37"/>
        <v>Evening</v>
      </c>
      <c r="G777" t="b">
        <v>0</v>
      </c>
      <c r="H777">
        <v>5</v>
      </c>
      <c r="I777" t="str">
        <f>_xlfn.XLOOKUP(Append15[[#This Row],[Week day]],Mappings!$B$3:$B$9,Mappings!$C$3:$C$9)</f>
        <v>Friday</v>
      </c>
      <c r="J777" t="str">
        <f t="shared" si="38"/>
        <v>Weekday</v>
      </c>
      <c r="K777">
        <v>2</v>
      </c>
      <c r="L777" t="str">
        <f>_xlfn.XLOOKUP(Append15[[#This Row],[WeatherSituation]],Mappings!$E$3:$E$6,Mappings!$F$3:$F$6)</f>
        <v>Mist/Cloudy</v>
      </c>
      <c r="M777">
        <v>0.24</v>
      </c>
      <c r="N777">
        <v>0.2576</v>
      </c>
      <c r="O777">
        <v>0.6</v>
      </c>
      <c r="P777">
        <v>0.1045</v>
      </c>
      <c r="Q777">
        <v>3</v>
      </c>
      <c r="R777">
        <v>152</v>
      </c>
      <c r="S777">
        <v>155</v>
      </c>
    </row>
    <row r="778" spans="1:19" x14ac:dyDescent="0.3">
      <c r="A778">
        <v>777</v>
      </c>
      <c r="B778" s="4">
        <v>40578</v>
      </c>
      <c r="C778">
        <v>2</v>
      </c>
      <c r="D778">
        <v>19</v>
      </c>
      <c r="E778" t="str">
        <f t="shared" si="36"/>
        <v>7 PM</v>
      </c>
      <c r="F778" t="str">
        <f t="shared" si="37"/>
        <v>Evening</v>
      </c>
      <c r="G778" t="b">
        <v>0</v>
      </c>
      <c r="H778">
        <v>5</v>
      </c>
      <c r="I778" t="str">
        <f>_xlfn.XLOOKUP(Append15[[#This Row],[Week day]],Mappings!$B$3:$B$9,Mappings!$C$3:$C$9)</f>
        <v>Friday</v>
      </c>
      <c r="J778" t="str">
        <f t="shared" si="38"/>
        <v>Weekday</v>
      </c>
      <c r="K778">
        <v>2</v>
      </c>
      <c r="L778" t="str">
        <f>_xlfn.XLOOKUP(Append15[[#This Row],[WeatherSituation]],Mappings!$E$3:$E$6,Mappings!$F$3:$F$6)</f>
        <v>Mist/Cloudy</v>
      </c>
      <c r="M778">
        <v>0.24</v>
      </c>
      <c r="N778">
        <v>0.2424</v>
      </c>
      <c r="O778">
        <v>0.65</v>
      </c>
      <c r="P778">
        <v>0.1343</v>
      </c>
      <c r="Q778">
        <v>1</v>
      </c>
      <c r="R778">
        <v>102</v>
      </c>
      <c r="S778">
        <v>103</v>
      </c>
    </row>
    <row r="779" spans="1:19" x14ac:dyDescent="0.3">
      <c r="A779">
        <v>778</v>
      </c>
      <c r="B779" s="4">
        <v>40578</v>
      </c>
      <c r="C779">
        <v>2</v>
      </c>
      <c r="D779">
        <v>20</v>
      </c>
      <c r="E779" t="str">
        <f t="shared" si="36"/>
        <v>8 PM</v>
      </c>
      <c r="F779" t="str">
        <f t="shared" si="37"/>
        <v>Night</v>
      </c>
      <c r="G779" t="b">
        <v>0</v>
      </c>
      <c r="H779">
        <v>5</v>
      </c>
      <c r="I779" t="str">
        <f>_xlfn.XLOOKUP(Append15[[#This Row],[Week day]],Mappings!$B$3:$B$9,Mappings!$C$3:$C$9)</f>
        <v>Friday</v>
      </c>
      <c r="J779" t="str">
        <f t="shared" si="38"/>
        <v>Weekday</v>
      </c>
      <c r="K779">
        <v>2</v>
      </c>
      <c r="L779" t="str">
        <f>_xlfn.XLOOKUP(Append15[[#This Row],[WeatherSituation]],Mappings!$E$3:$E$6,Mappings!$F$3:$F$6)</f>
        <v>Mist/Cloudy</v>
      </c>
      <c r="M779">
        <v>0.24</v>
      </c>
      <c r="N779">
        <v>0.2424</v>
      </c>
      <c r="O779">
        <v>0.65</v>
      </c>
      <c r="P779">
        <v>0.16420000000000001</v>
      </c>
      <c r="Q779">
        <v>2</v>
      </c>
      <c r="R779">
        <v>69</v>
      </c>
      <c r="S779">
        <v>71</v>
      </c>
    </row>
    <row r="780" spans="1:19" x14ac:dyDescent="0.3">
      <c r="A780">
        <v>779</v>
      </c>
      <c r="B780" s="4">
        <v>40578</v>
      </c>
      <c r="C780">
        <v>2</v>
      </c>
      <c r="D780">
        <v>21</v>
      </c>
      <c r="E780" t="str">
        <f t="shared" si="36"/>
        <v>9 PM</v>
      </c>
      <c r="F780" t="str">
        <f t="shared" si="37"/>
        <v>Night</v>
      </c>
      <c r="G780" t="b">
        <v>0</v>
      </c>
      <c r="H780">
        <v>5</v>
      </c>
      <c r="I780" t="str">
        <f>_xlfn.XLOOKUP(Append15[[#This Row],[Week day]],Mappings!$B$3:$B$9,Mappings!$C$3:$C$9)</f>
        <v>Friday</v>
      </c>
      <c r="J780" t="str">
        <f t="shared" si="38"/>
        <v>Weekday</v>
      </c>
      <c r="K780">
        <v>2</v>
      </c>
      <c r="L780" t="str">
        <f>_xlfn.XLOOKUP(Append15[[#This Row],[WeatherSituation]],Mappings!$E$3:$E$6,Mappings!$F$3:$F$6)</f>
        <v>Mist/Cloudy</v>
      </c>
      <c r="M780">
        <v>0.24</v>
      </c>
      <c r="N780">
        <v>0.2424</v>
      </c>
      <c r="O780">
        <v>0.7</v>
      </c>
      <c r="P780">
        <v>0.16420000000000001</v>
      </c>
      <c r="Q780">
        <v>2</v>
      </c>
      <c r="R780">
        <v>41</v>
      </c>
      <c r="S780">
        <v>43</v>
      </c>
    </row>
    <row r="781" spans="1:19" x14ac:dyDescent="0.3">
      <c r="A781">
        <v>780</v>
      </c>
      <c r="B781" s="4">
        <v>40578</v>
      </c>
      <c r="C781">
        <v>2</v>
      </c>
      <c r="D781">
        <v>22</v>
      </c>
      <c r="E781" t="str">
        <f t="shared" si="36"/>
        <v>10 PM</v>
      </c>
      <c r="F781" t="str">
        <f t="shared" si="37"/>
        <v>Night</v>
      </c>
      <c r="G781" t="b">
        <v>0</v>
      </c>
      <c r="H781">
        <v>5</v>
      </c>
      <c r="I781" t="str">
        <f>_xlfn.XLOOKUP(Append15[[#This Row],[Week day]],Mappings!$B$3:$B$9,Mappings!$C$3:$C$9)</f>
        <v>Friday</v>
      </c>
      <c r="J781" t="str">
        <f t="shared" si="38"/>
        <v>Weekday</v>
      </c>
      <c r="K781">
        <v>2</v>
      </c>
      <c r="L781" t="str">
        <f>_xlfn.XLOOKUP(Append15[[#This Row],[WeatherSituation]],Mappings!$E$3:$E$6,Mappings!$F$3:$F$6)</f>
        <v>Mist/Cloudy</v>
      </c>
      <c r="M781">
        <v>0.24</v>
      </c>
      <c r="N781">
        <v>0.2424</v>
      </c>
      <c r="O781">
        <v>0.65</v>
      </c>
      <c r="P781">
        <v>0.16420000000000001</v>
      </c>
      <c r="Q781">
        <v>1</v>
      </c>
      <c r="R781">
        <v>45</v>
      </c>
      <c r="S781">
        <v>46</v>
      </c>
    </row>
    <row r="782" spans="1:19" x14ac:dyDescent="0.3">
      <c r="A782">
        <v>781</v>
      </c>
      <c r="B782" s="4">
        <v>40578</v>
      </c>
      <c r="C782">
        <v>2</v>
      </c>
      <c r="D782">
        <v>23</v>
      </c>
      <c r="E782" t="str">
        <f t="shared" si="36"/>
        <v>11 PM</v>
      </c>
      <c r="F782" t="str">
        <f t="shared" si="37"/>
        <v>Night</v>
      </c>
      <c r="G782" t="b">
        <v>0</v>
      </c>
      <c r="H782">
        <v>5</v>
      </c>
      <c r="I782" t="str">
        <f>_xlfn.XLOOKUP(Append15[[#This Row],[Week day]],Mappings!$B$3:$B$9,Mappings!$C$3:$C$9)</f>
        <v>Friday</v>
      </c>
      <c r="J782" t="str">
        <f t="shared" si="38"/>
        <v>Weekday</v>
      </c>
      <c r="K782">
        <v>2</v>
      </c>
      <c r="L782" t="str">
        <f>_xlfn.XLOOKUP(Append15[[#This Row],[WeatherSituation]],Mappings!$E$3:$E$6,Mappings!$F$3:$F$6)</f>
        <v>Mist/Cloudy</v>
      </c>
      <c r="M782">
        <v>0.24</v>
      </c>
      <c r="N782">
        <v>0.2424</v>
      </c>
      <c r="O782">
        <v>0.7</v>
      </c>
      <c r="P782">
        <v>0.1343</v>
      </c>
      <c r="Q782">
        <v>1</v>
      </c>
      <c r="R782">
        <v>30</v>
      </c>
      <c r="S782">
        <v>31</v>
      </c>
    </row>
    <row r="783" spans="1:19" x14ac:dyDescent="0.3">
      <c r="A783">
        <v>782</v>
      </c>
      <c r="B783" s="4">
        <v>40579</v>
      </c>
      <c r="C783">
        <v>2</v>
      </c>
      <c r="D783">
        <v>0</v>
      </c>
      <c r="E783" t="str">
        <f t="shared" si="36"/>
        <v>12 AM</v>
      </c>
      <c r="F783" t="str">
        <f t="shared" si="37"/>
        <v>Night</v>
      </c>
      <c r="G783" t="b">
        <v>0</v>
      </c>
      <c r="H783">
        <v>6</v>
      </c>
      <c r="I783" t="str">
        <f>_xlfn.XLOOKUP(Append15[[#This Row],[Week day]],Mappings!$B$3:$B$9,Mappings!$C$3:$C$9)</f>
        <v>Saturday</v>
      </c>
      <c r="J783" t="str">
        <f t="shared" si="38"/>
        <v>Weekend</v>
      </c>
      <c r="K783">
        <v>2</v>
      </c>
      <c r="L783" t="str">
        <f>_xlfn.XLOOKUP(Append15[[#This Row],[WeatherSituation]],Mappings!$E$3:$E$6,Mappings!$F$3:$F$6)</f>
        <v>Mist/Cloudy</v>
      </c>
      <c r="M783">
        <v>0.24</v>
      </c>
      <c r="N783">
        <v>0.2424</v>
      </c>
      <c r="O783">
        <v>0.7</v>
      </c>
      <c r="P783">
        <v>0.16420000000000001</v>
      </c>
      <c r="Q783">
        <v>3</v>
      </c>
      <c r="R783">
        <v>36</v>
      </c>
      <c r="S783">
        <v>39</v>
      </c>
    </row>
    <row r="784" spans="1:19" x14ac:dyDescent="0.3">
      <c r="A784">
        <v>783</v>
      </c>
      <c r="B784" s="4">
        <v>40579</v>
      </c>
      <c r="C784">
        <v>2</v>
      </c>
      <c r="D784">
        <v>1</v>
      </c>
      <c r="E784" t="str">
        <f t="shared" si="36"/>
        <v>1 AM</v>
      </c>
      <c r="F784" t="str">
        <f t="shared" si="37"/>
        <v>Night</v>
      </c>
      <c r="G784" t="b">
        <v>0</v>
      </c>
      <c r="H784">
        <v>6</v>
      </c>
      <c r="I784" t="str">
        <f>_xlfn.XLOOKUP(Append15[[#This Row],[Week day]],Mappings!$B$3:$B$9,Mappings!$C$3:$C$9)</f>
        <v>Saturday</v>
      </c>
      <c r="J784" t="str">
        <f t="shared" si="38"/>
        <v>Weekend</v>
      </c>
      <c r="K784">
        <v>2</v>
      </c>
      <c r="L784" t="str">
        <f>_xlfn.XLOOKUP(Append15[[#This Row],[WeatherSituation]],Mappings!$E$3:$E$6,Mappings!$F$3:$F$6)</f>
        <v>Mist/Cloudy</v>
      </c>
      <c r="M784">
        <v>0.24</v>
      </c>
      <c r="N784">
        <v>0.2424</v>
      </c>
      <c r="O784">
        <v>0.65</v>
      </c>
      <c r="P784">
        <v>0.16420000000000001</v>
      </c>
      <c r="Q784">
        <v>1</v>
      </c>
      <c r="R784">
        <v>17</v>
      </c>
      <c r="S784">
        <v>18</v>
      </c>
    </row>
    <row r="785" spans="1:19" x14ac:dyDescent="0.3">
      <c r="A785">
        <v>784</v>
      </c>
      <c r="B785" s="4">
        <v>40579</v>
      </c>
      <c r="C785">
        <v>2</v>
      </c>
      <c r="D785">
        <v>2</v>
      </c>
      <c r="E785" t="str">
        <f t="shared" si="36"/>
        <v>2 AM</v>
      </c>
      <c r="F785" t="str">
        <f t="shared" si="37"/>
        <v>Night</v>
      </c>
      <c r="G785" t="b">
        <v>0</v>
      </c>
      <c r="H785">
        <v>6</v>
      </c>
      <c r="I785" t="str">
        <f>_xlfn.XLOOKUP(Append15[[#This Row],[Week day]],Mappings!$B$3:$B$9,Mappings!$C$3:$C$9)</f>
        <v>Saturday</v>
      </c>
      <c r="J785" t="str">
        <f t="shared" si="38"/>
        <v>Weekend</v>
      </c>
      <c r="K785">
        <v>2</v>
      </c>
      <c r="L785" t="str">
        <f>_xlfn.XLOOKUP(Append15[[#This Row],[WeatherSituation]],Mappings!$E$3:$E$6,Mappings!$F$3:$F$6)</f>
        <v>Mist/Cloudy</v>
      </c>
      <c r="M785">
        <v>0.24</v>
      </c>
      <c r="N785">
        <v>0.2424</v>
      </c>
      <c r="O785">
        <v>0.75</v>
      </c>
      <c r="P785">
        <v>0.16420000000000001</v>
      </c>
      <c r="Q785">
        <v>5</v>
      </c>
      <c r="R785">
        <v>12</v>
      </c>
      <c r="S785">
        <v>17</v>
      </c>
    </row>
    <row r="786" spans="1:19" x14ac:dyDescent="0.3">
      <c r="A786">
        <v>785</v>
      </c>
      <c r="B786" s="4">
        <v>40579</v>
      </c>
      <c r="C786">
        <v>2</v>
      </c>
      <c r="D786">
        <v>3</v>
      </c>
      <c r="E786" t="str">
        <f t="shared" si="36"/>
        <v>3 AM</v>
      </c>
      <c r="F786" t="str">
        <f t="shared" si="37"/>
        <v>Night</v>
      </c>
      <c r="G786" t="b">
        <v>0</v>
      </c>
      <c r="H786">
        <v>6</v>
      </c>
      <c r="I786" t="str">
        <f>_xlfn.XLOOKUP(Append15[[#This Row],[Week day]],Mappings!$B$3:$B$9,Mappings!$C$3:$C$9)</f>
        <v>Saturday</v>
      </c>
      <c r="J786" t="str">
        <f t="shared" si="38"/>
        <v>Weekend</v>
      </c>
      <c r="K786">
        <v>2</v>
      </c>
      <c r="L786" t="str">
        <f>_xlfn.XLOOKUP(Append15[[#This Row],[WeatherSituation]],Mappings!$E$3:$E$6,Mappings!$F$3:$F$6)</f>
        <v>Mist/Cloudy</v>
      </c>
      <c r="M786">
        <v>0.24</v>
      </c>
      <c r="N786">
        <v>0.2424</v>
      </c>
      <c r="O786">
        <v>0.75</v>
      </c>
      <c r="P786">
        <v>0.16420000000000001</v>
      </c>
      <c r="Q786">
        <v>1</v>
      </c>
      <c r="R786">
        <v>10</v>
      </c>
      <c r="S786">
        <v>11</v>
      </c>
    </row>
    <row r="787" spans="1:19" x14ac:dyDescent="0.3">
      <c r="A787">
        <v>786</v>
      </c>
      <c r="B787" s="4">
        <v>40579</v>
      </c>
      <c r="C787">
        <v>2</v>
      </c>
      <c r="D787">
        <v>4</v>
      </c>
      <c r="E787" t="str">
        <f t="shared" si="36"/>
        <v>4 AM</v>
      </c>
      <c r="F787" t="str">
        <f t="shared" si="37"/>
        <v>Night</v>
      </c>
      <c r="G787" t="b">
        <v>0</v>
      </c>
      <c r="H787">
        <v>6</v>
      </c>
      <c r="I787" t="str">
        <f>_xlfn.XLOOKUP(Append15[[#This Row],[Week day]],Mappings!$B$3:$B$9,Mappings!$C$3:$C$9)</f>
        <v>Saturday</v>
      </c>
      <c r="J787" t="str">
        <f t="shared" si="38"/>
        <v>Weekend</v>
      </c>
      <c r="K787">
        <v>3</v>
      </c>
      <c r="L787" t="str">
        <f>_xlfn.XLOOKUP(Append15[[#This Row],[WeatherSituation]],Mappings!$E$3:$E$6,Mappings!$F$3:$F$6)</f>
        <v>Light Rain</v>
      </c>
      <c r="M787">
        <v>0.22</v>
      </c>
      <c r="N787">
        <v>0.2273</v>
      </c>
      <c r="O787">
        <v>0.93</v>
      </c>
      <c r="P787">
        <v>0.1343</v>
      </c>
      <c r="Q787">
        <v>0</v>
      </c>
      <c r="R787">
        <v>8</v>
      </c>
      <c r="S787">
        <v>8</v>
      </c>
    </row>
    <row r="788" spans="1:19" x14ac:dyDescent="0.3">
      <c r="A788">
        <v>787</v>
      </c>
      <c r="B788" s="4">
        <v>40579</v>
      </c>
      <c r="C788">
        <v>2</v>
      </c>
      <c r="D788">
        <v>5</v>
      </c>
      <c r="E788" t="str">
        <f t="shared" si="36"/>
        <v>5 AM</v>
      </c>
      <c r="F788" t="str">
        <f t="shared" si="37"/>
        <v>Morning</v>
      </c>
      <c r="G788" t="b">
        <v>0</v>
      </c>
      <c r="H788">
        <v>6</v>
      </c>
      <c r="I788" t="str">
        <f>_xlfn.XLOOKUP(Append15[[#This Row],[Week day]],Mappings!$B$3:$B$9,Mappings!$C$3:$C$9)</f>
        <v>Saturday</v>
      </c>
      <c r="J788" t="str">
        <f t="shared" si="38"/>
        <v>Weekend</v>
      </c>
      <c r="K788">
        <v>3</v>
      </c>
      <c r="L788" t="str">
        <f>_xlfn.XLOOKUP(Append15[[#This Row],[WeatherSituation]],Mappings!$E$3:$E$6,Mappings!$F$3:$F$6)</f>
        <v>Light Rain</v>
      </c>
      <c r="M788">
        <v>0.2</v>
      </c>
      <c r="N788">
        <v>0.2273</v>
      </c>
      <c r="O788">
        <v>1</v>
      </c>
      <c r="P788">
        <v>8.9599999999999999E-2</v>
      </c>
      <c r="Q788">
        <v>0</v>
      </c>
      <c r="R788">
        <v>9</v>
      </c>
      <c r="S788">
        <v>9</v>
      </c>
    </row>
    <row r="789" spans="1:19" x14ac:dyDescent="0.3">
      <c r="A789">
        <v>788</v>
      </c>
      <c r="B789" s="4">
        <v>40579</v>
      </c>
      <c r="C789">
        <v>2</v>
      </c>
      <c r="D789">
        <v>6</v>
      </c>
      <c r="E789" t="str">
        <f t="shared" si="36"/>
        <v>6 AM</v>
      </c>
      <c r="F789" t="str">
        <f t="shared" si="37"/>
        <v>Morning</v>
      </c>
      <c r="G789" t="b">
        <v>0</v>
      </c>
      <c r="H789">
        <v>6</v>
      </c>
      <c r="I789" t="str">
        <f>_xlfn.XLOOKUP(Append15[[#This Row],[Week day]],Mappings!$B$3:$B$9,Mappings!$C$3:$C$9)</f>
        <v>Saturday</v>
      </c>
      <c r="J789" t="str">
        <f t="shared" si="38"/>
        <v>Weekend</v>
      </c>
      <c r="K789">
        <v>3</v>
      </c>
      <c r="L789" t="str">
        <f>_xlfn.XLOOKUP(Append15[[#This Row],[WeatherSituation]],Mappings!$E$3:$E$6,Mappings!$F$3:$F$6)</f>
        <v>Light Rain</v>
      </c>
      <c r="M789">
        <v>0.2</v>
      </c>
      <c r="N789">
        <v>0.2576</v>
      </c>
      <c r="O789">
        <v>1</v>
      </c>
      <c r="P789">
        <v>0</v>
      </c>
      <c r="Q789">
        <v>0</v>
      </c>
      <c r="R789">
        <v>4</v>
      </c>
      <c r="S789">
        <v>4</v>
      </c>
    </row>
    <row r="790" spans="1:19" x14ac:dyDescent="0.3">
      <c r="A790">
        <v>789</v>
      </c>
      <c r="B790" s="4">
        <v>40579</v>
      </c>
      <c r="C790">
        <v>2</v>
      </c>
      <c r="D790">
        <v>7</v>
      </c>
      <c r="E790" t="str">
        <f t="shared" si="36"/>
        <v>7 AM</v>
      </c>
      <c r="F790" t="str">
        <f t="shared" si="37"/>
        <v>Morning</v>
      </c>
      <c r="G790" t="b">
        <v>0</v>
      </c>
      <c r="H790">
        <v>6</v>
      </c>
      <c r="I790" t="str">
        <f>_xlfn.XLOOKUP(Append15[[#This Row],[Week day]],Mappings!$B$3:$B$9,Mappings!$C$3:$C$9)</f>
        <v>Saturday</v>
      </c>
      <c r="J790" t="str">
        <f t="shared" si="38"/>
        <v>Weekend</v>
      </c>
      <c r="K790">
        <v>3</v>
      </c>
      <c r="L790" t="str">
        <f>_xlfn.XLOOKUP(Append15[[#This Row],[WeatherSituation]],Mappings!$E$3:$E$6,Mappings!$F$3:$F$6)</f>
        <v>Light Rain</v>
      </c>
      <c r="M790">
        <v>0.22</v>
      </c>
      <c r="N790">
        <v>0.2576</v>
      </c>
      <c r="O790">
        <v>0.93</v>
      </c>
      <c r="P790">
        <v>8.9599999999999999E-2</v>
      </c>
      <c r="Q790">
        <v>0</v>
      </c>
      <c r="R790">
        <v>4</v>
      </c>
      <c r="S790">
        <v>4</v>
      </c>
    </row>
    <row r="791" spans="1:19" x14ac:dyDescent="0.3">
      <c r="A791">
        <v>790</v>
      </c>
      <c r="B791" s="4">
        <v>40579</v>
      </c>
      <c r="C791">
        <v>2</v>
      </c>
      <c r="D791">
        <v>8</v>
      </c>
      <c r="E791" t="str">
        <f t="shared" si="36"/>
        <v>8 AM</v>
      </c>
      <c r="F791" t="str">
        <f t="shared" si="37"/>
        <v>Morning</v>
      </c>
      <c r="G791" t="b">
        <v>0</v>
      </c>
      <c r="H791">
        <v>6</v>
      </c>
      <c r="I791" t="str">
        <f>_xlfn.XLOOKUP(Append15[[#This Row],[Week day]],Mappings!$B$3:$B$9,Mappings!$C$3:$C$9)</f>
        <v>Saturday</v>
      </c>
      <c r="J791" t="str">
        <f t="shared" si="38"/>
        <v>Weekend</v>
      </c>
      <c r="K791">
        <v>3</v>
      </c>
      <c r="L791" t="str">
        <f>_xlfn.XLOOKUP(Append15[[#This Row],[WeatherSituation]],Mappings!$E$3:$E$6,Mappings!$F$3:$F$6)</f>
        <v>Light Rain</v>
      </c>
      <c r="M791">
        <v>0.2</v>
      </c>
      <c r="N791">
        <v>0.2273</v>
      </c>
      <c r="O791">
        <v>1</v>
      </c>
      <c r="P791">
        <v>8.9599999999999999E-2</v>
      </c>
      <c r="Q791">
        <v>0</v>
      </c>
      <c r="R791">
        <v>10</v>
      </c>
      <c r="S791">
        <v>10</v>
      </c>
    </row>
    <row r="792" spans="1:19" x14ac:dyDescent="0.3">
      <c r="A792">
        <v>791</v>
      </c>
      <c r="B792" s="4">
        <v>40579</v>
      </c>
      <c r="C792">
        <v>2</v>
      </c>
      <c r="D792">
        <v>9</v>
      </c>
      <c r="E792" t="str">
        <f t="shared" si="36"/>
        <v>9 AM</v>
      </c>
      <c r="F792" t="str">
        <f t="shared" si="37"/>
        <v>Morning</v>
      </c>
      <c r="G792" t="b">
        <v>0</v>
      </c>
      <c r="H792">
        <v>6</v>
      </c>
      <c r="I792" t="str">
        <f>_xlfn.XLOOKUP(Append15[[#This Row],[Week day]],Mappings!$B$3:$B$9,Mappings!$C$3:$C$9)</f>
        <v>Saturday</v>
      </c>
      <c r="J792" t="str">
        <f t="shared" si="38"/>
        <v>Weekend</v>
      </c>
      <c r="K792">
        <v>3</v>
      </c>
      <c r="L792" t="str">
        <f>_xlfn.XLOOKUP(Append15[[#This Row],[WeatherSituation]],Mappings!$E$3:$E$6,Mappings!$F$3:$F$6)</f>
        <v>Light Rain</v>
      </c>
      <c r="M792">
        <v>0.2</v>
      </c>
      <c r="N792">
        <v>0.2273</v>
      </c>
      <c r="O792">
        <v>1</v>
      </c>
      <c r="P792">
        <v>8.9599999999999999E-2</v>
      </c>
      <c r="Q792">
        <v>3</v>
      </c>
      <c r="R792">
        <v>17</v>
      </c>
      <c r="S792">
        <v>20</v>
      </c>
    </row>
    <row r="793" spans="1:19" x14ac:dyDescent="0.3">
      <c r="A793">
        <v>792</v>
      </c>
      <c r="B793" s="4">
        <v>40579</v>
      </c>
      <c r="C793">
        <v>2</v>
      </c>
      <c r="D793">
        <v>10</v>
      </c>
      <c r="E793" t="str">
        <f t="shared" si="36"/>
        <v>10 AM</v>
      </c>
      <c r="F793" t="str">
        <f t="shared" si="37"/>
        <v>Morning</v>
      </c>
      <c r="G793" t="b">
        <v>0</v>
      </c>
      <c r="H793">
        <v>6</v>
      </c>
      <c r="I793" t="str">
        <f>_xlfn.XLOOKUP(Append15[[#This Row],[Week day]],Mappings!$B$3:$B$9,Mappings!$C$3:$C$9)</f>
        <v>Saturday</v>
      </c>
      <c r="J793" t="str">
        <f t="shared" si="38"/>
        <v>Weekend</v>
      </c>
      <c r="K793">
        <v>3</v>
      </c>
      <c r="L793" t="str">
        <f>_xlfn.XLOOKUP(Append15[[#This Row],[WeatherSituation]],Mappings!$E$3:$E$6,Mappings!$F$3:$F$6)</f>
        <v>Light Rain</v>
      </c>
      <c r="M793">
        <v>0.2</v>
      </c>
      <c r="N793">
        <v>0.21210000000000001</v>
      </c>
      <c r="O793">
        <v>1</v>
      </c>
      <c r="P793">
        <v>0.1343</v>
      </c>
      <c r="Q793">
        <v>3</v>
      </c>
      <c r="R793">
        <v>31</v>
      </c>
      <c r="S793">
        <v>34</v>
      </c>
    </row>
    <row r="794" spans="1:19" x14ac:dyDescent="0.3">
      <c r="A794">
        <v>793</v>
      </c>
      <c r="B794" s="4">
        <v>40579</v>
      </c>
      <c r="C794">
        <v>2</v>
      </c>
      <c r="D794">
        <v>11</v>
      </c>
      <c r="E794" t="str">
        <f t="shared" si="36"/>
        <v>11 AM</v>
      </c>
      <c r="F794" t="str">
        <f t="shared" si="37"/>
        <v>Morning</v>
      </c>
      <c r="G794" t="b">
        <v>0</v>
      </c>
      <c r="H794">
        <v>6</v>
      </c>
      <c r="I794" t="str">
        <f>_xlfn.XLOOKUP(Append15[[#This Row],[Week day]],Mappings!$B$3:$B$9,Mappings!$C$3:$C$9)</f>
        <v>Saturday</v>
      </c>
      <c r="J794" t="str">
        <f t="shared" si="38"/>
        <v>Weekend</v>
      </c>
      <c r="K794">
        <v>3</v>
      </c>
      <c r="L794" t="str">
        <f>_xlfn.XLOOKUP(Append15[[#This Row],[WeatherSituation]],Mappings!$E$3:$E$6,Mappings!$F$3:$F$6)</f>
        <v>Light Rain</v>
      </c>
      <c r="M794">
        <v>0.22</v>
      </c>
      <c r="N794">
        <v>0.2273</v>
      </c>
      <c r="O794">
        <v>1</v>
      </c>
      <c r="P794">
        <v>0.1343</v>
      </c>
      <c r="Q794">
        <v>1</v>
      </c>
      <c r="R794">
        <v>46</v>
      </c>
      <c r="S794">
        <v>47</v>
      </c>
    </row>
    <row r="795" spans="1:19" x14ac:dyDescent="0.3">
      <c r="A795">
        <v>794</v>
      </c>
      <c r="B795" s="4">
        <v>40579</v>
      </c>
      <c r="C795">
        <v>2</v>
      </c>
      <c r="D795">
        <v>12</v>
      </c>
      <c r="E795" t="str">
        <f t="shared" si="36"/>
        <v>12 PM</v>
      </c>
      <c r="F795" t="str">
        <f t="shared" si="37"/>
        <v>AfterNoon</v>
      </c>
      <c r="G795" t="b">
        <v>0</v>
      </c>
      <c r="H795">
        <v>6</v>
      </c>
      <c r="I795" t="str">
        <f>_xlfn.XLOOKUP(Append15[[#This Row],[Week day]],Mappings!$B$3:$B$9,Mappings!$C$3:$C$9)</f>
        <v>Saturday</v>
      </c>
      <c r="J795" t="str">
        <f t="shared" si="38"/>
        <v>Weekend</v>
      </c>
      <c r="K795">
        <v>3</v>
      </c>
      <c r="L795" t="str">
        <f>_xlfn.XLOOKUP(Append15[[#This Row],[WeatherSituation]],Mappings!$E$3:$E$6,Mappings!$F$3:$F$6)</f>
        <v>Light Rain</v>
      </c>
      <c r="M795">
        <v>0.22</v>
      </c>
      <c r="N795">
        <v>0.2273</v>
      </c>
      <c r="O795">
        <v>1</v>
      </c>
      <c r="P795">
        <v>0.16420000000000001</v>
      </c>
      <c r="Q795">
        <v>10</v>
      </c>
      <c r="R795">
        <v>42</v>
      </c>
      <c r="S795">
        <v>52</v>
      </c>
    </row>
    <row r="796" spans="1:19" x14ac:dyDescent="0.3">
      <c r="A796">
        <v>795</v>
      </c>
      <c r="B796" s="4">
        <v>40579</v>
      </c>
      <c r="C796">
        <v>2</v>
      </c>
      <c r="D796">
        <v>13</v>
      </c>
      <c r="E796" t="str">
        <f t="shared" si="36"/>
        <v>1 PM</v>
      </c>
      <c r="F796" t="str">
        <f t="shared" si="37"/>
        <v>AfterNoon</v>
      </c>
      <c r="G796" t="b">
        <v>0</v>
      </c>
      <c r="H796">
        <v>6</v>
      </c>
      <c r="I796" t="str">
        <f>_xlfn.XLOOKUP(Append15[[#This Row],[Week day]],Mappings!$B$3:$B$9,Mappings!$C$3:$C$9)</f>
        <v>Saturday</v>
      </c>
      <c r="J796" t="str">
        <f t="shared" si="38"/>
        <v>Weekend</v>
      </c>
      <c r="K796">
        <v>3</v>
      </c>
      <c r="L796" t="str">
        <f>_xlfn.XLOOKUP(Append15[[#This Row],[WeatherSituation]],Mappings!$E$3:$E$6,Mappings!$F$3:$F$6)</f>
        <v>Light Rain</v>
      </c>
      <c r="M796">
        <v>0.22</v>
      </c>
      <c r="N796">
        <v>0.2273</v>
      </c>
      <c r="O796">
        <v>1</v>
      </c>
      <c r="P796">
        <v>0.16420000000000001</v>
      </c>
      <c r="Q796">
        <v>10</v>
      </c>
      <c r="R796">
        <v>62</v>
      </c>
      <c r="S796">
        <v>72</v>
      </c>
    </row>
    <row r="797" spans="1:19" x14ac:dyDescent="0.3">
      <c r="A797">
        <v>796</v>
      </c>
      <c r="B797" s="4">
        <v>40579</v>
      </c>
      <c r="C797">
        <v>2</v>
      </c>
      <c r="D797">
        <v>14</v>
      </c>
      <c r="E797" t="str">
        <f t="shared" si="36"/>
        <v>2 PM</v>
      </c>
      <c r="F797" t="str">
        <f t="shared" si="37"/>
        <v>AfterNoon</v>
      </c>
      <c r="G797" t="b">
        <v>0</v>
      </c>
      <c r="H797">
        <v>6</v>
      </c>
      <c r="I797" t="str">
        <f>_xlfn.XLOOKUP(Append15[[#This Row],[Week day]],Mappings!$B$3:$B$9,Mappings!$C$3:$C$9)</f>
        <v>Saturday</v>
      </c>
      <c r="J797" t="str">
        <f t="shared" si="38"/>
        <v>Weekend</v>
      </c>
      <c r="K797">
        <v>3</v>
      </c>
      <c r="L797" t="str">
        <f>_xlfn.XLOOKUP(Append15[[#This Row],[WeatherSituation]],Mappings!$E$3:$E$6,Mappings!$F$3:$F$6)</f>
        <v>Light Rain</v>
      </c>
      <c r="M797">
        <v>0.22</v>
      </c>
      <c r="N797">
        <v>0.2727</v>
      </c>
      <c r="O797">
        <v>1</v>
      </c>
      <c r="P797">
        <v>0</v>
      </c>
      <c r="Q797">
        <v>5</v>
      </c>
      <c r="R797">
        <v>50</v>
      </c>
      <c r="S797">
        <v>55</v>
      </c>
    </row>
    <row r="798" spans="1:19" x14ac:dyDescent="0.3">
      <c r="A798">
        <v>797</v>
      </c>
      <c r="B798" s="4">
        <v>40579</v>
      </c>
      <c r="C798">
        <v>2</v>
      </c>
      <c r="D798">
        <v>15</v>
      </c>
      <c r="E798" t="str">
        <f t="shared" si="36"/>
        <v>3 PM</v>
      </c>
      <c r="F798" t="str">
        <f t="shared" si="37"/>
        <v>AfterNoon</v>
      </c>
      <c r="G798" t="b">
        <v>0</v>
      </c>
      <c r="H798">
        <v>6</v>
      </c>
      <c r="I798" t="str">
        <f>_xlfn.XLOOKUP(Append15[[#This Row],[Week day]],Mappings!$B$3:$B$9,Mappings!$C$3:$C$9)</f>
        <v>Saturday</v>
      </c>
      <c r="J798" t="str">
        <f t="shared" si="38"/>
        <v>Weekend</v>
      </c>
      <c r="K798">
        <v>3</v>
      </c>
      <c r="L798" t="str">
        <f>_xlfn.XLOOKUP(Append15[[#This Row],[WeatherSituation]],Mappings!$E$3:$E$6,Mappings!$F$3:$F$6)</f>
        <v>Light Rain</v>
      </c>
      <c r="M798">
        <v>0.22</v>
      </c>
      <c r="N798">
        <v>0.2727</v>
      </c>
      <c r="O798">
        <v>1</v>
      </c>
      <c r="P798">
        <v>0</v>
      </c>
      <c r="Q798">
        <v>11</v>
      </c>
      <c r="R798">
        <v>49</v>
      </c>
      <c r="S798">
        <v>60</v>
      </c>
    </row>
    <row r="799" spans="1:19" x14ac:dyDescent="0.3">
      <c r="A799">
        <v>798</v>
      </c>
      <c r="B799" s="4">
        <v>40579</v>
      </c>
      <c r="C799">
        <v>2</v>
      </c>
      <c r="D799">
        <v>16</v>
      </c>
      <c r="E799" t="str">
        <f t="shared" si="36"/>
        <v>4 PM</v>
      </c>
      <c r="F799" t="str">
        <f t="shared" si="37"/>
        <v>Evening</v>
      </c>
      <c r="G799" t="b">
        <v>0</v>
      </c>
      <c r="H799">
        <v>6</v>
      </c>
      <c r="I799" t="str">
        <f>_xlfn.XLOOKUP(Append15[[#This Row],[Week day]],Mappings!$B$3:$B$9,Mappings!$C$3:$C$9)</f>
        <v>Saturday</v>
      </c>
      <c r="J799" t="str">
        <f t="shared" si="38"/>
        <v>Weekend</v>
      </c>
      <c r="K799">
        <v>3</v>
      </c>
      <c r="L799" t="str">
        <f>_xlfn.XLOOKUP(Append15[[#This Row],[WeatherSituation]],Mappings!$E$3:$E$6,Mappings!$F$3:$F$6)</f>
        <v>Light Rain</v>
      </c>
      <c r="M799">
        <v>0.22</v>
      </c>
      <c r="N799">
        <v>0.2273</v>
      </c>
      <c r="O799">
        <v>1</v>
      </c>
      <c r="P799">
        <v>0.1343</v>
      </c>
      <c r="Q799">
        <v>8</v>
      </c>
      <c r="R799">
        <v>63</v>
      </c>
      <c r="S799">
        <v>71</v>
      </c>
    </row>
    <row r="800" spans="1:19" x14ac:dyDescent="0.3">
      <c r="A800">
        <v>799</v>
      </c>
      <c r="B800" s="4">
        <v>40579</v>
      </c>
      <c r="C800">
        <v>2</v>
      </c>
      <c r="D800">
        <v>17</v>
      </c>
      <c r="E800" t="str">
        <f t="shared" si="36"/>
        <v>5 PM</v>
      </c>
      <c r="F800" t="str">
        <f t="shared" si="37"/>
        <v>Evening</v>
      </c>
      <c r="G800" t="b">
        <v>0</v>
      </c>
      <c r="H800">
        <v>6</v>
      </c>
      <c r="I800" t="str">
        <f>_xlfn.XLOOKUP(Append15[[#This Row],[Week day]],Mappings!$B$3:$B$9,Mappings!$C$3:$C$9)</f>
        <v>Saturday</v>
      </c>
      <c r="J800" t="str">
        <f t="shared" si="38"/>
        <v>Weekend</v>
      </c>
      <c r="K800">
        <v>2</v>
      </c>
      <c r="L800" t="str">
        <f>_xlfn.XLOOKUP(Append15[[#This Row],[WeatherSituation]],Mappings!$E$3:$E$6,Mappings!$F$3:$F$6)</f>
        <v>Mist/Cloudy</v>
      </c>
      <c r="M800">
        <v>0.24</v>
      </c>
      <c r="N800">
        <v>0.21210000000000001</v>
      </c>
      <c r="O800">
        <v>1</v>
      </c>
      <c r="P800">
        <v>0.28360000000000002</v>
      </c>
      <c r="Q800">
        <v>14</v>
      </c>
      <c r="R800">
        <v>64</v>
      </c>
      <c r="S800">
        <v>78</v>
      </c>
    </row>
    <row r="801" spans="1:19" x14ac:dyDescent="0.3">
      <c r="A801">
        <v>800</v>
      </c>
      <c r="B801" s="4">
        <v>40579</v>
      </c>
      <c r="C801">
        <v>2</v>
      </c>
      <c r="D801">
        <v>18</v>
      </c>
      <c r="E801" t="str">
        <f t="shared" si="36"/>
        <v>6 PM</v>
      </c>
      <c r="F801" t="str">
        <f t="shared" si="37"/>
        <v>Evening</v>
      </c>
      <c r="G801" t="b">
        <v>0</v>
      </c>
      <c r="H801">
        <v>6</v>
      </c>
      <c r="I801" t="str">
        <f>_xlfn.XLOOKUP(Append15[[#This Row],[Week day]],Mappings!$B$3:$B$9,Mappings!$C$3:$C$9)</f>
        <v>Saturday</v>
      </c>
      <c r="J801" t="str">
        <f t="shared" si="38"/>
        <v>Weekend</v>
      </c>
      <c r="K801">
        <v>2</v>
      </c>
      <c r="L801" t="str">
        <f>_xlfn.XLOOKUP(Append15[[#This Row],[WeatherSituation]],Mappings!$E$3:$E$6,Mappings!$F$3:$F$6)</f>
        <v>Mist/Cloudy</v>
      </c>
      <c r="M801">
        <v>0.28000000000000003</v>
      </c>
      <c r="N801">
        <v>0.2424</v>
      </c>
      <c r="O801">
        <v>0.93</v>
      </c>
      <c r="P801">
        <v>0.44779999999999998</v>
      </c>
      <c r="Q801">
        <v>2</v>
      </c>
      <c r="R801">
        <v>81</v>
      </c>
      <c r="S801">
        <v>83</v>
      </c>
    </row>
    <row r="802" spans="1:19" x14ac:dyDescent="0.3">
      <c r="A802">
        <v>801</v>
      </c>
      <c r="B802" s="4">
        <v>40579</v>
      </c>
      <c r="C802">
        <v>2</v>
      </c>
      <c r="D802">
        <v>19</v>
      </c>
      <c r="E802" t="str">
        <f t="shared" si="36"/>
        <v>7 PM</v>
      </c>
      <c r="F802" t="str">
        <f t="shared" si="37"/>
        <v>Evening</v>
      </c>
      <c r="G802" t="b">
        <v>0</v>
      </c>
      <c r="H802">
        <v>6</v>
      </c>
      <c r="I802" t="str">
        <f>_xlfn.XLOOKUP(Append15[[#This Row],[Week day]],Mappings!$B$3:$B$9,Mappings!$C$3:$C$9)</f>
        <v>Saturday</v>
      </c>
      <c r="J802" t="str">
        <f t="shared" si="38"/>
        <v>Weekend</v>
      </c>
      <c r="K802">
        <v>2</v>
      </c>
      <c r="L802" t="str">
        <f>_xlfn.XLOOKUP(Append15[[#This Row],[WeatherSituation]],Mappings!$E$3:$E$6,Mappings!$F$3:$F$6)</f>
        <v>Mist/Cloudy</v>
      </c>
      <c r="M802">
        <v>0.28000000000000003</v>
      </c>
      <c r="N802">
        <v>0.2424</v>
      </c>
      <c r="O802">
        <v>0.93</v>
      </c>
      <c r="P802">
        <v>0.44779999999999998</v>
      </c>
      <c r="Q802">
        <v>6</v>
      </c>
      <c r="R802">
        <v>78</v>
      </c>
      <c r="S802">
        <v>84</v>
      </c>
    </row>
    <row r="803" spans="1:19" x14ac:dyDescent="0.3">
      <c r="A803">
        <v>802</v>
      </c>
      <c r="B803" s="4">
        <v>40579</v>
      </c>
      <c r="C803">
        <v>2</v>
      </c>
      <c r="D803">
        <v>20</v>
      </c>
      <c r="E803" t="str">
        <f t="shared" si="36"/>
        <v>8 PM</v>
      </c>
      <c r="F803" t="str">
        <f t="shared" si="37"/>
        <v>Night</v>
      </c>
      <c r="G803" t="b">
        <v>0</v>
      </c>
      <c r="H803">
        <v>6</v>
      </c>
      <c r="I803" t="str">
        <f>_xlfn.XLOOKUP(Append15[[#This Row],[Week day]],Mappings!$B$3:$B$9,Mappings!$C$3:$C$9)</f>
        <v>Saturday</v>
      </c>
      <c r="J803" t="str">
        <f t="shared" si="38"/>
        <v>Weekend</v>
      </c>
      <c r="K803">
        <v>1</v>
      </c>
      <c r="L803" t="str">
        <f>_xlfn.XLOOKUP(Append15[[#This Row],[WeatherSituation]],Mappings!$E$3:$E$6,Mappings!$F$3:$F$6)</f>
        <v>Clear Sky</v>
      </c>
      <c r="M803">
        <v>0.3</v>
      </c>
      <c r="N803">
        <v>0.28789999999999999</v>
      </c>
      <c r="O803">
        <v>0.87</v>
      </c>
      <c r="P803">
        <v>0.25369999999999998</v>
      </c>
      <c r="Q803">
        <v>5</v>
      </c>
      <c r="R803">
        <v>64</v>
      </c>
      <c r="S803">
        <v>69</v>
      </c>
    </row>
    <row r="804" spans="1:19" x14ac:dyDescent="0.3">
      <c r="A804">
        <v>803</v>
      </c>
      <c r="B804" s="4">
        <v>40579</v>
      </c>
      <c r="C804">
        <v>2</v>
      </c>
      <c r="D804">
        <v>21</v>
      </c>
      <c r="E804" t="str">
        <f t="shared" si="36"/>
        <v>9 PM</v>
      </c>
      <c r="F804" t="str">
        <f t="shared" si="37"/>
        <v>Night</v>
      </c>
      <c r="G804" t="b">
        <v>0</v>
      </c>
      <c r="H804">
        <v>6</v>
      </c>
      <c r="I804" t="str">
        <f>_xlfn.XLOOKUP(Append15[[#This Row],[Week day]],Mappings!$B$3:$B$9,Mappings!$C$3:$C$9)</f>
        <v>Saturday</v>
      </c>
      <c r="J804" t="str">
        <f t="shared" si="38"/>
        <v>Weekend</v>
      </c>
      <c r="K804">
        <v>1</v>
      </c>
      <c r="L804" t="str">
        <f>_xlfn.XLOOKUP(Append15[[#This Row],[WeatherSituation]],Mappings!$E$3:$E$6,Mappings!$F$3:$F$6)</f>
        <v>Clear Sky</v>
      </c>
      <c r="M804">
        <v>0.26</v>
      </c>
      <c r="N804">
        <v>0.2576</v>
      </c>
      <c r="O804">
        <v>1</v>
      </c>
      <c r="P804">
        <v>0.19400000000000001</v>
      </c>
      <c r="Q804">
        <v>3</v>
      </c>
      <c r="R804">
        <v>53</v>
      </c>
      <c r="S804">
        <v>56</v>
      </c>
    </row>
    <row r="805" spans="1:19" x14ac:dyDescent="0.3">
      <c r="A805">
        <v>804</v>
      </c>
      <c r="B805" s="4">
        <v>40579</v>
      </c>
      <c r="C805">
        <v>2</v>
      </c>
      <c r="D805">
        <v>22</v>
      </c>
      <c r="E805" t="str">
        <f t="shared" si="36"/>
        <v>10 PM</v>
      </c>
      <c r="F805" t="str">
        <f t="shared" si="37"/>
        <v>Night</v>
      </c>
      <c r="G805" t="b">
        <v>0</v>
      </c>
      <c r="H805">
        <v>6</v>
      </c>
      <c r="I805" t="str">
        <f>_xlfn.XLOOKUP(Append15[[#This Row],[Week day]],Mappings!$B$3:$B$9,Mappings!$C$3:$C$9)</f>
        <v>Saturday</v>
      </c>
      <c r="J805" t="str">
        <f t="shared" si="38"/>
        <v>Weekend</v>
      </c>
      <c r="K805">
        <v>1</v>
      </c>
      <c r="L805" t="str">
        <f>_xlfn.XLOOKUP(Append15[[#This Row],[WeatherSituation]],Mappings!$E$3:$E$6,Mappings!$F$3:$F$6)</f>
        <v>Clear Sky</v>
      </c>
      <c r="M805">
        <v>0.26</v>
      </c>
      <c r="N805">
        <v>0.2727</v>
      </c>
      <c r="O805">
        <v>0.93</v>
      </c>
      <c r="P805">
        <v>0.1343</v>
      </c>
      <c r="Q805">
        <v>2</v>
      </c>
      <c r="R805">
        <v>43</v>
      </c>
      <c r="S805">
        <v>45</v>
      </c>
    </row>
    <row r="806" spans="1:19" x14ac:dyDescent="0.3">
      <c r="A806">
        <v>805</v>
      </c>
      <c r="B806" s="4">
        <v>40579</v>
      </c>
      <c r="C806">
        <v>2</v>
      </c>
      <c r="D806">
        <v>23</v>
      </c>
      <c r="E806" t="str">
        <f t="shared" si="36"/>
        <v>11 PM</v>
      </c>
      <c r="F806" t="str">
        <f t="shared" si="37"/>
        <v>Night</v>
      </c>
      <c r="G806" t="b">
        <v>0</v>
      </c>
      <c r="H806">
        <v>6</v>
      </c>
      <c r="I806" t="str">
        <f>_xlfn.XLOOKUP(Append15[[#This Row],[Week day]],Mappings!$B$3:$B$9,Mappings!$C$3:$C$9)</f>
        <v>Saturday</v>
      </c>
      <c r="J806" t="str">
        <f t="shared" si="38"/>
        <v>Weekend</v>
      </c>
      <c r="K806">
        <v>1</v>
      </c>
      <c r="L806" t="str">
        <f>_xlfn.XLOOKUP(Append15[[#This Row],[WeatherSituation]],Mappings!$E$3:$E$6,Mappings!$F$3:$F$6)</f>
        <v>Clear Sky</v>
      </c>
      <c r="M806">
        <v>0.26</v>
      </c>
      <c r="N806">
        <v>0.2576</v>
      </c>
      <c r="O806">
        <v>0.93</v>
      </c>
      <c r="P806">
        <v>0.22389999999999999</v>
      </c>
      <c r="Q806">
        <v>7</v>
      </c>
      <c r="R806">
        <v>52</v>
      </c>
      <c r="S806">
        <v>59</v>
      </c>
    </row>
    <row r="807" spans="1:19" x14ac:dyDescent="0.3">
      <c r="A807">
        <v>806</v>
      </c>
      <c r="B807" s="4">
        <v>40580</v>
      </c>
      <c r="C807">
        <v>2</v>
      </c>
      <c r="D807">
        <v>0</v>
      </c>
      <c r="E807" t="str">
        <f t="shared" si="36"/>
        <v>12 AM</v>
      </c>
      <c r="F807" t="str">
        <f t="shared" si="37"/>
        <v>Night</v>
      </c>
      <c r="G807" t="b">
        <v>0</v>
      </c>
      <c r="H807">
        <v>0</v>
      </c>
      <c r="I807" t="str">
        <f>_xlfn.XLOOKUP(Append15[[#This Row],[Week day]],Mappings!$B$3:$B$9,Mappings!$C$3:$C$9)</f>
        <v>Sunday</v>
      </c>
      <c r="J807" t="str">
        <f t="shared" si="38"/>
        <v>Weekend</v>
      </c>
      <c r="K807">
        <v>1</v>
      </c>
      <c r="L807" t="str">
        <f>_xlfn.XLOOKUP(Append15[[#This Row],[WeatherSituation]],Mappings!$E$3:$E$6,Mappings!$F$3:$F$6)</f>
        <v>Clear Sky</v>
      </c>
      <c r="M807">
        <v>0.26</v>
      </c>
      <c r="N807">
        <v>0.2576</v>
      </c>
      <c r="O807">
        <v>0.7</v>
      </c>
      <c r="P807">
        <v>0.19400000000000001</v>
      </c>
      <c r="Q807">
        <v>2</v>
      </c>
      <c r="R807">
        <v>37</v>
      </c>
      <c r="S807">
        <v>39</v>
      </c>
    </row>
    <row r="808" spans="1:19" x14ac:dyDescent="0.3">
      <c r="A808">
        <v>807</v>
      </c>
      <c r="B808" s="4">
        <v>40580</v>
      </c>
      <c r="C808">
        <v>2</v>
      </c>
      <c r="D808">
        <v>1</v>
      </c>
      <c r="E808" t="str">
        <f t="shared" si="36"/>
        <v>1 AM</v>
      </c>
      <c r="F808" t="str">
        <f t="shared" si="37"/>
        <v>Night</v>
      </c>
      <c r="G808" t="b">
        <v>0</v>
      </c>
      <c r="H808">
        <v>0</v>
      </c>
      <c r="I808" t="str">
        <f>_xlfn.XLOOKUP(Append15[[#This Row],[Week day]],Mappings!$B$3:$B$9,Mappings!$C$3:$C$9)</f>
        <v>Sunday</v>
      </c>
      <c r="J808" t="str">
        <f t="shared" si="38"/>
        <v>Weekend</v>
      </c>
      <c r="K808">
        <v>1</v>
      </c>
      <c r="L808" t="str">
        <f>_xlfn.XLOOKUP(Append15[[#This Row],[WeatherSituation]],Mappings!$E$3:$E$6,Mappings!$F$3:$F$6)</f>
        <v>Clear Sky</v>
      </c>
      <c r="M808">
        <v>0.26</v>
      </c>
      <c r="N808">
        <v>0.2273</v>
      </c>
      <c r="O808">
        <v>0.65</v>
      </c>
      <c r="P808">
        <v>0.41789999999999999</v>
      </c>
      <c r="Q808">
        <v>4</v>
      </c>
      <c r="R808">
        <v>40</v>
      </c>
      <c r="S808">
        <v>44</v>
      </c>
    </row>
    <row r="809" spans="1:19" x14ac:dyDescent="0.3">
      <c r="A809">
        <v>808</v>
      </c>
      <c r="B809" s="4">
        <v>40580</v>
      </c>
      <c r="C809">
        <v>2</v>
      </c>
      <c r="D809">
        <v>2</v>
      </c>
      <c r="E809" t="str">
        <f t="shared" si="36"/>
        <v>2 AM</v>
      </c>
      <c r="F809" t="str">
        <f t="shared" si="37"/>
        <v>Night</v>
      </c>
      <c r="G809" t="b">
        <v>0</v>
      </c>
      <c r="H809">
        <v>0</v>
      </c>
      <c r="I809" t="str">
        <f>_xlfn.XLOOKUP(Append15[[#This Row],[Week day]],Mappings!$B$3:$B$9,Mappings!$C$3:$C$9)</f>
        <v>Sunday</v>
      </c>
      <c r="J809" t="str">
        <f t="shared" si="38"/>
        <v>Weekend</v>
      </c>
      <c r="K809">
        <v>1</v>
      </c>
      <c r="L809" t="str">
        <f>_xlfn.XLOOKUP(Append15[[#This Row],[WeatherSituation]],Mappings!$E$3:$E$6,Mappings!$F$3:$F$6)</f>
        <v>Clear Sky</v>
      </c>
      <c r="M809">
        <v>0.26</v>
      </c>
      <c r="N809">
        <v>0.2273</v>
      </c>
      <c r="O809">
        <v>0.6</v>
      </c>
      <c r="P809">
        <v>0.32840000000000003</v>
      </c>
      <c r="Q809">
        <v>0</v>
      </c>
      <c r="R809">
        <v>20</v>
      </c>
      <c r="S809">
        <v>20</v>
      </c>
    </row>
    <row r="810" spans="1:19" x14ac:dyDescent="0.3">
      <c r="A810">
        <v>809</v>
      </c>
      <c r="B810" s="4">
        <v>40580</v>
      </c>
      <c r="C810">
        <v>2</v>
      </c>
      <c r="D810">
        <v>3</v>
      </c>
      <c r="E810" t="str">
        <f t="shared" si="36"/>
        <v>3 AM</v>
      </c>
      <c r="F810" t="str">
        <f t="shared" si="37"/>
        <v>Night</v>
      </c>
      <c r="G810" t="b">
        <v>0</v>
      </c>
      <c r="H810">
        <v>0</v>
      </c>
      <c r="I810" t="str">
        <f>_xlfn.XLOOKUP(Append15[[#This Row],[Week day]],Mappings!$B$3:$B$9,Mappings!$C$3:$C$9)</f>
        <v>Sunday</v>
      </c>
      <c r="J810" t="str">
        <f t="shared" si="38"/>
        <v>Weekend</v>
      </c>
      <c r="K810">
        <v>1</v>
      </c>
      <c r="L810" t="str">
        <f>_xlfn.XLOOKUP(Append15[[#This Row],[WeatherSituation]],Mappings!$E$3:$E$6,Mappings!$F$3:$F$6)</f>
        <v>Clear Sky</v>
      </c>
      <c r="M810">
        <v>0.26</v>
      </c>
      <c r="N810">
        <v>0.28789999999999999</v>
      </c>
      <c r="O810">
        <v>0.6</v>
      </c>
      <c r="P810">
        <v>8.9599999999999999E-2</v>
      </c>
      <c r="Q810">
        <v>3</v>
      </c>
      <c r="R810">
        <v>10</v>
      </c>
      <c r="S810">
        <v>13</v>
      </c>
    </row>
    <row r="811" spans="1:19" x14ac:dyDescent="0.3">
      <c r="A811">
        <v>810</v>
      </c>
      <c r="B811" s="4">
        <v>40580</v>
      </c>
      <c r="C811">
        <v>2</v>
      </c>
      <c r="D811">
        <v>4</v>
      </c>
      <c r="E811" t="str">
        <f t="shared" si="36"/>
        <v>4 AM</v>
      </c>
      <c r="F811" t="str">
        <f t="shared" si="37"/>
        <v>Night</v>
      </c>
      <c r="G811" t="b">
        <v>0</v>
      </c>
      <c r="H811">
        <v>0</v>
      </c>
      <c r="I811" t="str">
        <f>_xlfn.XLOOKUP(Append15[[#This Row],[Week day]],Mappings!$B$3:$B$9,Mappings!$C$3:$C$9)</f>
        <v>Sunday</v>
      </c>
      <c r="J811" t="str">
        <f t="shared" si="38"/>
        <v>Weekend</v>
      </c>
      <c r="K811">
        <v>1</v>
      </c>
      <c r="L811" t="str">
        <f>_xlfn.XLOOKUP(Append15[[#This Row],[WeatherSituation]],Mappings!$E$3:$E$6,Mappings!$F$3:$F$6)</f>
        <v>Clear Sky</v>
      </c>
      <c r="M811">
        <v>0.26</v>
      </c>
      <c r="N811">
        <v>0.2273</v>
      </c>
      <c r="O811">
        <v>0.6</v>
      </c>
      <c r="P811">
        <v>0.35820000000000002</v>
      </c>
      <c r="Q811">
        <v>0</v>
      </c>
      <c r="R811">
        <v>2</v>
      </c>
      <c r="S811">
        <v>2</v>
      </c>
    </row>
    <row r="812" spans="1:19" x14ac:dyDescent="0.3">
      <c r="A812">
        <v>811</v>
      </c>
      <c r="B812" s="4">
        <v>40580</v>
      </c>
      <c r="C812">
        <v>2</v>
      </c>
      <c r="D812">
        <v>5</v>
      </c>
      <c r="E812" t="str">
        <f t="shared" si="36"/>
        <v>5 AM</v>
      </c>
      <c r="F812" t="str">
        <f t="shared" si="37"/>
        <v>Morning</v>
      </c>
      <c r="G812" t="b">
        <v>0</v>
      </c>
      <c r="H812">
        <v>0</v>
      </c>
      <c r="I812" t="str">
        <f>_xlfn.XLOOKUP(Append15[[#This Row],[Week day]],Mappings!$B$3:$B$9,Mappings!$C$3:$C$9)</f>
        <v>Sunday</v>
      </c>
      <c r="J812" t="str">
        <f t="shared" si="38"/>
        <v>Weekend</v>
      </c>
      <c r="K812">
        <v>1</v>
      </c>
      <c r="L812" t="str">
        <f>_xlfn.XLOOKUP(Append15[[#This Row],[WeatherSituation]],Mappings!$E$3:$E$6,Mappings!$F$3:$F$6)</f>
        <v>Clear Sky</v>
      </c>
      <c r="M812">
        <v>0.26</v>
      </c>
      <c r="N812">
        <v>0.2576</v>
      </c>
      <c r="O812">
        <v>0.6</v>
      </c>
      <c r="P812">
        <v>0.22389999999999999</v>
      </c>
      <c r="Q812">
        <v>0</v>
      </c>
      <c r="R812">
        <v>1</v>
      </c>
      <c r="S812">
        <v>1</v>
      </c>
    </row>
    <row r="813" spans="1:19" x14ac:dyDescent="0.3">
      <c r="A813">
        <v>812</v>
      </c>
      <c r="B813" s="4">
        <v>40580</v>
      </c>
      <c r="C813">
        <v>2</v>
      </c>
      <c r="D813">
        <v>6</v>
      </c>
      <c r="E813" t="str">
        <f t="shared" si="36"/>
        <v>6 AM</v>
      </c>
      <c r="F813" t="str">
        <f t="shared" si="37"/>
        <v>Morning</v>
      </c>
      <c r="G813" t="b">
        <v>0</v>
      </c>
      <c r="H813">
        <v>0</v>
      </c>
      <c r="I813" t="str">
        <f>_xlfn.XLOOKUP(Append15[[#This Row],[Week day]],Mappings!$B$3:$B$9,Mappings!$C$3:$C$9)</f>
        <v>Sunday</v>
      </c>
      <c r="J813" t="str">
        <f t="shared" si="38"/>
        <v>Weekend</v>
      </c>
      <c r="K813">
        <v>1</v>
      </c>
      <c r="L813" t="str">
        <f>_xlfn.XLOOKUP(Append15[[#This Row],[WeatherSituation]],Mappings!$E$3:$E$6,Mappings!$F$3:$F$6)</f>
        <v>Clear Sky</v>
      </c>
      <c r="M813">
        <v>0.26</v>
      </c>
      <c r="N813">
        <v>0.2576</v>
      </c>
      <c r="O813">
        <v>0.6</v>
      </c>
      <c r="P813">
        <v>0.22389999999999999</v>
      </c>
      <c r="Q813">
        <v>0</v>
      </c>
      <c r="R813">
        <v>1</v>
      </c>
      <c r="S813">
        <v>1</v>
      </c>
    </row>
    <row r="814" spans="1:19" x14ac:dyDescent="0.3">
      <c r="A814">
        <v>813</v>
      </c>
      <c r="B814" s="4">
        <v>40580</v>
      </c>
      <c r="C814">
        <v>2</v>
      </c>
      <c r="D814">
        <v>7</v>
      </c>
      <c r="E814" t="str">
        <f t="shared" si="36"/>
        <v>7 AM</v>
      </c>
      <c r="F814" t="str">
        <f t="shared" si="37"/>
        <v>Morning</v>
      </c>
      <c r="G814" t="b">
        <v>0</v>
      </c>
      <c r="H814">
        <v>0</v>
      </c>
      <c r="I814" t="str">
        <f>_xlfn.XLOOKUP(Append15[[#This Row],[Week day]],Mappings!$B$3:$B$9,Mappings!$C$3:$C$9)</f>
        <v>Sunday</v>
      </c>
      <c r="J814" t="str">
        <f t="shared" si="38"/>
        <v>Weekend</v>
      </c>
      <c r="K814">
        <v>1</v>
      </c>
      <c r="L814" t="str">
        <f>_xlfn.XLOOKUP(Append15[[#This Row],[WeatherSituation]],Mappings!$E$3:$E$6,Mappings!$F$3:$F$6)</f>
        <v>Clear Sky</v>
      </c>
      <c r="M814">
        <v>0.24</v>
      </c>
      <c r="N814">
        <v>0.2424</v>
      </c>
      <c r="O814">
        <v>0.65</v>
      </c>
      <c r="P814">
        <v>0.16420000000000001</v>
      </c>
      <c r="Q814">
        <v>0</v>
      </c>
      <c r="R814">
        <v>8</v>
      </c>
      <c r="S814">
        <v>8</v>
      </c>
    </row>
    <row r="815" spans="1:19" x14ac:dyDescent="0.3">
      <c r="A815">
        <v>814</v>
      </c>
      <c r="B815" s="4">
        <v>40580</v>
      </c>
      <c r="C815">
        <v>2</v>
      </c>
      <c r="D815">
        <v>8</v>
      </c>
      <c r="E815" t="str">
        <f t="shared" si="36"/>
        <v>8 AM</v>
      </c>
      <c r="F815" t="str">
        <f t="shared" si="37"/>
        <v>Morning</v>
      </c>
      <c r="G815" t="b">
        <v>0</v>
      </c>
      <c r="H815">
        <v>0</v>
      </c>
      <c r="I815" t="str">
        <f>_xlfn.XLOOKUP(Append15[[#This Row],[Week day]],Mappings!$B$3:$B$9,Mappings!$C$3:$C$9)</f>
        <v>Sunday</v>
      </c>
      <c r="J815" t="str">
        <f t="shared" si="38"/>
        <v>Weekend</v>
      </c>
      <c r="K815">
        <v>1</v>
      </c>
      <c r="L815" t="str">
        <f>_xlfn.XLOOKUP(Append15[[#This Row],[WeatherSituation]],Mappings!$E$3:$E$6,Mappings!$F$3:$F$6)</f>
        <v>Clear Sky</v>
      </c>
      <c r="M815">
        <v>0.24</v>
      </c>
      <c r="N815">
        <v>0.2576</v>
      </c>
      <c r="O815">
        <v>0.65</v>
      </c>
      <c r="P815">
        <v>0.1045</v>
      </c>
      <c r="Q815">
        <v>2</v>
      </c>
      <c r="R815">
        <v>21</v>
      </c>
      <c r="S815">
        <v>23</v>
      </c>
    </row>
    <row r="816" spans="1:19" x14ac:dyDescent="0.3">
      <c r="A816">
        <v>815</v>
      </c>
      <c r="B816" s="4">
        <v>40580</v>
      </c>
      <c r="C816">
        <v>2</v>
      </c>
      <c r="D816">
        <v>9</v>
      </c>
      <c r="E816" t="str">
        <f t="shared" si="36"/>
        <v>9 AM</v>
      </c>
      <c r="F816" t="str">
        <f t="shared" si="37"/>
        <v>Morning</v>
      </c>
      <c r="G816" t="b">
        <v>0</v>
      </c>
      <c r="H816">
        <v>0</v>
      </c>
      <c r="I816" t="str">
        <f>_xlfn.XLOOKUP(Append15[[#This Row],[Week day]],Mappings!$B$3:$B$9,Mappings!$C$3:$C$9)</f>
        <v>Sunday</v>
      </c>
      <c r="J816" t="str">
        <f t="shared" si="38"/>
        <v>Weekend</v>
      </c>
      <c r="K816">
        <v>1</v>
      </c>
      <c r="L816" t="str">
        <f>_xlfn.XLOOKUP(Append15[[#This Row],[WeatherSituation]],Mappings!$E$3:$E$6,Mappings!$F$3:$F$6)</f>
        <v>Clear Sky</v>
      </c>
      <c r="M816">
        <v>0.28000000000000003</v>
      </c>
      <c r="N816">
        <v>0.28789999999999999</v>
      </c>
      <c r="O816">
        <v>0.56000000000000005</v>
      </c>
      <c r="P816">
        <v>0.1045</v>
      </c>
      <c r="Q816">
        <v>7</v>
      </c>
      <c r="R816">
        <v>38</v>
      </c>
      <c r="S816">
        <v>45</v>
      </c>
    </row>
    <row r="817" spans="1:19" x14ac:dyDescent="0.3">
      <c r="A817">
        <v>816</v>
      </c>
      <c r="B817" s="4">
        <v>40580</v>
      </c>
      <c r="C817">
        <v>2</v>
      </c>
      <c r="D817">
        <v>10</v>
      </c>
      <c r="E817" t="str">
        <f t="shared" si="36"/>
        <v>10 AM</v>
      </c>
      <c r="F817" t="str">
        <f t="shared" si="37"/>
        <v>Morning</v>
      </c>
      <c r="G817" t="b">
        <v>0</v>
      </c>
      <c r="H817">
        <v>0</v>
      </c>
      <c r="I817" t="str">
        <f>_xlfn.XLOOKUP(Append15[[#This Row],[Week day]],Mappings!$B$3:$B$9,Mappings!$C$3:$C$9)</f>
        <v>Sunday</v>
      </c>
      <c r="J817" t="str">
        <f t="shared" si="38"/>
        <v>Weekend</v>
      </c>
      <c r="K817">
        <v>1</v>
      </c>
      <c r="L817" t="str">
        <f>_xlfn.XLOOKUP(Append15[[#This Row],[WeatherSituation]],Mappings!$E$3:$E$6,Mappings!$F$3:$F$6)</f>
        <v>Clear Sky</v>
      </c>
      <c r="M817">
        <v>0.3</v>
      </c>
      <c r="N817">
        <v>0.28789999999999999</v>
      </c>
      <c r="O817">
        <v>0.52</v>
      </c>
      <c r="P817">
        <v>0.25369999999999998</v>
      </c>
      <c r="Q817">
        <v>15</v>
      </c>
      <c r="R817">
        <v>74</v>
      </c>
      <c r="S817">
        <v>89</v>
      </c>
    </row>
    <row r="818" spans="1:19" x14ac:dyDescent="0.3">
      <c r="A818">
        <v>817</v>
      </c>
      <c r="B818" s="4">
        <v>40580</v>
      </c>
      <c r="C818">
        <v>2</v>
      </c>
      <c r="D818">
        <v>11</v>
      </c>
      <c r="E818" t="str">
        <f t="shared" si="36"/>
        <v>11 AM</v>
      </c>
      <c r="F818" t="str">
        <f t="shared" si="37"/>
        <v>Morning</v>
      </c>
      <c r="G818" t="b">
        <v>0</v>
      </c>
      <c r="H818">
        <v>0</v>
      </c>
      <c r="I818" t="str">
        <f>_xlfn.XLOOKUP(Append15[[#This Row],[Week day]],Mappings!$B$3:$B$9,Mappings!$C$3:$C$9)</f>
        <v>Sunday</v>
      </c>
      <c r="J818" t="str">
        <f t="shared" si="38"/>
        <v>Weekend</v>
      </c>
      <c r="K818">
        <v>1</v>
      </c>
      <c r="L818" t="str">
        <f>_xlfn.XLOOKUP(Append15[[#This Row],[WeatherSituation]],Mappings!$E$3:$E$6,Mappings!$F$3:$F$6)</f>
        <v>Clear Sky</v>
      </c>
      <c r="M818">
        <v>0.32</v>
      </c>
      <c r="N818">
        <v>0.30299999999999999</v>
      </c>
      <c r="O818">
        <v>0.49</v>
      </c>
      <c r="P818">
        <v>0.25369999999999998</v>
      </c>
      <c r="Q818">
        <v>28</v>
      </c>
      <c r="R818">
        <v>89</v>
      </c>
      <c r="S818">
        <v>117</v>
      </c>
    </row>
    <row r="819" spans="1:19" x14ac:dyDescent="0.3">
      <c r="A819">
        <v>818</v>
      </c>
      <c r="B819" s="4">
        <v>40580</v>
      </c>
      <c r="C819">
        <v>2</v>
      </c>
      <c r="D819">
        <v>12</v>
      </c>
      <c r="E819" t="str">
        <f t="shared" si="36"/>
        <v>12 PM</v>
      </c>
      <c r="F819" t="str">
        <f t="shared" si="37"/>
        <v>AfterNoon</v>
      </c>
      <c r="G819" t="b">
        <v>0</v>
      </c>
      <c r="H819">
        <v>0</v>
      </c>
      <c r="I819" t="str">
        <f>_xlfn.XLOOKUP(Append15[[#This Row],[Week day]],Mappings!$B$3:$B$9,Mappings!$C$3:$C$9)</f>
        <v>Sunday</v>
      </c>
      <c r="J819" t="str">
        <f t="shared" si="38"/>
        <v>Weekend</v>
      </c>
      <c r="K819">
        <v>1</v>
      </c>
      <c r="L819" t="str">
        <f>_xlfn.XLOOKUP(Append15[[#This Row],[WeatherSituation]],Mappings!$E$3:$E$6,Mappings!$F$3:$F$6)</f>
        <v>Clear Sky</v>
      </c>
      <c r="M819">
        <v>0.34</v>
      </c>
      <c r="N819">
        <v>0.33329999999999999</v>
      </c>
      <c r="O819">
        <v>0.46</v>
      </c>
      <c r="P819">
        <v>0</v>
      </c>
      <c r="Q819">
        <v>48</v>
      </c>
      <c r="R819">
        <v>126</v>
      </c>
      <c r="S819">
        <v>174</v>
      </c>
    </row>
    <row r="820" spans="1:19" x14ac:dyDescent="0.3">
      <c r="A820">
        <v>819</v>
      </c>
      <c r="B820" s="4">
        <v>40580</v>
      </c>
      <c r="C820">
        <v>2</v>
      </c>
      <c r="D820">
        <v>13</v>
      </c>
      <c r="E820" t="str">
        <f t="shared" si="36"/>
        <v>1 PM</v>
      </c>
      <c r="F820" t="str">
        <f t="shared" si="37"/>
        <v>AfterNoon</v>
      </c>
      <c r="G820" t="b">
        <v>0</v>
      </c>
      <c r="H820">
        <v>0</v>
      </c>
      <c r="I820" t="str">
        <f>_xlfn.XLOOKUP(Append15[[#This Row],[Week day]],Mappings!$B$3:$B$9,Mappings!$C$3:$C$9)</f>
        <v>Sunday</v>
      </c>
      <c r="J820" t="str">
        <f t="shared" si="38"/>
        <v>Weekend</v>
      </c>
      <c r="K820">
        <v>1</v>
      </c>
      <c r="L820" t="str">
        <f>_xlfn.XLOOKUP(Append15[[#This Row],[WeatherSituation]],Mappings!$E$3:$E$6,Mappings!$F$3:$F$6)</f>
        <v>Clear Sky</v>
      </c>
      <c r="M820">
        <v>0.34</v>
      </c>
      <c r="N820">
        <v>0.36359999999999998</v>
      </c>
      <c r="O820">
        <v>0.46</v>
      </c>
      <c r="P820">
        <v>0</v>
      </c>
      <c r="Q820">
        <v>47</v>
      </c>
      <c r="R820">
        <v>135</v>
      </c>
      <c r="S820">
        <v>182</v>
      </c>
    </row>
    <row r="821" spans="1:19" x14ac:dyDescent="0.3">
      <c r="A821">
        <v>820</v>
      </c>
      <c r="B821" s="4">
        <v>40580</v>
      </c>
      <c r="C821">
        <v>2</v>
      </c>
      <c r="D821">
        <v>14</v>
      </c>
      <c r="E821" t="str">
        <f t="shared" si="36"/>
        <v>2 PM</v>
      </c>
      <c r="F821" t="str">
        <f t="shared" si="37"/>
        <v>AfterNoon</v>
      </c>
      <c r="G821" t="b">
        <v>0</v>
      </c>
      <c r="H821">
        <v>0</v>
      </c>
      <c r="I821" t="str">
        <f>_xlfn.XLOOKUP(Append15[[#This Row],[Week day]],Mappings!$B$3:$B$9,Mappings!$C$3:$C$9)</f>
        <v>Sunday</v>
      </c>
      <c r="J821" t="str">
        <f t="shared" si="38"/>
        <v>Weekend</v>
      </c>
      <c r="K821">
        <v>1</v>
      </c>
      <c r="L821" t="str">
        <f>_xlfn.XLOOKUP(Append15[[#This Row],[WeatherSituation]],Mappings!$E$3:$E$6,Mappings!$F$3:$F$6)</f>
        <v>Clear Sky</v>
      </c>
      <c r="M821">
        <v>0.34</v>
      </c>
      <c r="N821">
        <v>0.34849999999999998</v>
      </c>
      <c r="O821">
        <v>0.46</v>
      </c>
      <c r="P821">
        <v>8.9599999999999999E-2</v>
      </c>
      <c r="Q821">
        <v>47</v>
      </c>
      <c r="R821">
        <v>114</v>
      </c>
      <c r="S821">
        <v>161</v>
      </c>
    </row>
    <row r="822" spans="1:19" x14ac:dyDescent="0.3">
      <c r="A822">
        <v>821</v>
      </c>
      <c r="B822" s="4">
        <v>40580</v>
      </c>
      <c r="C822">
        <v>2</v>
      </c>
      <c r="D822">
        <v>15</v>
      </c>
      <c r="E822" t="str">
        <f t="shared" si="36"/>
        <v>3 PM</v>
      </c>
      <c r="F822" t="str">
        <f t="shared" si="37"/>
        <v>AfterNoon</v>
      </c>
      <c r="G822" t="b">
        <v>0</v>
      </c>
      <c r="H822">
        <v>0</v>
      </c>
      <c r="I822" t="str">
        <f>_xlfn.XLOOKUP(Append15[[#This Row],[Week day]],Mappings!$B$3:$B$9,Mappings!$C$3:$C$9)</f>
        <v>Sunday</v>
      </c>
      <c r="J822" t="str">
        <f t="shared" si="38"/>
        <v>Weekend</v>
      </c>
      <c r="K822">
        <v>1</v>
      </c>
      <c r="L822" t="str">
        <f>_xlfn.XLOOKUP(Append15[[#This Row],[WeatherSituation]],Mappings!$E$3:$E$6,Mappings!$F$3:$F$6)</f>
        <v>Clear Sky</v>
      </c>
      <c r="M822">
        <v>0.34</v>
      </c>
      <c r="N822">
        <v>0.34849999999999998</v>
      </c>
      <c r="O822">
        <v>0.46</v>
      </c>
      <c r="P822">
        <v>8.9599999999999999E-2</v>
      </c>
      <c r="Q822">
        <v>52</v>
      </c>
      <c r="R822">
        <v>130</v>
      </c>
      <c r="S822">
        <v>182</v>
      </c>
    </row>
    <row r="823" spans="1:19" x14ac:dyDescent="0.3">
      <c r="A823">
        <v>822</v>
      </c>
      <c r="B823" s="4">
        <v>40580</v>
      </c>
      <c r="C823">
        <v>2</v>
      </c>
      <c r="D823">
        <v>16</v>
      </c>
      <c r="E823" t="str">
        <f t="shared" si="36"/>
        <v>4 PM</v>
      </c>
      <c r="F823" t="str">
        <f t="shared" si="37"/>
        <v>Evening</v>
      </c>
      <c r="G823" t="b">
        <v>0</v>
      </c>
      <c r="H823">
        <v>0</v>
      </c>
      <c r="I823" t="str">
        <f>_xlfn.XLOOKUP(Append15[[#This Row],[Week day]],Mappings!$B$3:$B$9,Mappings!$C$3:$C$9)</f>
        <v>Sunday</v>
      </c>
      <c r="J823" t="str">
        <f t="shared" si="38"/>
        <v>Weekend</v>
      </c>
      <c r="K823">
        <v>1</v>
      </c>
      <c r="L823" t="str">
        <f>_xlfn.XLOOKUP(Append15[[#This Row],[WeatherSituation]],Mappings!$E$3:$E$6,Mappings!$F$3:$F$6)</f>
        <v>Clear Sky</v>
      </c>
      <c r="M823">
        <v>0.34</v>
      </c>
      <c r="N823">
        <v>0.34849999999999998</v>
      </c>
      <c r="O823">
        <v>0.49</v>
      </c>
      <c r="P823">
        <v>0.1045</v>
      </c>
      <c r="Q823">
        <v>42</v>
      </c>
      <c r="R823">
        <v>115</v>
      </c>
      <c r="S823">
        <v>157</v>
      </c>
    </row>
    <row r="824" spans="1:19" x14ac:dyDescent="0.3">
      <c r="A824">
        <v>823</v>
      </c>
      <c r="B824" s="4">
        <v>40580</v>
      </c>
      <c r="C824">
        <v>2</v>
      </c>
      <c r="D824">
        <v>17</v>
      </c>
      <c r="E824" t="str">
        <f t="shared" si="36"/>
        <v>5 PM</v>
      </c>
      <c r="F824" t="str">
        <f t="shared" si="37"/>
        <v>Evening</v>
      </c>
      <c r="G824" t="b">
        <v>0</v>
      </c>
      <c r="H824">
        <v>0</v>
      </c>
      <c r="I824" t="str">
        <f>_xlfn.XLOOKUP(Append15[[#This Row],[Week day]],Mappings!$B$3:$B$9,Mappings!$C$3:$C$9)</f>
        <v>Sunday</v>
      </c>
      <c r="J824" t="str">
        <f t="shared" si="38"/>
        <v>Weekend</v>
      </c>
      <c r="K824">
        <v>1</v>
      </c>
      <c r="L824" t="str">
        <f>_xlfn.XLOOKUP(Append15[[#This Row],[WeatherSituation]],Mappings!$E$3:$E$6,Mappings!$F$3:$F$6)</f>
        <v>Clear Sky</v>
      </c>
      <c r="M824">
        <v>0.34</v>
      </c>
      <c r="N824">
        <v>0.36359999999999998</v>
      </c>
      <c r="O824">
        <v>0.46</v>
      </c>
      <c r="P824">
        <v>0</v>
      </c>
      <c r="Q824">
        <v>24</v>
      </c>
      <c r="R824">
        <v>97</v>
      </c>
      <c r="S824">
        <v>121</v>
      </c>
    </row>
    <row r="825" spans="1:19" x14ac:dyDescent="0.3">
      <c r="A825">
        <v>824</v>
      </c>
      <c r="B825" s="4">
        <v>40580</v>
      </c>
      <c r="C825">
        <v>2</v>
      </c>
      <c r="D825">
        <v>18</v>
      </c>
      <c r="E825" t="str">
        <f t="shared" si="36"/>
        <v>6 PM</v>
      </c>
      <c r="F825" t="str">
        <f t="shared" si="37"/>
        <v>Evening</v>
      </c>
      <c r="G825" t="b">
        <v>0</v>
      </c>
      <c r="H825">
        <v>0</v>
      </c>
      <c r="I825" t="str">
        <f>_xlfn.XLOOKUP(Append15[[#This Row],[Week day]],Mappings!$B$3:$B$9,Mappings!$C$3:$C$9)</f>
        <v>Sunday</v>
      </c>
      <c r="J825" t="str">
        <f t="shared" si="38"/>
        <v>Weekend</v>
      </c>
      <c r="K825">
        <v>1</v>
      </c>
      <c r="L825" t="str">
        <f>_xlfn.XLOOKUP(Append15[[#This Row],[WeatherSituation]],Mappings!$E$3:$E$6,Mappings!$F$3:$F$6)</f>
        <v>Clear Sky</v>
      </c>
      <c r="M825">
        <v>0.3</v>
      </c>
      <c r="N825">
        <v>0.30299999999999999</v>
      </c>
      <c r="O825">
        <v>0.56000000000000005</v>
      </c>
      <c r="P825">
        <v>0.16420000000000001</v>
      </c>
      <c r="Q825">
        <v>13</v>
      </c>
      <c r="R825">
        <v>65</v>
      </c>
      <c r="S825">
        <v>78</v>
      </c>
    </row>
    <row r="826" spans="1:19" x14ac:dyDescent="0.3">
      <c r="A826">
        <v>825</v>
      </c>
      <c r="B826" s="4">
        <v>40580</v>
      </c>
      <c r="C826">
        <v>2</v>
      </c>
      <c r="D826">
        <v>19</v>
      </c>
      <c r="E826" t="str">
        <f t="shared" si="36"/>
        <v>7 PM</v>
      </c>
      <c r="F826" t="str">
        <f t="shared" si="37"/>
        <v>Evening</v>
      </c>
      <c r="G826" t="b">
        <v>0</v>
      </c>
      <c r="H826">
        <v>0</v>
      </c>
      <c r="I826" t="str">
        <f>_xlfn.XLOOKUP(Append15[[#This Row],[Week day]],Mappings!$B$3:$B$9,Mappings!$C$3:$C$9)</f>
        <v>Sunday</v>
      </c>
      <c r="J826" t="str">
        <f t="shared" si="38"/>
        <v>Weekend</v>
      </c>
      <c r="K826">
        <v>1</v>
      </c>
      <c r="L826" t="str">
        <f>_xlfn.XLOOKUP(Append15[[#This Row],[WeatherSituation]],Mappings!$E$3:$E$6,Mappings!$F$3:$F$6)</f>
        <v>Clear Sky</v>
      </c>
      <c r="M826">
        <v>0.28000000000000003</v>
      </c>
      <c r="N826">
        <v>0.28789999999999999</v>
      </c>
      <c r="O826">
        <v>0.61</v>
      </c>
      <c r="P826">
        <v>0.1343</v>
      </c>
      <c r="Q826">
        <v>1</v>
      </c>
      <c r="R826">
        <v>20</v>
      </c>
      <c r="S826">
        <v>21</v>
      </c>
    </row>
    <row r="827" spans="1:19" x14ac:dyDescent="0.3">
      <c r="A827">
        <v>826</v>
      </c>
      <c r="B827" s="4">
        <v>40580</v>
      </c>
      <c r="C827">
        <v>2</v>
      </c>
      <c r="D827">
        <v>20</v>
      </c>
      <c r="E827" t="str">
        <f t="shared" si="36"/>
        <v>8 PM</v>
      </c>
      <c r="F827" t="str">
        <f t="shared" si="37"/>
        <v>Night</v>
      </c>
      <c r="G827" t="b">
        <v>0</v>
      </c>
      <c r="H827">
        <v>0</v>
      </c>
      <c r="I827" t="str">
        <f>_xlfn.XLOOKUP(Append15[[#This Row],[Week day]],Mappings!$B$3:$B$9,Mappings!$C$3:$C$9)</f>
        <v>Sunday</v>
      </c>
      <c r="J827" t="str">
        <f t="shared" si="38"/>
        <v>Weekend</v>
      </c>
      <c r="K827">
        <v>1</v>
      </c>
      <c r="L827" t="str">
        <f>_xlfn.XLOOKUP(Append15[[#This Row],[WeatherSituation]],Mappings!$E$3:$E$6,Mappings!$F$3:$F$6)</f>
        <v>Clear Sky</v>
      </c>
      <c r="M827">
        <v>0.28000000000000003</v>
      </c>
      <c r="N827">
        <v>0.28789999999999999</v>
      </c>
      <c r="O827">
        <v>0.61</v>
      </c>
      <c r="P827">
        <v>0.1045</v>
      </c>
      <c r="Q827">
        <v>5</v>
      </c>
      <c r="R827">
        <v>21</v>
      </c>
      <c r="S827">
        <v>26</v>
      </c>
    </row>
    <row r="828" spans="1:19" x14ac:dyDescent="0.3">
      <c r="A828">
        <v>827</v>
      </c>
      <c r="B828" s="4">
        <v>40580</v>
      </c>
      <c r="C828">
        <v>2</v>
      </c>
      <c r="D828">
        <v>21</v>
      </c>
      <c r="E828" t="str">
        <f t="shared" si="36"/>
        <v>9 PM</v>
      </c>
      <c r="F828" t="str">
        <f t="shared" si="37"/>
        <v>Night</v>
      </c>
      <c r="G828" t="b">
        <v>0</v>
      </c>
      <c r="H828">
        <v>0</v>
      </c>
      <c r="I828" t="str">
        <f>_xlfn.XLOOKUP(Append15[[#This Row],[Week day]],Mappings!$B$3:$B$9,Mappings!$C$3:$C$9)</f>
        <v>Sunday</v>
      </c>
      <c r="J828" t="str">
        <f t="shared" si="38"/>
        <v>Weekend</v>
      </c>
      <c r="K828">
        <v>1</v>
      </c>
      <c r="L828" t="str">
        <f>_xlfn.XLOOKUP(Append15[[#This Row],[WeatherSituation]],Mappings!$E$3:$E$6,Mappings!$F$3:$F$6)</f>
        <v>Clear Sky</v>
      </c>
      <c r="M828">
        <v>0.26</v>
      </c>
      <c r="N828">
        <v>0.30299999999999999</v>
      </c>
      <c r="O828">
        <v>0.6</v>
      </c>
      <c r="P828">
        <v>0</v>
      </c>
      <c r="Q828">
        <v>5</v>
      </c>
      <c r="R828">
        <v>22</v>
      </c>
      <c r="S828">
        <v>27</v>
      </c>
    </row>
    <row r="829" spans="1:19" x14ac:dyDescent="0.3">
      <c r="A829">
        <v>828</v>
      </c>
      <c r="B829" s="4">
        <v>40580</v>
      </c>
      <c r="C829">
        <v>2</v>
      </c>
      <c r="D829">
        <v>22</v>
      </c>
      <c r="E829" t="str">
        <f t="shared" si="36"/>
        <v>10 PM</v>
      </c>
      <c r="F829" t="str">
        <f t="shared" si="37"/>
        <v>Night</v>
      </c>
      <c r="G829" t="b">
        <v>0</v>
      </c>
      <c r="H829">
        <v>0</v>
      </c>
      <c r="I829" t="str">
        <f>_xlfn.XLOOKUP(Append15[[#This Row],[Week day]],Mappings!$B$3:$B$9,Mappings!$C$3:$C$9)</f>
        <v>Sunday</v>
      </c>
      <c r="J829" t="str">
        <f t="shared" si="38"/>
        <v>Weekend</v>
      </c>
      <c r="K829">
        <v>1</v>
      </c>
      <c r="L829" t="str">
        <f>_xlfn.XLOOKUP(Append15[[#This Row],[WeatherSituation]],Mappings!$E$3:$E$6,Mappings!$F$3:$F$6)</f>
        <v>Clear Sky</v>
      </c>
      <c r="M829">
        <v>0.26</v>
      </c>
      <c r="N829">
        <v>0.30299999999999999</v>
      </c>
      <c r="O829">
        <v>0.6</v>
      </c>
      <c r="P829">
        <v>0</v>
      </c>
      <c r="Q829">
        <v>5</v>
      </c>
      <c r="R829">
        <v>57</v>
      </c>
      <c r="S829">
        <v>62</v>
      </c>
    </row>
    <row r="830" spans="1:19" x14ac:dyDescent="0.3">
      <c r="A830">
        <v>829</v>
      </c>
      <c r="B830" s="4">
        <v>40580</v>
      </c>
      <c r="C830">
        <v>2</v>
      </c>
      <c r="D830">
        <v>23</v>
      </c>
      <c r="E830" t="str">
        <f t="shared" si="36"/>
        <v>11 PM</v>
      </c>
      <c r="F830" t="str">
        <f t="shared" si="37"/>
        <v>Night</v>
      </c>
      <c r="G830" t="b">
        <v>0</v>
      </c>
      <c r="H830">
        <v>0</v>
      </c>
      <c r="I830" t="str">
        <f>_xlfn.XLOOKUP(Append15[[#This Row],[Week day]],Mappings!$B$3:$B$9,Mappings!$C$3:$C$9)</f>
        <v>Sunday</v>
      </c>
      <c r="J830" t="str">
        <f t="shared" si="38"/>
        <v>Weekend</v>
      </c>
      <c r="K830">
        <v>1</v>
      </c>
      <c r="L830" t="str">
        <f>_xlfn.XLOOKUP(Append15[[#This Row],[WeatherSituation]],Mappings!$E$3:$E$6,Mappings!$F$3:$F$6)</f>
        <v>Clear Sky</v>
      </c>
      <c r="M830">
        <v>0.24</v>
      </c>
      <c r="N830">
        <v>0.28789999999999999</v>
      </c>
      <c r="O830">
        <v>0.65</v>
      </c>
      <c r="P830">
        <v>0</v>
      </c>
      <c r="Q830">
        <v>4</v>
      </c>
      <c r="R830">
        <v>26</v>
      </c>
      <c r="S830">
        <v>30</v>
      </c>
    </row>
    <row r="831" spans="1:19" x14ac:dyDescent="0.3">
      <c r="A831">
        <v>830</v>
      </c>
      <c r="B831" s="4">
        <v>40581</v>
      </c>
      <c r="C831">
        <v>2</v>
      </c>
      <c r="D831">
        <v>0</v>
      </c>
      <c r="E831" t="str">
        <f t="shared" si="36"/>
        <v>12 AM</v>
      </c>
      <c r="F831" t="str">
        <f t="shared" si="37"/>
        <v>Night</v>
      </c>
      <c r="G831" t="b">
        <v>0</v>
      </c>
      <c r="H831">
        <v>1</v>
      </c>
      <c r="I831" t="str">
        <f>_xlfn.XLOOKUP(Append15[[#This Row],[Week day]],Mappings!$B$3:$B$9,Mappings!$C$3:$C$9)</f>
        <v>Monday</v>
      </c>
      <c r="J831" t="str">
        <f t="shared" si="38"/>
        <v>Weekday</v>
      </c>
      <c r="K831">
        <v>1</v>
      </c>
      <c r="L831" t="str">
        <f>_xlfn.XLOOKUP(Append15[[#This Row],[WeatherSituation]],Mappings!$E$3:$E$6,Mappings!$F$3:$F$6)</f>
        <v>Clear Sky</v>
      </c>
      <c r="M831">
        <v>0.24</v>
      </c>
      <c r="N831">
        <v>0.28789999999999999</v>
      </c>
      <c r="O831">
        <v>0.65</v>
      </c>
      <c r="P831">
        <v>0</v>
      </c>
      <c r="Q831">
        <v>1</v>
      </c>
      <c r="R831">
        <v>14</v>
      </c>
      <c r="S831">
        <v>15</v>
      </c>
    </row>
    <row r="832" spans="1:19" x14ac:dyDescent="0.3">
      <c r="A832">
        <v>831</v>
      </c>
      <c r="B832" s="4">
        <v>40581</v>
      </c>
      <c r="C832">
        <v>2</v>
      </c>
      <c r="D832">
        <v>1</v>
      </c>
      <c r="E832" t="str">
        <f t="shared" si="36"/>
        <v>1 AM</v>
      </c>
      <c r="F832" t="str">
        <f t="shared" si="37"/>
        <v>Night</v>
      </c>
      <c r="G832" t="b">
        <v>0</v>
      </c>
      <c r="H832">
        <v>1</v>
      </c>
      <c r="I832" t="str">
        <f>_xlfn.XLOOKUP(Append15[[#This Row],[Week day]],Mappings!$B$3:$B$9,Mappings!$C$3:$C$9)</f>
        <v>Monday</v>
      </c>
      <c r="J832" t="str">
        <f t="shared" si="38"/>
        <v>Weekday</v>
      </c>
      <c r="K832">
        <v>1</v>
      </c>
      <c r="L832" t="str">
        <f>_xlfn.XLOOKUP(Append15[[#This Row],[WeatherSituation]],Mappings!$E$3:$E$6,Mappings!$F$3:$F$6)</f>
        <v>Clear Sky</v>
      </c>
      <c r="M832">
        <v>0.22</v>
      </c>
      <c r="N832">
        <v>0.2727</v>
      </c>
      <c r="O832">
        <v>0.75</v>
      </c>
      <c r="P832">
        <v>0</v>
      </c>
      <c r="Q832">
        <v>1</v>
      </c>
      <c r="R832">
        <v>4</v>
      </c>
      <c r="S832">
        <v>5</v>
      </c>
    </row>
    <row r="833" spans="1:19" x14ac:dyDescent="0.3">
      <c r="A833">
        <v>832</v>
      </c>
      <c r="B833" s="4">
        <v>40581</v>
      </c>
      <c r="C833">
        <v>2</v>
      </c>
      <c r="D833">
        <v>2</v>
      </c>
      <c r="E833" t="str">
        <f t="shared" si="36"/>
        <v>2 AM</v>
      </c>
      <c r="F833" t="str">
        <f t="shared" si="37"/>
        <v>Night</v>
      </c>
      <c r="G833" t="b">
        <v>0</v>
      </c>
      <c r="H833">
        <v>1</v>
      </c>
      <c r="I833" t="str">
        <f>_xlfn.XLOOKUP(Append15[[#This Row],[Week day]],Mappings!$B$3:$B$9,Mappings!$C$3:$C$9)</f>
        <v>Monday</v>
      </c>
      <c r="J833" t="str">
        <f t="shared" si="38"/>
        <v>Weekday</v>
      </c>
      <c r="K833">
        <v>1</v>
      </c>
      <c r="L833" t="str">
        <f>_xlfn.XLOOKUP(Append15[[#This Row],[WeatherSituation]],Mappings!$E$3:$E$6,Mappings!$F$3:$F$6)</f>
        <v>Clear Sky</v>
      </c>
      <c r="M833">
        <v>0.2</v>
      </c>
      <c r="N833">
        <v>0.2576</v>
      </c>
      <c r="O833">
        <v>0.8</v>
      </c>
      <c r="P833">
        <v>0</v>
      </c>
      <c r="Q833">
        <v>0</v>
      </c>
      <c r="R833">
        <v>3</v>
      </c>
      <c r="S833">
        <v>3</v>
      </c>
    </row>
    <row r="834" spans="1:19" x14ac:dyDescent="0.3">
      <c r="A834">
        <v>833</v>
      </c>
      <c r="B834" s="4">
        <v>40581</v>
      </c>
      <c r="C834">
        <v>2</v>
      </c>
      <c r="D834">
        <v>3</v>
      </c>
      <c r="E834" t="str">
        <f t="shared" ref="E834:E897" si="39">TEXT(D834/24,"h AM/PM")</f>
        <v>3 AM</v>
      </c>
      <c r="F834" t="str">
        <f t="shared" ref="F834:F897" si="40">IF(D834&lt;5,"Night",
IF(D834&lt;=11,"Morning",
IF(D834&lt;16,"AfterNoon",
IF(D834&lt;20,"Evening","Night"))))</f>
        <v>Night</v>
      </c>
      <c r="G834" t="b">
        <v>0</v>
      </c>
      <c r="H834">
        <v>1</v>
      </c>
      <c r="I834" t="str">
        <f>_xlfn.XLOOKUP(Append15[[#This Row],[Week day]],Mappings!$B$3:$B$9,Mappings!$C$3:$C$9)</f>
        <v>Monday</v>
      </c>
      <c r="J834" t="str">
        <f t="shared" ref="J834:J897" si="41">IF(OR(H834=0,H834=6),"Weekend","Weekday")</f>
        <v>Weekday</v>
      </c>
      <c r="K834">
        <v>1</v>
      </c>
      <c r="L834" t="str">
        <f>_xlfn.XLOOKUP(Append15[[#This Row],[WeatherSituation]],Mappings!$E$3:$E$6,Mappings!$F$3:$F$6)</f>
        <v>Clear Sky</v>
      </c>
      <c r="M834">
        <v>0.2</v>
      </c>
      <c r="N834">
        <v>0.2576</v>
      </c>
      <c r="O834">
        <v>0.86</v>
      </c>
      <c r="P834">
        <v>0</v>
      </c>
      <c r="Q834">
        <v>0</v>
      </c>
      <c r="R834">
        <v>1</v>
      </c>
      <c r="S834">
        <v>1</v>
      </c>
    </row>
    <row r="835" spans="1:19" x14ac:dyDescent="0.3">
      <c r="A835">
        <v>834</v>
      </c>
      <c r="B835" s="4">
        <v>40581</v>
      </c>
      <c r="C835">
        <v>2</v>
      </c>
      <c r="D835">
        <v>4</v>
      </c>
      <c r="E835" t="str">
        <f t="shared" si="39"/>
        <v>4 AM</v>
      </c>
      <c r="F835" t="str">
        <f t="shared" si="40"/>
        <v>Night</v>
      </c>
      <c r="G835" t="b">
        <v>0</v>
      </c>
      <c r="H835">
        <v>1</v>
      </c>
      <c r="I835" t="str">
        <f>_xlfn.XLOOKUP(Append15[[#This Row],[Week day]],Mappings!$B$3:$B$9,Mappings!$C$3:$C$9)</f>
        <v>Monday</v>
      </c>
      <c r="J835" t="str">
        <f t="shared" si="41"/>
        <v>Weekday</v>
      </c>
      <c r="K835">
        <v>1</v>
      </c>
      <c r="L835" t="str">
        <f>_xlfn.XLOOKUP(Append15[[#This Row],[WeatherSituation]],Mappings!$E$3:$E$6,Mappings!$F$3:$F$6)</f>
        <v>Clear Sky</v>
      </c>
      <c r="M835">
        <v>0.2</v>
      </c>
      <c r="N835">
        <v>0.2576</v>
      </c>
      <c r="O835">
        <v>0.86</v>
      </c>
      <c r="P835">
        <v>0</v>
      </c>
      <c r="Q835">
        <v>1</v>
      </c>
      <c r="R835">
        <v>1</v>
      </c>
      <c r="S835">
        <v>2</v>
      </c>
    </row>
    <row r="836" spans="1:19" x14ac:dyDescent="0.3">
      <c r="A836">
        <v>835</v>
      </c>
      <c r="B836" s="4">
        <v>40581</v>
      </c>
      <c r="C836">
        <v>2</v>
      </c>
      <c r="D836">
        <v>5</v>
      </c>
      <c r="E836" t="str">
        <f t="shared" si="39"/>
        <v>5 AM</v>
      </c>
      <c r="F836" t="str">
        <f t="shared" si="40"/>
        <v>Morning</v>
      </c>
      <c r="G836" t="b">
        <v>0</v>
      </c>
      <c r="H836">
        <v>1</v>
      </c>
      <c r="I836" t="str">
        <f>_xlfn.XLOOKUP(Append15[[#This Row],[Week day]],Mappings!$B$3:$B$9,Mappings!$C$3:$C$9)</f>
        <v>Monday</v>
      </c>
      <c r="J836" t="str">
        <f t="shared" si="41"/>
        <v>Weekday</v>
      </c>
      <c r="K836">
        <v>1</v>
      </c>
      <c r="L836" t="str">
        <f>_xlfn.XLOOKUP(Append15[[#This Row],[WeatherSituation]],Mappings!$E$3:$E$6,Mappings!$F$3:$F$6)</f>
        <v>Clear Sky</v>
      </c>
      <c r="M836">
        <v>0.2</v>
      </c>
      <c r="N836">
        <v>0.2576</v>
      </c>
      <c r="O836">
        <v>0.86</v>
      </c>
      <c r="P836">
        <v>0</v>
      </c>
      <c r="Q836">
        <v>1</v>
      </c>
      <c r="R836">
        <v>9</v>
      </c>
      <c r="S836">
        <v>10</v>
      </c>
    </row>
    <row r="837" spans="1:19" x14ac:dyDescent="0.3">
      <c r="A837">
        <v>836</v>
      </c>
      <c r="B837" s="4">
        <v>40581</v>
      </c>
      <c r="C837">
        <v>2</v>
      </c>
      <c r="D837">
        <v>6</v>
      </c>
      <c r="E837" t="str">
        <f t="shared" si="39"/>
        <v>6 AM</v>
      </c>
      <c r="F837" t="str">
        <f t="shared" si="40"/>
        <v>Morning</v>
      </c>
      <c r="G837" t="b">
        <v>0</v>
      </c>
      <c r="H837">
        <v>1</v>
      </c>
      <c r="I837" t="str">
        <f>_xlfn.XLOOKUP(Append15[[#This Row],[Week day]],Mappings!$B$3:$B$9,Mappings!$C$3:$C$9)</f>
        <v>Monday</v>
      </c>
      <c r="J837" t="str">
        <f t="shared" si="41"/>
        <v>Weekday</v>
      </c>
      <c r="K837">
        <v>1</v>
      </c>
      <c r="L837" t="str">
        <f>_xlfn.XLOOKUP(Append15[[#This Row],[WeatherSituation]],Mappings!$E$3:$E$6,Mappings!$F$3:$F$6)</f>
        <v>Clear Sky</v>
      </c>
      <c r="M837">
        <v>0.18</v>
      </c>
      <c r="N837">
        <v>0.2424</v>
      </c>
      <c r="O837">
        <v>0.93</v>
      </c>
      <c r="P837">
        <v>0</v>
      </c>
      <c r="Q837">
        <v>1</v>
      </c>
      <c r="R837">
        <v>29</v>
      </c>
      <c r="S837">
        <v>30</v>
      </c>
    </row>
    <row r="838" spans="1:19" x14ac:dyDescent="0.3">
      <c r="A838">
        <v>837</v>
      </c>
      <c r="B838" s="4">
        <v>40581</v>
      </c>
      <c r="C838">
        <v>2</v>
      </c>
      <c r="D838">
        <v>7</v>
      </c>
      <c r="E838" t="str">
        <f t="shared" si="39"/>
        <v>7 AM</v>
      </c>
      <c r="F838" t="str">
        <f t="shared" si="40"/>
        <v>Morning</v>
      </c>
      <c r="G838" t="b">
        <v>0</v>
      </c>
      <c r="H838">
        <v>1</v>
      </c>
      <c r="I838" t="str">
        <f>_xlfn.XLOOKUP(Append15[[#This Row],[Week day]],Mappings!$B$3:$B$9,Mappings!$C$3:$C$9)</f>
        <v>Monday</v>
      </c>
      <c r="J838" t="str">
        <f t="shared" si="41"/>
        <v>Weekday</v>
      </c>
      <c r="K838">
        <v>1</v>
      </c>
      <c r="L838" t="str">
        <f>_xlfn.XLOOKUP(Append15[[#This Row],[WeatherSituation]],Mappings!$E$3:$E$6,Mappings!$F$3:$F$6)</f>
        <v>Clear Sky</v>
      </c>
      <c r="M838">
        <v>0.18</v>
      </c>
      <c r="N838">
        <v>0.2424</v>
      </c>
      <c r="O838">
        <v>0.86</v>
      </c>
      <c r="P838">
        <v>0</v>
      </c>
      <c r="Q838">
        <v>6</v>
      </c>
      <c r="R838">
        <v>89</v>
      </c>
      <c r="S838">
        <v>95</v>
      </c>
    </row>
    <row r="839" spans="1:19" x14ac:dyDescent="0.3">
      <c r="A839">
        <v>838</v>
      </c>
      <c r="B839" s="4">
        <v>40581</v>
      </c>
      <c r="C839">
        <v>2</v>
      </c>
      <c r="D839">
        <v>8</v>
      </c>
      <c r="E839" t="str">
        <f t="shared" si="39"/>
        <v>8 AM</v>
      </c>
      <c r="F839" t="str">
        <f t="shared" si="40"/>
        <v>Morning</v>
      </c>
      <c r="G839" t="b">
        <v>0</v>
      </c>
      <c r="H839">
        <v>1</v>
      </c>
      <c r="I839" t="str">
        <f>_xlfn.XLOOKUP(Append15[[#This Row],[Week day]],Mappings!$B$3:$B$9,Mappings!$C$3:$C$9)</f>
        <v>Monday</v>
      </c>
      <c r="J839" t="str">
        <f t="shared" si="41"/>
        <v>Weekday</v>
      </c>
      <c r="K839">
        <v>2</v>
      </c>
      <c r="L839" t="str">
        <f>_xlfn.XLOOKUP(Append15[[#This Row],[WeatherSituation]],Mappings!$E$3:$E$6,Mappings!$F$3:$F$6)</f>
        <v>Mist/Cloudy</v>
      </c>
      <c r="M839">
        <v>0.16</v>
      </c>
      <c r="N839">
        <v>0.2273</v>
      </c>
      <c r="O839">
        <v>1</v>
      </c>
      <c r="P839">
        <v>0</v>
      </c>
      <c r="Q839">
        <v>7</v>
      </c>
      <c r="R839">
        <v>223</v>
      </c>
      <c r="S839">
        <v>230</v>
      </c>
    </row>
    <row r="840" spans="1:19" x14ac:dyDescent="0.3">
      <c r="A840">
        <v>839</v>
      </c>
      <c r="B840" s="4">
        <v>40581</v>
      </c>
      <c r="C840">
        <v>2</v>
      </c>
      <c r="D840">
        <v>9</v>
      </c>
      <c r="E840" t="str">
        <f t="shared" si="39"/>
        <v>9 AM</v>
      </c>
      <c r="F840" t="str">
        <f t="shared" si="40"/>
        <v>Morning</v>
      </c>
      <c r="G840" t="b">
        <v>0</v>
      </c>
      <c r="H840">
        <v>1</v>
      </c>
      <c r="I840" t="str">
        <f>_xlfn.XLOOKUP(Append15[[#This Row],[Week day]],Mappings!$B$3:$B$9,Mappings!$C$3:$C$9)</f>
        <v>Monday</v>
      </c>
      <c r="J840" t="str">
        <f t="shared" si="41"/>
        <v>Weekday</v>
      </c>
      <c r="K840">
        <v>1</v>
      </c>
      <c r="L840" t="str">
        <f>_xlfn.XLOOKUP(Append15[[#This Row],[WeatherSituation]],Mappings!$E$3:$E$6,Mappings!$F$3:$F$6)</f>
        <v>Clear Sky</v>
      </c>
      <c r="M840">
        <v>0.22</v>
      </c>
      <c r="N840">
        <v>0.2727</v>
      </c>
      <c r="O840">
        <v>0.8</v>
      </c>
      <c r="P840">
        <v>0</v>
      </c>
      <c r="Q840">
        <v>3</v>
      </c>
      <c r="R840">
        <v>115</v>
      </c>
      <c r="S840">
        <v>118</v>
      </c>
    </row>
    <row r="841" spans="1:19" x14ac:dyDescent="0.3">
      <c r="A841">
        <v>840</v>
      </c>
      <c r="B841" s="4">
        <v>40581</v>
      </c>
      <c r="C841">
        <v>2</v>
      </c>
      <c r="D841">
        <v>10</v>
      </c>
      <c r="E841" t="str">
        <f t="shared" si="39"/>
        <v>10 AM</v>
      </c>
      <c r="F841" t="str">
        <f t="shared" si="40"/>
        <v>Morning</v>
      </c>
      <c r="G841" t="b">
        <v>0</v>
      </c>
      <c r="H841">
        <v>1</v>
      </c>
      <c r="I841" t="str">
        <f>_xlfn.XLOOKUP(Append15[[#This Row],[Week day]],Mappings!$B$3:$B$9,Mappings!$C$3:$C$9)</f>
        <v>Monday</v>
      </c>
      <c r="J841" t="str">
        <f t="shared" si="41"/>
        <v>Weekday</v>
      </c>
      <c r="K841">
        <v>1</v>
      </c>
      <c r="L841" t="str">
        <f>_xlfn.XLOOKUP(Append15[[#This Row],[WeatherSituation]],Mappings!$E$3:$E$6,Mappings!$F$3:$F$6)</f>
        <v>Clear Sky</v>
      </c>
      <c r="M841">
        <v>0.24</v>
      </c>
      <c r="N841">
        <v>0.2576</v>
      </c>
      <c r="O841">
        <v>0.75</v>
      </c>
      <c r="P841">
        <v>0.1045</v>
      </c>
      <c r="Q841">
        <v>6</v>
      </c>
      <c r="R841">
        <v>49</v>
      </c>
      <c r="S841">
        <v>55</v>
      </c>
    </row>
    <row r="842" spans="1:19" x14ac:dyDescent="0.3">
      <c r="A842">
        <v>841</v>
      </c>
      <c r="B842" s="4">
        <v>40581</v>
      </c>
      <c r="C842">
        <v>2</v>
      </c>
      <c r="D842">
        <v>11</v>
      </c>
      <c r="E842" t="str">
        <f t="shared" si="39"/>
        <v>11 AM</v>
      </c>
      <c r="F842" t="str">
        <f t="shared" si="40"/>
        <v>Morning</v>
      </c>
      <c r="G842" t="b">
        <v>0</v>
      </c>
      <c r="H842">
        <v>1</v>
      </c>
      <c r="I842" t="str">
        <f>_xlfn.XLOOKUP(Append15[[#This Row],[Week day]],Mappings!$B$3:$B$9,Mappings!$C$3:$C$9)</f>
        <v>Monday</v>
      </c>
      <c r="J842" t="str">
        <f t="shared" si="41"/>
        <v>Weekday</v>
      </c>
      <c r="K842">
        <v>1</v>
      </c>
      <c r="L842" t="str">
        <f>_xlfn.XLOOKUP(Append15[[#This Row],[WeatherSituation]],Mappings!$E$3:$E$6,Mappings!$F$3:$F$6)</f>
        <v>Clear Sky</v>
      </c>
      <c r="M842">
        <v>0.3</v>
      </c>
      <c r="N842">
        <v>0.31819999999999998</v>
      </c>
      <c r="O842">
        <v>0.65</v>
      </c>
      <c r="P842">
        <v>8.9599999999999999E-2</v>
      </c>
      <c r="Q842">
        <v>11</v>
      </c>
      <c r="R842">
        <v>36</v>
      </c>
      <c r="S842">
        <v>47</v>
      </c>
    </row>
    <row r="843" spans="1:19" x14ac:dyDescent="0.3">
      <c r="A843">
        <v>842</v>
      </c>
      <c r="B843" s="4">
        <v>40581</v>
      </c>
      <c r="C843">
        <v>2</v>
      </c>
      <c r="D843">
        <v>12</v>
      </c>
      <c r="E843" t="str">
        <f t="shared" si="39"/>
        <v>12 PM</v>
      </c>
      <c r="F843" t="str">
        <f t="shared" si="40"/>
        <v>AfterNoon</v>
      </c>
      <c r="G843" t="b">
        <v>0</v>
      </c>
      <c r="H843">
        <v>1</v>
      </c>
      <c r="I843" t="str">
        <f>_xlfn.XLOOKUP(Append15[[#This Row],[Week day]],Mappings!$B$3:$B$9,Mappings!$C$3:$C$9)</f>
        <v>Monday</v>
      </c>
      <c r="J843" t="str">
        <f t="shared" si="41"/>
        <v>Weekday</v>
      </c>
      <c r="K843">
        <v>2</v>
      </c>
      <c r="L843" t="str">
        <f>_xlfn.XLOOKUP(Append15[[#This Row],[WeatherSituation]],Mappings!$E$3:$E$6,Mappings!$F$3:$F$6)</f>
        <v>Mist/Cloudy</v>
      </c>
      <c r="M843">
        <v>0.32</v>
      </c>
      <c r="N843">
        <v>0.34849999999999998</v>
      </c>
      <c r="O843">
        <v>0.62</v>
      </c>
      <c r="P843">
        <v>0</v>
      </c>
      <c r="Q843">
        <v>7</v>
      </c>
      <c r="R843">
        <v>59</v>
      </c>
      <c r="S843">
        <v>66</v>
      </c>
    </row>
    <row r="844" spans="1:19" x14ac:dyDescent="0.3">
      <c r="A844">
        <v>843</v>
      </c>
      <c r="B844" s="4">
        <v>40581</v>
      </c>
      <c r="C844">
        <v>2</v>
      </c>
      <c r="D844">
        <v>13</v>
      </c>
      <c r="E844" t="str">
        <f t="shared" si="39"/>
        <v>1 PM</v>
      </c>
      <c r="F844" t="str">
        <f t="shared" si="40"/>
        <v>AfterNoon</v>
      </c>
      <c r="G844" t="b">
        <v>0</v>
      </c>
      <c r="H844">
        <v>1</v>
      </c>
      <c r="I844" t="str">
        <f>_xlfn.XLOOKUP(Append15[[#This Row],[Week day]],Mappings!$B$3:$B$9,Mappings!$C$3:$C$9)</f>
        <v>Monday</v>
      </c>
      <c r="J844" t="str">
        <f t="shared" si="41"/>
        <v>Weekday</v>
      </c>
      <c r="K844">
        <v>2</v>
      </c>
      <c r="L844" t="str">
        <f>_xlfn.XLOOKUP(Append15[[#This Row],[WeatherSituation]],Mappings!$E$3:$E$6,Mappings!$F$3:$F$6)</f>
        <v>Mist/Cloudy</v>
      </c>
      <c r="M844">
        <v>0.36</v>
      </c>
      <c r="N844">
        <v>0.36359999999999998</v>
      </c>
      <c r="O844">
        <v>0.56999999999999995</v>
      </c>
      <c r="P844">
        <v>8.9599999999999999E-2</v>
      </c>
      <c r="Q844">
        <v>10</v>
      </c>
      <c r="R844">
        <v>54</v>
      </c>
      <c r="S844">
        <v>64</v>
      </c>
    </row>
    <row r="845" spans="1:19" x14ac:dyDescent="0.3">
      <c r="A845">
        <v>844</v>
      </c>
      <c r="B845" s="4">
        <v>40581</v>
      </c>
      <c r="C845">
        <v>2</v>
      </c>
      <c r="D845">
        <v>14</v>
      </c>
      <c r="E845" t="str">
        <f t="shared" si="39"/>
        <v>2 PM</v>
      </c>
      <c r="F845" t="str">
        <f t="shared" si="40"/>
        <v>AfterNoon</v>
      </c>
      <c r="G845" t="b">
        <v>0</v>
      </c>
      <c r="H845">
        <v>1</v>
      </c>
      <c r="I845" t="str">
        <f>_xlfn.XLOOKUP(Append15[[#This Row],[Week day]],Mappings!$B$3:$B$9,Mappings!$C$3:$C$9)</f>
        <v>Monday</v>
      </c>
      <c r="J845" t="str">
        <f t="shared" si="41"/>
        <v>Weekday</v>
      </c>
      <c r="K845">
        <v>2</v>
      </c>
      <c r="L845" t="str">
        <f>_xlfn.XLOOKUP(Append15[[#This Row],[WeatherSituation]],Mappings!$E$3:$E$6,Mappings!$F$3:$F$6)</f>
        <v>Mist/Cloudy</v>
      </c>
      <c r="M845">
        <v>0.36</v>
      </c>
      <c r="N845">
        <v>0.36359999999999998</v>
      </c>
      <c r="O845">
        <v>0.56999999999999995</v>
      </c>
      <c r="P845">
        <v>8.9599999999999999E-2</v>
      </c>
      <c r="Q845">
        <v>8</v>
      </c>
      <c r="R845">
        <v>52</v>
      </c>
      <c r="S845">
        <v>60</v>
      </c>
    </row>
    <row r="846" spans="1:19" x14ac:dyDescent="0.3">
      <c r="A846">
        <v>845</v>
      </c>
      <c r="B846" s="4">
        <v>40581</v>
      </c>
      <c r="C846">
        <v>2</v>
      </c>
      <c r="D846">
        <v>15</v>
      </c>
      <c r="E846" t="str">
        <f t="shared" si="39"/>
        <v>3 PM</v>
      </c>
      <c r="F846" t="str">
        <f t="shared" si="40"/>
        <v>AfterNoon</v>
      </c>
      <c r="G846" t="b">
        <v>0</v>
      </c>
      <c r="H846">
        <v>1</v>
      </c>
      <c r="I846" t="str">
        <f>_xlfn.XLOOKUP(Append15[[#This Row],[Week day]],Mappings!$B$3:$B$9,Mappings!$C$3:$C$9)</f>
        <v>Monday</v>
      </c>
      <c r="J846" t="str">
        <f t="shared" si="41"/>
        <v>Weekday</v>
      </c>
      <c r="K846">
        <v>2</v>
      </c>
      <c r="L846" t="str">
        <f>_xlfn.XLOOKUP(Append15[[#This Row],[WeatherSituation]],Mappings!$E$3:$E$6,Mappings!$F$3:$F$6)</f>
        <v>Mist/Cloudy</v>
      </c>
      <c r="M846">
        <v>0.38</v>
      </c>
      <c r="N846">
        <v>0.39389999999999997</v>
      </c>
      <c r="O846">
        <v>0.54</v>
      </c>
      <c r="P846">
        <v>8.9599999999999999E-2</v>
      </c>
      <c r="Q846">
        <v>4</v>
      </c>
      <c r="R846">
        <v>46</v>
      </c>
      <c r="S846">
        <v>50</v>
      </c>
    </row>
    <row r="847" spans="1:19" x14ac:dyDescent="0.3">
      <c r="A847">
        <v>846</v>
      </c>
      <c r="B847" s="4">
        <v>40581</v>
      </c>
      <c r="C847">
        <v>2</v>
      </c>
      <c r="D847">
        <v>16</v>
      </c>
      <c r="E847" t="str">
        <f t="shared" si="39"/>
        <v>4 PM</v>
      </c>
      <c r="F847" t="str">
        <f t="shared" si="40"/>
        <v>Evening</v>
      </c>
      <c r="G847" t="b">
        <v>0</v>
      </c>
      <c r="H847">
        <v>1</v>
      </c>
      <c r="I847" t="str">
        <f>_xlfn.XLOOKUP(Append15[[#This Row],[Week day]],Mappings!$B$3:$B$9,Mappings!$C$3:$C$9)</f>
        <v>Monday</v>
      </c>
      <c r="J847" t="str">
        <f t="shared" si="41"/>
        <v>Weekday</v>
      </c>
      <c r="K847">
        <v>2</v>
      </c>
      <c r="L847" t="str">
        <f>_xlfn.XLOOKUP(Append15[[#This Row],[WeatherSituation]],Mappings!$E$3:$E$6,Mappings!$F$3:$F$6)</f>
        <v>Mist/Cloudy</v>
      </c>
      <c r="M847">
        <v>0.36</v>
      </c>
      <c r="N847">
        <v>0.34849999999999998</v>
      </c>
      <c r="O847">
        <v>0.56999999999999995</v>
      </c>
      <c r="P847">
        <v>0.1343</v>
      </c>
      <c r="Q847">
        <v>16</v>
      </c>
      <c r="R847">
        <v>98</v>
      </c>
      <c r="S847">
        <v>114</v>
      </c>
    </row>
    <row r="848" spans="1:19" x14ac:dyDescent="0.3">
      <c r="A848">
        <v>847</v>
      </c>
      <c r="B848" s="4">
        <v>40581</v>
      </c>
      <c r="C848">
        <v>2</v>
      </c>
      <c r="D848">
        <v>17</v>
      </c>
      <c r="E848" t="str">
        <f t="shared" si="39"/>
        <v>5 PM</v>
      </c>
      <c r="F848" t="str">
        <f t="shared" si="40"/>
        <v>Evening</v>
      </c>
      <c r="G848" t="b">
        <v>0</v>
      </c>
      <c r="H848">
        <v>1</v>
      </c>
      <c r="I848" t="str">
        <f>_xlfn.XLOOKUP(Append15[[#This Row],[Week day]],Mappings!$B$3:$B$9,Mappings!$C$3:$C$9)</f>
        <v>Monday</v>
      </c>
      <c r="J848" t="str">
        <f t="shared" si="41"/>
        <v>Weekday</v>
      </c>
      <c r="K848">
        <v>2</v>
      </c>
      <c r="L848" t="str">
        <f>_xlfn.XLOOKUP(Append15[[#This Row],[WeatherSituation]],Mappings!$E$3:$E$6,Mappings!$F$3:$F$6)</f>
        <v>Mist/Cloudy</v>
      </c>
      <c r="M848">
        <v>0.32</v>
      </c>
      <c r="N848">
        <v>0.31819999999999998</v>
      </c>
      <c r="O848">
        <v>0.7</v>
      </c>
      <c r="P848">
        <v>0.16420000000000001</v>
      </c>
      <c r="Q848">
        <v>9</v>
      </c>
      <c r="R848">
        <v>207</v>
      </c>
      <c r="S848">
        <v>216</v>
      </c>
    </row>
    <row r="849" spans="1:19" x14ac:dyDescent="0.3">
      <c r="A849">
        <v>848</v>
      </c>
      <c r="B849" s="4">
        <v>40581</v>
      </c>
      <c r="C849">
        <v>2</v>
      </c>
      <c r="D849">
        <v>18</v>
      </c>
      <c r="E849" t="str">
        <f t="shared" si="39"/>
        <v>6 PM</v>
      </c>
      <c r="F849" t="str">
        <f t="shared" si="40"/>
        <v>Evening</v>
      </c>
      <c r="G849" t="b">
        <v>0</v>
      </c>
      <c r="H849">
        <v>1</v>
      </c>
      <c r="I849" t="str">
        <f>_xlfn.XLOOKUP(Append15[[#This Row],[Week day]],Mappings!$B$3:$B$9,Mappings!$C$3:$C$9)</f>
        <v>Monday</v>
      </c>
      <c r="J849" t="str">
        <f t="shared" si="41"/>
        <v>Weekday</v>
      </c>
      <c r="K849">
        <v>2</v>
      </c>
      <c r="L849" t="str">
        <f>_xlfn.XLOOKUP(Append15[[#This Row],[WeatherSituation]],Mappings!$E$3:$E$6,Mappings!$F$3:$F$6)</f>
        <v>Mist/Cloudy</v>
      </c>
      <c r="M849">
        <v>0.34</v>
      </c>
      <c r="N849">
        <v>0.33329999999999999</v>
      </c>
      <c r="O849">
        <v>0.66</v>
      </c>
      <c r="P849">
        <v>0.1343</v>
      </c>
      <c r="Q849">
        <v>5</v>
      </c>
      <c r="R849">
        <v>170</v>
      </c>
      <c r="S849">
        <v>175</v>
      </c>
    </row>
    <row r="850" spans="1:19" x14ac:dyDescent="0.3">
      <c r="A850">
        <v>849</v>
      </c>
      <c r="B850" s="4">
        <v>40581</v>
      </c>
      <c r="C850">
        <v>2</v>
      </c>
      <c r="D850">
        <v>19</v>
      </c>
      <c r="E850" t="str">
        <f t="shared" si="39"/>
        <v>7 PM</v>
      </c>
      <c r="F850" t="str">
        <f t="shared" si="40"/>
        <v>Evening</v>
      </c>
      <c r="G850" t="b">
        <v>0</v>
      </c>
      <c r="H850">
        <v>1</v>
      </c>
      <c r="I850" t="str">
        <f>_xlfn.XLOOKUP(Append15[[#This Row],[Week day]],Mappings!$B$3:$B$9,Mappings!$C$3:$C$9)</f>
        <v>Monday</v>
      </c>
      <c r="J850" t="str">
        <f t="shared" si="41"/>
        <v>Weekday</v>
      </c>
      <c r="K850">
        <v>2</v>
      </c>
      <c r="L850" t="str">
        <f>_xlfn.XLOOKUP(Append15[[#This Row],[WeatherSituation]],Mappings!$E$3:$E$6,Mappings!$F$3:$F$6)</f>
        <v>Mist/Cloudy</v>
      </c>
      <c r="M850">
        <v>0.32</v>
      </c>
      <c r="N850">
        <v>0.34849999999999998</v>
      </c>
      <c r="O850">
        <v>0.7</v>
      </c>
      <c r="P850">
        <v>0</v>
      </c>
      <c r="Q850">
        <v>5</v>
      </c>
      <c r="R850">
        <v>123</v>
      </c>
      <c r="S850">
        <v>128</v>
      </c>
    </row>
    <row r="851" spans="1:19" x14ac:dyDescent="0.3">
      <c r="A851">
        <v>850</v>
      </c>
      <c r="B851" s="4">
        <v>40581</v>
      </c>
      <c r="C851">
        <v>2</v>
      </c>
      <c r="D851">
        <v>20</v>
      </c>
      <c r="E851" t="str">
        <f t="shared" si="39"/>
        <v>8 PM</v>
      </c>
      <c r="F851" t="str">
        <f t="shared" si="40"/>
        <v>Night</v>
      </c>
      <c r="G851" t="b">
        <v>0</v>
      </c>
      <c r="H851">
        <v>1</v>
      </c>
      <c r="I851" t="str">
        <f>_xlfn.XLOOKUP(Append15[[#This Row],[Week day]],Mappings!$B$3:$B$9,Mappings!$C$3:$C$9)</f>
        <v>Monday</v>
      </c>
      <c r="J851" t="str">
        <f t="shared" si="41"/>
        <v>Weekday</v>
      </c>
      <c r="K851">
        <v>2</v>
      </c>
      <c r="L851" t="str">
        <f>_xlfn.XLOOKUP(Append15[[#This Row],[WeatherSituation]],Mappings!$E$3:$E$6,Mappings!$F$3:$F$6)</f>
        <v>Mist/Cloudy</v>
      </c>
      <c r="M851">
        <v>0.32</v>
      </c>
      <c r="N851">
        <v>0.33329999999999999</v>
      </c>
      <c r="O851">
        <v>0.7</v>
      </c>
      <c r="P851">
        <v>0.1045</v>
      </c>
      <c r="Q851">
        <v>6</v>
      </c>
      <c r="R851">
        <v>82</v>
      </c>
      <c r="S851">
        <v>88</v>
      </c>
    </row>
    <row r="852" spans="1:19" x14ac:dyDescent="0.3">
      <c r="A852">
        <v>851</v>
      </c>
      <c r="B852" s="4">
        <v>40581</v>
      </c>
      <c r="C852">
        <v>2</v>
      </c>
      <c r="D852">
        <v>21</v>
      </c>
      <c r="E852" t="str">
        <f t="shared" si="39"/>
        <v>9 PM</v>
      </c>
      <c r="F852" t="str">
        <f t="shared" si="40"/>
        <v>Night</v>
      </c>
      <c r="G852" t="b">
        <v>0</v>
      </c>
      <c r="H852">
        <v>1</v>
      </c>
      <c r="I852" t="str">
        <f>_xlfn.XLOOKUP(Append15[[#This Row],[Week day]],Mappings!$B$3:$B$9,Mappings!$C$3:$C$9)</f>
        <v>Monday</v>
      </c>
      <c r="J852" t="str">
        <f t="shared" si="41"/>
        <v>Weekday</v>
      </c>
      <c r="K852">
        <v>1</v>
      </c>
      <c r="L852" t="str">
        <f>_xlfn.XLOOKUP(Append15[[#This Row],[WeatherSituation]],Mappings!$E$3:$E$6,Mappings!$F$3:$F$6)</f>
        <v>Clear Sky</v>
      </c>
      <c r="M852">
        <v>0.32</v>
      </c>
      <c r="N852">
        <v>0.34849999999999998</v>
      </c>
      <c r="O852">
        <v>0.7</v>
      </c>
      <c r="P852">
        <v>0</v>
      </c>
      <c r="Q852">
        <v>3</v>
      </c>
      <c r="R852">
        <v>75</v>
      </c>
      <c r="S852">
        <v>78</v>
      </c>
    </row>
    <row r="853" spans="1:19" x14ac:dyDescent="0.3">
      <c r="A853">
        <v>852</v>
      </c>
      <c r="B853" s="4">
        <v>40581</v>
      </c>
      <c r="C853">
        <v>2</v>
      </c>
      <c r="D853">
        <v>22</v>
      </c>
      <c r="E853" t="str">
        <f t="shared" si="39"/>
        <v>10 PM</v>
      </c>
      <c r="F853" t="str">
        <f t="shared" si="40"/>
        <v>Night</v>
      </c>
      <c r="G853" t="b">
        <v>0</v>
      </c>
      <c r="H853">
        <v>1</v>
      </c>
      <c r="I853" t="str">
        <f>_xlfn.XLOOKUP(Append15[[#This Row],[Week day]],Mappings!$B$3:$B$9,Mappings!$C$3:$C$9)</f>
        <v>Monday</v>
      </c>
      <c r="J853" t="str">
        <f t="shared" si="41"/>
        <v>Weekday</v>
      </c>
      <c r="K853">
        <v>1</v>
      </c>
      <c r="L853" t="str">
        <f>_xlfn.XLOOKUP(Append15[[#This Row],[WeatherSituation]],Mappings!$E$3:$E$6,Mappings!$F$3:$F$6)</f>
        <v>Clear Sky</v>
      </c>
      <c r="M853">
        <v>0.28000000000000003</v>
      </c>
      <c r="N853">
        <v>0.30299999999999999</v>
      </c>
      <c r="O853">
        <v>0.81</v>
      </c>
      <c r="P853">
        <v>8.9599999999999999E-2</v>
      </c>
      <c r="Q853">
        <v>3</v>
      </c>
      <c r="R853">
        <v>34</v>
      </c>
      <c r="S853">
        <v>37</v>
      </c>
    </row>
    <row r="854" spans="1:19" x14ac:dyDescent="0.3">
      <c r="A854">
        <v>853</v>
      </c>
      <c r="B854" s="4">
        <v>40581</v>
      </c>
      <c r="C854">
        <v>2</v>
      </c>
      <c r="D854">
        <v>23</v>
      </c>
      <c r="E854" t="str">
        <f t="shared" si="39"/>
        <v>11 PM</v>
      </c>
      <c r="F854" t="str">
        <f t="shared" si="40"/>
        <v>Night</v>
      </c>
      <c r="G854" t="b">
        <v>0</v>
      </c>
      <c r="H854">
        <v>1</v>
      </c>
      <c r="I854" t="str">
        <f>_xlfn.XLOOKUP(Append15[[#This Row],[Week day]],Mappings!$B$3:$B$9,Mappings!$C$3:$C$9)</f>
        <v>Monday</v>
      </c>
      <c r="J854" t="str">
        <f t="shared" si="41"/>
        <v>Weekday</v>
      </c>
      <c r="K854">
        <v>2</v>
      </c>
      <c r="L854" t="str">
        <f>_xlfn.XLOOKUP(Append15[[#This Row],[WeatherSituation]],Mappings!$E$3:$E$6,Mappings!$F$3:$F$6)</f>
        <v>Mist/Cloudy</v>
      </c>
      <c r="M854">
        <v>0.3</v>
      </c>
      <c r="N854">
        <v>0.33329999999999999</v>
      </c>
      <c r="O854">
        <v>0.81</v>
      </c>
      <c r="P854">
        <v>0</v>
      </c>
      <c r="Q854">
        <v>6</v>
      </c>
      <c r="R854">
        <v>19</v>
      </c>
      <c r="S854">
        <v>25</v>
      </c>
    </row>
    <row r="855" spans="1:19" x14ac:dyDescent="0.3">
      <c r="A855">
        <v>854</v>
      </c>
      <c r="B855" s="4">
        <v>40582</v>
      </c>
      <c r="C855">
        <v>2</v>
      </c>
      <c r="D855">
        <v>0</v>
      </c>
      <c r="E855" t="str">
        <f t="shared" si="39"/>
        <v>12 AM</v>
      </c>
      <c r="F855" t="str">
        <f t="shared" si="40"/>
        <v>Night</v>
      </c>
      <c r="G855" t="b">
        <v>0</v>
      </c>
      <c r="H855">
        <v>2</v>
      </c>
      <c r="I855" t="str">
        <f>_xlfn.XLOOKUP(Append15[[#This Row],[Week day]],Mappings!$B$3:$B$9,Mappings!$C$3:$C$9)</f>
        <v>Tuesday</v>
      </c>
      <c r="J855" t="str">
        <f t="shared" si="41"/>
        <v>Weekday</v>
      </c>
      <c r="K855">
        <v>2</v>
      </c>
      <c r="L855" t="str">
        <f>_xlfn.XLOOKUP(Append15[[#This Row],[WeatherSituation]],Mappings!$E$3:$E$6,Mappings!$F$3:$F$6)</f>
        <v>Mist/Cloudy</v>
      </c>
      <c r="M855">
        <v>0.28000000000000003</v>
      </c>
      <c r="N855">
        <v>0.31819999999999998</v>
      </c>
      <c r="O855">
        <v>0.87</v>
      </c>
      <c r="P855">
        <v>0</v>
      </c>
      <c r="Q855">
        <v>4</v>
      </c>
      <c r="R855">
        <v>6</v>
      </c>
      <c r="S855">
        <v>10</v>
      </c>
    </row>
    <row r="856" spans="1:19" x14ac:dyDescent="0.3">
      <c r="A856">
        <v>855</v>
      </c>
      <c r="B856" s="4">
        <v>40582</v>
      </c>
      <c r="C856">
        <v>2</v>
      </c>
      <c r="D856">
        <v>1</v>
      </c>
      <c r="E856" t="str">
        <f t="shared" si="39"/>
        <v>1 AM</v>
      </c>
      <c r="F856" t="str">
        <f t="shared" si="40"/>
        <v>Night</v>
      </c>
      <c r="G856" t="b">
        <v>0</v>
      </c>
      <c r="H856">
        <v>2</v>
      </c>
      <c r="I856" t="str">
        <f>_xlfn.XLOOKUP(Append15[[#This Row],[Week day]],Mappings!$B$3:$B$9,Mappings!$C$3:$C$9)</f>
        <v>Tuesday</v>
      </c>
      <c r="J856" t="str">
        <f t="shared" si="41"/>
        <v>Weekday</v>
      </c>
      <c r="K856">
        <v>2</v>
      </c>
      <c r="L856" t="str">
        <f>_xlfn.XLOOKUP(Append15[[#This Row],[WeatherSituation]],Mappings!$E$3:$E$6,Mappings!$F$3:$F$6)</f>
        <v>Mist/Cloudy</v>
      </c>
      <c r="M856">
        <v>0.28000000000000003</v>
      </c>
      <c r="N856">
        <v>0.31819999999999998</v>
      </c>
      <c r="O856">
        <v>0.87</v>
      </c>
      <c r="P856">
        <v>0</v>
      </c>
      <c r="Q856">
        <v>0</v>
      </c>
      <c r="R856">
        <v>4</v>
      </c>
      <c r="S856">
        <v>4</v>
      </c>
    </row>
    <row r="857" spans="1:19" x14ac:dyDescent="0.3">
      <c r="A857">
        <v>856</v>
      </c>
      <c r="B857" s="4">
        <v>40582</v>
      </c>
      <c r="C857">
        <v>2</v>
      </c>
      <c r="D857">
        <v>2</v>
      </c>
      <c r="E857" t="str">
        <f t="shared" si="39"/>
        <v>2 AM</v>
      </c>
      <c r="F857" t="str">
        <f t="shared" si="40"/>
        <v>Night</v>
      </c>
      <c r="G857" t="b">
        <v>0</v>
      </c>
      <c r="H857">
        <v>2</v>
      </c>
      <c r="I857" t="str">
        <f>_xlfn.XLOOKUP(Append15[[#This Row],[Week day]],Mappings!$B$3:$B$9,Mappings!$C$3:$C$9)</f>
        <v>Tuesday</v>
      </c>
      <c r="J857" t="str">
        <f t="shared" si="41"/>
        <v>Weekday</v>
      </c>
      <c r="K857">
        <v>2</v>
      </c>
      <c r="L857" t="str">
        <f>_xlfn.XLOOKUP(Append15[[#This Row],[WeatherSituation]],Mappings!$E$3:$E$6,Mappings!$F$3:$F$6)</f>
        <v>Mist/Cloudy</v>
      </c>
      <c r="M857">
        <v>0.26</v>
      </c>
      <c r="N857">
        <v>0.2727</v>
      </c>
      <c r="O857">
        <v>0.93</v>
      </c>
      <c r="P857">
        <v>0.1045</v>
      </c>
      <c r="Q857">
        <v>1</v>
      </c>
      <c r="R857">
        <v>1</v>
      </c>
      <c r="S857">
        <v>2</v>
      </c>
    </row>
    <row r="858" spans="1:19" x14ac:dyDescent="0.3">
      <c r="A858">
        <v>857</v>
      </c>
      <c r="B858" s="4">
        <v>40582</v>
      </c>
      <c r="C858">
        <v>2</v>
      </c>
      <c r="D858">
        <v>3</v>
      </c>
      <c r="E858" t="str">
        <f t="shared" si="39"/>
        <v>3 AM</v>
      </c>
      <c r="F858" t="str">
        <f t="shared" si="40"/>
        <v>Night</v>
      </c>
      <c r="G858" t="b">
        <v>0</v>
      </c>
      <c r="H858">
        <v>2</v>
      </c>
      <c r="I858" t="str">
        <f>_xlfn.XLOOKUP(Append15[[#This Row],[Week day]],Mappings!$B$3:$B$9,Mappings!$C$3:$C$9)</f>
        <v>Tuesday</v>
      </c>
      <c r="J858" t="str">
        <f t="shared" si="41"/>
        <v>Weekday</v>
      </c>
      <c r="K858">
        <v>3</v>
      </c>
      <c r="L858" t="str">
        <f>_xlfn.XLOOKUP(Append15[[#This Row],[WeatherSituation]],Mappings!$E$3:$E$6,Mappings!$F$3:$F$6)</f>
        <v>Light Rain</v>
      </c>
      <c r="M858">
        <v>0.28000000000000003</v>
      </c>
      <c r="N858">
        <v>0.2727</v>
      </c>
      <c r="O858">
        <v>0.93</v>
      </c>
      <c r="P858">
        <v>0.16420000000000001</v>
      </c>
      <c r="Q858">
        <v>0</v>
      </c>
      <c r="R858">
        <v>1</v>
      </c>
      <c r="S858">
        <v>1</v>
      </c>
    </row>
    <row r="859" spans="1:19" x14ac:dyDescent="0.3">
      <c r="A859">
        <v>858</v>
      </c>
      <c r="B859" s="4">
        <v>40582</v>
      </c>
      <c r="C859">
        <v>2</v>
      </c>
      <c r="D859">
        <v>4</v>
      </c>
      <c r="E859" t="str">
        <f t="shared" si="39"/>
        <v>4 AM</v>
      </c>
      <c r="F859" t="str">
        <f t="shared" si="40"/>
        <v>Night</v>
      </c>
      <c r="G859" t="b">
        <v>0</v>
      </c>
      <c r="H859">
        <v>2</v>
      </c>
      <c r="I859" t="str">
        <f>_xlfn.XLOOKUP(Append15[[#This Row],[Week day]],Mappings!$B$3:$B$9,Mappings!$C$3:$C$9)</f>
        <v>Tuesday</v>
      </c>
      <c r="J859" t="str">
        <f t="shared" si="41"/>
        <v>Weekday</v>
      </c>
      <c r="K859">
        <v>1</v>
      </c>
      <c r="L859" t="str">
        <f>_xlfn.XLOOKUP(Append15[[#This Row],[WeatherSituation]],Mappings!$E$3:$E$6,Mappings!$F$3:$F$6)</f>
        <v>Clear Sky</v>
      </c>
      <c r="M859">
        <v>0.26</v>
      </c>
      <c r="N859">
        <v>0.2576</v>
      </c>
      <c r="O859">
        <v>0.93</v>
      </c>
      <c r="P859">
        <v>0.16420000000000001</v>
      </c>
      <c r="Q859">
        <v>0</v>
      </c>
      <c r="R859">
        <v>3</v>
      </c>
      <c r="S859">
        <v>3</v>
      </c>
    </row>
    <row r="860" spans="1:19" x14ac:dyDescent="0.3">
      <c r="A860">
        <v>859</v>
      </c>
      <c r="B860" s="4">
        <v>40582</v>
      </c>
      <c r="C860">
        <v>2</v>
      </c>
      <c r="D860">
        <v>5</v>
      </c>
      <c r="E860" t="str">
        <f t="shared" si="39"/>
        <v>5 AM</v>
      </c>
      <c r="F860" t="str">
        <f t="shared" si="40"/>
        <v>Morning</v>
      </c>
      <c r="G860" t="b">
        <v>0</v>
      </c>
      <c r="H860">
        <v>2</v>
      </c>
      <c r="I860" t="str">
        <f>_xlfn.XLOOKUP(Append15[[#This Row],[Week day]],Mappings!$B$3:$B$9,Mappings!$C$3:$C$9)</f>
        <v>Tuesday</v>
      </c>
      <c r="J860" t="str">
        <f t="shared" si="41"/>
        <v>Weekday</v>
      </c>
      <c r="K860">
        <v>1</v>
      </c>
      <c r="L860" t="str">
        <f>_xlfn.XLOOKUP(Append15[[#This Row],[WeatherSituation]],Mappings!$E$3:$E$6,Mappings!$F$3:$F$6)</f>
        <v>Clear Sky</v>
      </c>
      <c r="M860">
        <v>0.26</v>
      </c>
      <c r="N860">
        <v>0.2273</v>
      </c>
      <c r="O860">
        <v>0.81</v>
      </c>
      <c r="P860">
        <v>0.32840000000000003</v>
      </c>
      <c r="Q860">
        <v>0</v>
      </c>
      <c r="R860">
        <v>2</v>
      </c>
      <c r="S860">
        <v>2</v>
      </c>
    </row>
    <row r="861" spans="1:19" x14ac:dyDescent="0.3">
      <c r="A861">
        <v>860</v>
      </c>
      <c r="B861" s="4">
        <v>40582</v>
      </c>
      <c r="C861">
        <v>2</v>
      </c>
      <c r="D861">
        <v>6</v>
      </c>
      <c r="E861" t="str">
        <f t="shared" si="39"/>
        <v>6 AM</v>
      </c>
      <c r="F861" t="str">
        <f t="shared" si="40"/>
        <v>Morning</v>
      </c>
      <c r="G861" t="b">
        <v>0</v>
      </c>
      <c r="H861">
        <v>2</v>
      </c>
      <c r="I861" t="str">
        <f>_xlfn.XLOOKUP(Append15[[#This Row],[Week day]],Mappings!$B$3:$B$9,Mappings!$C$3:$C$9)</f>
        <v>Tuesday</v>
      </c>
      <c r="J861" t="str">
        <f t="shared" si="41"/>
        <v>Weekday</v>
      </c>
      <c r="K861">
        <v>1</v>
      </c>
      <c r="L861" t="str">
        <f>_xlfn.XLOOKUP(Append15[[#This Row],[WeatherSituation]],Mappings!$E$3:$E$6,Mappings!$F$3:$F$6)</f>
        <v>Clear Sky</v>
      </c>
      <c r="M861">
        <v>0.26</v>
      </c>
      <c r="N861">
        <v>0.2273</v>
      </c>
      <c r="O861">
        <v>0.7</v>
      </c>
      <c r="P861">
        <v>0.32840000000000003</v>
      </c>
      <c r="Q861">
        <v>0</v>
      </c>
      <c r="R861">
        <v>39</v>
      </c>
      <c r="S861">
        <v>39</v>
      </c>
    </row>
    <row r="862" spans="1:19" x14ac:dyDescent="0.3">
      <c r="A862">
        <v>861</v>
      </c>
      <c r="B862" s="4">
        <v>40582</v>
      </c>
      <c r="C862">
        <v>2</v>
      </c>
      <c r="D862">
        <v>7</v>
      </c>
      <c r="E862" t="str">
        <f t="shared" si="39"/>
        <v>7 AM</v>
      </c>
      <c r="F862" t="str">
        <f t="shared" si="40"/>
        <v>Morning</v>
      </c>
      <c r="G862" t="b">
        <v>0</v>
      </c>
      <c r="H862">
        <v>2</v>
      </c>
      <c r="I862" t="str">
        <f>_xlfn.XLOOKUP(Append15[[#This Row],[Week day]],Mappings!$B$3:$B$9,Mappings!$C$3:$C$9)</f>
        <v>Tuesday</v>
      </c>
      <c r="J862" t="str">
        <f t="shared" si="41"/>
        <v>Weekday</v>
      </c>
      <c r="K862">
        <v>1</v>
      </c>
      <c r="L862" t="str">
        <f>_xlfn.XLOOKUP(Append15[[#This Row],[WeatherSituation]],Mappings!$E$3:$E$6,Mappings!$F$3:$F$6)</f>
        <v>Clear Sky</v>
      </c>
      <c r="M862">
        <v>0.24</v>
      </c>
      <c r="N862">
        <v>0.19700000000000001</v>
      </c>
      <c r="O862">
        <v>0.65</v>
      </c>
      <c r="P862">
        <v>0.41789999999999999</v>
      </c>
      <c r="Q862">
        <v>3</v>
      </c>
      <c r="R862">
        <v>97</v>
      </c>
      <c r="S862">
        <v>100</v>
      </c>
    </row>
    <row r="863" spans="1:19" x14ac:dyDescent="0.3">
      <c r="A863">
        <v>862</v>
      </c>
      <c r="B863" s="4">
        <v>40582</v>
      </c>
      <c r="C863">
        <v>2</v>
      </c>
      <c r="D863">
        <v>8</v>
      </c>
      <c r="E863" t="str">
        <f t="shared" si="39"/>
        <v>8 AM</v>
      </c>
      <c r="F863" t="str">
        <f t="shared" si="40"/>
        <v>Morning</v>
      </c>
      <c r="G863" t="b">
        <v>0</v>
      </c>
      <c r="H863">
        <v>2</v>
      </c>
      <c r="I863" t="str">
        <f>_xlfn.XLOOKUP(Append15[[#This Row],[Week day]],Mappings!$B$3:$B$9,Mappings!$C$3:$C$9)</f>
        <v>Tuesday</v>
      </c>
      <c r="J863" t="str">
        <f t="shared" si="41"/>
        <v>Weekday</v>
      </c>
      <c r="K863">
        <v>1</v>
      </c>
      <c r="L863" t="str">
        <f>_xlfn.XLOOKUP(Append15[[#This Row],[WeatherSituation]],Mappings!$E$3:$E$6,Mappings!$F$3:$F$6)</f>
        <v>Clear Sky</v>
      </c>
      <c r="M863">
        <v>0.24</v>
      </c>
      <c r="N863">
        <v>0.19700000000000001</v>
      </c>
      <c r="O863">
        <v>0.56000000000000005</v>
      </c>
      <c r="P863">
        <v>0.49249999999999999</v>
      </c>
      <c r="Q863">
        <v>7</v>
      </c>
      <c r="R863">
        <v>236</v>
      </c>
      <c r="S863">
        <v>243</v>
      </c>
    </row>
    <row r="864" spans="1:19" x14ac:dyDescent="0.3">
      <c r="A864">
        <v>863</v>
      </c>
      <c r="B864" s="4">
        <v>40582</v>
      </c>
      <c r="C864">
        <v>2</v>
      </c>
      <c r="D864">
        <v>9</v>
      </c>
      <c r="E864" t="str">
        <f t="shared" si="39"/>
        <v>9 AM</v>
      </c>
      <c r="F864" t="str">
        <f t="shared" si="40"/>
        <v>Morning</v>
      </c>
      <c r="G864" t="b">
        <v>0</v>
      </c>
      <c r="H864">
        <v>2</v>
      </c>
      <c r="I864" t="str">
        <f>_xlfn.XLOOKUP(Append15[[#This Row],[Week day]],Mappings!$B$3:$B$9,Mappings!$C$3:$C$9)</f>
        <v>Tuesday</v>
      </c>
      <c r="J864" t="str">
        <f t="shared" si="41"/>
        <v>Weekday</v>
      </c>
      <c r="K864">
        <v>1</v>
      </c>
      <c r="L864" t="str">
        <f>_xlfn.XLOOKUP(Append15[[#This Row],[WeatherSituation]],Mappings!$E$3:$E$6,Mappings!$F$3:$F$6)</f>
        <v>Clear Sky</v>
      </c>
      <c r="M864">
        <v>0.24</v>
      </c>
      <c r="N864">
        <v>0.19700000000000001</v>
      </c>
      <c r="O864">
        <v>0.52</v>
      </c>
      <c r="P864">
        <v>0.49249999999999999</v>
      </c>
      <c r="Q864">
        <v>7</v>
      </c>
      <c r="R864">
        <v>128</v>
      </c>
      <c r="S864">
        <v>135</v>
      </c>
    </row>
    <row r="865" spans="1:19" x14ac:dyDescent="0.3">
      <c r="A865">
        <v>864</v>
      </c>
      <c r="B865" s="4">
        <v>40582</v>
      </c>
      <c r="C865">
        <v>2</v>
      </c>
      <c r="D865">
        <v>10</v>
      </c>
      <c r="E865" t="str">
        <f t="shared" si="39"/>
        <v>10 AM</v>
      </c>
      <c r="F865" t="str">
        <f t="shared" si="40"/>
        <v>Morning</v>
      </c>
      <c r="G865" t="b">
        <v>0</v>
      </c>
      <c r="H865">
        <v>2</v>
      </c>
      <c r="I865" t="str">
        <f>_xlfn.XLOOKUP(Append15[[#This Row],[Week day]],Mappings!$B$3:$B$9,Mappings!$C$3:$C$9)</f>
        <v>Tuesday</v>
      </c>
      <c r="J865" t="str">
        <f t="shared" si="41"/>
        <v>Weekday</v>
      </c>
      <c r="K865">
        <v>1</v>
      </c>
      <c r="L865" t="str">
        <f>_xlfn.XLOOKUP(Append15[[#This Row],[WeatherSituation]],Mappings!$E$3:$E$6,Mappings!$F$3:$F$6)</f>
        <v>Clear Sky</v>
      </c>
      <c r="M865">
        <v>0.22</v>
      </c>
      <c r="N865">
        <v>0.18179999999999999</v>
      </c>
      <c r="O865">
        <v>0.47</v>
      </c>
      <c r="P865">
        <v>0.55220000000000002</v>
      </c>
      <c r="Q865">
        <v>4</v>
      </c>
      <c r="R865">
        <v>44</v>
      </c>
      <c r="S865">
        <v>48</v>
      </c>
    </row>
    <row r="866" spans="1:19" x14ac:dyDescent="0.3">
      <c r="A866">
        <v>865</v>
      </c>
      <c r="B866" s="4">
        <v>40582</v>
      </c>
      <c r="C866">
        <v>2</v>
      </c>
      <c r="D866">
        <v>11</v>
      </c>
      <c r="E866" t="str">
        <f t="shared" si="39"/>
        <v>11 AM</v>
      </c>
      <c r="F866" t="str">
        <f t="shared" si="40"/>
        <v>Morning</v>
      </c>
      <c r="G866" t="b">
        <v>0</v>
      </c>
      <c r="H866">
        <v>2</v>
      </c>
      <c r="I866" t="str">
        <f>_xlfn.XLOOKUP(Append15[[#This Row],[Week day]],Mappings!$B$3:$B$9,Mappings!$C$3:$C$9)</f>
        <v>Tuesday</v>
      </c>
      <c r="J866" t="str">
        <f t="shared" si="41"/>
        <v>Weekday</v>
      </c>
      <c r="K866">
        <v>1</v>
      </c>
      <c r="L866" t="str">
        <f>_xlfn.XLOOKUP(Append15[[#This Row],[WeatherSituation]],Mappings!$E$3:$E$6,Mappings!$F$3:$F$6)</f>
        <v>Clear Sky</v>
      </c>
      <c r="M866">
        <v>0.22</v>
      </c>
      <c r="N866">
        <v>0.18179999999999999</v>
      </c>
      <c r="O866">
        <v>0.47</v>
      </c>
      <c r="P866">
        <v>0.4627</v>
      </c>
      <c r="Q866">
        <v>1</v>
      </c>
      <c r="R866">
        <v>49</v>
      </c>
      <c r="S866">
        <v>50</v>
      </c>
    </row>
    <row r="867" spans="1:19" x14ac:dyDescent="0.3">
      <c r="A867">
        <v>866</v>
      </c>
      <c r="B867" s="4">
        <v>40582</v>
      </c>
      <c r="C867">
        <v>2</v>
      </c>
      <c r="D867">
        <v>12</v>
      </c>
      <c r="E867" t="str">
        <f t="shared" si="39"/>
        <v>12 PM</v>
      </c>
      <c r="F867" t="str">
        <f t="shared" si="40"/>
        <v>AfterNoon</v>
      </c>
      <c r="G867" t="b">
        <v>0</v>
      </c>
      <c r="H867">
        <v>2</v>
      </c>
      <c r="I867" t="str">
        <f>_xlfn.XLOOKUP(Append15[[#This Row],[Week day]],Mappings!$B$3:$B$9,Mappings!$C$3:$C$9)</f>
        <v>Tuesday</v>
      </c>
      <c r="J867" t="str">
        <f t="shared" si="41"/>
        <v>Weekday</v>
      </c>
      <c r="K867">
        <v>1</v>
      </c>
      <c r="L867" t="str">
        <f>_xlfn.XLOOKUP(Append15[[#This Row],[WeatherSituation]],Mappings!$E$3:$E$6,Mappings!$F$3:$F$6)</f>
        <v>Clear Sky</v>
      </c>
      <c r="M867">
        <v>0.24</v>
      </c>
      <c r="N867">
        <v>0.19700000000000001</v>
      </c>
      <c r="O867">
        <v>0.38</v>
      </c>
      <c r="P867">
        <v>0.49249999999999999</v>
      </c>
      <c r="Q867">
        <v>2</v>
      </c>
      <c r="R867">
        <v>63</v>
      </c>
      <c r="S867">
        <v>65</v>
      </c>
    </row>
    <row r="868" spans="1:19" x14ac:dyDescent="0.3">
      <c r="A868">
        <v>867</v>
      </c>
      <c r="B868" s="4">
        <v>40582</v>
      </c>
      <c r="C868">
        <v>2</v>
      </c>
      <c r="D868">
        <v>13</v>
      </c>
      <c r="E868" t="str">
        <f t="shared" si="39"/>
        <v>1 PM</v>
      </c>
      <c r="F868" t="str">
        <f t="shared" si="40"/>
        <v>AfterNoon</v>
      </c>
      <c r="G868" t="b">
        <v>0</v>
      </c>
      <c r="H868">
        <v>2</v>
      </c>
      <c r="I868" t="str">
        <f>_xlfn.XLOOKUP(Append15[[#This Row],[Week day]],Mappings!$B$3:$B$9,Mappings!$C$3:$C$9)</f>
        <v>Tuesday</v>
      </c>
      <c r="J868" t="str">
        <f t="shared" si="41"/>
        <v>Weekday</v>
      </c>
      <c r="K868">
        <v>2</v>
      </c>
      <c r="L868" t="str">
        <f>_xlfn.XLOOKUP(Append15[[#This Row],[WeatherSituation]],Mappings!$E$3:$E$6,Mappings!$F$3:$F$6)</f>
        <v>Mist/Cloudy</v>
      </c>
      <c r="M868">
        <v>0.24</v>
      </c>
      <c r="N868">
        <v>0.19700000000000001</v>
      </c>
      <c r="O868">
        <v>0.32</v>
      </c>
      <c r="P868">
        <v>0.44779999999999998</v>
      </c>
      <c r="Q868">
        <v>2</v>
      </c>
      <c r="R868">
        <v>48</v>
      </c>
      <c r="S868">
        <v>50</v>
      </c>
    </row>
    <row r="869" spans="1:19" x14ac:dyDescent="0.3">
      <c r="A869">
        <v>868</v>
      </c>
      <c r="B869" s="4">
        <v>40582</v>
      </c>
      <c r="C869">
        <v>2</v>
      </c>
      <c r="D869">
        <v>14</v>
      </c>
      <c r="E869" t="str">
        <f t="shared" si="39"/>
        <v>2 PM</v>
      </c>
      <c r="F869" t="str">
        <f t="shared" si="40"/>
        <v>AfterNoon</v>
      </c>
      <c r="G869" t="b">
        <v>0</v>
      </c>
      <c r="H869">
        <v>2</v>
      </c>
      <c r="I869" t="str">
        <f>_xlfn.XLOOKUP(Append15[[#This Row],[Week day]],Mappings!$B$3:$B$9,Mappings!$C$3:$C$9)</f>
        <v>Tuesday</v>
      </c>
      <c r="J869" t="str">
        <f t="shared" si="41"/>
        <v>Weekday</v>
      </c>
      <c r="K869">
        <v>1</v>
      </c>
      <c r="L869" t="str">
        <f>_xlfn.XLOOKUP(Append15[[#This Row],[WeatherSituation]],Mappings!$E$3:$E$6,Mappings!$F$3:$F$6)</f>
        <v>Clear Sky</v>
      </c>
      <c r="M869">
        <v>0.22</v>
      </c>
      <c r="N869">
        <v>0.19700000000000001</v>
      </c>
      <c r="O869">
        <v>0.37</v>
      </c>
      <c r="P869">
        <v>0.41789999999999999</v>
      </c>
      <c r="Q869">
        <v>3</v>
      </c>
      <c r="R869">
        <v>61</v>
      </c>
      <c r="S869">
        <v>64</v>
      </c>
    </row>
    <row r="870" spans="1:19" x14ac:dyDescent="0.3">
      <c r="A870">
        <v>869</v>
      </c>
      <c r="B870" s="4">
        <v>40582</v>
      </c>
      <c r="C870">
        <v>2</v>
      </c>
      <c r="D870">
        <v>15</v>
      </c>
      <c r="E870" t="str">
        <f t="shared" si="39"/>
        <v>3 PM</v>
      </c>
      <c r="F870" t="str">
        <f t="shared" si="40"/>
        <v>AfterNoon</v>
      </c>
      <c r="G870" t="b">
        <v>0</v>
      </c>
      <c r="H870">
        <v>2</v>
      </c>
      <c r="I870" t="str">
        <f>_xlfn.XLOOKUP(Append15[[#This Row],[Week day]],Mappings!$B$3:$B$9,Mappings!$C$3:$C$9)</f>
        <v>Tuesday</v>
      </c>
      <c r="J870" t="str">
        <f t="shared" si="41"/>
        <v>Weekday</v>
      </c>
      <c r="K870">
        <v>1</v>
      </c>
      <c r="L870" t="str">
        <f>_xlfn.XLOOKUP(Append15[[#This Row],[WeatherSituation]],Mappings!$E$3:$E$6,Mappings!$F$3:$F$6)</f>
        <v>Clear Sky</v>
      </c>
      <c r="M870">
        <v>0.22</v>
      </c>
      <c r="N870">
        <v>0.19700000000000001</v>
      </c>
      <c r="O870">
        <v>0.35</v>
      </c>
      <c r="P870">
        <v>0.3881</v>
      </c>
      <c r="Q870">
        <v>6</v>
      </c>
      <c r="R870">
        <v>45</v>
      </c>
      <c r="S870">
        <v>51</v>
      </c>
    </row>
    <row r="871" spans="1:19" x14ac:dyDescent="0.3">
      <c r="A871">
        <v>870</v>
      </c>
      <c r="B871" s="4">
        <v>40582</v>
      </c>
      <c r="C871">
        <v>2</v>
      </c>
      <c r="D871">
        <v>16</v>
      </c>
      <c r="E871" t="str">
        <f t="shared" si="39"/>
        <v>4 PM</v>
      </c>
      <c r="F871" t="str">
        <f t="shared" si="40"/>
        <v>Evening</v>
      </c>
      <c r="G871" t="b">
        <v>0</v>
      </c>
      <c r="H871">
        <v>2</v>
      </c>
      <c r="I871" t="str">
        <f>_xlfn.XLOOKUP(Append15[[#This Row],[Week day]],Mappings!$B$3:$B$9,Mappings!$C$3:$C$9)</f>
        <v>Tuesday</v>
      </c>
      <c r="J871" t="str">
        <f t="shared" si="41"/>
        <v>Weekday</v>
      </c>
      <c r="K871">
        <v>1</v>
      </c>
      <c r="L871" t="str">
        <f>_xlfn.XLOOKUP(Append15[[#This Row],[WeatherSituation]],Mappings!$E$3:$E$6,Mappings!$F$3:$F$6)</f>
        <v>Clear Sky</v>
      </c>
      <c r="M871">
        <v>0.22</v>
      </c>
      <c r="N871">
        <v>0.18179999999999999</v>
      </c>
      <c r="O871">
        <v>0.35</v>
      </c>
      <c r="P871">
        <v>0.52239999999999998</v>
      </c>
      <c r="Q871">
        <v>4</v>
      </c>
      <c r="R871">
        <v>79</v>
      </c>
      <c r="S871">
        <v>83</v>
      </c>
    </row>
    <row r="872" spans="1:19" x14ac:dyDescent="0.3">
      <c r="A872">
        <v>871</v>
      </c>
      <c r="B872" s="4">
        <v>40582</v>
      </c>
      <c r="C872">
        <v>2</v>
      </c>
      <c r="D872">
        <v>17</v>
      </c>
      <c r="E872" t="str">
        <f t="shared" si="39"/>
        <v>5 PM</v>
      </c>
      <c r="F872" t="str">
        <f t="shared" si="40"/>
        <v>Evening</v>
      </c>
      <c r="G872" t="b">
        <v>0</v>
      </c>
      <c r="H872">
        <v>2</v>
      </c>
      <c r="I872" t="str">
        <f>_xlfn.XLOOKUP(Append15[[#This Row],[Week day]],Mappings!$B$3:$B$9,Mappings!$C$3:$C$9)</f>
        <v>Tuesday</v>
      </c>
      <c r="J872" t="str">
        <f t="shared" si="41"/>
        <v>Weekday</v>
      </c>
      <c r="K872">
        <v>1</v>
      </c>
      <c r="L872" t="str">
        <f>_xlfn.XLOOKUP(Append15[[#This Row],[WeatherSituation]],Mappings!$E$3:$E$6,Mappings!$F$3:$F$6)</f>
        <v>Clear Sky</v>
      </c>
      <c r="M872">
        <v>0.22</v>
      </c>
      <c r="N872">
        <v>0.18179999999999999</v>
      </c>
      <c r="O872">
        <v>0.32</v>
      </c>
      <c r="P872">
        <v>0.58209999999999995</v>
      </c>
      <c r="Q872">
        <v>4</v>
      </c>
      <c r="R872">
        <v>172</v>
      </c>
      <c r="S872">
        <v>176</v>
      </c>
    </row>
    <row r="873" spans="1:19" x14ac:dyDescent="0.3">
      <c r="A873">
        <v>872</v>
      </c>
      <c r="B873" s="4">
        <v>40582</v>
      </c>
      <c r="C873">
        <v>2</v>
      </c>
      <c r="D873">
        <v>18</v>
      </c>
      <c r="E873" t="str">
        <f t="shared" si="39"/>
        <v>6 PM</v>
      </c>
      <c r="F873" t="str">
        <f t="shared" si="40"/>
        <v>Evening</v>
      </c>
      <c r="G873" t="b">
        <v>0</v>
      </c>
      <c r="H873">
        <v>2</v>
      </c>
      <c r="I873" t="str">
        <f>_xlfn.XLOOKUP(Append15[[#This Row],[Week day]],Mappings!$B$3:$B$9,Mappings!$C$3:$C$9)</f>
        <v>Tuesday</v>
      </c>
      <c r="J873" t="str">
        <f t="shared" si="41"/>
        <v>Weekday</v>
      </c>
      <c r="K873">
        <v>1</v>
      </c>
      <c r="L873" t="str">
        <f>_xlfn.XLOOKUP(Append15[[#This Row],[WeatherSituation]],Mappings!$E$3:$E$6,Mappings!$F$3:$F$6)</f>
        <v>Clear Sky</v>
      </c>
      <c r="M873">
        <v>0.2</v>
      </c>
      <c r="N873">
        <v>0.18179999999999999</v>
      </c>
      <c r="O873">
        <v>0.32</v>
      </c>
      <c r="P873">
        <v>0.3881</v>
      </c>
      <c r="Q873">
        <v>1</v>
      </c>
      <c r="R873">
        <v>151</v>
      </c>
      <c r="S873">
        <v>152</v>
      </c>
    </row>
    <row r="874" spans="1:19" x14ac:dyDescent="0.3">
      <c r="A874">
        <v>873</v>
      </c>
      <c r="B874" s="4">
        <v>40582</v>
      </c>
      <c r="C874">
        <v>2</v>
      </c>
      <c r="D874">
        <v>19</v>
      </c>
      <c r="E874" t="str">
        <f t="shared" si="39"/>
        <v>7 PM</v>
      </c>
      <c r="F874" t="str">
        <f t="shared" si="40"/>
        <v>Evening</v>
      </c>
      <c r="G874" t="b">
        <v>0</v>
      </c>
      <c r="H874">
        <v>2</v>
      </c>
      <c r="I874" t="str">
        <f>_xlfn.XLOOKUP(Append15[[#This Row],[Week day]],Mappings!$B$3:$B$9,Mappings!$C$3:$C$9)</f>
        <v>Tuesday</v>
      </c>
      <c r="J874" t="str">
        <f t="shared" si="41"/>
        <v>Weekday</v>
      </c>
      <c r="K874">
        <v>1</v>
      </c>
      <c r="L874" t="str">
        <f>_xlfn.XLOOKUP(Append15[[#This Row],[WeatherSituation]],Mappings!$E$3:$E$6,Mappings!$F$3:$F$6)</f>
        <v>Clear Sky</v>
      </c>
      <c r="M874">
        <v>0.16</v>
      </c>
      <c r="N874">
        <v>0.1212</v>
      </c>
      <c r="O874">
        <v>0.4</v>
      </c>
      <c r="P874">
        <v>0.4627</v>
      </c>
      <c r="Q874">
        <v>1</v>
      </c>
      <c r="R874">
        <v>100</v>
      </c>
      <c r="S874">
        <v>101</v>
      </c>
    </row>
    <row r="875" spans="1:19" x14ac:dyDescent="0.3">
      <c r="A875">
        <v>874</v>
      </c>
      <c r="B875" s="4">
        <v>40582</v>
      </c>
      <c r="C875">
        <v>2</v>
      </c>
      <c r="D875">
        <v>20</v>
      </c>
      <c r="E875" t="str">
        <f t="shared" si="39"/>
        <v>8 PM</v>
      </c>
      <c r="F875" t="str">
        <f t="shared" si="40"/>
        <v>Night</v>
      </c>
      <c r="G875" t="b">
        <v>0</v>
      </c>
      <c r="H875">
        <v>2</v>
      </c>
      <c r="I875" t="str">
        <f>_xlfn.XLOOKUP(Append15[[#This Row],[Week day]],Mappings!$B$3:$B$9,Mappings!$C$3:$C$9)</f>
        <v>Tuesday</v>
      </c>
      <c r="J875" t="str">
        <f t="shared" si="41"/>
        <v>Weekday</v>
      </c>
      <c r="K875">
        <v>1</v>
      </c>
      <c r="L875" t="str">
        <f>_xlfn.XLOOKUP(Append15[[#This Row],[WeatherSituation]],Mappings!$E$3:$E$6,Mappings!$F$3:$F$6)</f>
        <v>Clear Sky</v>
      </c>
      <c r="M875">
        <v>0.16</v>
      </c>
      <c r="N875">
        <v>0.13639999999999999</v>
      </c>
      <c r="O875">
        <v>0.4</v>
      </c>
      <c r="P875">
        <v>0.32840000000000003</v>
      </c>
      <c r="Q875">
        <v>3</v>
      </c>
      <c r="R875">
        <v>53</v>
      </c>
      <c r="S875">
        <v>56</v>
      </c>
    </row>
    <row r="876" spans="1:19" x14ac:dyDescent="0.3">
      <c r="A876">
        <v>875</v>
      </c>
      <c r="B876" s="4">
        <v>40582</v>
      </c>
      <c r="C876">
        <v>2</v>
      </c>
      <c r="D876">
        <v>21</v>
      </c>
      <c r="E876" t="str">
        <f t="shared" si="39"/>
        <v>9 PM</v>
      </c>
      <c r="F876" t="str">
        <f t="shared" si="40"/>
        <v>Night</v>
      </c>
      <c r="G876" t="b">
        <v>0</v>
      </c>
      <c r="H876">
        <v>2</v>
      </c>
      <c r="I876" t="str">
        <f>_xlfn.XLOOKUP(Append15[[#This Row],[Week day]],Mappings!$B$3:$B$9,Mappings!$C$3:$C$9)</f>
        <v>Tuesday</v>
      </c>
      <c r="J876" t="str">
        <f t="shared" si="41"/>
        <v>Weekday</v>
      </c>
      <c r="K876">
        <v>1</v>
      </c>
      <c r="L876" t="str">
        <f>_xlfn.XLOOKUP(Append15[[#This Row],[WeatherSituation]],Mappings!$E$3:$E$6,Mappings!$F$3:$F$6)</f>
        <v>Clear Sky</v>
      </c>
      <c r="M876">
        <v>0.14000000000000001</v>
      </c>
      <c r="N876">
        <v>0.1061</v>
      </c>
      <c r="O876">
        <v>0.33</v>
      </c>
      <c r="P876">
        <v>0.4627</v>
      </c>
      <c r="Q876">
        <v>8</v>
      </c>
      <c r="R876">
        <v>46</v>
      </c>
      <c r="S876">
        <v>54</v>
      </c>
    </row>
    <row r="877" spans="1:19" x14ac:dyDescent="0.3">
      <c r="A877">
        <v>876</v>
      </c>
      <c r="B877" s="4">
        <v>40582</v>
      </c>
      <c r="C877">
        <v>2</v>
      </c>
      <c r="D877">
        <v>22</v>
      </c>
      <c r="E877" t="str">
        <f t="shared" si="39"/>
        <v>10 PM</v>
      </c>
      <c r="F877" t="str">
        <f t="shared" si="40"/>
        <v>Night</v>
      </c>
      <c r="G877" t="b">
        <v>0</v>
      </c>
      <c r="H877">
        <v>2</v>
      </c>
      <c r="I877" t="str">
        <f>_xlfn.XLOOKUP(Append15[[#This Row],[Week day]],Mappings!$B$3:$B$9,Mappings!$C$3:$C$9)</f>
        <v>Tuesday</v>
      </c>
      <c r="J877" t="str">
        <f t="shared" si="41"/>
        <v>Weekday</v>
      </c>
      <c r="K877">
        <v>1</v>
      </c>
      <c r="L877" t="str">
        <f>_xlfn.XLOOKUP(Append15[[#This Row],[WeatherSituation]],Mappings!$E$3:$E$6,Mappings!$F$3:$F$6)</f>
        <v>Clear Sky</v>
      </c>
      <c r="M877">
        <v>0.12</v>
      </c>
      <c r="N877">
        <v>0.1061</v>
      </c>
      <c r="O877">
        <v>0.33</v>
      </c>
      <c r="P877">
        <v>0.35820000000000002</v>
      </c>
      <c r="Q877">
        <v>0</v>
      </c>
      <c r="R877">
        <v>29</v>
      </c>
      <c r="S877">
        <v>29</v>
      </c>
    </row>
    <row r="878" spans="1:19" x14ac:dyDescent="0.3">
      <c r="A878">
        <v>877</v>
      </c>
      <c r="B878" s="4">
        <v>40582</v>
      </c>
      <c r="C878">
        <v>2</v>
      </c>
      <c r="D878">
        <v>23</v>
      </c>
      <c r="E878" t="str">
        <f t="shared" si="39"/>
        <v>11 PM</v>
      </c>
      <c r="F878" t="str">
        <f t="shared" si="40"/>
        <v>Night</v>
      </c>
      <c r="G878" t="b">
        <v>0</v>
      </c>
      <c r="H878">
        <v>2</v>
      </c>
      <c r="I878" t="str">
        <f>_xlfn.XLOOKUP(Append15[[#This Row],[Week day]],Mappings!$B$3:$B$9,Mappings!$C$3:$C$9)</f>
        <v>Tuesday</v>
      </c>
      <c r="J878" t="str">
        <f t="shared" si="41"/>
        <v>Weekday</v>
      </c>
      <c r="K878">
        <v>1</v>
      </c>
      <c r="L878" t="str">
        <f>_xlfn.XLOOKUP(Append15[[#This Row],[WeatherSituation]],Mappings!$E$3:$E$6,Mappings!$F$3:$F$6)</f>
        <v>Clear Sky</v>
      </c>
      <c r="M878">
        <v>0.12</v>
      </c>
      <c r="N878">
        <v>0.1061</v>
      </c>
      <c r="O878">
        <v>0.33</v>
      </c>
      <c r="P878">
        <v>0.32840000000000003</v>
      </c>
      <c r="Q878">
        <v>3</v>
      </c>
      <c r="R878">
        <v>9</v>
      </c>
      <c r="S878">
        <v>12</v>
      </c>
    </row>
    <row r="879" spans="1:19" x14ac:dyDescent="0.3">
      <c r="A879">
        <v>878</v>
      </c>
      <c r="B879" s="4">
        <v>40583</v>
      </c>
      <c r="C879">
        <v>2</v>
      </c>
      <c r="D879">
        <v>0</v>
      </c>
      <c r="E879" t="str">
        <f t="shared" si="39"/>
        <v>12 AM</v>
      </c>
      <c r="F879" t="str">
        <f t="shared" si="40"/>
        <v>Night</v>
      </c>
      <c r="G879" t="b">
        <v>0</v>
      </c>
      <c r="H879">
        <v>3</v>
      </c>
      <c r="I879" t="str">
        <f>_xlfn.XLOOKUP(Append15[[#This Row],[Week day]],Mappings!$B$3:$B$9,Mappings!$C$3:$C$9)</f>
        <v>Wednesday</v>
      </c>
      <c r="J879" t="str">
        <f t="shared" si="41"/>
        <v>Weekday</v>
      </c>
      <c r="K879">
        <v>1</v>
      </c>
      <c r="L879" t="str">
        <f>_xlfn.XLOOKUP(Append15[[#This Row],[WeatherSituation]],Mappings!$E$3:$E$6,Mappings!$F$3:$F$6)</f>
        <v>Clear Sky</v>
      </c>
      <c r="M879">
        <v>0.1</v>
      </c>
      <c r="N879">
        <v>7.5800000000000006E-2</v>
      </c>
      <c r="O879">
        <v>0.36</v>
      </c>
      <c r="P879">
        <v>0.35820000000000002</v>
      </c>
      <c r="Q879">
        <v>0</v>
      </c>
      <c r="R879">
        <v>17</v>
      </c>
      <c r="S879">
        <v>17</v>
      </c>
    </row>
    <row r="880" spans="1:19" x14ac:dyDescent="0.3">
      <c r="A880">
        <v>879</v>
      </c>
      <c r="B880" s="4">
        <v>40583</v>
      </c>
      <c r="C880">
        <v>2</v>
      </c>
      <c r="D880">
        <v>1</v>
      </c>
      <c r="E880" t="str">
        <f t="shared" si="39"/>
        <v>1 AM</v>
      </c>
      <c r="F880" t="str">
        <f t="shared" si="40"/>
        <v>Night</v>
      </c>
      <c r="G880" t="b">
        <v>0</v>
      </c>
      <c r="H880">
        <v>3</v>
      </c>
      <c r="I880" t="str">
        <f>_xlfn.XLOOKUP(Append15[[#This Row],[Week day]],Mappings!$B$3:$B$9,Mappings!$C$3:$C$9)</f>
        <v>Wednesday</v>
      </c>
      <c r="J880" t="str">
        <f t="shared" si="41"/>
        <v>Weekday</v>
      </c>
      <c r="K880">
        <v>1</v>
      </c>
      <c r="L880" t="str">
        <f>_xlfn.XLOOKUP(Append15[[#This Row],[WeatherSituation]],Mappings!$E$3:$E$6,Mappings!$F$3:$F$6)</f>
        <v>Clear Sky</v>
      </c>
      <c r="M880">
        <v>0.1</v>
      </c>
      <c r="N880">
        <v>0.1061</v>
      </c>
      <c r="O880">
        <v>0.36</v>
      </c>
      <c r="P880">
        <v>0.22389999999999999</v>
      </c>
      <c r="Q880">
        <v>0</v>
      </c>
      <c r="R880">
        <v>7</v>
      </c>
      <c r="S880">
        <v>7</v>
      </c>
    </row>
    <row r="881" spans="1:19" x14ac:dyDescent="0.3">
      <c r="A881">
        <v>880</v>
      </c>
      <c r="B881" s="4">
        <v>40583</v>
      </c>
      <c r="C881">
        <v>2</v>
      </c>
      <c r="D881">
        <v>2</v>
      </c>
      <c r="E881" t="str">
        <f t="shared" si="39"/>
        <v>2 AM</v>
      </c>
      <c r="F881" t="str">
        <f t="shared" si="40"/>
        <v>Night</v>
      </c>
      <c r="G881" t="b">
        <v>0</v>
      </c>
      <c r="H881">
        <v>3</v>
      </c>
      <c r="I881" t="str">
        <f>_xlfn.XLOOKUP(Append15[[#This Row],[Week day]],Mappings!$B$3:$B$9,Mappings!$C$3:$C$9)</f>
        <v>Wednesday</v>
      </c>
      <c r="J881" t="str">
        <f t="shared" si="41"/>
        <v>Weekday</v>
      </c>
      <c r="K881">
        <v>1</v>
      </c>
      <c r="L881" t="str">
        <f>_xlfn.XLOOKUP(Append15[[#This Row],[WeatherSituation]],Mappings!$E$3:$E$6,Mappings!$F$3:$F$6)</f>
        <v>Clear Sky</v>
      </c>
      <c r="M881">
        <v>0.08</v>
      </c>
      <c r="N881">
        <v>7.5800000000000006E-2</v>
      </c>
      <c r="O881">
        <v>0.38</v>
      </c>
      <c r="P881">
        <v>0.28360000000000002</v>
      </c>
      <c r="Q881">
        <v>1</v>
      </c>
      <c r="R881">
        <v>2</v>
      </c>
      <c r="S881">
        <v>3</v>
      </c>
    </row>
    <row r="882" spans="1:19" x14ac:dyDescent="0.3">
      <c r="A882">
        <v>881</v>
      </c>
      <c r="B882" s="4">
        <v>40583</v>
      </c>
      <c r="C882">
        <v>2</v>
      </c>
      <c r="D882">
        <v>3</v>
      </c>
      <c r="E882" t="str">
        <f t="shared" si="39"/>
        <v>3 AM</v>
      </c>
      <c r="F882" t="str">
        <f t="shared" si="40"/>
        <v>Night</v>
      </c>
      <c r="G882" t="b">
        <v>0</v>
      </c>
      <c r="H882">
        <v>3</v>
      </c>
      <c r="I882" t="str">
        <f>_xlfn.XLOOKUP(Append15[[#This Row],[Week day]],Mappings!$B$3:$B$9,Mappings!$C$3:$C$9)</f>
        <v>Wednesday</v>
      </c>
      <c r="J882" t="str">
        <f t="shared" si="41"/>
        <v>Weekday</v>
      </c>
      <c r="K882">
        <v>1</v>
      </c>
      <c r="L882" t="str">
        <f>_xlfn.XLOOKUP(Append15[[#This Row],[WeatherSituation]],Mappings!$E$3:$E$6,Mappings!$F$3:$F$6)</f>
        <v>Clear Sky</v>
      </c>
      <c r="M882">
        <v>0.06</v>
      </c>
      <c r="N882">
        <v>7.5800000000000006E-2</v>
      </c>
      <c r="O882">
        <v>0.45</v>
      </c>
      <c r="P882">
        <v>0.1343</v>
      </c>
      <c r="Q882">
        <v>0</v>
      </c>
      <c r="R882">
        <v>2</v>
      </c>
      <c r="S882">
        <v>2</v>
      </c>
    </row>
    <row r="883" spans="1:19" x14ac:dyDescent="0.3">
      <c r="A883">
        <v>882</v>
      </c>
      <c r="B883" s="4">
        <v>40583</v>
      </c>
      <c r="C883">
        <v>2</v>
      </c>
      <c r="D883">
        <v>5</v>
      </c>
      <c r="E883" t="str">
        <f t="shared" si="39"/>
        <v>5 AM</v>
      </c>
      <c r="F883" t="str">
        <f t="shared" si="40"/>
        <v>Morning</v>
      </c>
      <c r="G883" t="b">
        <v>0</v>
      </c>
      <c r="H883">
        <v>3</v>
      </c>
      <c r="I883" t="str">
        <f>_xlfn.XLOOKUP(Append15[[#This Row],[Week day]],Mappings!$B$3:$B$9,Mappings!$C$3:$C$9)</f>
        <v>Wednesday</v>
      </c>
      <c r="J883" t="str">
        <f t="shared" si="41"/>
        <v>Weekday</v>
      </c>
      <c r="K883">
        <v>1</v>
      </c>
      <c r="L883" t="str">
        <f>_xlfn.XLOOKUP(Append15[[#This Row],[WeatherSituation]],Mappings!$E$3:$E$6,Mappings!$F$3:$F$6)</f>
        <v>Clear Sky</v>
      </c>
      <c r="M883">
        <v>0.06</v>
      </c>
      <c r="N883">
        <v>0.1061</v>
      </c>
      <c r="O883">
        <v>0.45</v>
      </c>
      <c r="P883">
        <v>0.1045</v>
      </c>
      <c r="Q883">
        <v>0</v>
      </c>
      <c r="R883">
        <v>7</v>
      </c>
      <c r="S883">
        <v>7</v>
      </c>
    </row>
    <row r="884" spans="1:19" x14ac:dyDescent="0.3">
      <c r="A884">
        <v>883</v>
      </c>
      <c r="B884" s="4">
        <v>40583</v>
      </c>
      <c r="C884">
        <v>2</v>
      </c>
      <c r="D884">
        <v>6</v>
      </c>
      <c r="E884" t="str">
        <f t="shared" si="39"/>
        <v>6 AM</v>
      </c>
      <c r="F884" t="str">
        <f t="shared" si="40"/>
        <v>Morning</v>
      </c>
      <c r="G884" t="b">
        <v>0</v>
      </c>
      <c r="H884">
        <v>3</v>
      </c>
      <c r="I884" t="str">
        <f>_xlfn.XLOOKUP(Append15[[#This Row],[Week day]],Mappings!$B$3:$B$9,Mappings!$C$3:$C$9)</f>
        <v>Wednesday</v>
      </c>
      <c r="J884" t="str">
        <f t="shared" si="41"/>
        <v>Weekday</v>
      </c>
      <c r="K884">
        <v>1</v>
      </c>
      <c r="L884" t="str">
        <f>_xlfn.XLOOKUP(Append15[[#This Row],[WeatherSituation]],Mappings!$E$3:$E$6,Mappings!$F$3:$F$6)</f>
        <v>Clear Sky</v>
      </c>
      <c r="M884">
        <v>0.06</v>
      </c>
      <c r="N884">
        <v>0.1515</v>
      </c>
      <c r="O884">
        <v>0.45</v>
      </c>
      <c r="P884">
        <v>0</v>
      </c>
      <c r="Q884">
        <v>0</v>
      </c>
      <c r="R884">
        <v>43</v>
      </c>
      <c r="S884">
        <v>43</v>
      </c>
    </row>
    <row r="885" spans="1:19" x14ac:dyDescent="0.3">
      <c r="A885">
        <v>884</v>
      </c>
      <c r="B885" s="4">
        <v>40583</v>
      </c>
      <c r="C885">
        <v>2</v>
      </c>
      <c r="D885">
        <v>7</v>
      </c>
      <c r="E885" t="str">
        <f t="shared" si="39"/>
        <v>7 AM</v>
      </c>
      <c r="F885" t="str">
        <f t="shared" si="40"/>
        <v>Morning</v>
      </c>
      <c r="G885" t="b">
        <v>0</v>
      </c>
      <c r="H885">
        <v>3</v>
      </c>
      <c r="I885" t="str">
        <f>_xlfn.XLOOKUP(Append15[[#This Row],[Week day]],Mappings!$B$3:$B$9,Mappings!$C$3:$C$9)</f>
        <v>Wednesday</v>
      </c>
      <c r="J885" t="str">
        <f t="shared" si="41"/>
        <v>Weekday</v>
      </c>
      <c r="K885">
        <v>1</v>
      </c>
      <c r="L885" t="str">
        <f>_xlfn.XLOOKUP(Append15[[#This Row],[WeatherSituation]],Mappings!$E$3:$E$6,Mappings!$F$3:$F$6)</f>
        <v>Clear Sky</v>
      </c>
      <c r="M885">
        <v>0.06</v>
      </c>
      <c r="N885">
        <v>0.1061</v>
      </c>
      <c r="O885">
        <v>0.49</v>
      </c>
      <c r="P885">
        <v>0.1045</v>
      </c>
      <c r="Q885">
        <v>4</v>
      </c>
      <c r="R885">
        <v>95</v>
      </c>
      <c r="S885">
        <v>99</v>
      </c>
    </row>
    <row r="886" spans="1:19" x14ac:dyDescent="0.3">
      <c r="A886">
        <v>885</v>
      </c>
      <c r="B886" s="4">
        <v>40583</v>
      </c>
      <c r="C886">
        <v>2</v>
      </c>
      <c r="D886">
        <v>8</v>
      </c>
      <c r="E886" t="str">
        <f t="shared" si="39"/>
        <v>8 AM</v>
      </c>
      <c r="F886" t="str">
        <f t="shared" si="40"/>
        <v>Morning</v>
      </c>
      <c r="G886" t="b">
        <v>0</v>
      </c>
      <c r="H886">
        <v>3</v>
      </c>
      <c r="I886" t="str">
        <f>_xlfn.XLOOKUP(Append15[[#This Row],[Week day]],Mappings!$B$3:$B$9,Mappings!$C$3:$C$9)</f>
        <v>Wednesday</v>
      </c>
      <c r="J886" t="str">
        <f t="shared" si="41"/>
        <v>Weekday</v>
      </c>
      <c r="K886">
        <v>1</v>
      </c>
      <c r="L886" t="str">
        <f>_xlfn.XLOOKUP(Append15[[#This Row],[WeatherSituation]],Mappings!$E$3:$E$6,Mappings!$F$3:$F$6)</f>
        <v>Clear Sky</v>
      </c>
      <c r="M886">
        <v>0.1</v>
      </c>
      <c r="N886">
        <v>0.13639999999999999</v>
      </c>
      <c r="O886">
        <v>0.42</v>
      </c>
      <c r="P886">
        <v>0</v>
      </c>
      <c r="Q886">
        <v>1</v>
      </c>
      <c r="R886">
        <v>198</v>
      </c>
      <c r="S886">
        <v>199</v>
      </c>
    </row>
    <row r="887" spans="1:19" x14ac:dyDescent="0.3">
      <c r="A887">
        <v>886</v>
      </c>
      <c r="B887" s="4">
        <v>40583</v>
      </c>
      <c r="C887">
        <v>2</v>
      </c>
      <c r="D887">
        <v>9</v>
      </c>
      <c r="E887" t="str">
        <f t="shared" si="39"/>
        <v>9 AM</v>
      </c>
      <c r="F887" t="str">
        <f t="shared" si="40"/>
        <v>Morning</v>
      </c>
      <c r="G887" t="b">
        <v>0</v>
      </c>
      <c r="H887">
        <v>3</v>
      </c>
      <c r="I887" t="str">
        <f>_xlfn.XLOOKUP(Append15[[#This Row],[Week day]],Mappings!$B$3:$B$9,Mappings!$C$3:$C$9)</f>
        <v>Wednesday</v>
      </c>
      <c r="J887" t="str">
        <f t="shared" si="41"/>
        <v>Weekday</v>
      </c>
      <c r="K887">
        <v>1</v>
      </c>
      <c r="L887" t="str">
        <f>_xlfn.XLOOKUP(Append15[[#This Row],[WeatherSituation]],Mappings!$E$3:$E$6,Mappings!$F$3:$F$6)</f>
        <v>Clear Sky</v>
      </c>
      <c r="M887">
        <v>0.12</v>
      </c>
      <c r="N887">
        <v>0.13639999999999999</v>
      </c>
      <c r="O887">
        <v>0.39</v>
      </c>
      <c r="P887">
        <v>0.16420000000000001</v>
      </c>
      <c r="Q887">
        <v>4</v>
      </c>
      <c r="R887">
        <v>119</v>
      </c>
      <c r="S887">
        <v>123</v>
      </c>
    </row>
    <row r="888" spans="1:19" x14ac:dyDescent="0.3">
      <c r="A888">
        <v>887</v>
      </c>
      <c r="B888" s="4">
        <v>40583</v>
      </c>
      <c r="C888">
        <v>2</v>
      </c>
      <c r="D888">
        <v>10</v>
      </c>
      <c r="E888" t="str">
        <f t="shared" si="39"/>
        <v>10 AM</v>
      </c>
      <c r="F888" t="str">
        <f t="shared" si="40"/>
        <v>Morning</v>
      </c>
      <c r="G888" t="b">
        <v>0</v>
      </c>
      <c r="H888">
        <v>3</v>
      </c>
      <c r="I888" t="str">
        <f>_xlfn.XLOOKUP(Append15[[#This Row],[Week day]],Mappings!$B$3:$B$9,Mappings!$C$3:$C$9)</f>
        <v>Wednesday</v>
      </c>
      <c r="J888" t="str">
        <f t="shared" si="41"/>
        <v>Weekday</v>
      </c>
      <c r="K888">
        <v>1</v>
      </c>
      <c r="L888" t="str">
        <f>_xlfn.XLOOKUP(Append15[[#This Row],[WeatherSituation]],Mappings!$E$3:$E$6,Mappings!$F$3:$F$6)</f>
        <v>Clear Sky</v>
      </c>
      <c r="M888">
        <v>0.14000000000000001</v>
      </c>
      <c r="N888">
        <v>0.18179999999999999</v>
      </c>
      <c r="O888">
        <v>0.36</v>
      </c>
      <c r="P888">
        <v>0</v>
      </c>
      <c r="Q888">
        <v>8</v>
      </c>
      <c r="R888">
        <v>51</v>
      </c>
      <c r="S888">
        <v>59</v>
      </c>
    </row>
    <row r="889" spans="1:19" x14ac:dyDescent="0.3">
      <c r="A889">
        <v>888</v>
      </c>
      <c r="B889" s="4">
        <v>40583</v>
      </c>
      <c r="C889">
        <v>2</v>
      </c>
      <c r="D889">
        <v>11</v>
      </c>
      <c r="E889" t="str">
        <f t="shared" si="39"/>
        <v>11 AM</v>
      </c>
      <c r="F889" t="str">
        <f t="shared" si="40"/>
        <v>Morning</v>
      </c>
      <c r="G889" t="b">
        <v>0</v>
      </c>
      <c r="H889">
        <v>3</v>
      </c>
      <c r="I889" t="str">
        <f>_xlfn.XLOOKUP(Append15[[#This Row],[Week day]],Mappings!$B$3:$B$9,Mappings!$C$3:$C$9)</f>
        <v>Wednesday</v>
      </c>
      <c r="J889" t="str">
        <f t="shared" si="41"/>
        <v>Weekday</v>
      </c>
      <c r="K889">
        <v>2</v>
      </c>
      <c r="L889" t="str">
        <f>_xlfn.XLOOKUP(Append15[[#This Row],[WeatherSituation]],Mappings!$E$3:$E$6,Mappings!$F$3:$F$6)</f>
        <v>Mist/Cloudy</v>
      </c>
      <c r="M889">
        <v>0.14000000000000001</v>
      </c>
      <c r="N889">
        <v>0.1515</v>
      </c>
      <c r="O889">
        <v>0.43</v>
      </c>
      <c r="P889">
        <v>0.16420000000000001</v>
      </c>
      <c r="Q889">
        <v>1</v>
      </c>
      <c r="R889">
        <v>40</v>
      </c>
      <c r="S889">
        <v>41</v>
      </c>
    </row>
    <row r="890" spans="1:19" x14ac:dyDescent="0.3">
      <c r="A890">
        <v>889</v>
      </c>
      <c r="B890" s="4">
        <v>40583</v>
      </c>
      <c r="C890">
        <v>2</v>
      </c>
      <c r="D890">
        <v>12</v>
      </c>
      <c r="E890" t="str">
        <f t="shared" si="39"/>
        <v>12 PM</v>
      </c>
      <c r="F890" t="str">
        <f t="shared" si="40"/>
        <v>AfterNoon</v>
      </c>
      <c r="G890" t="b">
        <v>0</v>
      </c>
      <c r="H890">
        <v>3</v>
      </c>
      <c r="I890" t="str">
        <f>_xlfn.XLOOKUP(Append15[[#This Row],[Week day]],Mappings!$B$3:$B$9,Mappings!$C$3:$C$9)</f>
        <v>Wednesday</v>
      </c>
      <c r="J890" t="str">
        <f t="shared" si="41"/>
        <v>Weekday</v>
      </c>
      <c r="K890">
        <v>2</v>
      </c>
      <c r="L890" t="str">
        <f>_xlfn.XLOOKUP(Append15[[#This Row],[WeatherSituation]],Mappings!$E$3:$E$6,Mappings!$F$3:$F$6)</f>
        <v>Mist/Cloudy</v>
      </c>
      <c r="M890">
        <v>0.18</v>
      </c>
      <c r="N890">
        <v>0.18179999999999999</v>
      </c>
      <c r="O890">
        <v>0.4</v>
      </c>
      <c r="P890">
        <v>0.22389999999999999</v>
      </c>
      <c r="Q890">
        <v>4</v>
      </c>
      <c r="R890">
        <v>57</v>
      </c>
      <c r="S890">
        <v>61</v>
      </c>
    </row>
    <row r="891" spans="1:19" x14ac:dyDescent="0.3">
      <c r="A891">
        <v>890</v>
      </c>
      <c r="B891" s="4">
        <v>40583</v>
      </c>
      <c r="C891">
        <v>2</v>
      </c>
      <c r="D891">
        <v>13</v>
      </c>
      <c r="E891" t="str">
        <f t="shared" si="39"/>
        <v>1 PM</v>
      </c>
      <c r="F891" t="str">
        <f t="shared" si="40"/>
        <v>AfterNoon</v>
      </c>
      <c r="G891" t="b">
        <v>0</v>
      </c>
      <c r="H891">
        <v>3</v>
      </c>
      <c r="I891" t="str">
        <f>_xlfn.XLOOKUP(Append15[[#This Row],[Week day]],Mappings!$B$3:$B$9,Mappings!$C$3:$C$9)</f>
        <v>Wednesday</v>
      </c>
      <c r="J891" t="str">
        <f t="shared" si="41"/>
        <v>Weekday</v>
      </c>
      <c r="K891">
        <v>1</v>
      </c>
      <c r="L891" t="str">
        <f>_xlfn.XLOOKUP(Append15[[#This Row],[WeatherSituation]],Mappings!$E$3:$E$6,Mappings!$F$3:$F$6)</f>
        <v>Clear Sky</v>
      </c>
      <c r="M891">
        <v>0.18</v>
      </c>
      <c r="N891">
        <v>0.16669999999999999</v>
      </c>
      <c r="O891">
        <v>0.4</v>
      </c>
      <c r="P891">
        <v>0.25369999999999998</v>
      </c>
      <c r="Q891">
        <v>2</v>
      </c>
      <c r="R891">
        <v>67</v>
      </c>
      <c r="S891">
        <v>69</v>
      </c>
    </row>
    <row r="892" spans="1:19" x14ac:dyDescent="0.3">
      <c r="A892">
        <v>891</v>
      </c>
      <c r="B892" s="4">
        <v>40583</v>
      </c>
      <c r="C892">
        <v>2</v>
      </c>
      <c r="D892">
        <v>14</v>
      </c>
      <c r="E892" t="str">
        <f t="shared" si="39"/>
        <v>2 PM</v>
      </c>
      <c r="F892" t="str">
        <f t="shared" si="40"/>
        <v>AfterNoon</v>
      </c>
      <c r="G892" t="b">
        <v>0</v>
      </c>
      <c r="H892">
        <v>3</v>
      </c>
      <c r="I892" t="str">
        <f>_xlfn.XLOOKUP(Append15[[#This Row],[Week day]],Mappings!$B$3:$B$9,Mappings!$C$3:$C$9)</f>
        <v>Wednesday</v>
      </c>
      <c r="J892" t="str">
        <f t="shared" si="41"/>
        <v>Weekday</v>
      </c>
      <c r="K892">
        <v>1</v>
      </c>
      <c r="L892" t="str">
        <f>_xlfn.XLOOKUP(Append15[[#This Row],[WeatherSituation]],Mappings!$E$3:$E$6,Mappings!$F$3:$F$6)</f>
        <v>Clear Sky</v>
      </c>
      <c r="M892">
        <v>0.2</v>
      </c>
      <c r="N892">
        <v>0.18179999999999999</v>
      </c>
      <c r="O892">
        <v>0.34</v>
      </c>
      <c r="P892">
        <v>0.29849999999999999</v>
      </c>
      <c r="Q892">
        <v>2</v>
      </c>
      <c r="R892">
        <v>56</v>
      </c>
      <c r="S892">
        <v>58</v>
      </c>
    </row>
    <row r="893" spans="1:19" x14ac:dyDescent="0.3">
      <c r="A893">
        <v>892</v>
      </c>
      <c r="B893" s="4">
        <v>40583</v>
      </c>
      <c r="C893">
        <v>2</v>
      </c>
      <c r="D893">
        <v>15</v>
      </c>
      <c r="E893" t="str">
        <f t="shared" si="39"/>
        <v>3 PM</v>
      </c>
      <c r="F893" t="str">
        <f t="shared" si="40"/>
        <v>AfterNoon</v>
      </c>
      <c r="G893" t="b">
        <v>0</v>
      </c>
      <c r="H893">
        <v>3</v>
      </c>
      <c r="I893" t="str">
        <f>_xlfn.XLOOKUP(Append15[[#This Row],[Week day]],Mappings!$B$3:$B$9,Mappings!$C$3:$C$9)</f>
        <v>Wednesday</v>
      </c>
      <c r="J893" t="str">
        <f t="shared" si="41"/>
        <v>Weekday</v>
      </c>
      <c r="K893">
        <v>2</v>
      </c>
      <c r="L893" t="str">
        <f>_xlfn.XLOOKUP(Append15[[#This Row],[WeatherSituation]],Mappings!$E$3:$E$6,Mappings!$F$3:$F$6)</f>
        <v>Mist/Cloudy</v>
      </c>
      <c r="M893">
        <v>0.2</v>
      </c>
      <c r="N893">
        <v>0.18179999999999999</v>
      </c>
      <c r="O893">
        <v>0.34</v>
      </c>
      <c r="P893">
        <v>0.28360000000000002</v>
      </c>
      <c r="Q893">
        <v>3</v>
      </c>
      <c r="R893">
        <v>61</v>
      </c>
      <c r="S893">
        <v>64</v>
      </c>
    </row>
    <row r="894" spans="1:19" x14ac:dyDescent="0.3">
      <c r="A894">
        <v>893</v>
      </c>
      <c r="B894" s="4">
        <v>40583</v>
      </c>
      <c r="C894">
        <v>2</v>
      </c>
      <c r="D894">
        <v>16</v>
      </c>
      <c r="E894" t="str">
        <f t="shared" si="39"/>
        <v>4 PM</v>
      </c>
      <c r="F894" t="str">
        <f t="shared" si="40"/>
        <v>Evening</v>
      </c>
      <c r="G894" t="b">
        <v>0</v>
      </c>
      <c r="H894">
        <v>3</v>
      </c>
      <c r="I894" t="str">
        <f>_xlfn.XLOOKUP(Append15[[#This Row],[Week day]],Mappings!$B$3:$B$9,Mappings!$C$3:$C$9)</f>
        <v>Wednesday</v>
      </c>
      <c r="J894" t="str">
        <f t="shared" si="41"/>
        <v>Weekday</v>
      </c>
      <c r="K894">
        <v>2</v>
      </c>
      <c r="L894" t="str">
        <f>_xlfn.XLOOKUP(Append15[[#This Row],[WeatherSituation]],Mappings!$E$3:$E$6,Mappings!$F$3:$F$6)</f>
        <v>Mist/Cloudy</v>
      </c>
      <c r="M894">
        <v>0.2</v>
      </c>
      <c r="N894">
        <v>0.19700000000000001</v>
      </c>
      <c r="O894">
        <v>0.37</v>
      </c>
      <c r="P894">
        <v>0.25369999999999998</v>
      </c>
      <c r="Q894">
        <v>7</v>
      </c>
      <c r="R894">
        <v>72</v>
      </c>
      <c r="S894">
        <v>79</v>
      </c>
    </row>
    <row r="895" spans="1:19" x14ac:dyDescent="0.3">
      <c r="A895">
        <v>894</v>
      </c>
      <c r="B895" s="4">
        <v>40583</v>
      </c>
      <c r="C895">
        <v>2</v>
      </c>
      <c r="D895">
        <v>17</v>
      </c>
      <c r="E895" t="str">
        <f t="shared" si="39"/>
        <v>5 PM</v>
      </c>
      <c r="F895" t="str">
        <f t="shared" si="40"/>
        <v>Evening</v>
      </c>
      <c r="G895" t="b">
        <v>0</v>
      </c>
      <c r="H895">
        <v>3</v>
      </c>
      <c r="I895" t="str">
        <f>_xlfn.XLOOKUP(Append15[[#This Row],[Week day]],Mappings!$B$3:$B$9,Mappings!$C$3:$C$9)</f>
        <v>Wednesday</v>
      </c>
      <c r="J895" t="str">
        <f t="shared" si="41"/>
        <v>Weekday</v>
      </c>
      <c r="K895">
        <v>2</v>
      </c>
      <c r="L895" t="str">
        <f>_xlfn.XLOOKUP(Append15[[#This Row],[WeatherSituation]],Mappings!$E$3:$E$6,Mappings!$F$3:$F$6)</f>
        <v>Mist/Cloudy</v>
      </c>
      <c r="M895">
        <v>0.2</v>
      </c>
      <c r="N895">
        <v>0.19700000000000001</v>
      </c>
      <c r="O895">
        <v>0.34</v>
      </c>
      <c r="P895">
        <v>0.25369999999999998</v>
      </c>
      <c r="Q895">
        <v>9</v>
      </c>
      <c r="R895">
        <v>157</v>
      </c>
      <c r="S895">
        <v>166</v>
      </c>
    </row>
    <row r="896" spans="1:19" x14ac:dyDescent="0.3">
      <c r="A896">
        <v>895</v>
      </c>
      <c r="B896" s="4">
        <v>40583</v>
      </c>
      <c r="C896">
        <v>2</v>
      </c>
      <c r="D896">
        <v>18</v>
      </c>
      <c r="E896" t="str">
        <f t="shared" si="39"/>
        <v>6 PM</v>
      </c>
      <c r="F896" t="str">
        <f t="shared" si="40"/>
        <v>Evening</v>
      </c>
      <c r="G896" t="b">
        <v>0</v>
      </c>
      <c r="H896">
        <v>3</v>
      </c>
      <c r="I896" t="str">
        <f>_xlfn.XLOOKUP(Append15[[#This Row],[Week day]],Mappings!$B$3:$B$9,Mappings!$C$3:$C$9)</f>
        <v>Wednesday</v>
      </c>
      <c r="J896" t="str">
        <f t="shared" si="41"/>
        <v>Weekday</v>
      </c>
      <c r="K896">
        <v>2</v>
      </c>
      <c r="L896" t="str">
        <f>_xlfn.XLOOKUP(Append15[[#This Row],[WeatherSituation]],Mappings!$E$3:$E$6,Mappings!$F$3:$F$6)</f>
        <v>Mist/Cloudy</v>
      </c>
      <c r="M896">
        <v>0.18</v>
      </c>
      <c r="N896">
        <v>0.16669999999999999</v>
      </c>
      <c r="O896">
        <v>0.47</v>
      </c>
      <c r="P896">
        <v>0.29849999999999999</v>
      </c>
      <c r="Q896">
        <v>2</v>
      </c>
      <c r="R896">
        <v>168</v>
      </c>
      <c r="S896">
        <v>170</v>
      </c>
    </row>
    <row r="897" spans="1:19" x14ac:dyDescent="0.3">
      <c r="A897">
        <v>896</v>
      </c>
      <c r="B897" s="4">
        <v>40583</v>
      </c>
      <c r="C897">
        <v>2</v>
      </c>
      <c r="D897">
        <v>19</v>
      </c>
      <c r="E897" t="str">
        <f t="shared" si="39"/>
        <v>7 PM</v>
      </c>
      <c r="F897" t="str">
        <f t="shared" si="40"/>
        <v>Evening</v>
      </c>
      <c r="G897" t="b">
        <v>0</v>
      </c>
      <c r="H897">
        <v>3</v>
      </c>
      <c r="I897" t="str">
        <f>_xlfn.XLOOKUP(Append15[[#This Row],[Week day]],Mappings!$B$3:$B$9,Mappings!$C$3:$C$9)</f>
        <v>Wednesday</v>
      </c>
      <c r="J897" t="str">
        <f t="shared" si="41"/>
        <v>Weekday</v>
      </c>
      <c r="K897">
        <v>3</v>
      </c>
      <c r="L897" t="str">
        <f>_xlfn.XLOOKUP(Append15[[#This Row],[WeatherSituation]],Mappings!$E$3:$E$6,Mappings!$F$3:$F$6)</f>
        <v>Light Rain</v>
      </c>
      <c r="M897">
        <v>0.14000000000000001</v>
      </c>
      <c r="N897">
        <v>0.1212</v>
      </c>
      <c r="O897">
        <v>0.86</v>
      </c>
      <c r="P897">
        <v>0.25369999999999998</v>
      </c>
      <c r="Q897">
        <v>1</v>
      </c>
      <c r="R897">
        <v>87</v>
      </c>
      <c r="S897">
        <v>88</v>
      </c>
    </row>
    <row r="898" spans="1:19" x14ac:dyDescent="0.3">
      <c r="A898">
        <v>897</v>
      </c>
      <c r="B898" s="4">
        <v>40583</v>
      </c>
      <c r="C898">
        <v>2</v>
      </c>
      <c r="D898">
        <v>20</v>
      </c>
      <c r="E898" t="str">
        <f t="shared" ref="E898:E961" si="42">TEXT(D898/24,"h AM/PM")</f>
        <v>8 PM</v>
      </c>
      <c r="F898" t="str">
        <f t="shared" ref="F898:F961" si="43">IF(D898&lt;5,"Night",
IF(D898&lt;=11,"Morning",
IF(D898&lt;16,"AfterNoon",
IF(D898&lt;20,"Evening","Night"))))</f>
        <v>Night</v>
      </c>
      <c r="G898" t="b">
        <v>0</v>
      </c>
      <c r="H898">
        <v>3</v>
      </c>
      <c r="I898" t="str">
        <f>_xlfn.XLOOKUP(Append15[[#This Row],[Week day]],Mappings!$B$3:$B$9,Mappings!$C$3:$C$9)</f>
        <v>Wednesday</v>
      </c>
      <c r="J898" t="str">
        <f t="shared" ref="J898:J961" si="44">IF(OR(H898=0,H898=6),"Weekend","Weekday")</f>
        <v>Weekday</v>
      </c>
      <c r="K898">
        <v>3</v>
      </c>
      <c r="L898" t="str">
        <f>_xlfn.XLOOKUP(Append15[[#This Row],[WeatherSituation]],Mappings!$E$3:$E$6,Mappings!$F$3:$F$6)</f>
        <v>Light Rain</v>
      </c>
      <c r="M898">
        <v>0.14000000000000001</v>
      </c>
      <c r="N898">
        <v>0.1515</v>
      </c>
      <c r="O898">
        <v>0.86</v>
      </c>
      <c r="P898">
        <v>0.16420000000000001</v>
      </c>
      <c r="Q898">
        <v>0</v>
      </c>
      <c r="R898">
        <v>84</v>
      </c>
      <c r="S898">
        <v>84</v>
      </c>
    </row>
    <row r="899" spans="1:19" x14ac:dyDescent="0.3">
      <c r="A899">
        <v>898</v>
      </c>
      <c r="B899" s="4">
        <v>40583</v>
      </c>
      <c r="C899">
        <v>2</v>
      </c>
      <c r="D899">
        <v>21</v>
      </c>
      <c r="E899" t="str">
        <f t="shared" si="42"/>
        <v>9 PM</v>
      </c>
      <c r="F899" t="str">
        <f t="shared" si="43"/>
        <v>Night</v>
      </c>
      <c r="G899" t="b">
        <v>0</v>
      </c>
      <c r="H899">
        <v>3</v>
      </c>
      <c r="I899" t="str">
        <f>_xlfn.XLOOKUP(Append15[[#This Row],[Week day]],Mappings!$B$3:$B$9,Mappings!$C$3:$C$9)</f>
        <v>Wednesday</v>
      </c>
      <c r="J899" t="str">
        <f t="shared" si="44"/>
        <v>Weekday</v>
      </c>
      <c r="K899">
        <v>2</v>
      </c>
      <c r="L899" t="str">
        <f>_xlfn.XLOOKUP(Append15[[#This Row],[WeatherSituation]],Mappings!$E$3:$E$6,Mappings!$F$3:$F$6)</f>
        <v>Mist/Cloudy</v>
      </c>
      <c r="M899">
        <v>0.14000000000000001</v>
      </c>
      <c r="N899">
        <v>0.1515</v>
      </c>
      <c r="O899">
        <v>0.86</v>
      </c>
      <c r="P899">
        <v>0.16420000000000001</v>
      </c>
      <c r="Q899">
        <v>0</v>
      </c>
      <c r="R899">
        <v>83</v>
      </c>
      <c r="S899">
        <v>83</v>
      </c>
    </row>
    <row r="900" spans="1:19" x14ac:dyDescent="0.3">
      <c r="A900">
        <v>899</v>
      </c>
      <c r="B900" s="4">
        <v>40583</v>
      </c>
      <c r="C900">
        <v>2</v>
      </c>
      <c r="D900">
        <v>22</v>
      </c>
      <c r="E900" t="str">
        <f t="shared" si="42"/>
        <v>10 PM</v>
      </c>
      <c r="F900" t="str">
        <f t="shared" si="43"/>
        <v>Night</v>
      </c>
      <c r="G900" t="b">
        <v>0</v>
      </c>
      <c r="H900">
        <v>3</v>
      </c>
      <c r="I900" t="str">
        <f>_xlfn.XLOOKUP(Append15[[#This Row],[Week day]],Mappings!$B$3:$B$9,Mappings!$C$3:$C$9)</f>
        <v>Wednesday</v>
      </c>
      <c r="J900" t="str">
        <f t="shared" si="44"/>
        <v>Weekday</v>
      </c>
      <c r="K900">
        <v>3</v>
      </c>
      <c r="L900" t="str">
        <f>_xlfn.XLOOKUP(Append15[[#This Row],[WeatherSituation]],Mappings!$E$3:$E$6,Mappings!$F$3:$F$6)</f>
        <v>Light Rain</v>
      </c>
      <c r="M900">
        <v>0.16</v>
      </c>
      <c r="N900">
        <v>0.16669999999999999</v>
      </c>
      <c r="O900">
        <v>0.8</v>
      </c>
      <c r="P900">
        <v>0.16420000000000001</v>
      </c>
      <c r="Q900">
        <v>4</v>
      </c>
      <c r="R900">
        <v>42</v>
      </c>
      <c r="S900">
        <v>46</v>
      </c>
    </row>
    <row r="901" spans="1:19" x14ac:dyDescent="0.3">
      <c r="A901">
        <v>900</v>
      </c>
      <c r="B901" s="4">
        <v>40583</v>
      </c>
      <c r="C901">
        <v>2</v>
      </c>
      <c r="D901">
        <v>23</v>
      </c>
      <c r="E901" t="str">
        <f t="shared" si="42"/>
        <v>11 PM</v>
      </c>
      <c r="F901" t="str">
        <f t="shared" si="43"/>
        <v>Night</v>
      </c>
      <c r="G901" t="b">
        <v>0</v>
      </c>
      <c r="H901">
        <v>3</v>
      </c>
      <c r="I901" t="str">
        <f>_xlfn.XLOOKUP(Append15[[#This Row],[Week day]],Mappings!$B$3:$B$9,Mappings!$C$3:$C$9)</f>
        <v>Wednesday</v>
      </c>
      <c r="J901" t="str">
        <f t="shared" si="44"/>
        <v>Weekday</v>
      </c>
      <c r="K901">
        <v>3</v>
      </c>
      <c r="L901" t="str">
        <f>_xlfn.XLOOKUP(Append15[[#This Row],[WeatherSituation]],Mappings!$E$3:$E$6,Mappings!$F$3:$F$6)</f>
        <v>Light Rain</v>
      </c>
      <c r="M901">
        <v>0.16</v>
      </c>
      <c r="N901">
        <v>0.1515</v>
      </c>
      <c r="O901">
        <v>0.8</v>
      </c>
      <c r="P901">
        <v>0.19400000000000001</v>
      </c>
      <c r="Q901">
        <v>0</v>
      </c>
      <c r="R901">
        <v>37</v>
      </c>
      <c r="S901">
        <v>37</v>
      </c>
    </row>
    <row r="902" spans="1:19" x14ac:dyDescent="0.3">
      <c r="A902">
        <v>901</v>
      </c>
      <c r="B902" s="4">
        <v>40584</v>
      </c>
      <c r="C902">
        <v>2</v>
      </c>
      <c r="D902">
        <v>0</v>
      </c>
      <c r="E902" t="str">
        <f t="shared" si="42"/>
        <v>12 AM</v>
      </c>
      <c r="F902" t="str">
        <f t="shared" si="43"/>
        <v>Night</v>
      </c>
      <c r="G902" t="b">
        <v>0</v>
      </c>
      <c r="H902">
        <v>4</v>
      </c>
      <c r="I902" t="str">
        <f>_xlfn.XLOOKUP(Append15[[#This Row],[Week day]],Mappings!$B$3:$B$9,Mappings!$C$3:$C$9)</f>
        <v>Thursday</v>
      </c>
      <c r="J902" t="str">
        <f t="shared" si="44"/>
        <v>Weekday</v>
      </c>
      <c r="K902">
        <v>3</v>
      </c>
      <c r="L902" t="str">
        <f>_xlfn.XLOOKUP(Append15[[#This Row],[WeatherSituation]],Mappings!$E$3:$E$6,Mappings!$F$3:$F$6)</f>
        <v>Light Rain</v>
      </c>
      <c r="M902">
        <v>0.14000000000000001</v>
      </c>
      <c r="N902">
        <v>0.13639999999999999</v>
      </c>
      <c r="O902">
        <v>0.86</v>
      </c>
      <c r="P902">
        <v>0.19400000000000001</v>
      </c>
      <c r="Q902">
        <v>0</v>
      </c>
      <c r="R902">
        <v>16</v>
      </c>
      <c r="S902">
        <v>16</v>
      </c>
    </row>
    <row r="903" spans="1:19" x14ac:dyDescent="0.3">
      <c r="A903">
        <v>902</v>
      </c>
      <c r="B903" s="4">
        <v>40584</v>
      </c>
      <c r="C903">
        <v>2</v>
      </c>
      <c r="D903">
        <v>1</v>
      </c>
      <c r="E903" t="str">
        <f t="shared" si="42"/>
        <v>1 AM</v>
      </c>
      <c r="F903" t="str">
        <f t="shared" si="43"/>
        <v>Night</v>
      </c>
      <c r="G903" t="b">
        <v>0</v>
      </c>
      <c r="H903">
        <v>4</v>
      </c>
      <c r="I903" t="str">
        <f>_xlfn.XLOOKUP(Append15[[#This Row],[Week day]],Mappings!$B$3:$B$9,Mappings!$C$3:$C$9)</f>
        <v>Thursday</v>
      </c>
      <c r="J903" t="str">
        <f t="shared" si="44"/>
        <v>Weekday</v>
      </c>
      <c r="K903">
        <v>3</v>
      </c>
      <c r="L903" t="str">
        <f>_xlfn.XLOOKUP(Append15[[#This Row],[WeatherSituation]],Mappings!$E$3:$E$6,Mappings!$F$3:$F$6)</f>
        <v>Light Rain</v>
      </c>
      <c r="M903">
        <v>0.14000000000000001</v>
      </c>
      <c r="N903">
        <v>0.1515</v>
      </c>
      <c r="O903">
        <v>0.8</v>
      </c>
      <c r="P903">
        <v>0.1343</v>
      </c>
      <c r="Q903">
        <v>0</v>
      </c>
      <c r="R903">
        <v>7</v>
      </c>
      <c r="S903">
        <v>7</v>
      </c>
    </row>
    <row r="904" spans="1:19" x14ac:dyDescent="0.3">
      <c r="A904">
        <v>903</v>
      </c>
      <c r="B904" s="4">
        <v>40584</v>
      </c>
      <c r="C904">
        <v>2</v>
      </c>
      <c r="D904">
        <v>2</v>
      </c>
      <c r="E904" t="str">
        <f t="shared" si="42"/>
        <v>2 AM</v>
      </c>
      <c r="F904" t="str">
        <f t="shared" si="43"/>
        <v>Night</v>
      </c>
      <c r="G904" t="b">
        <v>0</v>
      </c>
      <c r="H904">
        <v>4</v>
      </c>
      <c r="I904" t="str">
        <f>_xlfn.XLOOKUP(Append15[[#This Row],[Week day]],Mappings!$B$3:$B$9,Mappings!$C$3:$C$9)</f>
        <v>Thursday</v>
      </c>
      <c r="J904" t="str">
        <f t="shared" si="44"/>
        <v>Weekday</v>
      </c>
      <c r="K904">
        <v>3</v>
      </c>
      <c r="L904" t="str">
        <f>_xlfn.XLOOKUP(Append15[[#This Row],[WeatherSituation]],Mappings!$E$3:$E$6,Mappings!$F$3:$F$6)</f>
        <v>Light Rain</v>
      </c>
      <c r="M904">
        <v>0.14000000000000001</v>
      </c>
      <c r="N904">
        <v>0.1515</v>
      </c>
      <c r="O904">
        <v>0.8</v>
      </c>
      <c r="P904">
        <v>0.1343</v>
      </c>
      <c r="Q904">
        <v>0</v>
      </c>
      <c r="R904">
        <v>3</v>
      </c>
      <c r="S904">
        <v>3</v>
      </c>
    </row>
    <row r="905" spans="1:19" x14ac:dyDescent="0.3">
      <c r="A905">
        <v>904</v>
      </c>
      <c r="B905" s="4">
        <v>40584</v>
      </c>
      <c r="C905">
        <v>2</v>
      </c>
      <c r="D905">
        <v>4</v>
      </c>
      <c r="E905" t="str">
        <f t="shared" si="42"/>
        <v>4 AM</v>
      </c>
      <c r="F905" t="str">
        <f t="shared" si="43"/>
        <v>Night</v>
      </c>
      <c r="G905" t="b">
        <v>0</v>
      </c>
      <c r="H905">
        <v>4</v>
      </c>
      <c r="I905" t="str">
        <f>_xlfn.XLOOKUP(Append15[[#This Row],[Week day]],Mappings!$B$3:$B$9,Mappings!$C$3:$C$9)</f>
        <v>Thursday</v>
      </c>
      <c r="J905" t="str">
        <f t="shared" si="44"/>
        <v>Weekday</v>
      </c>
      <c r="K905">
        <v>2</v>
      </c>
      <c r="L905" t="str">
        <f>_xlfn.XLOOKUP(Append15[[#This Row],[WeatherSituation]],Mappings!$E$3:$E$6,Mappings!$F$3:$F$6)</f>
        <v>Mist/Cloudy</v>
      </c>
      <c r="M905">
        <v>0.14000000000000001</v>
      </c>
      <c r="N905">
        <v>0.13639999999999999</v>
      </c>
      <c r="O905">
        <v>0.59</v>
      </c>
      <c r="P905">
        <v>0.22389999999999999</v>
      </c>
      <c r="Q905">
        <v>0</v>
      </c>
      <c r="R905">
        <v>1</v>
      </c>
      <c r="S905">
        <v>1</v>
      </c>
    </row>
    <row r="906" spans="1:19" x14ac:dyDescent="0.3">
      <c r="A906">
        <v>905</v>
      </c>
      <c r="B906" s="4">
        <v>40584</v>
      </c>
      <c r="C906">
        <v>2</v>
      </c>
      <c r="D906">
        <v>5</v>
      </c>
      <c r="E906" t="str">
        <f t="shared" si="42"/>
        <v>5 AM</v>
      </c>
      <c r="F906" t="str">
        <f t="shared" si="43"/>
        <v>Morning</v>
      </c>
      <c r="G906" t="b">
        <v>0</v>
      </c>
      <c r="H906">
        <v>4</v>
      </c>
      <c r="I906" t="str">
        <f>_xlfn.XLOOKUP(Append15[[#This Row],[Week day]],Mappings!$B$3:$B$9,Mappings!$C$3:$C$9)</f>
        <v>Thursday</v>
      </c>
      <c r="J906" t="str">
        <f t="shared" si="44"/>
        <v>Weekday</v>
      </c>
      <c r="K906">
        <v>2</v>
      </c>
      <c r="L906" t="str">
        <f>_xlfn.XLOOKUP(Append15[[#This Row],[WeatherSituation]],Mappings!$E$3:$E$6,Mappings!$F$3:$F$6)</f>
        <v>Mist/Cloudy</v>
      </c>
      <c r="M906">
        <v>0.12</v>
      </c>
      <c r="N906">
        <v>0.1212</v>
      </c>
      <c r="O906">
        <v>0.5</v>
      </c>
      <c r="P906">
        <v>0.22389999999999999</v>
      </c>
      <c r="Q906">
        <v>0</v>
      </c>
      <c r="R906">
        <v>6</v>
      </c>
      <c r="S906">
        <v>6</v>
      </c>
    </row>
    <row r="907" spans="1:19" x14ac:dyDescent="0.3">
      <c r="A907">
        <v>906</v>
      </c>
      <c r="B907" s="4">
        <v>40584</v>
      </c>
      <c r="C907">
        <v>2</v>
      </c>
      <c r="D907">
        <v>6</v>
      </c>
      <c r="E907" t="str">
        <f t="shared" si="42"/>
        <v>6 AM</v>
      </c>
      <c r="F907" t="str">
        <f t="shared" si="43"/>
        <v>Morning</v>
      </c>
      <c r="G907" t="b">
        <v>0</v>
      </c>
      <c r="H907">
        <v>4</v>
      </c>
      <c r="I907" t="str">
        <f>_xlfn.XLOOKUP(Append15[[#This Row],[Week day]],Mappings!$B$3:$B$9,Mappings!$C$3:$C$9)</f>
        <v>Thursday</v>
      </c>
      <c r="J907" t="str">
        <f t="shared" si="44"/>
        <v>Weekday</v>
      </c>
      <c r="K907">
        <v>2</v>
      </c>
      <c r="L907" t="str">
        <f>_xlfn.XLOOKUP(Append15[[#This Row],[WeatherSituation]],Mappings!$E$3:$E$6,Mappings!$F$3:$F$6)</f>
        <v>Mist/Cloudy</v>
      </c>
      <c r="M907">
        <v>0.12</v>
      </c>
      <c r="N907">
        <v>0.1212</v>
      </c>
      <c r="O907">
        <v>0.54</v>
      </c>
      <c r="P907">
        <v>0.28360000000000002</v>
      </c>
      <c r="Q907">
        <v>0</v>
      </c>
      <c r="R907">
        <v>26</v>
      </c>
      <c r="S907">
        <v>26</v>
      </c>
    </row>
    <row r="908" spans="1:19" x14ac:dyDescent="0.3">
      <c r="A908">
        <v>907</v>
      </c>
      <c r="B908" s="4">
        <v>40584</v>
      </c>
      <c r="C908">
        <v>2</v>
      </c>
      <c r="D908">
        <v>7</v>
      </c>
      <c r="E908" t="str">
        <f t="shared" si="42"/>
        <v>7 AM</v>
      </c>
      <c r="F908" t="str">
        <f t="shared" si="43"/>
        <v>Morning</v>
      </c>
      <c r="G908" t="b">
        <v>0</v>
      </c>
      <c r="H908">
        <v>4</v>
      </c>
      <c r="I908" t="str">
        <f>_xlfn.XLOOKUP(Append15[[#This Row],[Week day]],Mappings!$B$3:$B$9,Mappings!$C$3:$C$9)</f>
        <v>Thursday</v>
      </c>
      <c r="J908" t="str">
        <f t="shared" si="44"/>
        <v>Weekday</v>
      </c>
      <c r="K908">
        <v>1</v>
      </c>
      <c r="L908" t="str">
        <f>_xlfn.XLOOKUP(Append15[[#This Row],[WeatherSituation]],Mappings!$E$3:$E$6,Mappings!$F$3:$F$6)</f>
        <v>Clear Sky</v>
      </c>
      <c r="M908">
        <v>0.1</v>
      </c>
      <c r="N908">
        <v>7.5800000000000006E-2</v>
      </c>
      <c r="O908">
        <v>0.5</v>
      </c>
      <c r="P908">
        <v>0.41789999999999999</v>
      </c>
      <c r="Q908">
        <v>0</v>
      </c>
      <c r="R908">
        <v>99</v>
      </c>
      <c r="S908">
        <v>99</v>
      </c>
    </row>
    <row r="909" spans="1:19" x14ac:dyDescent="0.3">
      <c r="A909">
        <v>908</v>
      </c>
      <c r="B909" s="4">
        <v>40584</v>
      </c>
      <c r="C909">
        <v>2</v>
      </c>
      <c r="D909">
        <v>8</v>
      </c>
      <c r="E909" t="str">
        <f t="shared" si="42"/>
        <v>8 AM</v>
      </c>
      <c r="F909" t="str">
        <f t="shared" si="43"/>
        <v>Morning</v>
      </c>
      <c r="G909" t="b">
        <v>0</v>
      </c>
      <c r="H909">
        <v>4</v>
      </c>
      <c r="I909" t="str">
        <f>_xlfn.XLOOKUP(Append15[[#This Row],[Week day]],Mappings!$B$3:$B$9,Mappings!$C$3:$C$9)</f>
        <v>Thursday</v>
      </c>
      <c r="J909" t="str">
        <f t="shared" si="44"/>
        <v>Weekday</v>
      </c>
      <c r="K909">
        <v>1</v>
      </c>
      <c r="L909" t="str">
        <f>_xlfn.XLOOKUP(Append15[[#This Row],[WeatherSituation]],Mappings!$E$3:$E$6,Mappings!$F$3:$F$6)</f>
        <v>Clear Sky</v>
      </c>
      <c r="M909">
        <v>0.1</v>
      </c>
      <c r="N909">
        <v>7.5800000000000006E-2</v>
      </c>
      <c r="O909">
        <v>0.49</v>
      </c>
      <c r="P909">
        <v>0.32840000000000003</v>
      </c>
      <c r="Q909">
        <v>5</v>
      </c>
      <c r="R909">
        <v>173</v>
      </c>
      <c r="S909">
        <v>178</v>
      </c>
    </row>
    <row r="910" spans="1:19" x14ac:dyDescent="0.3">
      <c r="A910">
        <v>909</v>
      </c>
      <c r="B910" s="4">
        <v>40584</v>
      </c>
      <c r="C910">
        <v>2</v>
      </c>
      <c r="D910">
        <v>9</v>
      </c>
      <c r="E910" t="str">
        <f t="shared" si="42"/>
        <v>9 AM</v>
      </c>
      <c r="F910" t="str">
        <f t="shared" si="43"/>
        <v>Morning</v>
      </c>
      <c r="G910" t="b">
        <v>0</v>
      </c>
      <c r="H910">
        <v>4</v>
      </c>
      <c r="I910" t="str">
        <f>_xlfn.XLOOKUP(Append15[[#This Row],[Week day]],Mappings!$B$3:$B$9,Mappings!$C$3:$C$9)</f>
        <v>Thursday</v>
      </c>
      <c r="J910" t="str">
        <f t="shared" si="44"/>
        <v>Weekday</v>
      </c>
      <c r="K910">
        <v>1</v>
      </c>
      <c r="L910" t="str">
        <f>_xlfn.XLOOKUP(Append15[[#This Row],[WeatherSituation]],Mappings!$E$3:$E$6,Mappings!$F$3:$F$6)</f>
        <v>Clear Sky</v>
      </c>
      <c r="M910">
        <v>0.12</v>
      </c>
      <c r="N910">
        <v>0.1061</v>
      </c>
      <c r="O910">
        <v>0.42</v>
      </c>
      <c r="P910">
        <v>0.35820000000000002</v>
      </c>
      <c r="Q910">
        <v>1</v>
      </c>
      <c r="R910">
        <v>121</v>
      </c>
      <c r="S910">
        <v>122</v>
      </c>
    </row>
    <row r="911" spans="1:19" x14ac:dyDescent="0.3">
      <c r="A911">
        <v>910</v>
      </c>
      <c r="B911" s="4">
        <v>40584</v>
      </c>
      <c r="C911">
        <v>2</v>
      </c>
      <c r="D911">
        <v>10</v>
      </c>
      <c r="E911" t="str">
        <f t="shared" si="42"/>
        <v>10 AM</v>
      </c>
      <c r="F911" t="str">
        <f t="shared" si="43"/>
        <v>Morning</v>
      </c>
      <c r="G911" t="b">
        <v>0</v>
      </c>
      <c r="H911">
        <v>4</v>
      </c>
      <c r="I911" t="str">
        <f>_xlfn.XLOOKUP(Append15[[#This Row],[Week day]],Mappings!$B$3:$B$9,Mappings!$C$3:$C$9)</f>
        <v>Thursday</v>
      </c>
      <c r="J911" t="str">
        <f t="shared" si="44"/>
        <v>Weekday</v>
      </c>
      <c r="K911">
        <v>1</v>
      </c>
      <c r="L911" t="str">
        <f>_xlfn.XLOOKUP(Append15[[#This Row],[WeatherSituation]],Mappings!$E$3:$E$6,Mappings!$F$3:$F$6)</f>
        <v>Clear Sky</v>
      </c>
      <c r="M911">
        <v>0.12</v>
      </c>
      <c r="N911">
        <v>0.1061</v>
      </c>
      <c r="O911">
        <v>0.42</v>
      </c>
      <c r="P911">
        <v>0.29849999999999999</v>
      </c>
      <c r="Q911">
        <v>1</v>
      </c>
      <c r="R911">
        <v>34</v>
      </c>
      <c r="S911">
        <v>35</v>
      </c>
    </row>
    <row r="912" spans="1:19" x14ac:dyDescent="0.3">
      <c r="A912">
        <v>911</v>
      </c>
      <c r="B912" s="4">
        <v>40584</v>
      </c>
      <c r="C912">
        <v>2</v>
      </c>
      <c r="D912">
        <v>11</v>
      </c>
      <c r="E912" t="str">
        <f t="shared" si="42"/>
        <v>11 AM</v>
      </c>
      <c r="F912" t="str">
        <f t="shared" si="43"/>
        <v>Morning</v>
      </c>
      <c r="G912" t="b">
        <v>0</v>
      </c>
      <c r="H912">
        <v>4</v>
      </c>
      <c r="I912" t="str">
        <f>_xlfn.XLOOKUP(Append15[[#This Row],[Week day]],Mappings!$B$3:$B$9,Mappings!$C$3:$C$9)</f>
        <v>Thursday</v>
      </c>
      <c r="J912" t="str">
        <f t="shared" si="44"/>
        <v>Weekday</v>
      </c>
      <c r="K912">
        <v>1</v>
      </c>
      <c r="L912" t="str">
        <f>_xlfn.XLOOKUP(Append15[[#This Row],[WeatherSituation]],Mappings!$E$3:$E$6,Mappings!$F$3:$F$6)</f>
        <v>Clear Sky</v>
      </c>
      <c r="M912">
        <v>0.14000000000000001</v>
      </c>
      <c r="N912">
        <v>0.1212</v>
      </c>
      <c r="O912">
        <v>0.39</v>
      </c>
      <c r="P912">
        <v>0.35820000000000002</v>
      </c>
      <c r="Q912">
        <v>1</v>
      </c>
      <c r="R912">
        <v>44</v>
      </c>
      <c r="S912">
        <v>45</v>
      </c>
    </row>
    <row r="913" spans="1:19" x14ac:dyDescent="0.3">
      <c r="A913">
        <v>912</v>
      </c>
      <c r="B913" s="4">
        <v>40584</v>
      </c>
      <c r="C913">
        <v>2</v>
      </c>
      <c r="D913">
        <v>12</v>
      </c>
      <c r="E913" t="str">
        <f t="shared" si="42"/>
        <v>12 PM</v>
      </c>
      <c r="F913" t="str">
        <f t="shared" si="43"/>
        <v>AfterNoon</v>
      </c>
      <c r="G913" t="b">
        <v>0</v>
      </c>
      <c r="H913">
        <v>4</v>
      </c>
      <c r="I913" t="str">
        <f>_xlfn.XLOOKUP(Append15[[#This Row],[Week day]],Mappings!$B$3:$B$9,Mappings!$C$3:$C$9)</f>
        <v>Thursday</v>
      </c>
      <c r="J913" t="str">
        <f t="shared" si="44"/>
        <v>Weekday</v>
      </c>
      <c r="K913">
        <v>1</v>
      </c>
      <c r="L913" t="str">
        <f>_xlfn.XLOOKUP(Append15[[#This Row],[WeatherSituation]],Mappings!$E$3:$E$6,Mappings!$F$3:$F$6)</f>
        <v>Clear Sky</v>
      </c>
      <c r="M913">
        <v>0.16</v>
      </c>
      <c r="N913">
        <v>0.13639999999999999</v>
      </c>
      <c r="O913">
        <v>0.34</v>
      </c>
      <c r="P913">
        <v>0.3881</v>
      </c>
      <c r="Q913">
        <v>4</v>
      </c>
      <c r="R913">
        <v>65</v>
      </c>
      <c r="S913">
        <v>69</v>
      </c>
    </row>
    <row r="914" spans="1:19" x14ac:dyDescent="0.3">
      <c r="A914">
        <v>913</v>
      </c>
      <c r="B914" s="4">
        <v>40584</v>
      </c>
      <c r="C914">
        <v>2</v>
      </c>
      <c r="D914">
        <v>13</v>
      </c>
      <c r="E914" t="str">
        <f t="shared" si="42"/>
        <v>1 PM</v>
      </c>
      <c r="F914" t="str">
        <f t="shared" si="43"/>
        <v>AfterNoon</v>
      </c>
      <c r="G914" t="b">
        <v>0</v>
      </c>
      <c r="H914">
        <v>4</v>
      </c>
      <c r="I914" t="str">
        <f>_xlfn.XLOOKUP(Append15[[#This Row],[Week day]],Mappings!$B$3:$B$9,Mappings!$C$3:$C$9)</f>
        <v>Thursday</v>
      </c>
      <c r="J914" t="str">
        <f t="shared" si="44"/>
        <v>Weekday</v>
      </c>
      <c r="K914">
        <v>1</v>
      </c>
      <c r="L914" t="str">
        <f>_xlfn.XLOOKUP(Append15[[#This Row],[WeatherSituation]],Mappings!$E$3:$E$6,Mappings!$F$3:$F$6)</f>
        <v>Clear Sky</v>
      </c>
      <c r="M914">
        <v>0.18</v>
      </c>
      <c r="N914">
        <v>0.16669999999999999</v>
      </c>
      <c r="O914">
        <v>0.28999999999999998</v>
      </c>
      <c r="P914">
        <v>0.29849999999999999</v>
      </c>
      <c r="Q914">
        <v>3</v>
      </c>
      <c r="R914">
        <v>59</v>
      </c>
      <c r="S914">
        <v>62</v>
      </c>
    </row>
    <row r="915" spans="1:19" x14ac:dyDescent="0.3">
      <c r="A915">
        <v>914</v>
      </c>
      <c r="B915" s="4">
        <v>40584</v>
      </c>
      <c r="C915">
        <v>2</v>
      </c>
      <c r="D915">
        <v>14</v>
      </c>
      <c r="E915" t="str">
        <f t="shared" si="42"/>
        <v>2 PM</v>
      </c>
      <c r="F915" t="str">
        <f t="shared" si="43"/>
        <v>AfterNoon</v>
      </c>
      <c r="G915" t="b">
        <v>0</v>
      </c>
      <c r="H915">
        <v>4</v>
      </c>
      <c r="I915" t="str">
        <f>_xlfn.XLOOKUP(Append15[[#This Row],[Week day]],Mappings!$B$3:$B$9,Mappings!$C$3:$C$9)</f>
        <v>Thursday</v>
      </c>
      <c r="J915" t="str">
        <f t="shared" si="44"/>
        <v>Weekday</v>
      </c>
      <c r="K915">
        <v>1</v>
      </c>
      <c r="L915" t="str">
        <f>_xlfn.XLOOKUP(Append15[[#This Row],[WeatherSituation]],Mappings!$E$3:$E$6,Mappings!$F$3:$F$6)</f>
        <v>Clear Sky</v>
      </c>
      <c r="M915">
        <v>0.2</v>
      </c>
      <c r="N915">
        <v>0.18179999999999999</v>
      </c>
      <c r="O915">
        <v>0.27</v>
      </c>
      <c r="P915">
        <v>0.28360000000000002</v>
      </c>
      <c r="Q915">
        <v>6</v>
      </c>
      <c r="R915">
        <v>42</v>
      </c>
      <c r="S915">
        <v>48</v>
      </c>
    </row>
    <row r="916" spans="1:19" x14ac:dyDescent="0.3">
      <c r="A916">
        <v>915</v>
      </c>
      <c r="B916" s="4">
        <v>40584</v>
      </c>
      <c r="C916">
        <v>2</v>
      </c>
      <c r="D916">
        <v>15</v>
      </c>
      <c r="E916" t="str">
        <f t="shared" si="42"/>
        <v>3 PM</v>
      </c>
      <c r="F916" t="str">
        <f t="shared" si="43"/>
        <v>AfterNoon</v>
      </c>
      <c r="G916" t="b">
        <v>0</v>
      </c>
      <c r="H916">
        <v>4</v>
      </c>
      <c r="I916" t="str">
        <f>_xlfn.XLOOKUP(Append15[[#This Row],[Week day]],Mappings!$B$3:$B$9,Mappings!$C$3:$C$9)</f>
        <v>Thursday</v>
      </c>
      <c r="J916" t="str">
        <f t="shared" si="44"/>
        <v>Weekday</v>
      </c>
      <c r="K916">
        <v>1</v>
      </c>
      <c r="L916" t="str">
        <f>_xlfn.XLOOKUP(Append15[[#This Row],[WeatherSituation]],Mappings!$E$3:$E$6,Mappings!$F$3:$F$6)</f>
        <v>Clear Sky</v>
      </c>
      <c r="M916">
        <v>0.2</v>
      </c>
      <c r="N916">
        <v>0.19700000000000001</v>
      </c>
      <c r="O916">
        <v>0.25</v>
      </c>
      <c r="P916">
        <v>0.25369999999999998</v>
      </c>
      <c r="Q916">
        <v>0</v>
      </c>
      <c r="R916">
        <v>50</v>
      </c>
      <c r="S916">
        <v>50</v>
      </c>
    </row>
    <row r="917" spans="1:19" x14ac:dyDescent="0.3">
      <c r="A917">
        <v>916</v>
      </c>
      <c r="B917" s="4">
        <v>40584</v>
      </c>
      <c r="C917">
        <v>2</v>
      </c>
      <c r="D917">
        <v>16</v>
      </c>
      <c r="E917" t="str">
        <f t="shared" si="42"/>
        <v>4 PM</v>
      </c>
      <c r="F917" t="str">
        <f t="shared" si="43"/>
        <v>Evening</v>
      </c>
      <c r="G917" t="b">
        <v>0</v>
      </c>
      <c r="H917">
        <v>4</v>
      </c>
      <c r="I917" t="str">
        <f>_xlfn.XLOOKUP(Append15[[#This Row],[Week day]],Mappings!$B$3:$B$9,Mappings!$C$3:$C$9)</f>
        <v>Thursday</v>
      </c>
      <c r="J917" t="str">
        <f t="shared" si="44"/>
        <v>Weekday</v>
      </c>
      <c r="K917">
        <v>1</v>
      </c>
      <c r="L917" t="str">
        <f>_xlfn.XLOOKUP(Append15[[#This Row],[WeatherSituation]],Mappings!$E$3:$E$6,Mappings!$F$3:$F$6)</f>
        <v>Clear Sky</v>
      </c>
      <c r="M917">
        <v>0.2</v>
      </c>
      <c r="N917">
        <v>0.18179999999999999</v>
      </c>
      <c r="O917">
        <v>0.27</v>
      </c>
      <c r="P917">
        <v>0.29849999999999999</v>
      </c>
      <c r="Q917">
        <v>4</v>
      </c>
      <c r="R917">
        <v>76</v>
      </c>
      <c r="S917">
        <v>80</v>
      </c>
    </row>
    <row r="918" spans="1:19" x14ac:dyDescent="0.3">
      <c r="A918">
        <v>917</v>
      </c>
      <c r="B918" s="4">
        <v>40584</v>
      </c>
      <c r="C918">
        <v>2</v>
      </c>
      <c r="D918">
        <v>17</v>
      </c>
      <c r="E918" t="str">
        <f t="shared" si="42"/>
        <v>5 PM</v>
      </c>
      <c r="F918" t="str">
        <f t="shared" si="43"/>
        <v>Evening</v>
      </c>
      <c r="G918" t="b">
        <v>0</v>
      </c>
      <c r="H918">
        <v>4</v>
      </c>
      <c r="I918" t="str">
        <f>_xlfn.XLOOKUP(Append15[[#This Row],[Week day]],Mappings!$B$3:$B$9,Mappings!$C$3:$C$9)</f>
        <v>Thursday</v>
      </c>
      <c r="J918" t="str">
        <f t="shared" si="44"/>
        <v>Weekday</v>
      </c>
      <c r="K918">
        <v>1</v>
      </c>
      <c r="L918" t="str">
        <f>_xlfn.XLOOKUP(Append15[[#This Row],[WeatherSituation]],Mappings!$E$3:$E$6,Mappings!$F$3:$F$6)</f>
        <v>Clear Sky</v>
      </c>
      <c r="M918">
        <v>0.18</v>
      </c>
      <c r="N918">
        <v>0.18179999999999999</v>
      </c>
      <c r="O918">
        <v>0.26</v>
      </c>
      <c r="P918">
        <v>0.19400000000000001</v>
      </c>
      <c r="Q918">
        <v>6</v>
      </c>
      <c r="R918">
        <v>159</v>
      </c>
      <c r="S918">
        <v>165</v>
      </c>
    </row>
    <row r="919" spans="1:19" x14ac:dyDescent="0.3">
      <c r="A919">
        <v>918</v>
      </c>
      <c r="B919" s="4">
        <v>40584</v>
      </c>
      <c r="C919">
        <v>2</v>
      </c>
      <c r="D919">
        <v>18</v>
      </c>
      <c r="E919" t="str">
        <f t="shared" si="42"/>
        <v>6 PM</v>
      </c>
      <c r="F919" t="str">
        <f t="shared" si="43"/>
        <v>Evening</v>
      </c>
      <c r="G919" t="b">
        <v>0</v>
      </c>
      <c r="H919">
        <v>4</v>
      </c>
      <c r="I919" t="str">
        <f>_xlfn.XLOOKUP(Append15[[#This Row],[Week day]],Mappings!$B$3:$B$9,Mappings!$C$3:$C$9)</f>
        <v>Thursday</v>
      </c>
      <c r="J919" t="str">
        <f t="shared" si="44"/>
        <v>Weekday</v>
      </c>
      <c r="K919">
        <v>1</v>
      </c>
      <c r="L919" t="str">
        <f>_xlfn.XLOOKUP(Append15[[#This Row],[WeatherSituation]],Mappings!$E$3:$E$6,Mappings!$F$3:$F$6)</f>
        <v>Clear Sky</v>
      </c>
      <c r="M919">
        <v>0.16</v>
      </c>
      <c r="N919">
        <v>0.18179999999999999</v>
      </c>
      <c r="O919">
        <v>0.28000000000000003</v>
      </c>
      <c r="P919">
        <v>0.1343</v>
      </c>
      <c r="Q919">
        <v>3</v>
      </c>
      <c r="R919">
        <v>157</v>
      </c>
      <c r="S919">
        <v>160</v>
      </c>
    </row>
    <row r="920" spans="1:19" x14ac:dyDescent="0.3">
      <c r="A920">
        <v>919</v>
      </c>
      <c r="B920" s="4">
        <v>40584</v>
      </c>
      <c r="C920">
        <v>2</v>
      </c>
      <c r="D920">
        <v>19</v>
      </c>
      <c r="E920" t="str">
        <f t="shared" si="42"/>
        <v>7 PM</v>
      </c>
      <c r="F920" t="str">
        <f t="shared" si="43"/>
        <v>Evening</v>
      </c>
      <c r="G920" t="b">
        <v>0</v>
      </c>
      <c r="H920">
        <v>4</v>
      </c>
      <c r="I920" t="str">
        <f>_xlfn.XLOOKUP(Append15[[#This Row],[Week day]],Mappings!$B$3:$B$9,Mappings!$C$3:$C$9)</f>
        <v>Thursday</v>
      </c>
      <c r="J920" t="str">
        <f t="shared" si="44"/>
        <v>Weekday</v>
      </c>
      <c r="K920">
        <v>1</v>
      </c>
      <c r="L920" t="str">
        <f>_xlfn.XLOOKUP(Append15[[#This Row],[WeatherSituation]],Mappings!$E$3:$E$6,Mappings!$F$3:$F$6)</f>
        <v>Clear Sky</v>
      </c>
      <c r="M920">
        <v>0.14000000000000001</v>
      </c>
      <c r="N920">
        <v>0.16669999999999999</v>
      </c>
      <c r="O920">
        <v>0.28000000000000003</v>
      </c>
      <c r="P920">
        <v>0.1045</v>
      </c>
      <c r="Q920">
        <v>2</v>
      </c>
      <c r="R920">
        <v>110</v>
      </c>
      <c r="S920">
        <v>112</v>
      </c>
    </row>
    <row r="921" spans="1:19" x14ac:dyDescent="0.3">
      <c r="A921">
        <v>920</v>
      </c>
      <c r="B921" s="4">
        <v>40584</v>
      </c>
      <c r="C921">
        <v>2</v>
      </c>
      <c r="D921">
        <v>20</v>
      </c>
      <c r="E921" t="str">
        <f t="shared" si="42"/>
        <v>8 PM</v>
      </c>
      <c r="F921" t="str">
        <f t="shared" si="43"/>
        <v>Night</v>
      </c>
      <c r="G921" t="b">
        <v>0</v>
      </c>
      <c r="H921">
        <v>4</v>
      </c>
      <c r="I921" t="str">
        <f>_xlfn.XLOOKUP(Append15[[#This Row],[Week day]],Mappings!$B$3:$B$9,Mappings!$C$3:$C$9)</f>
        <v>Thursday</v>
      </c>
      <c r="J921" t="str">
        <f t="shared" si="44"/>
        <v>Weekday</v>
      </c>
      <c r="K921">
        <v>1</v>
      </c>
      <c r="L921" t="str">
        <f>_xlfn.XLOOKUP(Append15[[#This Row],[WeatherSituation]],Mappings!$E$3:$E$6,Mappings!$F$3:$F$6)</f>
        <v>Clear Sky</v>
      </c>
      <c r="M921">
        <v>0.14000000000000001</v>
      </c>
      <c r="N921">
        <v>0.18179999999999999</v>
      </c>
      <c r="O921">
        <v>0.31</v>
      </c>
      <c r="P921">
        <v>8.9599999999999999E-2</v>
      </c>
      <c r="Q921">
        <v>4</v>
      </c>
      <c r="R921">
        <v>93</v>
      </c>
      <c r="S921">
        <v>97</v>
      </c>
    </row>
    <row r="922" spans="1:19" x14ac:dyDescent="0.3">
      <c r="A922">
        <v>921</v>
      </c>
      <c r="B922" s="4">
        <v>40584</v>
      </c>
      <c r="C922">
        <v>2</v>
      </c>
      <c r="D922">
        <v>21</v>
      </c>
      <c r="E922" t="str">
        <f t="shared" si="42"/>
        <v>9 PM</v>
      </c>
      <c r="F922" t="str">
        <f t="shared" si="43"/>
        <v>Night</v>
      </c>
      <c r="G922" t="b">
        <v>0</v>
      </c>
      <c r="H922">
        <v>4</v>
      </c>
      <c r="I922" t="str">
        <f>_xlfn.XLOOKUP(Append15[[#This Row],[Week day]],Mappings!$B$3:$B$9,Mappings!$C$3:$C$9)</f>
        <v>Thursday</v>
      </c>
      <c r="J922" t="str">
        <f t="shared" si="44"/>
        <v>Weekday</v>
      </c>
      <c r="K922">
        <v>1</v>
      </c>
      <c r="L922" t="str">
        <f>_xlfn.XLOOKUP(Append15[[#This Row],[WeatherSituation]],Mappings!$E$3:$E$6,Mappings!$F$3:$F$6)</f>
        <v>Clear Sky</v>
      </c>
      <c r="M922">
        <v>0.14000000000000001</v>
      </c>
      <c r="N922">
        <v>0.21210000000000001</v>
      </c>
      <c r="O922">
        <v>0.39</v>
      </c>
      <c r="P922">
        <v>0</v>
      </c>
      <c r="Q922">
        <v>2</v>
      </c>
      <c r="R922">
        <v>70</v>
      </c>
      <c r="S922">
        <v>72</v>
      </c>
    </row>
    <row r="923" spans="1:19" x14ac:dyDescent="0.3">
      <c r="A923">
        <v>922</v>
      </c>
      <c r="B923" s="4">
        <v>40584</v>
      </c>
      <c r="C923">
        <v>2</v>
      </c>
      <c r="D923">
        <v>22</v>
      </c>
      <c r="E923" t="str">
        <f t="shared" si="42"/>
        <v>10 PM</v>
      </c>
      <c r="F923" t="str">
        <f t="shared" si="43"/>
        <v>Night</v>
      </c>
      <c r="G923" t="b">
        <v>0</v>
      </c>
      <c r="H923">
        <v>4</v>
      </c>
      <c r="I923" t="str">
        <f>_xlfn.XLOOKUP(Append15[[#This Row],[Week day]],Mappings!$B$3:$B$9,Mappings!$C$3:$C$9)</f>
        <v>Thursday</v>
      </c>
      <c r="J923" t="str">
        <f t="shared" si="44"/>
        <v>Weekday</v>
      </c>
      <c r="K923">
        <v>1</v>
      </c>
      <c r="L923" t="str">
        <f>_xlfn.XLOOKUP(Append15[[#This Row],[WeatherSituation]],Mappings!$E$3:$E$6,Mappings!$F$3:$F$6)</f>
        <v>Clear Sky</v>
      </c>
      <c r="M923">
        <v>0.12</v>
      </c>
      <c r="N923">
        <v>0.19700000000000001</v>
      </c>
      <c r="O923">
        <v>0.39</v>
      </c>
      <c r="P923">
        <v>0</v>
      </c>
      <c r="Q923">
        <v>4</v>
      </c>
      <c r="R923">
        <v>47</v>
      </c>
      <c r="S923">
        <v>51</v>
      </c>
    </row>
    <row r="924" spans="1:19" x14ac:dyDescent="0.3">
      <c r="A924">
        <v>923</v>
      </c>
      <c r="B924" s="4">
        <v>40584</v>
      </c>
      <c r="C924">
        <v>2</v>
      </c>
      <c r="D924">
        <v>23</v>
      </c>
      <c r="E924" t="str">
        <f t="shared" si="42"/>
        <v>11 PM</v>
      </c>
      <c r="F924" t="str">
        <f t="shared" si="43"/>
        <v>Night</v>
      </c>
      <c r="G924" t="b">
        <v>0</v>
      </c>
      <c r="H924">
        <v>4</v>
      </c>
      <c r="I924" t="str">
        <f>_xlfn.XLOOKUP(Append15[[#This Row],[Week day]],Mappings!$B$3:$B$9,Mappings!$C$3:$C$9)</f>
        <v>Thursday</v>
      </c>
      <c r="J924" t="str">
        <f t="shared" si="44"/>
        <v>Weekday</v>
      </c>
      <c r="K924">
        <v>1</v>
      </c>
      <c r="L924" t="str">
        <f>_xlfn.XLOOKUP(Append15[[#This Row],[WeatherSituation]],Mappings!$E$3:$E$6,Mappings!$F$3:$F$6)</f>
        <v>Clear Sky</v>
      </c>
      <c r="M924">
        <v>0.12</v>
      </c>
      <c r="N924">
        <v>0.1515</v>
      </c>
      <c r="O924">
        <v>0.42</v>
      </c>
      <c r="P924">
        <v>0.1045</v>
      </c>
      <c r="Q924">
        <v>1</v>
      </c>
      <c r="R924">
        <v>33</v>
      </c>
      <c r="S924">
        <v>34</v>
      </c>
    </row>
    <row r="925" spans="1:19" x14ac:dyDescent="0.3">
      <c r="A925">
        <v>924</v>
      </c>
      <c r="B925" s="4">
        <v>40585</v>
      </c>
      <c r="C925">
        <v>2</v>
      </c>
      <c r="D925">
        <v>0</v>
      </c>
      <c r="E925" t="str">
        <f t="shared" si="42"/>
        <v>12 AM</v>
      </c>
      <c r="F925" t="str">
        <f t="shared" si="43"/>
        <v>Night</v>
      </c>
      <c r="G925" t="b">
        <v>0</v>
      </c>
      <c r="H925">
        <v>5</v>
      </c>
      <c r="I925" t="str">
        <f>_xlfn.XLOOKUP(Append15[[#This Row],[Week day]],Mappings!$B$3:$B$9,Mappings!$C$3:$C$9)</f>
        <v>Friday</v>
      </c>
      <c r="J925" t="str">
        <f t="shared" si="44"/>
        <v>Weekday</v>
      </c>
      <c r="K925">
        <v>1</v>
      </c>
      <c r="L925" t="str">
        <f>_xlfn.XLOOKUP(Append15[[#This Row],[WeatherSituation]],Mappings!$E$3:$E$6,Mappings!$F$3:$F$6)</f>
        <v>Clear Sky</v>
      </c>
      <c r="M925">
        <v>0.1</v>
      </c>
      <c r="N925">
        <v>0.13639999999999999</v>
      </c>
      <c r="O925">
        <v>0.49</v>
      </c>
      <c r="P925">
        <v>0.1045</v>
      </c>
      <c r="Q925">
        <v>2</v>
      </c>
      <c r="R925">
        <v>12</v>
      </c>
      <c r="S925">
        <v>14</v>
      </c>
    </row>
    <row r="926" spans="1:19" x14ac:dyDescent="0.3">
      <c r="A926">
        <v>925</v>
      </c>
      <c r="B926" s="4">
        <v>40585</v>
      </c>
      <c r="C926">
        <v>2</v>
      </c>
      <c r="D926">
        <v>1</v>
      </c>
      <c r="E926" t="str">
        <f t="shared" si="42"/>
        <v>1 AM</v>
      </c>
      <c r="F926" t="str">
        <f t="shared" si="43"/>
        <v>Night</v>
      </c>
      <c r="G926" t="b">
        <v>0</v>
      </c>
      <c r="H926">
        <v>5</v>
      </c>
      <c r="I926" t="str">
        <f>_xlfn.XLOOKUP(Append15[[#This Row],[Week day]],Mappings!$B$3:$B$9,Mappings!$C$3:$C$9)</f>
        <v>Friday</v>
      </c>
      <c r="J926" t="str">
        <f t="shared" si="44"/>
        <v>Weekday</v>
      </c>
      <c r="K926">
        <v>1</v>
      </c>
      <c r="L926" t="str">
        <f>_xlfn.XLOOKUP(Append15[[#This Row],[WeatherSituation]],Mappings!$E$3:$E$6,Mappings!$F$3:$F$6)</f>
        <v>Clear Sky</v>
      </c>
      <c r="M926">
        <v>0.1</v>
      </c>
      <c r="N926">
        <v>0.13639999999999999</v>
      </c>
      <c r="O926">
        <v>0.54</v>
      </c>
      <c r="P926">
        <v>8.9599999999999999E-2</v>
      </c>
      <c r="Q926">
        <v>1</v>
      </c>
      <c r="R926">
        <v>6</v>
      </c>
      <c r="S926">
        <v>7</v>
      </c>
    </row>
    <row r="927" spans="1:19" x14ac:dyDescent="0.3">
      <c r="A927">
        <v>926</v>
      </c>
      <c r="B927" s="4">
        <v>40585</v>
      </c>
      <c r="C927">
        <v>2</v>
      </c>
      <c r="D927">
        <v>2</v>
      </c>
      <c r="E927" t="str">
        <f t="shared" si="42"/>
        <v>2 AM</v>
      </c>
      <c r="F927" t="str">
        <f t="shared" si="43"/>
        <v>Night</v>
      </c>
      <c r="G927" t="b">
        <v>0</v>
      </c>
      <c r="H927">
        <v>5</v>
      </c>
      <c r="I927" t="str">
        <f>_xlfn.XLOOKUP(Append15[[#This Row],[Week day]],Mappings!$B$3:$B$9,Mappings!$C$3:$C$9)</f>
        <v>Friday</v>
      </c>
      <c r="J927" t="str">
        <f t="shared" si="44"/>
        <v>Weekday</v>
      </c>
      <c r="K927">
        <v>1</v>
      </c>
      <c r="L927" t="str">
        <f>_xlfn.XLOOKUP(Append15[[#This Row],[WeatherSituation]],Mappings!$E$3:$E$6,Mappings!$F$3:$F$6)</f>
        <v>Clear Sky</v>
      </c>
      <c r="M927">
        <v>0.1</v>
      </c>
      <c r="N927">
        <v>0.13639999999999999</v>
      </c>
      <c r="O927">
        <v>0.54</v>
      </c>
      <c r="P927">
        <v>8.9599999999999999E-2</v>
      </c>
      <c r="Q927">
        <v>0</v>
      </c>
      <c r="R927">
        <v>3</v>
      </c>
      <c r="S927">
        <v>3</v>
      </c>
    </row>
    <row r="928" spans="1:19" x14ac:dyDescent="0.3">
      <c r="A928">
        <v>927</v>
      </c>
      <c r="B928" s="4">
        <v>40585</v>
      </c>
      <c r="C928">
        <v>2</v>
      </c>
      <c r="D928">
        <v>5</v>
      </c>
      <c r="E928" t="str">
        <f t="shared" si="42"/>
        <v>5 AM</v>
      </c>
      <c r="F928" t="str">
        <f t="shared" si="43"/>
        <v>Morning</v>
      </c>
      <c r="G928" t="b">
        <v>0</v>
      </c>
      <c r="H928">
        <v>5</v>
      </c>
      <c r="I928" t="str">
        <f>_xlfn.XLOOKUP(Append15[[#This Row],[Week day]],Mappings!$B$3:$B$9,Mappings!$C$3:$C$9)</f>
        <v>Friday</v>
      </c>
      <c r="J928" t="str">
        <f t="shared" si="44"/>
        <v>Weekday</v>
      </c>
      <c r="K928">
        <v>1</v>
      </c>
      <c r="L928" t="str">
        <f>_xlfn.XLOOKUP(Append15[[#This Row],[WeatherSituation]],Mappings!$E$3:$E$6,Mappings!$F$3:$F$6)</f>
        <v>Clear Sky</v>
      </c>
      <c r="M928">
        <v>0.08</v>
      </c>
      <c r="N928">
        <v>0.1212</v>
      </c>
      <c r="O928">
        <v>0.63</v>
      </c>
      <c r="P928">
        <v>8.9599999999999999E-2</v>
      </c>
      <c r="Q928">
        <v>0</v>
      </c>
      <c r="R928">
        <v>4</v>
      </c>
      <c r="S928">
        <v>4</v>
      </c>
    </row>
    <row r="929" spans="1:19" x14ac:dyDescent="0.3">
      <c r="A929">
        <v>928</v>
      </c>
      <c r="B929" s="4">
        <v>40585</v>
      </c>
      <c r="C929">
        <v>2</v>
      </c>
      <c r="D929">
        <v>6</v>
      </c>
      <c r="E929" t="str">
        <f t="shared" si="42"/>
        <v>6 AM</v>
      </c>
      <c r="F929" t="str">
        <f t="shared" si="43"/>
        <v>Morning</v>
      </c>
      <c r="G929" t="b">
        <v>0</v>
      </c>
      <c r="H929">
        <v>5</v>
      </c>
      <c r="I929" t="str">
        <f>_xlfn.XLOOKUP(Append15[[#This Row],[Week day]],Mappings!$B$3:$B$9,Mappings!$C$3:$C$9)</f>
        <v>Friday</v>
      </c>
      <c r="J929" t="str">
        <f t="shared" si="44"/>
        <v>Weekday</v>
      </c>
      <c r="K929">
        <v>1</v>
      </c>
      <c r="L929" t="str">
        <f>_xlfn.XLOOKUP(Append15[[#This Row],[WeatherSituation]],Mappings!$E$3:$E$6,Mappings!$F$3:$F$6)</f>
        <v>Clear Sky</v>
      </c>
      <c r="M929">
        <v>0.1</v>
      </c>
      <c r="N929">
        <v>0.18179999999999999</v>
      </c>
      <c r="O929">
        <v>0.68</v>
      </c>
      <c r="P929">
        <v>0</v>
      </c>
      <c r="Q929">
        <v>1</v>
      </c>
      <c r="R929">
        <v>23</v>
      </c>
      <c r="S929">
        <v>24</v>
      </c>
    </row>
    <row r="930" spans="1:19" x14ac:dyDescent="0.3">
      <c r="A930">
        <v>929</v>
      </c>
      <c r="B930" s="4">
        <v>40585</v>
      </c>
      <c r="C930">
        <v>2</v>
      </c>
      <c r="D930">
        <v>7</v>
      </c>
      <c r="E930" t="str">
        <f t="shared" si="42"/>
        <v>7 AM</v>
      </c>
      <c r="F930" t="str">
        <f t="shared" si="43"/>
        <v>Morning</v>
      </c>
      <c r="G930" t="b">
        <v>0</v>
      </c>
      <c r="H930">
        <v>5</v>
      </c>
      <c r="I930" t="str">
        <f>_xlfn.XLOOKUP(Append15[[#This Row],[Week day]],Mappings!$B$3:$B$9,Mappings!$C$3:$C$9)</f>
        <v>Friday</v>
      </c>
      <c r="J930" t="str">
        <f t="shared" si="44"/>
        <v>Weekday</v>
      </c>
      <c r="K930">
        <v>1</v>
      </c>
      <c r="L930" t="str">
        <f>_xlfn.XLOOKUP(Append15[[#This Row],[WeatherSituation]],Mappings!$E$3:$E$6,Mappings!$F$3:$F$6)</f>
        <v>Clear Sky</v>
      </c>
      <c r="M930">
        <v>0.08</v>
      </c>
      <c r="N930">
        <v>0.16669999999999999</v>
      </c>
      <c r="O930">
        <v>0.73</v>
      </c>
      <c r="P930">
        <v>0</v>
      </c>
      <c r="Q930">
        <v>1</v>
      </c>
      <c r="R930">
        <v>73</v>
      </c>
      <c r="S930">
        <v>74</v>
      </c>
    </row>
    <row r="931" spans="1:19" x14ac:dyDescent="0.3">
      <c r="A931">
        <v>930</v>
      </c>
      <c r="B931" s="4">
        <v>40585</v>
      </c>
      <c r="C931">
        <v>2</v>
      </c>
      <c r="D931">
        <v>8</v>
      </c>
      <c r="E931" t="str">
        <f t="shared" si="42"/>
        <v>8 AM</v>
      </c>
      <c r="F931" t="str">
        <f t="shared" si="43"/>
        <v>Morning</v>
      </c>
      <c r="G931" t="b">
        <v>0</v>
      </c>
      <c r="H931">
        <v>5</v>
      </c>
      <c r="I931" t="str">
        <f>_xlfn.XLOOKUP(Append15[[#This Row],[Week day]],Mappings!$B$3:$B$9,Mappings!$C$3:$C$9)</f>
        <v>Friday</v>
      </c>
      <c r="J931" t="str">
        <f t="shared" si="44"/>
        <v>Weekday</v>
      </c>
      <c r="K931">
        <v>1</v>
      </c>
      <c r="L931" t="str">
        <f>_xlfn.XLOOKUP(Append15[[#This Row],[WeatherSituation]],Mappings!$E$3:$E$6,Mappings!$F$3:$F$6)</f>
        <v>Clear Sky</v>
      </c>
      <c r="M931">
        <v>0.1</v>
      </c>
      <c r="N931">
        <v>0.1212</v>
      </c>
      <c r="O931">
        <v>0.74</v>
      </c>
      <c r="P931">
        <v>0.16420000000000001</v>
      </c>
      <c r="Q931">
        <v>4</v>
      </c>
      <c r="R931">
        <v>212</v>
      </c>
      <c r="S931">
        <v>216</v>
      </c>
    </row>
    <row r="932" spans="1:19" x14ac:dyDescent="0.3">
      <c r="A932">
        <v>931</v>
      </c>
      <c r="B932" s="4">
        <v>40585</v>
      </c>
      <c r="C932">
        <v>2</v>
      </c>
      <c r="D932">
        <v>9</v>
      </c>
      <c r="E932" t="str">
        <f t="shared" si="42"/>
        <v>9 AM</v>
      </c>
      <c r="F932" t="str">
        <f t="shared" si="43"/>
        <v>Morning</v>
      </c>
      <c r="G932" t="b">
        <v>0</v>
      </c>
      <c r="H932">
        <v>5</v>
      </c>
      <c r="I932" t="str">
        <f>_xlfn.XLOOKUP(Append15[[#This Row],[Week day]],Mappings!$B$3:$B$9,Mappings!$C$3:$C$9)</f>
        <v>Friday</v>
      </c>
      <c r="J932" t="str">
        <f t="shared" si="44"/>
        <v>Weekday</v>
      </c>
      <c r="K932">
        <v>1</v>
      </c>
      <c r="L932" t="str">
        <f>_xlfn.XLOOKUP(Append15[[#This Row],[WeatherSituation]],Mappings!$E$3:$E$6,Mappings!$F$3:$F$6)</f>
        <v>Clear Sky</v>
      </c>
      <c r="M932">
        <v>0.12</v>
      </c>
      <c r="N932">
        <v>0.1212</v>
      </c>
      <c r="O932">
        <v>0.74</v>
      </c>
      <c r="P932">
        <v>0.22389999999999999</v>
      </c>
      <c r="Q932">
        <v>8</v>
      </c>
      <c r="R932">
        <v>132</v>
      </c>
      <c r="S932">
        <v>140</v>
      </c>
    </row>
    <row r="933" spans="1:19" x14ac:dyDescent="0.3">
      <c r="A933">
        <v>932</v>
      </c>
      <c r="B933" s="4">
        <v>40585</v>
      </c>
      <c r="C933">
        <v>2</v>
      </c>
      <c r="D933">
        <v>10</v>
      </c>
      <c r="E933" t="str">
        <f t="shared" si="42"/>
        <v>10 AM</v>
      </c>
      <c r="F933" t="str">
        <f t="shared" si="43"/>
        <v>Morning</v>
      </c>
      <c r="G933" t="b">
        <v>0</v>
      </c>
      <c r="H933">
        <v>5</v>
      </c>
      <c r="I933" t="str">
        <f>_xlfn.XLOOKUP(Append15[[#This Row],[Week day]],Mappings!$B$3:$B$9,Mappings!$C$3:$C$9)</f>
        <v>Friday</v>
      </c>
      <c r="J933" t="str">
        <f t="shared" si="44"/>
        <v>Weekday</v>
      </c>
      <c r="K933">
        <v>1</v>
      </c>
      <c r="L933" t="str">
        <f>_xlfn.XLOOKUP(Append15[[#This Row],[WeatherSituation]],Mappings!$E$3:$E$6,Mappings!$F$3:$F$6)</f>
        <v>Clear Sky</v>
      </c>
      <c r="M933">
        <v>0.14000000000000001</v>
      </c>
      <c r="N933">
        <v>0.13639999999999999</v>
      </c>
      <c r="O933">
        <v>0.69</v>
      </c>
      <c r="P933">
        <v>0.19400000000000001</v>
      </c>
      <c r="Q933">
        <v>5</v>
      </c>
      <c r="R933">
        <v>39</v>
      </c>
      <c r="S933">
        <v>44</v>
      </c>
    </row>
    <row r="934" spans="1:19" x14ac:dyDescent="0.3">
      <c r="A934">
        <v>933</v>
      </c>
      <c r="B934" s="4">
        <v>40585</v>
      </c>
      <c r="C934">
        <v>2</v>
      </c>
      <c r="D934">
        <v>11</v>
      </c>
      <c r="E934" t="str">
        <f t="shared" si="42"/>
        <v>11 AM</v>
      </c>
      <c r="F934" t="str">
        <f t="shared" si="43"/>
        <v>Morning</v>
      </c>
      <c r="G934" t="b">
        <v>0</v>
      </c>
      <c r="H934">
        <v>5</v>
      </c>
      <c r="I934" t="str">
        <f>_xlfn.XLOOKUP(Append15[[#This Row],[Week day]],Mappings!$B$3:$B$9,Mappings!$C$3:$C$9)</f>
        <v>Friday</v>
      </c>
      <c r="J934" t="str">
        <f t="shared" si="44"/>
        <v>Weekday</v>
      </c>
      <c r="K934">
        <v>1</v>
      </c>
      <c r="L934" t="str">
        <f>_xlfn.XLOOKUP(Append15[[#This Row],[WeatherSituation]],Mappings!$E$3:$E$6,Mappings!$F$3:$F$6)</f>
        <v>Clear Sky</v>
      </c>
      <c r="M934">
        <v>0.22</v>
      </c>
      <c r="N934">
        <v>0.2273</v>
      </c>
      <c r="O934">
        <v>0.47</v>
      </c>
      <c r="P934">
        <v>0.1343</v>
      </c>
      <c r="Q934">
        <v>12</v>
      </c>
      <c r="R934">
        <v>52</v>
      </c>
      <c r="S934">
        <v>64</v>
      </c>
    </row>
    <row r="935" spans="1:19" x14ac:dyDescent="0.3">
      <c r="A935">
        <v>934</v>
      </c>
      <c r="B935" s="4">
        <v>40585</v>
      </c>
      <c r="C935">
        <v>2</v>
      </c>
      <c r="D935">
        <v>12</v>
      </c>
      <c r="E935" t="str">
        <f t="shared" si="42"/>
        <v>12 PM</v>
      </c>
      <c r="F935" t="str">
        <f t="shared" si="43"/>
        <v>AfterNoon</v>
      </c>
      <c r="G935" t="b">
        <v>0</v>
      </c>
      <c r="H935">
        <v>5</v>
      </c>
      <c r="I935" t="str">
        <f>_xlfn.XLOOKUP(Append15[[#This Row],[Week day]],Mappings!$B$3:$B$9,Mappings!$C$3:$C$9)</f>
        <v>Friday</v>
      </c>
      <c r="J935" t="str">
        <f t="shared" si="44"/>
        <v>Weekday</v>
      </c>
      <c r="K935">
        <v>1</v>
      </c>
      <c r="L935" t="str">
        <f>_xlfn.XLOOKUP(Append15[[#This Row],[WeatherSituation]],Mappings!$E$3:$E$6,Mappings!$F$3:$F$6)</f>
        <v>Clear Sky</v>
      </c>
      <c r="M935">
        <v>0.22</v>
      </c>
      <c r="N935">
        <v>0.2273</v>
      </c>
      <c r="O935">
        <v>0.47</v>
      </c>
      <c r="P935">
        <v>0.1343</v>
      </c>
      <c r="Q935">
        <v>7</v>
      </c>
      <c r="R935">
        <v>64</v>
      </c>
      <c r="S935">
        <v>71</v>
      </c>
    </row>
    <row r="936" spans="1:19" x14ac:dyDescent="0.3">
      <c r="A936">
        <v>935</v>
      </c>
      <c r="B936" s="4">
        <v>40585</v>
      </c>
      <c r="C936">
        <v>2</v>
      </c>
      <c r="D936">
        <v>13</v>
      </c>
      <c r="E936" t="str">
        <f t="shared" si="42"/>
        <v>1 PM</v>
      </c>
      <c r="F936" t="str">
        <f t="shared" si="43"/>
        <v>AfterNoon</v>
      </c>
      <c r="G936" t="b">
        <v>0</v>
      </c>
      <c r="H936">
        <v>5</v>
      </c>
      <c r="I936" t="str">
        <f>_xlfn.XLOOKUP(Append15[[#This Row],[Week day]],Mappings!$B$3:$B$9,Mappings!$C$3:$C$9)</f>
        <v>Friday</v>
      </c>
      <c r="J936" t="str">
        <f t="shared" si="44"/>
        <v>Weekday</v>
      </c>
      <c r="K936">
        <v>1</v>
      </c>
      <c r="L936" t="str">
        <f>_xlfn.XLOOKUP(Append15[[#This Row],[WeatherSituation]],Mappings!$E$3:$E$6,Mappings!$F$3:$F$6)</f>
        <v>Clear Sky</v>
      </c>
      <c r="M936">
        <v>0.24</v>
      </c>
      <c r="N936">
        <v>0.2273</v>
      </c>
      <c r="O936">
        <v>0.35</v>
      </c>
      <c r="P936">
        <v>0.19400000000000001</v>
      </c>
      <c r="Q936">
        <v>21</v>
      </c>
      <c r="R936">
        <v>89</v>
      </c>
      <c r="S936">
        <v>110</v>
      </c>
    </row>
    <row r="937" spans="1:19" x14ac:dyDescent="0.3">
      <c r="A937">
        <v>936</v>
      </c>
      <c r="B937" s="4">
        <v>40585</v>
      </c>
      <c r="C937">
        <v>2</v>
      </c>
      <c r="D937">
        <v>14</v>
      </c>
      <c r="E937" t="str">
        <f t="shared" si="42"/>
        <v>2 PM</v>
      </c>
      <c r="F937" t="str">
        <f t="shared" si="43"/>
        <v>AfterNoon</v>
      </c>
      <c r="G937" t="b">
        <v>0</v>
      </c>
      <c r="H937">
        <v>5</v>
      </c>
      <c r="I937" t="str">
        <f>_xlfn.XLOOKUP(Append15[[#This Row],[Week day]],Mappings!$B$3:$B$9,Mappings!$C$3:$C$9)</f>
        <v>Friday</v>
      </c>
      <c r="J937" t="str">
        <f t="shared" si="44"/>
        <v>Weekday</v>
      </c>
      <c r="K937">
        <v>1</v>
      </c>
      <c r="L937" t="str">
        <f>_xlfn.XLOOKUP(Append15[[#This Row],[WeatherSituation]],Mappings!$E$3:$E$6,Mappings!$F$3:$F$6)</f>
        <v>Clear Sky</v>
      </c>
      <c r="M937">
        <v>0.3</v>
      </c>
      <c r="N937">
        <v>0.28789999999999999</v>
      </c>
      <c r="O937">
        <v>0.26</v>
      </c>
      <c r="P937">
        <v>0.25369999999999998</v>
      </c>
      <c r="Q937">
        <v>17</v>
      </c>
      <c r="R937">
        <v>67</v>
      </c>
      <c r="S937">
        <v>84</v>
      </c>
    </row>
    <row r="938" spans="1:19" x14ac:dyDescent="0.3">
      <c r="A938">
        <v>937</v>
      </c>
      <c r="B938" s="4">
        <v>40585</v>
      </c>
      <c r="C938">
        <v>2</v>
      </c>
      <c r="D938">
        <v>15</v>
      </c>
      <c r="E938" t="str">
        <f t="shared" si="42"/>
        <v>3 PM</v>
      </c>
      <c r="F938" t="str">
        <f t="shared" si="43"/>
        <v>AfterNoon</v>
      </c>
      <c r="G938" t="b">
        <v>0</v>
      </c>
      <c r="H938">
        <v>5</v>
      </c>
      <c r="I938" t="str">
        <f>_xlfn.XLOOKUP(Append15[[#This Row],[Week day]],Mappings!$B$3:$B$9,Mappings!$C$3:$C$9)</f>
        <v>Friday</v>
      </c>
      <c r="J938" t="str">
        <f t="shared" si="44"/>
        <v>Weekday</v>
      </c>
      <c r="K938">
        <v>1</v>
      </c>
      <c r="L938" t="str">
        <f>_xlfn.XLOOKUP(Append15[[#This Row],[WeatherSituation]],Mappings!$E$3:$E$6,Mappings!$F$3:$F$6)</f>
        <v>Clear Sky</v>
      </c>
      <c r="M938">
        <v>0.32</v>
      </c>
      <c r="N938">
        <v>0.31819999999999998</v>
      </c>
      <c r="O938">
        <v>0.21</v>
      </c>
      <c r="P938">
        <v>0.16420000000000001</v>
      </c>
      <c r="Q938">
        <v>12</v>
      </c>
      <c r="R938">
        <v>62</v>
      </c>
      <c r="S938">
        <v>74</v>
      </c>
    </row>
    <row r="939" spans="1:19" x14ac:dyDescent="0.3">
      <c r="A939">
        <v>938</v>
      </c>
      <c r="B939" s="4">
        <v>40585</v>
      </c>
      <c r="C939">
        <v>2</v>
      </c>
      <c r="D939">
        <v>16</v>
      </c>
      <c r="E939" t="str">
        <f t="shared" si="42"/>
        <v>4 PM</v>
      </c>
      <c r="F939" t="str">
        <f t="shared" si="43"/>
        <v>Evening</v>
      </c>
      <c r="G939" t="b">
        <v>0</v>
      </c>
      <c r="H939">
        <v>5</v>
      </c>
      <c r="I939" t="str">
        <f>_xlfn.XLOOKUP(Append15[[#This Row],[Week day]],Mappings!$B$3:$B$9,Mappings!$C$3:$C$9)</f>
        <v>Friday</v>
      </c>
      <c r="J939" t="str">
        <f t="shared" si="44"/>
        <v>Weekday</v>
      </c>
      <c r="K939">
        <v>1</v>
      </c>
      <c r="L939" t="str">
        <f>_xlfn.XLOOKUP(Append15[[#This Row],[WeatherSituation]],Mappings!$E$3:$E$6,Mappings!$F$3:$F$6)</f>
        <v>Clear Sky</v>
      </c>
      <c r="M939">
        <v>0.3</v>
      </c>
      <c r="N939">
        <v>0.28789999999999999</v>
      </c>
      <c r="O939">
        <v>0.28000000000000003</v>
      </c>
      <c r="P939">
        <v>0.19400000000000001</v>
      </c>
      <c r="Q939">
        <v>14</v>
      </c>
      <c r="R939">
        <v>111</v>
      </c>
      <c r="S939">
        <v>125</v>
      </c>
    </row>
    <row r="940" spans="1:19" x14ac:dyDescent="0.3">
      <c r="A940">
        <v>939</v>
      </c>
      <c r="B940" s="4">
        <v>40585</v>
      </c>
      <c r="C940">
        <v>2</v>
      </c>
      <c r="D940">
        <v>17</v>
      </c>
      <c r="E940" t="str">
        <f t="shared" si="42"/>
        <v>5 PM</v>
      </c>
      <c r="F940" t="str">
        <f t="shared" si="43"/>
        <v>Evening</v>
      </c>
      <c r="G940" t="b">
        <v>0</v>
      </c>
      <c r="H940">
        <v>5</v>
      </c>
      <c r="I940" t="str">
        <f>_xlfn.XLOOKUP(Append15[[#This Row],[Week day]],Mappings!$B$3:$B$9,Mappings!$C$3:$C$9)</f>
        <v>Friday</v>
      </c>
      <c r="J940" t="str">
        <f t="shared" si="44"/>
        <v>Weekday</v>
      </c>
      <c r="K940">
        <v>1</v>
      </c>
      <c r="L940" t="str">
        <f>_xlfn.XLOOKUP(Append15[[#This Row],[WeatherSituation]],Mappings!$E$3:$E$6,Mappings!$F$3:$F$6)</f>
        <v>Clear Sky</v>
      </c>
      <c r="M940">
        <v>0.3</v>
      </c>
      <c r="N940">
        <v>0.33329999999999999</v>
      </c>
      <c r="O940">
        <v>0.24</v>
      </c>
      <c r="P940">
        <v>0</v>
      </c>
      <c r="Q940">
        <v>18</v>
      </c>
      <c r="R940">
        <v>193</v>
      </c>
      <c r="S940">
        <v>211</v>
      </c>
    </row>
    <row r="941" spans="1:19" x14ac:dyDescent="0.3">
      <c r="A941">
        <v>940</v>
      </c>
      <c r="B941" s="4">
        <v>40585</v>
      </c>
      <c r="C941">
        <v>2</v>
      </c>
      <c r="D941">
        <v>18</v>
      </c>
      <c r="E941" t="str">
        <f t="shared" si="42"/>
        <v>6 PM</v>
      </c>
      <c r="F941" t="str">
        <f t="shared" si="43"/>
        <v>Evening</v>
      </c>
      <c r="G941" t="b">
        <v>0</v>
      </c>
      <c r="H941">
        <v>5</v>
      </c>
      <c r="I941" t="str">
        <f>_xlfn.XLOOKUP(Append15[[#This Row],[Week day]],Mappings!$B$3:$B$9,Mappings!$C$3:$C$9)</f>
        <v>Friday</v>
      </c>
      <c r="J941" t="str">
        <f t="shared" si="44"/>
        <v>Weekday</v>
      </c>
      <c r="K941">
        <v>1</v>
      </c>
      <c r="L941" t="str">
        <f>_xlfn.XLOOKUP(Append15[[#This Row],[WeatherSituation]],Mappings!$E$3:$E$6,Mappings!$F$3:$F$6)</f>
        <v>Clear Sky</v>
      </c>
      <c r="M941">
        <v>0.28000000000000003</v>
      </c>
      <c r="N941">
        <v>0.31819999999999998</v>
      </c>
      <c r="O941">
        <v>0.28000000000000003</v>
      </c>
      <c r="P941">
        <v>0</v>
      </c>
      <c r="Q941">
        <v>9</v>
      </c>
      <c r="R941">
        <v>165</v>
      </c>
      <c r="S941">
        <v>174</v>
      </c>
    </row>
    <row r="942" spans="1:19" x14ac:dyDescent="0.3">
      <c r="A942">
        <v>941</v>
      </c>
      <c r="B942" s="4">
        <v>40585</v>
      </c>
      <c r="C942">
        <v>2</v>
      </c>
      <c r="D942">
        <v>19</v>
      </c>
      <c r="E942" t="str">
        <f t="shared" si="42"/>
        <v>7 PM</v>
      </c>
      <c r="F942" t="str">
        <f t="shared" si="43"/>
        <v>Evening</v>
      </c>
      <c r="G942" t="b">
        <v>0</v>
      </c>
      <c r="H942">
        <v>5</v>
      </c>
      <c r="I942" t="str">
        <f>_xlfn.XLOOKUP(Append15[[#This Row],[Week day]],Mappings!$B$3:$B$9,Mappings!$C$3:$C$9)</f>
        <v>Friday</v>
      </c>
      <c r="J942" t="str">
        <f t="shared" si="44"/>
        <v>Weekday</v>
      </c>
      <c r="K942">
        <v>1</v>
      </c>
      <c r="L942" t="str">
        <f>_xlfn.XLOOKUP(Append15[[#This Row],[WeatherSituation]],Mappings!$E$3:$E$6,Mappings!$F$3:$F$6)</f>
        <v>Clear Sky</v>
      </c>
      <c r="M942">
        <v>0.26</v>
      </c>
      <c r="N942">
        <v>0.30299999999999999</v>
      </c>
      <c r="O942">
        <v>0.33</v>
      </c>
      <c r="P942">
        <v>0</v>
      </c>
      <c r="Q942">
        <v>7</v>
      </c>
      <c r="R942">
        <v>94</v>
      </c>
      <c r="S942">
        <v>101</v>
      </c>
    </row>
    <row r="943" spans="1:19" x14ac:dyDescent="0.3">
      <c r="A943">
        <v>942</v>
      </c>
      <c r="B943" s="4">
        <v>40585</v>
      </c>
      <c r="C943">
        <v>2</v>
      </c>
      <c r="D943">
        <v>20</v>
      </c>
      <c r="E943" t="str">
        <f t="shared" si="42"/>
        <v>8 PM</v>
      </c>
      <c r="F943" t="str">
        <f t="shared" si="43"/>
        <v>Night</v>
      </c>
      <c r="G943" t="b">
        <v>0</v>
      </c>
      <c r="H943">
        <v>5</v>
      </c>
      <c r="I943" t="str">
        <f>_xlfn.XLOOKUP(Append15[[#This Row],[Week day]],Mappings!$B$3:$B$9,Mappings!$C$3:$C$9)</f>
        <v>Friday</v>
      </c>
      <c r="J943" t="str">
        <f t="shared" si="44"/>
        <v>Weekday</v>
      </c>
      <c r="K943">
        <v>1</v>
      </c>
      <c r="L943" t="str">
        <f>_xlfn.XLOOKUP(Append15[[#This Row],[WeatherSituation]],Mappings!$E$3:$E$6,Mappings!$F$3:$F$6)</f>
        <v>Clear Sky</v>
      </c>
      <c r="M943">
        <v>0.22</v>
      </c>
      <c r="N943">
        <v>0.2273</v>
      </c>
      <c r="O943">
        <v>0.55000000000000004</v>
      </c>
      <c r="P943">
        <v>0.1343</v>
      </c>
      <c r="Q943">
        <v>2</v>
      </c>
      <c r="R943">
        <v>61</v>
      </c>
      <c r="S943">
        <v>63</v>
      </c>
    </row>
    <row r="944" spans="1:19" x14ac:dyDescent="0.3">
      <c r="A944">
        <v>943</v>
      </c>
      <c r="B944" s="4">
        <v>40585</v>
      </c>
      <c r="C944">
        <v>2</v>
      </c>
      <c r="D944">
        <v>21</v>
      </c>
      <c r="E944" t="str">
        <f t="shared" si="42"/>
        <v>9 PM</v>
      </c>
      <c r="F944" t="str">
        <f t="shared" si="43"/>
        <v>Night</v>
      </c>
      <c r="G944" t="b">
        <v>0</v>
      </c>
      <c r="H944">
        <v>5</v>
      </c>
      <c r="I944" t="str">
        <f>_xlfn.XLOOKUP(Append15[[#This Row],[Week day]],Mappings!$B$3:$B$9,Mappings!$C$3:$C$9)</f>
        <v>Friday</v>
      </c>
      <c r="J944" t="str">
        <f t="shared" si="44"/>
        <v>Weekday</v>
      </c>
      <c r="K944">
        <v>1</v>
      </c>
      <c r="L944" t="str">
        <f>_xlfn.XLOOKUP(Append15[[#This Row],[WeatherSituation]],Mappings!$E$3:$E$6,Mappings!$F$3:$F$6)</f>
        <v>Clear Sky</v>
      </c>
      <c r="M944">
        <v>0.2</v>
      </c>
      <c r="N944">
        <v>0.21210000000000001</v>
      </c>
      <c r="O944">
        <v>0.59</v>
      </c>
      <c r="P944">
        <v>0.1343</v>
      </c>
      <c r="Q944">
        <v>1</v>
      </c>
      <c r="R944">
        <v>46</v>
      </c>
      <c r="S944">
        <v>47</v>
      </c>
    </row>
    <row r="945" spans="1:19" x14ac:dyDescent="0.3">
      <c r="A945">
        <v>944</v>
      </c>
      <c r="B945" s="4">
        <v>40585</v>
      </c>
      <c r="C945">
        <v>2</v>
      </c>
      <c r="D945">
        <v>22</v>
      </c>
      <c r="E945" t="str">
        <f t="shared" si="42"/>
        <v>10 PM</v>
      </c>
      <c r="F945" t="str">
        <f t="shared" si="43"/>
        <v>Night</v>
      </c>
      <c r="G945" t="b">
        <v>0</v>
      </c>
      <c r="H945">
        <v>5</v>
      </c>
      <c r="I945" t="str">
        <f>_xlfn.XLOOKUP(Append15[[#This Row],[Week day]],Mappings!$B$3:$B$9,Mappings!$C$3:$C$9)</f>
        <v>Friday</v>
      </c>
      <c r="J945" t="str">
        <f t="shared" si="44"/>
        <v>Weekday</v>
      </c>
      <c r="K945">
        <v>1</v>
      </c>
      <c r="L945" t="str">
        <f>_xlfn.XLOOKUP(Append15[[#This Row],[WeatherSituation]],Mappings!$E$3:$E$6,Mappings!$F$3:$F$6)</f>
        <v>Clear Sky</v>
      </c>
      <c r="M945">
        <v>0.2</v>
      </c>
      <c r="N945">
        <v>0.2273</v>
      </c>
      <c r="O945">
        <v>0.64</v>
      </c>
      <c r="P945">
        <v>8.9599999999999999E-2</v>
      </c>
      <c r="Q945">
        <v>2</v>
      </c>
      <c r="R945">
        <v>41</v>
      </c>
      <c r="S945">
        <v>43</v>
      </c>
    </row>
    <row r="946" spans="1:19" x14ac:dyDescent="0.3">
      <c r="A946">
        <v>945</v>
      </c>
      <c r="B946" s="4">
        <v>40585</v>
      </c>
      <c r="C946">
        <v>2</v>
      </c>
      <c r="D946">
        <v>23</v>
      </c>
      <c r="E946" t="str">
        <f t="shared" si="42"/>
        <v>11 PM</v>
      </c>
      <c r="F946" t="str">
        <f t="shared" si="43"/>
        <v>Night</v>
      </c>
      <c r="G946" t="b">
        <v>0</v>
      </c>
      <c r="H946">
        <v>5</v>
      </c>
      <c r="I946" t="str">
        <f>_xlfn.XLOOKUP(Append15[[#This Row],[Week day]],Mappings!$B$3:$B$9,Mappings!$C$3:$C$9)</f>
        <v>Friday</v>
      </c>
      <c r="J946" t="str">
        <f t="shared" si="44"/>
        <v>Weekday</v>
      </c>
      <c r="K946">
        <v>1</v>
      </c>
      <c r="L946" t="str">
        <f>_xlfn.XLOOKUP(Append15[[#This Row],[WeatherSituation]],Mappings!$E$3:$E$6,Mappings!$F$3:$F$6)</f>
        <v>Clear Sky</v>
      </c>
      <c r="M946">
        <v>0.18</v>
      </c>
      <c r="N946">
        <v>0.2424</v>
      </c>
      <c r="O946">
        <v>0.69</v>
      </c>
      <c r="P946">
        <v>0</v>
      </c>
      <c r="Q946">
        <v>5</v>
      </c>
      <c r="R946">
        <v>48</v>
      </c>
      <c r="S946">
        <v>53</v>
      </c>
    </row>
    <row r="947" spans="1:19" x14ac:dyDescent="0.3">
      <c r="A947">
        <v>946</v>
      </c>
      <c r="B947" s="4">
        <v>40586</v>
      </c>
      <c r="C947">
        <v>2</v>
      </c>
      <c r="D947">
        <v>0</v>
      </c>
      <c r="E947" t="str">
        <f t="shared" si="42"/>
        <v>12 AM</v>
      </c>
      <c r="F947" t="str">
        <f t="shared" si="43"/>
        <v>Night</v>
      </c>
      <c r="G947" t="b">
        <v>0</v>
      </c>
      <c r="H947">
        <v>6</v>
      </c>
      <c r="I947" t="str">
        <f>_xlfn.XLOOKUP(Append15[[#This Row],[Week day]],Mappings!$B$3:$B$9,Mappings!$C$3:$C$9)</f>
        <v>Saturday</v>
      </c>
      <c r="J947" t="str">
        <f t="shared" si="44"/>
        <v>Weekend</v>
      </c>
      <c r="K947">
        <v>1</v>
      </c>
      <c r="L947" t="str">
        <f>_xlfn.XLOOKUP(Append15[[#This Row],[WeatherSituation]],Mappings!$E$3:$E$6,Mappings!$F$3:$F$6)</f>
        <v>Clear Sky</v>
      </c>
      <c r="M947">
        <v>0.16</v>
      </c>
      <c r="N947">
        <v>0.19700000000000001</v>
      </c>
      <c r="O947">
        <v>0.69</v>
      </c>
      <c r="P947">
        <v>8.9599999999999999E-2</v>
      </c>
      <c r="Q947">
        <v>3</v>
      </c>
      <c r="R947">
        <v>27</v>
      </c>
      <c r="S947">
        <v>30</v>
      </c>
    </row>
    <row r="948" spans="1:19" x14ac:dyDescent="0.3">
      <c r="A948">
        <v>947</v>
      </c>
      <c r="B948" s="4">
        <v>40586</v>
      </c>
      <c r="C948">
        <v>2</v>
      </c>
      <c r="D948">
        <v>1</v>
      </c>
      <c r="E948" t="str">
        <f t="shared" si="42"/>
        <v>1 AM</v>
      </c>
      <c r="F948" t="str">
        <f t="shared" si="43"/>
        <v>Night</v>
      </c>
      <c r="G948" t="b">
        <v>0</v>
      </c>
      <c r="H948">
        <v>6</v>
      </c>
      <c r="I948" t="str">
        <f>_xlfn.XLOOKUP(Append15[[#This Row],[Week day]],Mappings!$B$3:$B$9,Mappings!$C$3:$C$9)</f>
        <v>Saturday</v>
      </c>
      <c r="J948" t="str">
        <f t="shared" si="44"/>
        <v>Weekend</v>
      </c>
      <c r="K948">
        <v>1</v>
      </c>
      <c r="L948" t="str">
        <f>_xlfn.XLOOKUP(Append15[[#This Row],[WeatherSituation]],Mappings!$E$3:$E$6,Mappings!$F$3:$F$6)</f>
        <v>Clear Sky</v>
      </c>
      <c r="M948">
        <v>0.14000000000000001</v>
      </c>
      <c r="N948">
        <v>0.21210000000000001</v>
      </c>
      <c r="O948">
        <v>0.86</v>
      </c>
      <c r="P948">
        <v>0</v>
      </c>
      <c r="Q948">
        <v>2</v>
      </c>
      <c r="R948">
        <v>22</v>
      </c>
      <c r="S948">
        <v>24</v>
      </c>
    </row>
    <row r="949" spans="1:19" x14ac:dyDescent="0.3">
      <c r="A949">
        <v>948</v>
      </c>
      <c r="B949" s="4">
        <v>40586</v>
      </c>
      <c r="C949">
        <v>2</v>
      </c>
      <c r="D949">
        <v>2</v>
      </c>
      <c r="E949" t="str">
        <f t="shared" si="42"/>
        <v>2 AM</v>
      </c>
      <c r="F949" t="str">
        <f t="shared" si="43"/>
        <v>Night</v>
      </c>
      <c r="G949" t="b">
        <v>0</v>
      </c>
      <c r="H949">
        <v>6</v>
      </c>
      <c r="I949" t="str">
        <f>_xlfn.XLOOKUP(Append15[[#This Row],[Week day]],Mappings!$B$3:$B$9,Mappings!$C$3:$C$9)</f>
        <v>Saturday</v>
      </c>
      <c r="J949" t="str">
        <f t="shared" si="44"/>
        <v>Weekend</v>
      </c>
      <c r="K949">
        <v>1</v>
      </c>
      <c r="L949" t="str">
        <f>_xlfn.XLOOKUP(Append15[[#This Row],[WeatherSituation]],Mappings!$E$3:$E$6,Mappings!$F$3:$F$6)</f>
        <v>Clear Sky</v>
      </c>
      <c r="M949">
        <v>0.14000000000000001</v>
      </c>
      <c r="N949">
        <v>0.21210000000000001</v>
      </c>
      <c r="O949">
        <v>0.8</v>
      </c>
      <c r="P949">
        <v>0</v>
      </c>
      <c r="Q949">
        <v>2</v>
      </c>
      <c r="R949">
        <v>13</v>
      </c>
      <c r="S949">
        <v>15</v>
      </c>
    </row>
    <row r="950" spans="1:19" x14ac:dyDescent="0.3">
      <c r="A950">
        <v>949</v>
      </c>
      <c r="B950" s="4">
        <v>40586</v>
      </c>
      <c r="C950">
        <v>2</v>
      </c>
      <c r="D950">
        <v>3</v>
      </c>
      <c r="E950" t="str">
        <f t="shared" si="42"/>
        <v>3 AM</v>
      </c>
      <c r="F950" t="str">
        <f t="shared" si="43"/>
        <v>Night</v>
      </c>
      <c r="G950" t="b">
        <v>0</v>
      </c>
      <c r="H950">
        <v>6</v>
      </c>
      <c r="I950" t="str">
        <f>_xlfn.XLOOKUP(Append15[[#This Row],[Week day]],Mappings!$B$3:$B$9,Mappings!$C$3:$C$9)</f>
        <v>Saturday</v>
      </c>
      <c r="J950" t="str">
        <f t="shared" si="44"/>
        <v>Weekend</v>
      </c>
      <c r="K950">
        <v>1</v>
      </c>
      <c r="L950" t="str">
        <f>_xlfn.XLOOKUP(Append15[[#This Row],[WeatherSituation]],Mappings!$E$3:$E$6,Mappings!$F$3:$F$6)</f>
        <v>Clear Sky</v>
      </c>
      <c r="M950">
        <v>0.12</v>
      </c>
      <c r="N950">
        <v>0.19700000000000001</v>
      </c>
      <c r="O950">
        <v>0.8</v>
      </c>
      <c r="P950">
        <v>0</v>
      </c>
      <c r="Q950">
        <v>3</v>
      </c>
      <c r="R950">
        <v>7</v>
      </c>
      <c r="S950">
        <v>10</v>
      </c>
    </row>
    <row r="951" spans="1:19" x14ac:dyDescent="0.3">
      <c r="A951">
        <v>950</v>
      </c>
      <c r="B951" s="4">
        <v>40586</v>
      </c>
      <c r="C951">
        <v>2</v>
      </c>
      <c r="D951">
        <v>4</v>
      </c>
      <c r="E951" t="str">
        <f t="shared" si="42"/>
        <v>4 AM</v>
      </c>
      <c r="F951" t="str">
        <f t="shared" si="43"/>
        <v>Night</v>
      </c>
      <c r="G951" t="b">
        <v>0</v>
      </c>
      <c r="H951">
        <v>6</v>
      </c>
      <c r="I951" t="str">
        <f>_xlfn.XLOOKUP(Append15[[#This Row],[Week day]],Mappings!$B$3:$B$9,Mappings!$C$3:$C$9)</f>
        <v>Saturday</v>
      </c>
      <c r="J951" t="str">
        <f t="shared" si="44"/>
        <v>Weekend</v>
      </c>
      <c r="K951">
        <v>1</v>
      </c>
      <c r="L951" t="str">
        <f>_xlfn.XLOOKUP(Append15[[#This Row],[WeatherSituation]],Mappings!$E$3:$E$6,Mappings!$F$3:$F$6)</f>
        <v>Clear Sky</v>
      </c>
      <c r="M951">
        <v>0.12</v>
      </c>
      <c r="N951">
        <v>0.16669999999999999</v>
      </c>
      <c r="O951">
        <v>0.74</v>
      </c>
      <c r="P951">
        <v>8.9599999999999999E-2</v>
      </c>
      <c r="Q951">
        <v>0</v>
      </c>
      <c r="R951">
        <v>4</v>
      </c>
      <c r="S951">
        <v>4</v>
      </c>
    </row>
    <row r="952" spans="1:19" x14ac:dyDescent="0.3">
      <c r="A952">
        <v>951</v>
      </c>
      <c r="B952" s="4">
        <v>40586</v>
      </c>
      <c r="C952">
        <v>2</v>
      </c>
      <c r="D952">
        <v>5</v>
      </c>
      <c r="E952" t="str">
        <f t="shared" si="42"/>
        <v>5 AM</v>
      </c>
      <c r="F952" t="str">
        <f t="shared" si="43"/>
        <v>Morning</v>
      </c>
      <c r="G952" t="b">
        <v>0</v>
      </c>
      <c r="H952">
        <v>6</v>
      </c>
      <c r="I952" t="str">
        <f>_xlfn.XLOOKUP(Append15[[#This Row],[Week day]],Mappings!$B$3:$B$9,Mappings!$C$3:$C$9)</f>
        <v>Saturday</v>
      </c>
      <c r="J952" t="str">
        <f t="shared" si="44"/>
        <v>Weekend</v>
      </c>
      <c r="K952">
        <v>1</v>
      </c>
      <c r="L952" t="str">
        <f>_xlfn.XLOOKUP(Append15[[#This Row],[WeatherSituation]],Mappings!$E$3:$E$6,Mappings!$F$3:$F$6)</f>
        <v>Clear Sky</v>
      </c>
      <c r="M952">
        <v>0.12</v>
      </c>
      <c r="N952">
        <v>0.16669999999999999</v>
      </c>
      <c r="O952">
        <v>0.74</v>
      </c>
      <c r="P952">
        <v>8.9599999999999999E-2</v>
      </c>
      <c r="Q952">
        <v>0</v>
      </c>
      <c r="R952">
        <v>1</v>
      </c>
      <c r="S952">
        <v>1</v>
      </c>
    </row>
    <row r="953" spans="1:19" x14ac:dyDescent="0.3">
      <c r="A953">
        <v>952</v>
      </c>
      <c r="B953" s="4">
        <v>40586</v>
      </c>
      <c r="C953">
        <v>2</v>
      </c>
      <c r="D953">
        <v>6</v>
      </c>
      <c r="E953" t="str">
        <f t="shared" si="42"/>
        <v>6 AM</v>
      </c>
      <c r="F953" t="str">
        <f t="shared" si="43"/>
        <v>Morning</v>
      </c>
      <c r="G953" t="b">
        <v>0</v>
      </c>
      <c r="H953">
        <v>6</v>
      </c>
      <c r="I953" t="str">
        <f>_xlfn.XLOOKUP(Append15[[#This Row],[Week day]],Mappings!$B$3:$B$9,Mappings!$C$3:$C$9)</f>
        <v>Saturday</v>
      </c>
      <c r="J953" t="str">
        <f t="shared" si="44"/>
        <v>Weekend</v>
      </c>
      <c r="K953">
        <v>1</v>
      </c>
      <c r="L953" t="str">
        <f>_xlfn.XLOOKUP(Append15[[#This Row],[WeatherSituation]],Mappings!$E$3:$E$6,Mappings!$F$3:$F$6)</f>
        <v>Clear Sky</v>
      </c>
      <c r="M953">
        <v>0.12</v>
      </c>
      <c r="N953">
        <v>0.13639999999999999</v>
      </c>
      <c r="O953">
        <v>0.93</v>
      </c>
      <c r="P953">
        <v>0.19400000000000001</v>
      </c>
      <c r="Q953">
        <v>1</v>
      </c>
      <c r="R953">
        <v>1</v>
      </c>
      <c r="S953">
        <v>2</v>
      </c>
    </row>
    <row r="954" spans="1:19" x14ac:dyDescent="0.3">
      <c r="A954">
        <v>953</v>
      </c>
      <c r="B954" s="4">
        <v>40586</v>
      </c>
      <c r="C954">
        <v>2</v>
      </c>
      <c r="D954">
        <v>7</v>
      </c>
      <c r="E954" t="str">
        <f t="shared" si="42"/>
        <v>7 AM</v>
      </c>
      <c r="F954" t="str">
        <f t="shared" si="43"/>
        <v>Morning</v>
      </c>
      <c r="G954" t="b">
        <v>0</v>
      </c>
      <c r="H954">
        <v>6</v>
      </c>
      <c r="I954" t="str">
        <f>_xlfn.XLOOKUP(Append15[[#This Row],[Week day]],Mappings!$B$3:$B$9,Mappings!$C$3:$C$9)</f>
        <v>Saturday</v>
      </c>
      <c r="J954" t="str">
        <f t="shared" si="44"/>
        <v>Weekend</v>
      </c>
      <c r="K954">
        <v>1</v>
      </c>
      <c r="L954" t="str">
        <f>_xlfn.XLOOKUP(Append15[[#This Row],[WeatherSituation]],Mappings!$E$3:$E$6,Mappings!$F$3:$F$6)</f>
        <v>Clear Sky</v>
      </c>
      <c r="M954">
        <v>0.12</v>
      </c>
      <c r="N954">
        <v>0.1515</v>
      </c>
      <c r="O954">
        <v>0.8</v>
      </c>
      <c r="P954">
        <v>0.1045</v>
      </c>
      <c r="Q954">
        <v>2</v>
      </c>
      <c r="R954">
        <v>9</v>
      </c>
      <c r="S954">
        <v>11</v>
      </c>
    </row>
    <row r="955" spans="1:19" x14ac:dyDescent="0.3">
      <c r="A955">
        <v>954</v>
      </c>
      <c r="B955" s="4">
        <v>40586</v>
      </c>
      <c r="C955">
        <v>2</v>
      </c>
      <c r="D955">
        <v>8</v>
      </c>
      <c r="E955" t="str">
        <f t="shared" si="42"/>
        <v>8 AM</v>
      </c>
      <c r="F955" t="str">
        <f t="shared" si="43"/>
        <v>Morning</v>
      </c>
      <c r="G955" t="b">
        <v>0</v>
      </c>
      <c r="H955">
        <v>6</v>
      </c>
      <c r="I955" t="str">
        <f>_xlfn.XLOOKUP(Append15[[#This Row],[Week day]],Mappings!$B$3:$B$9,Mappings!$C$3:$C$9)</f>
        <v>Saturday</v>
      </c>
      <c r="J955" t="str">
        <f t="shared" si="44"/>
        <v>Weekend</v>
      </c>
      <c r="K955">
        <v>1</v>
      </c>
      <c r="L955" t="str">
        <f>_xlfn.XLOOKUP(Append15[[#This Row],[WeatherSituation]],Mappings!$E$3:$E$6,Mappings!$F$3:$F$6)</f>
        <v>Clear Sky</v>
      </c>
      <c r="M955">
        <v>0.14000000000000001</v>
      </c>
      <c r="N955">
        <v>0.1515</v>
      </c>
      <c r="O955">
        <v>0.86</v>
      </c>
      <c r="P955">
        <v>0.1343</v>
      </c>
      <c r="Q955">
        <v>2</v>
      </c>
      <c r="R955">
        <v>28</v>
      </c>
      <c r="S955">
        <v>30</v>
      </c>
    </row>
    <row r="956" spans="1:19" x14ac:dyDescent="0.3">
      <c r="A956">
        <v>955</v>
      </c>
      <c r="B956" s="4">
        <v>40586</v>
      </c>
      <c r="C956">
        <v>2</v>
      </c>
      <c r="D956">
        <v>9</v>
      </c>
      <c r="E956" t="str">
        <f t="shared" si="42"/>
        <v>9 AM</v>
      </c>
      <c r="F956" t="str">
        <f t="shared" si="43"/>
        <v>Morning</v>
      </c>
      <c r="G956" t="b">
        <v>0</v>
      </c>
      <c r="H956">
        <v>6</v>
      </c>
      <c r="I956" t="str">
        <f>_xlfn.XLOOKUP(Append15[[#This Row],[Week day]],Mappings!$B$3:$B$9,Mappings!$C$3:$C$9)</f>
        <v>Saturday</v>
      </c>
      <c r="J956" t="str">
        <f t="shared" si="44"/>
        <v>Weekend</v>
      </c>
      <c r="K956">
        <v>1</v>
      </c>
      <c r="L956" t="str">
        <f>_xlfn.XLOOKUP(Append15[[#This Row],[WeatherSituation]],Mappings!$E$3:$E$6,Mappings!$F$3:$F$6)</f>
        <v>Clear Sky</v>
      </c>
      <c r="M956">
        <v>0.16</v>
      </c>
      <c r="N956">
        <v>0.18179999999999999</v>
      </c>
      <c r="O956">
        <v>0.64</v>
      </c>
      <c r="P956">
        <v>0.1343</v>
      </c>
      <c r="Q956">
        <v>5</v>
      </c>
      <c r="R956">
        <v>38</v>
      </c>
      <c r="S956">
        <v>43</v>
      </c>
    </row>
    <row r="957" spans="1:19" x14ac:dyDescent="0.3">
      <c r="A957">
        <v>956</v>
      </c>
      <c r="B957" s="4">
        <v>40586</v>
      </c>
      <c r="C957">
        <v>2</v>
      </c>
      <c r="D957">
        <v>10</v>
      </c>
      <c r="E957" t="str">
        <f t="shared" si="42"/>
        <v>10 AM</v>
      </c>
      <c r="F957" t="str">
        <f t="shared" si="43"/>
        <v>Morning</v>
      </c>
      <c r="G957" t="b">
        <v>0</v>
      </c>
      <c r="H957">
        <v>6</v>
      </c>
      <c r="I957" t="str">
        <f>_xlfn.XLOOKUP(Append15[[#This Row],[Week day]],Mappings!$B$3:$B$9,Mappings!$C$3:$C$9)</f>
        <v>Saturday</v>
      </c>
      <c r="J957" t="str">
        <f t="shared" si="44"/>
        <v>Weekend</v>
      </c>
      <c r="K957">
        <v>1</v>
      </c>
      <c r="L957" t="str">
        <f>_xlfn.XLOOKUP(Append15[[#This Row],[WeatherSituation]],Mappings!$E$3:$E$6,Mappings!$F$3:$F$6)</f>
        <v>Clear Sky</v>
      </c>
      <c r="M957">
        <v>0.22</v>
      </c>
      <c r="N957">
        <v>0.21210000000000001</v>
      </c>
      <c r="O957">
        <v>0.41</v>
      </c>
      <c r="P957">
        <v>0.25369999999999998</v>
      </c>
      <c r="Q957">
        <v>13</v>
      </c>
      <c r="R957">
        <v>71</v>
      </c>
      <c r="S957">
        <v>84</v>
      </c>
    </row>
    <row r="958" spans="1:19" x14ac:dyDescent="0.3">
      <c r="A958">
        <v>957</v>
      </c>
      <c r="B958" s="4">
        <v>40586</v>
      </c>
      <c r="C958">
        <v>2</v>
      </c>
      <c r="D958">
        <v>11</v>
      </c>
      <c r="E958" t="str">
        <f t="shared" si="42"/>
        <v>11 AM</v>
      </c>
      <c r="F958" t="str">
        <f t="shared" si="43"/>
        <v>Morning</v>
      </c>
      <c r="G958" t="b">
        <v>0</v>
      </c>
      <c r="H958">
        <v>6</v>
      </c>
      <c r="I958" t="str">
        <f>_xlfn.XLOOKUP(Append15[[#This Row],[Week day]],Mappings!$B$3:$B$9,Mappings!$C$3:$C$9)</f>
        <v>Saturday</v>
      </c>
      <c r="J958" t="str">
        <f t="shared" si="44"/>
        <v>Weekend</v>
      </c>
      <c r="K958">
        <v>1</v>
      </c>
      <c r="L958" t="str">
        <f>_xlfn.XLOOKUP(Append15[[#This Row],[WeatherSituation]],Mappings!$E$3:$E$6,Mappings!$F$3:$F$6)</f>
        <v>Clear Sky</v>
      </c>
      <c r="M958">
        <v>0.3</v>
      </c>
      <c r="N958">
        <v>0.2727</v>
      </c>
      <c r="O958">
        <v>0.28000000000000003</v>
      </c>
      <c r="P958">
        <v>0.32840000000000003</v>
      </c>
      <c r="Q958">
        <v>30</v>
      </c>
      <c r="R958">
        <v>84</v>
      </c>
      <c r="S958">
        <v>114</v>
      </c>
    </row>
    <row r="959" spans="1:19" x14ac:dyDescent="0.3">
      <c r="A959">
        <v>958</v>
      </c>
      <c r="B959" s="4">
        <v>40586</v>
      </c>
      <c r="C959">
        <v>2</v>
      </c>
      <c r="D959">
        <v>12</v>
      </c>
      <c r="E959" t="str">
        <f t="shared" si="42"/>
        <v>12 PM</v>
      </c>
      <c r="F959" t="str">
        <f t="shared" si="43"/>
        <v>AfterNoon</v>
      </c>
      <c r="G959" t="b">
        <v>0</v>
      </c>
      <c r="H959">
        <v>6</v>
      </c>
      <c r="I959" t="str">
        <f>_xlfn.XLOOKUP(Append15[[#This Row],[Week day]],Mappings!$B$3:$B$9,Mappings!$C$3:$C$9)</f>
        <v>Saturday</v>
      </c>
      <c r="J959" t="str">
        <f t="shared" si="44"/>
        <v>Weekend</v>
      </c>
      <c r="K959">
        <v>1</v>
      </c>
      <c r="L959" t="str">
        <f>_xlfn.XLOOKUP(Append15[[#This Row],[WeatherSituation]],Mappings!$E$3:$E$6,Mappings!$F$3:$F$6)</f>
        <v>Clear Sky</v>
      </c>
      <c r="M959">
        <v>0.3</v>
      </c>
      <c r="N959">
        <v>0.2727</v>
      </c>
      <c r="O959">
        <v>0.39</v>
      </c>
      <c r="P959">
        <v>0.4627</v>
      </c>
      <c r="Q959">
        <v>27</v>
      </c>
      <c r="R959">
        <v>93</v>
      </c>
      <c r="S959">
        <v>120</v>
      </c>
    </row>
    <row r="960" spans="1:19" x14ac:dyDescent="0.3">
      <c r="A960">
        <v>959</v>
      </c>
      <c r="B960" s="4">
        <v>40586</v>
      </c>
      <c r="C960">
        <v>2</v>
      </c>
      <c r="D960">
        <v>13</v>
      </c>
      <c r="E960" t="str">
        <f t="shared" si="42"/>
        <v>1 PM</v>
      </c>
      <c r="F960" t="str">
        <f t="shared" si="43"/>
        <v>AfterNoon</v>
      </c>
      <c r="G960" t="b">
        <v>0</v>
      </c>
      <c r="H960">
        <v>6</v>
      </c>
      <c r="I960" t="str">
        <f>_xlfn.XLOOKUP(Append15[[#This Row],[Week day]],Mappings!$B$3:$B$9,Mappings!$C$3:$C$9)</f>
        <v>Saturday</v>
      </c>
      <c r="J960" t="str">
        <f t="shared" si="44"/>
        <v>Weekend</v>
      </c>
      <c r="K960">
        <v>1</v>
      </c>
      <c r="L960" t="str">
        <f>_xlfn.XLOOKUP(Append15[[#This Row],[WeatherSituation]],Mappings!$E$3:$E$6,Mappings!$F$3:$F$6)</f>
        <v>Clear Sky</v>
      </c>
      <c r="M960">
        <v>0.3</v>
      </c>
      <c r="N960">
        <v>0.2727</v>
      </c>
      <c r="O960">
        <v>0.39</v>
      </c>
      <c r="P960">
        <v>0.41789999999999999</v>
      </c>
      <c r="Q960">
        <v>32</v>
      </c>
      <c r="R960">
        <v>103</v>
      </c>
      <c r="S960">
        <v>135</v>
      </c>
    </row>
    <row r="961" spans="1:19" x14ac:dyDescent="0.3">
      <c r="A961">
        <v>960</v>
      </c>
      <c r="B961" s="4">
        <v>40586</v>
      </c>
      <c r="C961">
        <v>2</v>
      </c>
      <c r="D961">
        <v>14</v>
      </c>
      <c r="E961" t="str">
        <f t="shared" si="42"/>
        <v>2 PM</v>
      </c>
      <c r="F961" t="str">
        <f t="shared" si="43"/>
        <v>AfterNoon</v>
      </c>
      <c r="G961" t="b">
        <v>0</v>
      </c>
      <c r="H961">
        <v>6</v>
      </c>
      <c r="I961" t="str">
        <f>_xlfn.XLOOKUP(Append15[[#This Row],[Week day]],Mappings!$B$3:$B$9,Mappings!$C$3:$C$9)</f>
        <v>Saturday</v>
      </c>
      <c r="J961" t="str">
        <f t="shared" si="44"/>
        <v>Weekend</v>
      </c>
      <c r="K961">
        <v>1</v>
      </c>
      <c r="L961" t="str">
        <f>_xlfn.XLOOKUP(Append15[[#This Row],[WeatherSituation]],Mappings!$E$3:$E$6,Mappings!$F$3:$F$6)</f>
        <v>Clear Sky</v>
      </c>
      <c r="M961">
        <v>0.34</v>
      </c>
      <c r="N961">
        <v>0.31819999999999998</v>
      </c>
      <c r="O961">
        <v>0.31</v>
      </c>
      <c r="P961">
        <v>0.28360000000000002</v>
      </c>
      <c r="Q961">
        <v>30</v>
      </c>
      <c r="R961">
        <v>90</v>
      </c>
      <c r="S961">
        <v>120</v>
      </c>
    </row>
    <row r="962" spans="1:19" x14ac:dyDescent="0.3">
      <c r="A962">
        <v>961</v>
      </c>
      <c r="B962" s="4">
        <v>40586</v>
      </c>
      <c r="C962">
        <v>2</v>
      </c>
      <c r="D962">
        <v>15</v>
      </c>
      <c r="E962" t="str">
        <f t="shared" ref="E962:E1001" si="45">TEXT(D962/24,"h AM/PM")</f>
        <v>3 PM</v>
      </c>
      <c r="F962" t="str">
        <f t="shared" ref="F962:F1001" si="46">IF(D962&lt;5,"Night",
IF(D962&lt;=11,"Morning",
IF(D962&lt;16,"AfterNoon",
IF(D962&lt;20,"Evening","Night"))))</f>
        <v>AfterNoon</v>
      </c>
      <c r="G962" t="b">
        <v>0</v>
      </c>
      <c r="H962">
        <v>6</v>
      </c>
      <c r="I962" t="str">
        <f>_xlfn.XLOOKUP(Append15[[#This Row],[Week day]],Mappings!$B$3:$B$9,Mappings!$C$3:$C$9)</f>
        <v>Saturday</v>
      </c>
      <c r="J962" t="str">
        <f t="shared" ref="J962:J1001" si="47">IF(OR(H962=0,H962=6),"Weekend","Weekday")</f>
        <v>Weekend</v>
      </c>
      <c r="K962">
        <v>1</v>
      </c>
      <c r="L962" t="str">
        <f>_xlfn.XLOOKUP(Append15[[#This Row],[WeatherSituation]],Mappings!$E$3:$E$6,Mappings!$F$3:$F$6)</f>
        <v>Clear Sky</v>
      </c>
      <c r="M962">
        <v>0.34</v>
      </c>
      <c r="N962">
        <v>0.30299999999999999</v>
      </c>
      <c r="O962">
        <v>0.28999999999999998</v>
      </c>
      <c r="P962">
        <v>0.41789999999999999</v>
      </c>
      <c r="Q962">
        <v>47</v>
      </c>
      <c r="R962">
        <v>127</v>
      </c>
      <c r="S962">
        <v>174</v>
      </c>
    </row>
    <row r="963" spans="1:19" x14ac:dyDescent="0.3">
      <c r="A963">
        <v>962</v>
      </c>
      <c r="B963" s="4">
        <v>40586</v>
      </c>
      <c r="C963">
        <v>2</v>
      </c>
      <c r="D963">
        <v>16</v>
      </c>
      <c r="E963" t="str">
        <f t="shared" si="45"/>
        <v>4 PM</v>
      </c>
      <c r="F963" t="str">
        <f t="shared" si="46"/>
        <v>Evening</v>
      </c>
      <c r="G963" t="b">
        <v>0</v>
      </c>
      <c r="H963">
        <v>6</v>
      </c>
      <c r="I963" t="str">
        <f>_xlfn.XLOOKUP(Append15[[#This Row],[Week day]],Mappings!$B$3:$B$9,Mappings!$C$3:$C$9)</f>
        <v>Saturday</v>
      </c>
      <c r="J963" t="str">
        <f t="shared" si="47"/>
        <v>Weekend</v>
      </c>
      <c r="K963">
        <v>1</v>
      </c>
      <c r="L963" t="str">
        <f>_xlfn.XLOOKUP(Append15[[#This Row],[WeatherSituation]],Mappings!$E$3:$E$6,Mappings!$F$3:$F$6)</f>
        <v>Clear Sky</v>
      </c>
      <c r="M963">
        <v>0.34</v>
      </c>
      <c r="N963">
        <v>0.30299999999999999</v>
      </c>
      <c r="O963">
        <v>0.28999999999999998</v>
      </c>
      <c r="P963">
        <v>0.41789999999999999</v>
      </c>
      <c r="Q963">
        <v>42</v>
      </c>
      <c r="R963">
        <v>103</v>
      </c>
      <c r="S963">
        <v>145</v>
      </c>
    </row>
    <row r="964" spans="1:19" x14ac:dyDescent="0.3">
      <c r="A964">
        <v>963</v>
      </c>
      <c r="B964" s="4">
        <v>40586</v>
      </c>
      <c r="C964">
        <v>2</v>
      </c>
      <c r="D964">
        <v>17</v>
      </c>
      <c r="E964" t="str">
        <f t="shared" si="45"/>
        <v>5 PM</v>
      </c>
      <c r="F964" t="str">
        <f t="shared" si="46"/>
        <v>Evening</v>
      </c>
      <c r="G964" t="b">
        <v>0</v>
      </c>
      <c r="H964">
        <v>6</v>
      </c>
      <c r="I964" t="str">
        <f>_xlfn.XLOOKUP(Append15[[#This Row],[Week day]],Mappings!$B$3:$B$9,Mappings!$C$3:$C$9)</f>
        <v>Saturday</v>
      </c>
      <c r="J964" t="str">
        <f t="shared" si="47"/>
        <v>Weekend</v>
      </c>
      <c r="K964">
        <v>1</v>
      </c>
      <c r="L964" t="str">
        <f>_xlfn.XLOOKUP(Append15[[#This Row],[WeatherSituation]],Mappings!$E$3:$E$6,Mappings!$F$3:$F$6)</f>
        <v>Clear Sky</v>
      </c>
      <c r="M964">
        <v>0.32</v>
      </c>
      <c r="N964">
        <v>0.28789999999999999</v>
      </c>
      <c r="O964">
        <v>0.31</v>
      </c>
      <c r="P964">
        <v>0.52239999999999998</v>
      </c>
      <c r="Q964">
        <v>24</v>
      </c>
      <c r="R964">
        <v>113</v>
      </c>
      <c r="S964">
        <v>137</v>
      </c>
    </row>
    <row r="965" spans="1:19" x14ac:dyDescent="0.3">
      <c r="A965">
        <v>964</v>
      </c>
      <c r="B965" s="4">
        <v>40586</v>
      </c>
      <c r="C965">
        <v>2</v>
      </c>
      <c r="D965">
        <v>18</v>
      </c>
      <c r="E965" t="str">
        <f t="shared" si="45"/>
        <v>6 PM</v>
      </c>
      <c r="F965" t="str">
        <f t="shared" si="46"/>
        <v>Evening</v>
      </c>
      <c r="G965" t="b">
        <v>0</v>
      </c>
      <c r="H965">
        <v>6</v>
      </c>
      <c r="I965" t="str">
        <f>_xlfn.XLOOKUP(Append15[[#This Row],[Week day]],Mappings!$B$3:$B$9,Mappings!$C$3:$C$9)</f>
        <v>Saturday</v>
      </c>
      <c r="J965" t="str">
        <f t="shared" si="47"/>
        <v>Weekend</v>
      </c>
      <c r="K965">
        <v>1</v>
      </c>
      <c r="L965" t="str">
        <f>_xlfn.XLOOKUP(Append15[[#This Row],[WeatherSituation]],Mappings!$E$3:$E$6,Mappings!$F$3:$F$6)</f>
        <v>Clear Sky</v>
      </c>
      <c r="M965">
        <v>0.28000000000000003</v>
      </c>
      <c r="N965">
        <v>0.2576</v>
      </c>
      <c r="O965">
        <v>0.38</v>
      </c>
      <c r="P965">
        <v>0.32840000000000003</v>
      </c>
      <c r="Q965">
        <v>4</v>
      </c>
      <c r="R965">
        <v>60</v>
      </c>
      <c r="S965">
        <v>64</v>
      </c>
    </row>
    <row r="966" spans="1:19" x14ac:dyDescent="0.3">
      <c r="A966">
        <v>965</v>
      </c>
      <c r="B966" s="4">
        <v>40586</v>
      </c>
      <c r="C966">
        <v>2</v>
      </c>
      <c r="D966">
        <v>19</v>
      </c>
      <c r="E966" t="str">
        <f t="shared" si="45"/>
        <v>7 PM</v>
      </c>
      <c r="F966" t="str">
        <f t="shared" si="46"/>
        <v>Evening</v>
      </c>
      <c r="G966" t="b">
        <v>0</v>
      </c>
      <c r="H966">
        <v>6</v>
      </c>
      <c r="I966" t="str">
        <f>_xlfn.XLOOKUP(Append15[[#This Row],[Week day]],Mappings!$B$3:$B$9,Mappings!$C$3:$C$9)</f>
        <v>Saturday</v>
      </c>
      <c r="J966" t="str">
        <f t="shared" si="47"/>
        <v>Weekend</v>
      </c>
      <c r="K966">
        <v>1</v>
      </c>
      <c r="L966" t="str">
        <f>_xlfn.XLOOKUP(Append15[[#This Row],[WeatherSituation]],Mappings!$E$3:$E$6,Mappings!$F$3:$F$6)</f>
        <v>Clear Sky</v>
      </c>
      <c r="M966">
        <v>0.28000000000000003</v>
      </c>
      <c r="N966">
        <v>0.2727</v>
      </c>
      <c r="O966">
        <v>0.38</v>
      </c>
      <c r="P966">
        <v>0.16420000000000001</v>
      </c>
      <c r="Q966">
        <v>2</v>
      </c>
      <c r="R966">
        <v>39</v>
      </c>
      <c r="S966">
        <v>41</v>
      </c>
    </row>
    <row r="967" spans="1:19" x14ac:dyDescent="0.3">
      <c r="A967">
        <v>966</v>
      </c>
      <c r="B967" s="4">
        <v>40586</v>
      </c>
      <c r="C967">
        <v>2</v>
      </c>
      <c r="D967">
        <v>20</v>
      </c>
      <c r="E967" t="str">
        <f t="shared" si="45"/>
        <v>8 PM</v>
      </c>
      <c r="F967" t="str">
        <f t="shared" si="46"/>
        <v>Night</v>
      </c>
      <c r="G967" t="b">
        <v>0</v>
      </c>
      <c r="H967">
        <v>6</v>
      </c>
      <c r="I967" t="str">
        <f>_xlfn.XLOOKUP(Append15[[#This Row],[Week day]],Mappings!$B$3:$B$9,Mappings!$C$3:$C$9)</f>
        <v>Saturday</v>
      </c>
      <c r="J967" t="str">
        <f t="shared" si="47"/>
        <v>Weekend</v>
      </c>
      <c r="K967">
        <v>1</v>
      </c>
      <c r="L967" t="str">
        <f>_xlfn.XLOOKUP(Append15[[#This Row],[WeatherSituation]],Mappings!$E$3:$E$6,Mappings!$F$3:$F$6)</f>
        <v>Clear Sky</v>
      </c>
      <c r="M967">
        <v>0.26</v>
      </c>
      <c r="N967">
        <v>0.2576</v>
      </c>
      <c r="O967">
        <v>0.41</v>
      </c>
      <c r="P967">
        <v>0.22389999999999999</v>
      </c>
      <c r="Q967">
        <v>1</v>
      </c>
      <c r="R967">
        <v>39</v>
      </c>
      <c r="S967">
        <v>40</v>
      </c>
    </row>
    <row r="968" spans="1:19" x14ac:dyDescent="0.3">
      <c r="A968">
        <v>967</v>
      </c>
      <c r="B968" s="4">
        <v>40586</v>
      </c>
      <c r="C968">
        <v>2</v>
      </c>
      <c r="D968">
        <v>21</v>
      </c>
      <c r="E968" t="str">
        <f t="shared" si="45"/>
        <v>9 PM</v>
      </c>
      <c r="F968" t="str">
        <f t="shared" si="46"/>
        <v>Night</v>
      </c>
      <c r="G968" t="b">
        <v>0</v>
      </c>
      <c r="H968">
        <v>6</v>
      </c>
      <c r="I968" t="str">
        <f>_xlfn.XLOOKUP(Append15[[#This Row],[Week day]],Mappings!$B$3:$B$9,Mappings!$C$3:$C$9)</f>
        <v>Saturday</v>
      </c>
      <c r="J968" t="str">
        <f t="shared" si="47"/>
        <v>Weekend</v>
      </c>
      <c r="K968">
        <v>1</v>
      </c>
      <c r="L968" t="str">
        <f>_xlfn.XLOOKUP(Append15[[#This Row],[WeatherSituation]],Mappings!$E$3:$E$6,Mappings!$F$3:$F$6)</f>
        <v>Clear Sky</v>
      </c>
      <c r="M968">
        <v>0.26</v>
      </c>
      <c r="N968">
        <v>0.30299999999999999</v>
      </c>
      <c r="O968">
        <v>0.41</v>
      </c>
      <c r="P968">
        <v>0</v>
      </c>
      <c r="Q968">
        <v>9</v>
      </c>
      <c r="R968">
        <v>42</v>
      </c>
      <c r="S968">
        <v>51</v>
      </c>
    </row>
    <row r="969" spans="1:19" x14ac:dyDescent="0.3">
      <c r="A969">
        <v>968</v>
      </c>
      <c r="B969" s="4">
        <v>40586</v>
      </c>
      <c r="C969">
        <v>2</v>
      </c>
      <c r="D969">
        <v>22</v>
      </c>
      <c r="E969" t="str">
        <f t="shared" si="45"/>
        <v>10 PM</v>
      </c>
      <c r="F969" t="str">
        <f t="shared" si="46"/>
        <v>Night</v>
      </c>
      <c r="G969" t="b">
        <v>0</v>
      </c>
      <c r="H969">
        <v>6</v>
      </c>
      <c r="I969" t="str">
        <f>_xlfn.XLOOKUP(Append15[[#This Row],[Week day]],Mappings!$B$3:$B$9,Mappings!$C$3:$C$9)</f>
        <v>Saturday</v>
      </c>
      <c r="J969" t="str">
        <f t="shared" si="47"/>
        <v>Weekend</v>
      </c>
      <c r="K969">
        <v>1</v>
      </c>
      <c r="L969" t="str">
        <f>_xlfn.XLOOKUP(Append15[[#This Row],[WeatherSituation]],Mappings!$E$3:$E$6,Mappings!$F$3:$F$6)</f>
        <v>Clear Sky</v>
      </c>
      <c r="M969">
        <v>0.24</v>
      </c>
      <c r="N969">
        <v>0.2576</v>
      </c>
      <c r="O969">
        <v>0.44</v>
      </c>
      <c r="P969">
        <v>8.9599999999999999E-2</v>
      </c>
      <c r="Q969">
        <v>6</v>
      </c>
      <c r="R969">
        <v>39</v>
      </c>
      <c r="S969">
        <v>45</v>
      </c>
    </row>
    <row r="970" spans="1:19" x14ac:dyDescent="0.3">
      <c r="A970">
        <v>969</v>
      </c>
      <c r="B970" s="4">
        <v>40586</v>
      </c>
      <c r="C970">
        <v>2</v>
      </c>
      <c r="D970">
        <v>23</v>
      </c>
      <c r="E970" t="str">
        <f t="shared" si="45"/>
        <v>11 PM</v>
      </c>
      <c r="F970" t="str">
        <f t="shared" si="46"/>
        <v>Night</v>
      </c>
      <c r="G970" t="b">
        <v>0</v>
      </c>
      <c r="H970">
        <v>6</v>
      </c>
      <c r="I970" t="str">
        <f>_xlfn.XLOOKUP(Append15[[#This Row],[Week day]],Mappings!$B$3:$B$9,Mappings!$C$3:$C$9)</f>
        <v>Saturday</v>
      </c>
      <c r="J970" t="str">
        <f t="shared" si="47"/>
        <v>Weekend</v>
      </c>
      <c r="K970">
        <v>1</v>
      </c>
      <c r="L970" t="str">
        <f>_xlfn.XLOOKUP(Append15[[#This Row],[WeatherSituation]],Mappings!$E$3:$E$6,Mappings!$F$3:$F$6)</f>
        <v>Clear Sky</v>
      </c>
      <c r="M970">
        <v>0.22</v>
      </c>
      <c r="N970">
        <v>0.2273</v>
      </c>
      <c r="O970">
        <v>0.51</v>
      </c>
      <c r="P970">
        <v>0.1343</v>
      </c>
      <c r="Q970">
        <v>1</v>
      </c>
      <c r="R970">
        <v>31</v>
      </c>
      <c r="S970">
        <v>32</v>
      </c>
    </row>
    <row r="971" spans="1:19" x14ac:dyDescent="0.3">
      <c r="A971">
        <v>970</v>
      </c>
      <c r="B971" s="4">
        <v>40587</v>
      </c>
      <c r="C971">
        <v>2</v>
      </c>
      <c r="D971">
        <v>0</v>
      </c>
      <c r="E971" t="str">
        <f t="shared" si="45"/>
        <v>12 AM</v>
      </c>
      <c r="F971" t="str">
        <f t="shared" si="46"/>
        <v>Night</v>
      </c>
      <c r="G971" t="b">
        <v>0</v>
      </c>
      <c r="H971">
        <v>0</v>
      </c>
      <c r="I971" t="str">
        <f>_xlfn.XLOOKUP(Append15[[#This Row],[Week day]],Mappings!$B$3:$B$9,Mappings!$C$3:$C$9)</f>
        <v>Sunday</v>
      </c>
      <c r="J971" t="str">
        <f t="shared" si="47"/>
        <v>Weekend</v>
      </c>
      <c r="K971">
        <v>1</v>
      </c>
      <c r="L971" t="str">
        <f>_xlfn.XLOOKUP(Append15[[#This Row],[WeatherSituation]],Mappings!$E$3:$E$6,Mappings!$F$3:$F$6)</f>
        <v>Clear Sky</v>
      </c>
      <c r="M971">
        <v>0.2</v>
      </c>
      <c r="N971">
        <v>0.2273</v>
      </c>
      <c r="O971">
        <v>0.64</v>
      </c>
      <c r="P971">
        <v>0.1045</v>
      </c>
      <c r="Q971">
        <v>5</v>
      </c>
      <c r="R971">
        <v>34</v>
      </c>
      <c r="S971">
        <v>39</v>
      </c>
    </row>
    <row r="972" spans="1:19" x14ac:dyDescent="0.3">
      <c r="A972">
        <v>971</v>
      </c>
      <c r="B972" s="4">
        <v>40587</v>
      </c>
      <c r="C972">
        <v>2</v>
      </c>
      <c r="D972">
        <v>1</v>
      </c>
      <c r="E972" t="str">
        <f t="shared" si="45"/>
        <v>1 AM</v>
      </c>
      <c r="F972" t="str">
        <f t="shared" si="46"/>
        <v>Night</v>
      </c>
      <c r="G972" t="b">
        <v>0</v>
      </c>
      <c r="H972">
        <v>0</v>
      </c>
      <c r="I972" t="str">
        <f>_xlfn.XLOOKUP(Append15[[#This Row],[Week day]],Mappings!$B$3:$B$9,Mappings!$C$3:$C$9)</f>
        <v>Sunday</v>
      </c>
      <c r="J972" t="str">
        <f t="shared" si="47"/>
        <v>Weekend</v>
      </c>
      <c r="K972">
        <v>1</v>
      </c>
      <c r="L972" t="str">
        <f>_xlfn.XLOOKUP(Append15[[#This Row],[WeatherSituation]],Mappings!$E$3:$E$6,Mappings!$F$3:$F$6)</f>
        <v>Clear Sky</v>
      </c>
      <c r="M972">
        <v>0.2</v>
      </c>
      <c r="N972">
        <v>0.2273</v>
      </c>
      <c r="O972">
        <v>0.59</v>
      </c>
      <c r="P972">
        <v>8.9599999999999999E-2</v>
      </c>
      <c r="Q972">
        <v>1</v>
      </c>
      <c r="R972">
        <v>23</v>
      </c>
      <c r="S972">
        <v>24</v>
      </c>
    </row>
    <row r="973" spans="1:19" x14ac:dyDescent="0.3">
      <c r="A973">
        <v>972</v>
      </c>
      <c r="B973" s="4">
        <v>40587</v>
      </c>
      <c r="C973">
        <v>2</v>
      </c>
      <c r="D973">
        <v>2</v>
      </c>
      <c r="E973" t="str">
        <f t="shared" si="45"/>
        <v>2 AM</v>
      </c>
      <c r="F973" t="str">
        <f t="shared" si="46"/>
        <v>Night</v>
      </c>
      <c r="G973" t="b">
        <v>0</v>
      </c>
      <c r="H973">
        <v>0</v>
      </c>
      <c r="I973" t="str">
        <f>_xlfn.XLOOKUP(Append15[[#This Row],[Week day]],Mappings!$B$3:$B$9,Mappings!$C$3:$C$9)</f>
        <v>Sunday</v>
      </c>
      <c r="J973" t="str">
        <f t="shared" si="47"/>
        <v>Weekend</v>
      </c>
      <c r="K973">
        <v>2</v>
      </c>
      <c r="L973" t="str">
        <f>_xlfn.XLOOKUP(Append15[[#This Row],[WeatherSituation]],Mappings!$E$3:$E$6,Mappings!$F$3:$F$6)</f>
        <v>Mist/Cloudy</v>
      </c>
      <c r="M973">
        <v>0.2</v>
      </c>
      <c r="N973">
        <v>0.2273</v>
      </c>
      <c r="O973">
        <v>0.75</v>
      </c>
      <c r="P973">
        <v>8.9599999999999999E-2</v>
      </c>
      <c r="Q973">
        <v>1</v>
      </c>
      <c r="R973">
        <v>19</v>
      </c>
      <c r="S973">
        <v>20</v>
      </c>
    </row>
    <row r="974" spans="1:19" x14ac:dyDescent="0.3">
      <c r="A974">
        <v>973</v>
      </c>
      <c r="B974" s="4">
        <v>40587</v>
      </c>
      <c r="C974">
        <v>2</v>
      </c>
      <c r="D974">
        <v>3</v>
      </c>
      <c r="E974" t="str">
        <f t="shared" si="45"/>
        <v>3 AM</v>
      </c>
      <c r="F974" t="str">
        <f t="shared" si="46"/>
        <v>Night</v>
      </c>
      <c r="G974" t="b">
        <v>0</v>
      </c>
      <c r="H974">
        <v>0</v>
      </c>
      <c r="I974" t="str">
        <f>_xlfn.XLOOKUP(Append15[[#This Row],[Week day]],Mappings!$B$3:$B$9,Mappings!$C$3:$C$9)</f>
        <v>Sunday</v>
      </c>
      <c r="J974" t="str">
        <f t="shared" si="47"/>
        <v>Weekend</v>
      </c>
      <c r="K974">
        <v>2</v>
      </c>
      <c r="L974" t="str">
        <f>_xlfn.XLOOKUP(Append15[[#This Row],[WeatherSituation]],Mappings!$E$3:$E$6,Mappings!$F$3:$F$6)</f>
        <v>Mist/Cloudy</v>
      </c>
      <c r="M974">
        <v>0.2</v>
      </c>
      <c r="N974">
        <v>0.2273</v>
      </c>
      <c r="O974">
        <v>0.69</v>
      </c>
      <c r="P974">
        <v>0.1045</v>
      </c>
      <c r="Q974">
        <v>4</v>
      </c>
      <c r="R974">
        <v>8</v>
      </c>
      <c r="S974">
        <v>12</v>
      </c>
    </row>
    <row r="975" spans="1:19" x14ac:dyDescent="0.3">
      <c r="A975">
        <v>974</v>
      </c>
      <c r="B975" s="4">
        <v>40587</v>
      </c>
      <c r="C975">
        <v>2</v>
      </c>
      <c r="D975">
        <v>4</v>
      </c>
      <c r="E975" t="str">
        <f t="shared" si="45"/>
        <v>4 AM</v>
      </c>
      <c r="F975" t="str">
        <f t="shared" si="46"/>
        <v>Night</v>
      </c>
      <c r="G975" t="b">
        <v>0</v>
      </c>
      <c r="H975">
        <v>0</v>
      </c>
      <c r="I975" t="str">
        <f>_xlfn.XLOOKUP(Append15[[#This Row],[Week day]],Mappings!$B$3:$B$9,Mappings!$C$3:$C$9)</f>
        <v>Sunday</v>
      </c>
      <c r="J975" t="str">
        <f t="shared" si="47"/>
        <v>Weekend</v>
      </c>
      <c r="K975">
        <v>2</v>
      </c>
      <c r="L975" t="str">
        <f>_xlfn.XLOOKUP(Append15[[#This Row],[WeatherSituation]],Mappings!$E$3:$E$6,Mappings!$F$3:$F$6)</f>
        <v>Mist/Cloudy</v>
      </c>
      <c r="M975">
        <v>0.2</v>
      </c>
      <c r="N975">
        <v>0.21210000000000001</v>
      </c>
      <c r="O975">
        <v>0.69</v>
      </c>
      <c r="P975">
        <v>0.16420000000000001</v>
      </c>
      <c r="Q975">
        <v>0</v>
      </c>
      <c r="R975">
        <v>2</v>
      </c>
      <c r="S975">
        <v>2</v>
      </c>
    </row>
    <row r="976" spans="1:19" x14ac:dyDescent="0.3">
      <c r="A976">
        <v>975</v>
      </c>
      <c r="B976" s="4">
        <v>40587</v>
      </c>
      <c r="C976">
        <v>2</v>
      </c>
      <c r="D976">
        <v>6</v>
      </c>
      <c r="E976" t="str">
        <f t="shared" si="45"/>
        <v>6 AM</v>
      </c>
      <c r="F976" t="str">
        <f t="shared" si="46"/>
        <v>Morning</v>
      </c>
      <c r="G976" t="b">
        <v>0</v>
      </c>
      <c r="H976">
        <v>0</v>
      </c>
      <c r="I976" t="str">
        <f>_xlfn.XLOOKUP(Append15[[#This Row],[Week day]],Mappings!$B$3:$B$9,Mappings!$C$3:$C$9)</f>
        <v>Sunday</v>
      </c>
      <c r="J976" t="str">
        <f t="shared" si="47"/>
        <v>Weekend</v>
      </c>
      <c r="K976">
        <v>2</v>
      </c>
      <c r="L976" t="str">
        <f>_xlfn.XLOOKUP(Append15[[#This Row],[WeatherSituation]],Mappings!$E$3:$E$6,Mappings!$F$3:$F$6)</f>
        <v>Mist/Cloudy</v>
      </c>
      <c r="M976">
        <v>0.2</v>
      </c>
      <c r="N976">
        <v>0.21210000000000001</v>
      </c>
      <c r="O976">
        <v>0.69</v>
      </c>
      <c r="P976">
        <v>0.1343</v>
      </c>
      <c r="Q976">
        <v>2</v>
      </c>
      <c r="R976">
        <v>3</v>
      </c>
      <c r="S976">
        <v>5</v>
      </c>
    </row>
    <row r="977" spans="1:19" x14ac:dyDescent="0.3">
      <c r="A977">
        <v>976</v>
      </c>
      <c r="B977" s="4">
        <v>40587</v>
      </c>
      <c r="C977">
        <v>2</v>
      </c>
      <c r="D977">
        <v>7</v>
      </c>
      <c r="E977" t="str">
        <f t="shared" si="45"/>
        <v>7 AM</v>
      </c>
      <c r="F977" t="str">
        <f t="shared" si="46"/>
        <v>Morning</v>
      </c>
      <c r="G977" t="b">
        <v>0</v>
      </c>
      <c r="H977">
        <v>0</v>
      </c>
      <c r="I977" t="str">
        <f>_xlfn.XLOOKUP(Append15[[#This Row],[Week day]],Mappings!$B$3:$B$9,Mappings!$C$3:$C$9)</f>
        <v>Sunday</v>
      </c>
      <c r="J977" t="str">
        <f t="shared" si="47"/>
        <v>Weekend</v>
      </c>
      <c r="K977">
        <v>2</v>
      </c>
      <c r="L977" t="str">
        <f>_xlfn.XLOOKUP(Append15[[#This Row],[WeatherSituation]],Mappings!$E$3:$E$6,Mappings!$F$3:$F$6)</f>
        <v>Mist/Cloudy</v>
      </c>
      <c r="M977">
        <v>0.22</v>
      </c>
      <c r="N977">
        <v>0.2727</v>
      </c>
      <c r="O977">
        <v>0.55000000000000004</v>
      </c>
      <c r="P977">
        <v>0</v>
      </c>
      <c r="Q977">
        <v>0</v>
      </c>
      <c r="R977">
        <v>3</v>
      </c>
      <c r="S977">
        <v>3</v>
      </c>
    </row>
    <row r="978" spans="1:19" x14ac:dyDescent="0.3">
      <c r="A978">
        <v>977</v>
      </c>
      <c r="B978" s="4">
        <v>40587</v>
      </c>
      <c r="C978">
        <v>2</v>
      </c>
      <c r="D978">
        <v>8</v>
      </c>
      <c r="E978" t="str">
        <f t="shared" si="45"/>
        <v>8 AM</v>
      </c>
      <c r="F978" t="str">
        <f t="shared" si="46"/>
        <v>Morning</v>
      </c>
      <c r="G978" t="b">
        <v>0</v>
      </c>
      <c r="H978">
        <v>0</v>
      </c>
      <c r="I978" t="str">
        <f>_xlfn.XLOOKUP(Append15[[#This Row],[Week day]],Mappings!$B$3:$B$9,Mappings!$C$3:$C$9)</f>
        <v>Sunday</v>
      </c>
      <c r="J978" t="str">
        <f t="shared" si="47"/>
        <v>Weekend</v>
      </c>
      <c r="K978">
        <v>2</v>
      </c>
      <c r="L978" t="str">
        <f>_xlfn.XLOOKUP(Append15[[#This Row],[WeatherSituation]],Mappings!$E$3:$E$6,Mappings!$F$3:$F$6)</f>
        <v>Mist/Cloudy</v>
      </c>
      <c r="M978">
        <v>0.22</v>
      </c>
      <c r="N978">
        <v>0.2273</v>
      </c>
      <c r="O978">
        <v>0.64</v>
      </c>
      <c r="P978">
        <v>0.19400000000000001</v>
      </c>
      <c r="Q978">
        <v>1</v>
      </c>
      <c r="R978">
        <v>11</v>
      </c>
      <c r="S978">
        <v>12</v>
      </c>
    </row>
    <row r="979" spans="1:19" x14ac:dyDescent="0.3">
      <c r="A979">
        <v>978</v>
      </c>
      <c r="B979" s="4">
        <v>40587</v>
      </c>
      <c r="C979">
        <v>2</v>
      </c>
      <c r="D979">
        <v>9</v>
      </c>
      <c r="E979" t="str">
        <f t="shared" si="45"/>
        <v>9 AM</v>
      </c>
      <c r="F979" t="str">
        <f t="shared" si="46"/>
        <v>Morning</v>
      </c>
      <c r="G979" t="b">
        <v>0</v>
      </c>
      <c r="H979">
        <v>0</v>
      </c>
      <c r="I979" t="str">
        <f>_xlfn.XLOOKUP(Append15[[#This Row],[Week day]],Mappings!$B$3:$B$9,Mappings!$C$3:$C$9)</f>
        <v>Sunday</v>
      </c>
      <c r="J979" t="str">
        <f t="shared" si="47"/>
        <v>Weekend</v>
      </c>
      <c r="K979">
        <v>2</v>
      </c>
      <c r="L979" t="str">
        <f>_xlfn.XLOOKUP(Append15[[#This Row],[WeatherSituation]],Mappings!$E$3:$E$6,Mappings!$F$3:$F$6)</f>
        <v>Mist/Cloudy</v>
      </c>
      <c r="M979">
        <v>0.24</v>
      </c>
      <c r="N979">
        <v>0.2273</v>
      </c>
      <c r="O979">
        <v>0.6</v>
      </c>
      <c r="P979">
        <v>0.22389999999999999</v>
      </c>
      <c r="Q979">
        <v>12</v>
      </c>
      <c r="R979">
        <v>35</v>
      </c>
      <c r="S979">
        <v>47</v>
      </c>
    </row>
    <row r="980" spans="1:19" x14ac:dyDescent="0.3">
      <c r="A980">
        <v>979</v>
      </c>
      <c r="B980" s="4">
        <v>40587</v>
      </c>
      <c r="C980">
        <v>2</v>
      </c>
      <c r="D980">
        <v>10</v>
      </c>
      <c r="E980" t="str">
        <f t="shared" si="45"/>
        <v>10 AM</v>
      </c>
      <c r="F980" t="str">
        <f t="shared" si="46"/>
        <v>Morning</v>
      </c>
      <c r="G980" t="b">
        <v>0</v>
      </c>
      <c r="H980">
        <v>0</v>
      </c>
      <c r="I980" t="str">
        <f>_xlfn.XLOOKUP(Append15[[#This Row],[Week day]],Mappings!$B$3:$B$9,Mappings!$C$3:$C$9)</f>
        <v>Sunday</v>
      </c>
      <c r="J980" t="str">
        <f t="shared" si="47"/>
        <v>Weekend</v>
      </c>
      <c r="K980">
        <v>1</v>
      </c>
      <c r="L980" t="str">
        <f>_xlfn.XLOOKUP(Append15[[#This Row],[WeatherSituation]],Mappings!$E$3:$E$6,Mappings!$F$3:$F$6)</f>
        <v>Clear Sky</v>
      </c>
      <c r="M980">
        <v>0.3</v>
      </c>
      <c r="N980">
        <v>0.2727</v>
      </c>
      <c r="O980">
        <v>0.45</v>
      </c>
      <c r="P980">
        <v>0.32840000000000003</v>
      </c>
      <c r="Q980">
        <v>19</v>
      </c>
      <c r="R980">
        <v>86</v>
      </c>
      <c r="S980">
        <v>105</v>
      </c>
    </row>
    <row r="981" spans="1:19" x14ac:dyDescent="0.3">
      <c r="A981">
        <v>980</v>
      </c>
      <c r="B981" s="4">
        <v>40587</v>
      </c>
      <c r="C981">
        <v>2</v>
      </c>
      <c r="D981">
        <v>11</v>
      </c>
      <c r="E981" t="str">
        <f t="shared" si="45"/>
        <v>11 AM</v>
      </c>
      <c r="F981" t="str">
        <f t="shared" si="46"/>
        <v>Morning</v>
      </c>
      <c r="G981" t="b">
        <v>0</v>
      </c>
      <c r="H981">
        <v>0</v>
      </c>
      <c r="I981" t="str">
        <f>_xlfn.XLOOKUP(Append15[[#This Row],[Week day]],Mappings!$B$3:$B$9,Mappings!$C$3:$C$9)</f>
        <v>Sunday</v>
      </c>
      <c r="J981" t="str">
        <f t="shared" si="47"/>
        <v>Weekend</v>
      </c>
      <c r="K981">
        <v>1</v>
      </c>
      <c r="L981" t="str">
        <f>_xlfn.XLOOKUP(Append15[[#This Row],[WeatherSituation]],Mappings!$E$3:$E$6,Mappings!$F$3:$F$6)</f>
        <v>Clear Sky</v>
      </c>
      <c r="M981">
        <v>0.32</v>
      </c>
      <c r="N981">
        <v>0.28789999999999999</v>
      </c>
      <c r="O981">
        <v>0.39</v>
      </c>
      <c r="P981">
        <v>0.44779999999999998</v>
      </c>
      <c r="Q981">
        <v>26</v>
      </c>
      <c r="R981">
        <v>86</v>
      </c>
      <c r="S981">
        <v>112</v>
      </c>
    </row>
    <row r="982" spans="1:19" x14ac:dyDescent="0.3">
      <c r="A982">
        <v>981</v>
      </c>
      <c r="B982" s="4">
        <v>40587</v>
      </c>
      <c r="C982">
        <v>2</v>
      </c>
      <c r="D982">
        <v>12</v>
      </c>
      <c r="E982" t="str">
        <f t="shared" si="45"/>
        <v>12 PM</v>
      </c>
      <c r="F982" t="str">
        <f t="shared" si="46"/>
        <v>AfterNoon</v>
      </c>
      <c r="G982" t="b">
        <v>0</v>
      </c>
      <c r="H982">
        <v>0</v>
      </c>
      <c r="I982" t="str">
        <f>_xlfn.XLOOKUP(Append15[[#This Row],[Week day]],Mappings!$B$3:$B$9,Mappings!$C$3:$C$9)</f>
        <v>Sunday</v>
      </c>
      <c r="J982" t="str">
        <f t="shared" si="47"/>
        <v>Weekend</v>
      </c>
      <c r="K982">
        <v>1</v>
      </c>
      <c r="L982" t="str">
        <f>_xlfn.XLOOKUP(Append15[[#This Row],[WeatherSituation]],Mappings!$E$3:$E$6,Mappings!$F$3:$F$6)</f>
        <v>Clear Sky</v>
      </c>
      <c r="M982">
        <v>0.36</v>
      </c>
      <c r="N982">
        <v>0.31819999999999998</v>
      </c>
      <c r="O982">
        <v>0.32</v>
      </c>
      <c r="P982">
        <v>0.4627</v>
      </c>
      <c r="Q982">
        <v>58</v>
      </c>
      <c r="R982">
        <v>94</v>
      </c>
      <c r="S982">
        <v>152</v>
      </c>
    </row>
    <row r="983" spans="1:19" x14ac:dyDescent="0.3">
      <c r="A983">
        <v>982</v>
      </c>
      <c r="B983" s="4">
        <v>40587</v>
      </c>
      <c r="C983">
        <v>2</v>
      </c>
      <c r="D983">
        <v>13</v>
      </c>
      <c r="E983" t="str">
        <f t="shared" si="45"/>
        <v>1 PM</v>
      </c>
      <c r="F983" t="str">
        <f t="shared" si="46"/>
        <v>AfterNoon</v>
      </c>
      <c r="G983" t="b">
        <v>0</v>
      </c>
      <c r="H983">
        <v>0</v>
      </c>
      <c r="I983" t="str">
        <f>_xlfn.XLOOKUP(Append15[[#This Row],[Week day]],Mappings!$B$3:$B$9,Mappings!$C$3:$C$9)</f>
        <v>Sunday</v>
      </c>
      <c r="J983" t="str">
        <f t="shared" si="47"/>
        <v>Weekend</v>
      </c>
      <c r="K983">
        <v>1</v>
      </c>
      <c r="L983" t="str">
        <f>_xlfn.XLOOKUP(Append15[[#This Row],[WeatherSituation]],Mappings!$E$3:$E$6,Mappings!$F$3:$F$6)</f>
        <v>Clear Sky</v>
      </c>
      <c r="M983">
        <v>0.38</v>
      </c>
      <c r="N983">
        <v>0.39389999999999997</v>
      </c>
      <c r="O983">
        <v>0.28999999999999998</v>
      </c>
      <c r="P983">
        <v>0.35820000000000002</v>
      </c>
      <c r="Q983">
        <v>62</v>
      </c>
      <c r="R983">
        <v>92</v>
      </c>
      <c r="S983">
        <v>154</v>
      </c>
    </row>
    <row r="984" spans="1:19" x14ac:dyDescent="0.3">
      <c r="A984">
        <v>983</v>
      </c>
      <c r="B984" s="4">
        <v>40587</v>
      </c>
      <c r="C984">
        <v>2</v>
      </c>
      <c r="D984">
        <v>14</v>
      </c>
      <c r="E984" t="str">
        <f t="shared" si="45"/>
        <v>2 PM</v>
      </c>
      <c r="F984" t="str">
        <f t="shared" si="46"/>
        <v>AfterNoon</v>
      </c>
      <c r="G984" t="b">
        <v>0</v>
      </c>
      <c r="H984">
        <v>0</v>
      </c>
      <c r="I984" t="str">
        <f>_xlfn.XLOOKUP(Append15[[#This Row],[Week day]],Mappings!$B$3:$B$9,Mappings!$C$3:$C$9)</f>
        <v>Sunday</v>
      </c>
      <c r="J984" t="str">
        <f t="shared" si="47"/>
        <v>Weekend</v>
      </c>
      <c r="K984">
        <v>2</v>
      </c>
      <c r="L984" t="str">
        <f>_xlfn.XLOOKUP(Append15[[#This Row],[WeatherSituation]],Mappings!$E$3:$E$6,Mappings!$F$3:$F$6)</f>
        <v>Mist/Cloudy</v>
      </c>
      <c r="M984">
        <v>0.4</v>
      </c>
      <c r="N984">
        <v>0.40910000000000002</v>
      </c>
      <c r="O984">
        <v>0.3</v>
      </c>
      <c r="P984">
        <v>0.41789999999999999</v>
      </c>
      <c r="Q984">
        <v>51</v>
      </c>
      <c r="R984">
        <v>110</v>
      </c>
      <c r="S984">
        <v>161</v>
      </c>
    </row>
    <row r="985" spans="1:19" x14ac:dyDescent="0.3">
      <c r="A985">
        <v>984</v>
      </c>
      <c r="B985" s="4">
        <v>40587</v>
      </c>
      <c r="C985">
        <v>2</v>
      </c>
      <c r="D985">
        <v>15</v>
      </c>
      <c r="E985" t="str">
        <f t="shared" si="45"/>
        <v>3 PM</v>
      </c>
      <c r="F985" t="str">
        <f t="shared" si="46"/>
        <v>AfterNoon</v>
      </c>
      <c r="G985" t="b">
        <v>0</v>
      </c>
      <c r="H985">
        <v>0</v>
      </c>
      <c r="I985" t="str">
        <f>_xlfn.XLOOKUP(Append15[[#This Row],[Week day]],Mappings!$B$3:$B$9,Mappings!$C$3:$C$9)</f>
        <v>Sunday</v>
      </c>
      <c r="J985" t="str">
        <f t="shared" si="47"/>
        <v>Weekend</v>
      </c>
      <c r="K985">
        <v>2</v>
      </c>
      <c r="L985" t="str">
        <f>_xlfn.XLOOKUP(Append15[[#This Row],[WeatherSituation]],Mappings!$E$3:$E$6,Mappings!$F$3:$F$6)</f>
        <v>Mist/Cloudy</v>
      </c>
      <c r="M985">
        <v>0.4</v>
      </c>
      <c r="N985">
        <v>0.40910000000000002</v>
      </c>
      <c r="O985">
        <v>0.3</v>
      </c>
      <c r="P985">
        <v>0.29849999999999999</v>
      </c>
      <c r="Q985">
        <v>40</v>
      </c>
      <c r="R985">
        <v>122</v>
      </c>
      <c r="S985">
        <v>162</v>
      </c>
    </row>
    <row r="986" spans="1:19" x14ac:dyDescent="0.3">
      <c r="A986">
        <v>985</v>
      </c>
      <c r="B986" s="4">
        <v>40587</v>
      </c>
      <c r="C986">
        <v>2</v>
      </c>
      <c r="D986">
        <v>16</v>
      </c>
      <c r="E986" t="str">
        <f t="shared" si="45"/>
        <v>4 PM</v>
      </c>
      <c r="F986" t="str">
        <f t="shared" si="46"/>
        <v>Evening</v>
      </c>
      <c r="G986" t="b">
        <v>0</v>
      </c>
      <c r="H986">
        <v>0</v>
      </c>
      <c r="I986" t="str">
        <f>_xlfn.XLOOKUP(Append15[[#This Row],[Week day]],Mappings!$B$3:$B$9,Mappings!$C$3:$C$9)</f>
        <v>Sunday</v>
      </c>
      <c r="J986" t="str">
        <f t="shared" si="47"/>
        <v>Weekend</v>
      </c>
      <c r="K986">
        <v>2</v>
      </c>
      <c r="L986" t="str">
        <f>_xlfn.XLOOKUP(Append15[[#This Row],[WeatherSituation]],Mappings!$E$3:$E$6,Mappings!$F$3:$F$6)</f>
        <v>Mist/Cloudy</v>
      </c>
      <c r="M986">
        <v>0.42</v>
      </c>
      <c r="N986">
        <v>0.42420000000000002</v>
      </c>
      <c r="O986">
        <v>0.28000000000000003</v>
      </c>
      <c r="P986">
        <v>0.32840000000000003</v>
      </c>
      <c r="Q986">
        <v>28</v>
      </c>
      <c r="R986">
        <v>106</v>
      </c>
      <c r="S986">
        <v>134</v>
      </c>
    </row>
    <row r="987" spans="1:19" x14ac:dyDescent="0.3">
      <c r="A987">
        <v>986</v>
      </c>
      <c r="B987" s="4">
        <v>40587</v>
      </c>
      <c r="C987">
        <v>2</v>
      </c>
      <c r="D987">
        <v>17</v>
      </c>
      <c r="E987" t="str">
        <f t="shared" si="45"/>
        <v>5 PM</v>
      </c>
      <c r="F987" t="str">
        <f t="shared" si="46"/>
        <v>Evening</v>
      </c>
      <c r="G987" t="b">
        <v>0</v>
      </c>
      <c r="H987">
        <v>0</v>
      </c>
      <c r="I987" t="str">
        <f>_xlfn.XLOOKUP(Append15[[#This Row],[Week day]],Mappings!$B$3:$B$9,Mappings!$C$3:$C$9)</f>
        <v>Sunday</v>
      </c>
      <c r="J987" t="str">
        <f t="shared" si="47"/>
        <v>Weekend</v>
      </c>
      <c r="K987">
        <v>1</v>
      </c>
      <c r="L987" t="str">
        <f>_xlfn.XLOOKUP(Append15[[#This Row],[WeatherSituation]],Mappings!$E$3:$E$6,Mappings!$F$3:$F$6)</f>
        <v>Clear Sky</v>
      </c>
      <c r="M987">
        <v>0.42</v>
      </c>
      <c r="N987">
        <v>0.42420000000000002</v>
      </c>
      <c r="O987">
        <v>0.28000000000000003</v>
      </c>
      <c r="P987">
        <v>0.32840000000000003</v>
      </c>
      <c r="Q987">
        <v>30</v>
      </c>
      <c r="R987">
        <v>95</v>
      </c>
      <c r="S987">
        <v>125</v>
      </c>
    </row>
    <row r="988" spans="1:19" x14ac:dyDescent="0.3">
      <c r="A988">
        <v>987</v>
      </c>
      <c r="B988" s="4">
        <v>40587</v>
      </c>
      <c r="C988">
        <v>2</v>
      </c>
      <c r="D988">
        <v>18</v>
      </c>
      <c r="E988" t="str">
        <f t="shared" si="45"/>
        <v>6 PM</v>
      </c>
      <c r="F988" t="str">
        <f t="shared" si="46"/>
        <v>Evening</v>
      </c>
      <c r="G988" t="b">
        <v>0</v>
      </c>
      <c r="H988">
        <v>0</v>
      </c>
      <c r="I988" t="str">
        <f>_xlfn.XLOOKUP(Append15[[#This Row],[Week day]],Mappings!$B$3:$B$9,Mappings!$C$3:$C$9)</f>
        <v>Sunday</v>
      </c>
      <c r="J988" t="str">
        <f t="shared" si="47"/>
        <v>Weekend</v>
      </c>
      <c r="K988">
        <v>1</v>
      </c>
      <c r="L988" t="str">
        <f>_xlfn.XLOOKUP(Append15[[#This Row],[WeatherSituation]],Mappings!$E$3:$E$6,Mappings!$F$3:$F$6)</f>
        <v>Clear Sky</v>
      </c>
      <c r="M988">
        <v>0.4</v>
      </c>
      <c r="N988">
        <v>0.40910000000000002</v>
      </c>
      <c r="O988">
        <v>0.32</v>
      </c>
      <c r="P988">
        <v>0.29849999999999999</v>
      </c>
      <c r="Q988">
        <v>17</v>
      </c>
      <c r="R988">
        <v>78</v>
      </c>
      <c r="S988">
        <v>95</v>
      </c>
    </row>
    <row r="989" spans="1:19" x14ac:dyDescent="0.3">
      <c r="A989">
        <v>988</v>
      </c>
      <c r="B989" s="4">
        <v>40587</v>
      </c>
      <c r="C989">
        <v>2</v>
      </c>
      <c r="D989">
        <v>19</v>
      </c>
      <c r="E989" t="str">
        <f t="shared" si="45"/>
        <v>7 PM</v>
      </c>
      <c r="F989" t="str">
        <f t="shared" si="46"/>
        <v>Evening</v>
      </c>
      <c r="G989" t="b">
        <v>0</v>
      </c>
      <c r="H989">
        <v>0</v>
      </c>
      <c r="I989" t="str">
        <f>_xlfn.XLOOKUP(Append15[[#This Row],[Week day]],Mappings!$B$3:$B$9,Mappings!$C$3:$C$9)</f>
        <v>Sunday</v>
      </c>
      <c r="J989" t="str">
        <f t="shared" si="47"/>
        <v>Weekend</v>
      </c>
      <c r="K989">
        <v>1</v>
      </c>
      <c r="L989" t="str">
        <f>_xlfn.XLOOKUP(Append15[[#This Row],[WeatherSituation]],Mappings!$E$3:$E$6,Mappings!$F$3:$F$6)</f>
        <v>Clear Sky</v>
      </c>
      <c r="M989">
        <v>0.4</v>
      </c>
      <c r="N989">
        <v>0.40910000000000002</v>
      </c>
      <c r="O989">
        <v>0.35</v>
      </c>
      <c r="P989">
        <v>0.28360000000000002</v>
      </c>
      <c r="Q989">
        <v>11</v>
      </c>
      <c r="R989">
        <v>50</v>
      </c>
      <c r="S989">
        <v>61</v>
      </c>
    </row>
    <row r="990" spans="1:19" x14ac:dyDescent="0.3">
      <c r="A990">
        <v>989</v>
      </c>
      <c r="B990" s="4">
        <v>40587</v>
      </c>
      <c r="C990">
        <v>2</v>
      </c>
      <c r="D990">
        <v>20</v>
      </c>
      <c r="E990" t="str">
        <f t="shared" si="45"/>
        <v>8 PM</v>
      </c>
      <c r="F990" t="str">
        <f t="shared" si="46"/>
        <v>Night</v>
      </c>
      <c r="G990" t="b">
        <v>0</v>
      </c>
      <c r="H990">
        <v>0</v>
      </c>
      <c r="I990" t="str">
        <f>_xlfn.XLOOKUP(Append15[[#This Row],[Week day]],Mappings!$B$3:$B$9,Mappings!$C$3:$C$9)</f>
        <v>Sunday</v>
      </c>
      <c r="J990" t="str">
        <f t="shared" si="47"/>
        <v>Weekend</v>
      </c>
      <c r="K990">
        <v>1</v>
      </c>
      <c r="L990" t="str">
        <f>_xlfn.XLOOKUP(Append15[[#This Row],[WeatherSituation]],Mappings!$E$3:$E$6,Mappings!$F$3:$F$6)</f>
        <v>Clear Sky</v>
      </c>
      <c r="M990">
        <v>0.4</v>
      </c>
      <c r="N990">
        <v>0.40910000000000002</v>
      </c>
      <c r="O990">
        <v>0.35</v>
      </c>
      <c r="P990">
        <v>0.32840000000000003</v>
      </c>
      <c r="Q990">
        <v>15</v>
      </c>
      <c r="R990">
        <v>32</v>
      </c>
      <c r="S990">
        <v>47</v>
      </c>
    </row>
    <row r="991" spans="1:19" x14ac:dyDescent="0.3">
      <c r="A991">
        <v>990</v>
      </c>
      <c r="B991" s="4">
        <v>40587</v>
      </c>
      <c r="C991">
        <v>2</v>
      </c>
      <c r="D991">
        <v>21</v>
      </c>
      <c r="E991" t="str">
        <f t="shared" si="45"/>
        <v>9 PM</v>
      </c>
      <c r="F991" t="str">
        <f t="shared" si="46"/>
        <v>Night</v>
      </c>
      <c r="G991" t="b">
        <v>0</v>
      </c>
      <c r="H991">
        <v>0</v>
      </c>
      <c r="I991" t="str">
        <f>_xlfn.XLOOKUP(Append15[[#This Row],[Week day]],Mappings!$B$3:$B$9,Mappings!$C$3:$C$9)</f>
        <v>Sunday</v>
      </c>
      <c r="J991" t="str">
        <f t="shared" si="47"/>
        <v>Weekend</v>
      </c>
      <c r="K991">
        <v>1</v>
      </c>
      <c r="L991" t="str">
        <f>_xlfn.XLOOKUP(Append15[[#This Row],[WeatherSituation]],Mappings!$E$3:$E$6,Mappings!$F$3:$F$6)</f>
        <v>Clear Sky</v>
      </c>
      <c r="M991">
        <v>0.4</v>
      </c>
      <c r="N991">
        <v>0.40910000000000002</v>
      </c>
      <c r="O991">
        <v>0.35</v>
      </c>
      <c r="P991">
        <v>0.35820000000000002</v>
      </c>
      <c r="Q991">
        <v>6</v>
      </c>
      <c r="R991">
        <v>45</v>
      </c>
      <c r="S991">
        <v>51</v>
      </c>
    </row>
    <row r="992" spans="1:19" x14ac:dyDescent="0.3">
      <c r="A992">
        <v>991</v>
      </c>
      <c r="B992" s="4">
        <v>40587</v>
      </c>
      <c r="C992">
        <v>2</v>
      </c>
      <c r="D992">
        <v>22</v>
      </c>
      <c r="E992" t="str">
        <f t="shared" si="45"/>
        <v>10 PM</v>
      </c>
      <c r="F992" t="str">
        <f t="shared" si="46"/>
        <v>Night</v>
      </c>
      <c r="G992" t="b">
        <v>0</v>
      </c>
      <c r="H992">
        <v>0</v>
      </c>
      <c r="I992" t="str">
        <f>_xlfn.XLOOKUP(Append15[[#This Row],[Week day]],Mappings!$B$3:$B$9,Mappings!$C$3:$C$9)</f>
        <v>Sunday</v>
      </c>
      <c r="J992" t="str">
        <f t="shared" si="47"/>
        <v>Weekend</v>
      </c>
      <c r="K992">
        <v>1</v>
      </c>
      <c r="L992" t="str">
        <f>_xlfn.XLOOKUP(Append15[[#This Row],[WeatherSituation]],Mappings!$E$3:$E$6,Mappings!$F$3:$F$6)</f>
        <v>Clear Sky</v>
      </c>
      <c r="M992">
        <v>0.4</v>
      </c>
      <c r="N992">
        <v>0.40910000000000002</v>
      </c>
      <c r="O992">
        <v>0.35</v>
      </c>
      <c r="P992">
        <v>0.29849999999999999</v>
      </c>
      <c r="Q992">
        <v>5</v>
      </c>
      <c r="R992">
        <v>31</v>
      </c>
      <c r="S992">
        <v>36</v>
      </c>
    </row>
    <row r="993" spans="1:19" x14ac:dyDescent="0.3">
      <c r="A993">
        <v>992</v>
      </c>
      <c r="B993" s="4">
        <v>40587</v>
      </c>
      <c r="C993">
        <v>2</v>
      </c>
      <c r="D993">
        <v>23</v>
      </c>
      <c r="E993" t="str">
        <f t="shared" si="45"/>
        <v>11 PM</v>
      </c>
      <c r="F993" t="str">
        <f t="shared" si="46"/>
        <v>Night</v>
      </c>
      <c r="G993" t="b">
        <v>0</v>
      </c>
      <c r="H993">
        <v>0</v>
      </c>
      <c r="I993" t="str">
        <f>_xlfn.XLOOKUP(Append15[[#This Row],[Week day]],Mappings!$B$3:$B$9,Mappings!$C$3:$C$9)</f>
        <v>Sunday</v>
      </c>
      <c r="J993" t="str">
        <f t="shared" si="47"/>
        <v>Weekend</v>
      </c>
      <c r="K993">
        <v>1</v>
      </c>
      <c r="L993" t="str">
        <f>_xlfn.XLOOKUP(Append15[[#This Row],[WeatherSituation]],Mappings!$E$3:$E$6,Mappings!$F$3:$F$6)</f>
        <v>Clear Sky</v>
      </c>
      <c r="M993">
        <v>0.4</v>
      </c>
      <c r="N993">
        <v>0.40910000000000002</v>
      </c>
      <c r="O993">
        <v>0.35</v>
      </c>
      <c r="P993">
        <v>0.35820000000000002</v>
      </c>
      <c r="Q993">
        <v>3</v>
      </c>
      <c r="R993">
        <v>27</v>
      </c>
      <c r="S993">
        <v>30</v>
      </c>
    </row>
    <row r="994" spans="1:19" x14ac:dyDescent="0.3">
      <c r="A994">
        <v>993</v>
      </c>
      <c r="B994" s="4">
        <v>40588</v>
      </c>
      <c r="C994">
        <v>2</v>
      </c>
      <c r="D994">
        <v>0</v>
      </c>
      <c r="E994" t="str">
        <f t="shared" si="45"/>
        <v>12 AM</v>
      </c>
      <c r="F994" t="str">
        <f t="shared" si="46"/>
        <v>Night</v>
      </c>
      <c r="G994" t="b">
        <v>0</v>
      </c>
      <c r="H994">
        <v>1</v>
      </c>
      <c r="I994" t="str">
        <f>_xlfn.XLOOKUP(Append15[[#This Row],[Week day]],Mappings!$B$3:$B$9,Mappings!$C$3:$C$9)</f>
        <v>Monday</v>
      </c>
      <c r="J994" t="str">
        <f t="shared" si="47"/>
        <v>Weekday</v>
      </c>
      <c r="K994">
        <v>1</v>
      </c>
      <c r="L994" t="str">
        <f>_xlfn.XLOOKUP(Append15[[#This Row],[WeatherSituation]],Mappings!$E$3:$E$6,Mappings!$F$3:$F$6)</f>
        <v>Clear Sky</v>
      </c>
      <c r="M994">
        <v>0.38</v>
      </c>
      <c r="N994">
        <v>0.39389999999999997</v>
      </c>
      <c r="O994">
        <v>0.37</v>
      </c>
      <c r="P994">
        <v>0.35820000000000002</v>
      </c>
      <c r="Q994">
        <v>3</v>
      </c>
      <c r="R994">
        <v>8</v>
      </c>
      <c r="S994">
        <v>11</v>
      </c>
    </row>
    <row r="995" spans="1:19" x14ac:dyDescent="0.3">
      <c r="A995">
        <v>994</v>
      </c>
      <c r="B995" s="4">
        <v>40588</v>
      </c>
      <c r="C995">
        <v>2</v>
      </c>
      <c r="D995">
        <v>1</v>
      </c>
      <c r="E995" t="str">
        <f t="shared" si="45"/>
        <v>1 AM</v>
      </c>
      <c r="F995" t="str">
        <f t="shared" si="46"/>
        <v>Night</v>
      </c>
      <c r="G995" t="b">
        <v>0</v>
      </c>
      <c r="H995">
        <v>1</v>
      </c>
      <c r="I995" t="str">
        <f>_xlfn.XLOOKUP(Append15[[#This Row],[Week day]],Mappings!$B$3:$B$9,Mappings!$C$3:$C$9)</f>
        <v>Monday</v>
      </c>
      <c r="J995" t="str">
        <f t="shared" si="47"/>
        <v>Weekday</v>
      </c>
      <c r="K995">
        <v>1</v>
      </c>
      <c r="L995" t="str">
        <f>_xlfn.XLOOKUP(Append15[[#This Row],[WeatherSituation]],Mappings!$E$3:$E$6,Mappings!$F$3:$F$6)</f>
        <v>Clear Sky</v>
      </c>
      <c r="M995">
        <v>0.38</v>
      </c>
      <c r="N995">
        <v>0.39389999999999997</v>
      </c>
      <c r="O995">
        <v>0.37</v>
      </c>
      <c r="P995">
        <v>0.35820000000000002</v>
      </c>
      <c r="Q995">
        <v>1</v>
      </c>
      <c r="R995">
        <v>6</v>
      </c>
      <c r="S995">
        <v>7</v>
      </c>
    </row>
    <row r="996" spans="1:19" x14ac:dyDescent="0.3">
      <c r="A996">
        <v>995</v>
      </c>
      <c r="B996" s="4">
        <v>40588</v>
      </c>
      <c r="C996">
        <v>2</v>
      </c>
      <c r="D996">
        <v>2</v>
      </c>
      <c r="E996" t="str">
        <f t="shared" si="45"/>
        <v>2 AM</v>
      </c>
      <c r="F996" t="str">
        <f t="shared" si="46"/>
        <v>Night</v>
      </c>
      <c r="G996" t="b">
        <v>0</v>
      </c>
      <c r="H996">
        <v>1</v>
      </c>
      <c r="I996" t="str">
        <f>_xlfn.XLOOKUP(Append15[[#This Row],[Week day]],Mappings!$B$3:$B$9,Mappings!$C$3:$C$9)</f>
        <v>Monday</v>
      </c>
      <c r="J996" t="str">
        <f t="shared" si="47"/>
        <v>Weekday</v>
      </c>
      <c r="K996">
        <v>1</v>
      </c>
      <c r="L996" t="str">
        <f>_xlfn.XLOOKUP(Append15[[#This Row],[WeatherSituation]],Mappings!$E$3:$E$6,Mappings!$F$3:$F$6)</f>
        <v>Clear Sky</v>
      </c>
      <c r="M996">
        <v>0.36</v>
      </c>
      <c r="N996">
        <v>0.33329999999999999</v>
      </c>
      <c r="O996">
        <v>0.4</v>
      </c>
      <c r="P996">
        <v>0.29849999999999999</v>
      </c>
      <c r="Q996">
        <v>0</v>
      </c>
      <c r="R996">
        <v>2</v>
      </c>
      <c r="S996">
        <v>2</v>
      </c>
    </row>
    <row r="997" spans="1:19" x14ac:dyDescent="0.3">
      <c r="A997">
        <v>996</v>
      </c>
      <c r="B997" s="4">
        <v>40588</v>
      </c>
      <c r="C997">
        <v>2</v>
      </c>
      <c r="D997">
        <v>3</v>
      </c>
      <c r="E997" t="str">
        <f t="shared" si="45"/>
        <v>3 AM</v>
      </c>
      <c r="F997" t="str">
        <f t="shared" si="46"/>
        <v>Night</v>
      </c>
      <c r="G997" t="b">
        <v>0</v>
      </c>
      <c r="H997">
        <v>1</v>
      </c>
      <c r="I997" t="str">
        <f>_xlfn.XLOOKUP(Append15[[#This Row],[Week day]],Mappings!$B$3:$B$9,Mappings!$C$3:$C$9)</f>
        <v>Monday</v>
      </c>
      <c r="J997" t="str">
        <f t="shared" si="47"/>
        <v>Weekday</v>
      </c>
      <c r="K997">
        <v>1</v>
      </c>
      <c r="L997" t="str">
        <f>_xlfn.XLOOKUP(Append15[[#This Row],[WeatherSituation]],Mappings!$E$3:$E$6,Mappings!$F$3:$F$6)</f>
        <v>Clear Sky</v>
      </c>
      <c r="M997">
        <v>0.34</v>
      </c>
      <c r="N997">
        <v>0.31819999999999998</v>
      </c>
      <c r="O997">
        <v>0.46</v>
      </c>
      <c r="P997">
        <v>0.22389999999999999</v>
      </c>
      <c r="Q997">
        <v>1</v>
      </c>
      <c r="R997">
        <v>1</v>
      </c>
      <c r="S997">
        <v>2</v>
      </c>
    </row>
    <row r="998" spans="1:19" x14ac:dyDescent="0.3">
      <c r="A998">
        <v>997</v>
      </c>
      <c r="B998" s="4">
        <v>40588</v>
      </c>
      <c r="C998">
        <v>2</v>
      </c>
      <c r="D998">
        <v>4</v>
      </c>
      <c r="E998" t="str">
        <f t="shared" si="45"/>
        <v>4 AM</v>
      </c>
      <c r="F998" t="str">
        <f t="shared" si="46"/>
        <v>Night</v>
      </c>
      <c r="G998" t="b">
        <v>0</v>
      </c>
      <c r="H998">
        <v>1</v>
      </c>
      <c r="I998" t="str">
        <f>_xlfn.XLOOKUP(Append15[[#This Row],[Week day]],Mappings!$B$3:$B$9,Mappings!$C$3:$C$9)</f>
        <v>Monday</v>
      </c>
      <c r="J998" t="str">
        <f t="shared" si="47"/>
        <v>Weekday</v>
      </c>
      <c r="K998">
        <v>1</v>
      </c>
      <c r="L998" t="str">
        <f>_xlfn.XLOOKUP(Append15[[#This Row],[WeatherSituation]],Mappings!$E$3:$E$6,Mappings!$F$3:$F$6)</f>
        <v>Clear Sky</v>
      </c>
      <c r="M998">
        <v>0.32</v>
      </c>
      <c r="N998">
        <v>0.30299999999999999</v>
      </c>
      <c r="O998">
        <v>0.53</v>
      </c>
      <c r="P998">
        <v>0.28360000000000002</v>
      </c>
      <c r="Q998">
        <v>0</v>
      </c>
      <c r="R998">
        <v>2</v>
      </c>
      <c r="S998">
        <v>2</v>
      </c>
    </row>
    <row r="999" spans="1:19" x14ac:dyDescent="0.3">
      <c r="A999">
        <v>998</v>
      </c>
      <c r="B999" s="4">
        <v>40588</v>
      </c>
      <c r="C999">
        <v>2</v>
      </c>
      <c r="D999">
        <v>5</v>
      </c>
      <c r="E999" t="str">
        <f t="shared" si="45"/>
        <v>5 AM</v>
      </c>
      <c r="F999" t="str">
        <f t="shared" si="46"/>
        <v>Morning</v>
      </c>
      <c r="G999" t="b">
        <v>0</v>
      </c>
      <c r="H999">
        <v>1</v>
      </c>
      <c r="I999" t="str">
        <f>_xlfn.XLOOKUP(Append15[[#This Row],[Week day]],Mappings!$B$3:$B$9,Mappings!$C$3:$C$9)</f>
        <v>Monday</v>
      </c>
      <c r="J999" t="str">
        <f t="shared" si="47"/>
        <v>Weekday</v>
      </c>
      <c r="K999">
        <v>1</v>
      </c>
      <c r="L999" t="str">
        <f>_xlfn.XLOOKUP(Append15[[#This Row],[WeatherSituation]],Mappings!$E$3:$E$6,Mappings!$F$3:$F$6)</f>
        <v>Clear Sky</v>
      </c>
      <c r="M999">
        <v>0.32</v>
      </c>
      <c r="N999">
        <v>0.30299999999999999</v>
      </c>
      <c r="O999">
        <v>0.53</v>
      </c>
      <c r="P999">
        <v>0.28360000000000002</v>
      </c>
      <c r="Q999">
        <v>0</v>
      </c>
      <c r="R999">
        <v>3</v>
      </c>
      <c r="S999">
        <v>3</v>
      </c>
    </row>
    <row r="1000" spans="1:19" x14ac:dyDescent="0.3">
      <c r="A1000">
        <v>999</v>
      </c>
      <c r="B1000" s="4">
        <v>40588</v>
      </c>
      <c r="C1000">
        <v>2</v>
      </c>
      <c r="D1000">
        <v>6</v>
      </c>
      <c r="E1000" t="str">
        <f t="shared" si="45"/>
        <v>6 AM</v>
      </c>
      <c r="F1000" t="str">
        <f t="shared" si="46"/>
        <v>Morning</v>
      </c>
      <c r="G1000" t="b">
        <v>0</v>
      </c>
      <c r="H1000">
        <v>1</v>
      </c>
      <c r="I1000" t="str">
        <f>_xlfn.XLOOKUP(Append15[[#This Row],[Week day]],Mappings!$B$3:$B$9,Mappings!$C$3:$C$9)</f>
        <v>Monday</v>
      </c>
      <c r="J1000" t="str">
        <f t="shared" si="47"/>
        <v>Weekday</v>
      </c>
      <c r="K1000">
        <v>1</v>
      </c>
      <c r="L1000" t="str">
        <f>_xlfn.XLOOKUP(Append15[[#This Row],[WeatherSituation]],Mappings!$E$3:$E$6,Mappings!$F$3:$F$6)</f>
        <v>Clear Sky</v>
      </c>
      <c r="M1000">
        <v>0.34</v>
      </c>
      <c r="N1000">
        <v>0.30299999999999999</v>
      </c>
      <c r="O1000">
        <v>0.46</v>
      </c>
      <c r="P1000">
        <v>0.29849999999999999</v>
      </c>
      <c r="Q1000">
        <v>1</v>
      </c>
      <c r="R1000">
        <v>25</v>
      </c>
      <c r="S1000">
        <v>26</v>
      </c>
    </row>
    <row r="1001" spans="1:19" x14ac:dyDescent="0.3">
      <c r="A1001">
        <v>1000</v>
      </c>
      <c r="B1001" s="4">
        <v>40588</v>
      </c>
      <c r="C1001">
        <v>2</v>
      </c>
      <c r="D1001">
        <v>7</v>
      </c>
      <c r="E1001" t="str">
        <f t="shared" si="45"/>
        <v>7 AM</v>
      </c>
      <c r="F1001" t="str">
        <f t="shared" si="46"/>
        <v>Morning</v>
      </c>
      <c r="G1001" t="b">
        <v>0</v>
      </c>
      <c r="H1001">
        <v>1</v>
      </c>
      <c r="I1001" t="str">
        <f>_xlfn.XLOOKUP(Append15[[#This Row],[Week day]],Mappings!$B$3:$B$9,Mappings!$C$3:$C$9)</f>
        <v>Monday</v>
      </c>
      <c r="J1001" t="str">
        <f t="shared" si="47"/>
        <v>Weekday</v>
      </c>
      <c r="K1001">
        <v>1</v>
      </c>
      <c r="L1001" t="str">
        <f>_xlfn.XLOOKUP(Append15[[#This Row],[WeatherSituation]],Mappings!$E$3:$E$6,Mappings!$F$3:$F$6)</f>
        <v>Clear Sky</v>
      </c>
      <c r="M1001">
        <v>0.34</v>
      </c>
      <c r="N1001">
        <v>0.30299999999999999</v>
      </c>
      <c r="O1001">
        <v>0.46</v>
      </c>
      <c r="P1001">
        <v>0.29849999999999999</v>
      </c>
      <c r="Q1001">
        <v>2</v>
      </c>
      <c r="R1001">
        <v>96</v>
      </c>
      <c r="S1001">
        <v>98</v>
      </c>
    </row>
  </sheetData>
  <phoneticPr fontId="3" type="noConversion"/>
  <conditionalFormatting sqref="F2:F1001">
    <cfRule type="expression" dxfId="9" priority="3">
      <formula>$F2="Night"</formula>
    </cfRule>
    <cfRule type="expression" dxfId="8" priority="4">
      <formula>$F2="Evening"</formula>
    </cfRule>
    <cfRule type="expression" dxfId="7" priority="5">
      <formula>$F2="AfterNoon"</formula>
    </cfRule>
    <cfRule type="expression" dxfId="6" priority="6">
      <formula>$F2="Morning"</formula>
    </cfRule>
  </conditionalFormatting>
  <conditionalFormatting sqref="I2:I1001">
    <cfRule type="expression" dxfId="5" priority="7" stopIfTrue="1">
      <formula>$G2=TRUE</formula>
    </cfRule>
    <cfRule type="expression" dxfId="4" priority="8">
      <formula>OR($H2=0,$H2=6)</formula>
    </cfRule>
  </conditionalFormatting>
  <conditionalFormatting sqref="L2:L1001">
    <cfRule type="expression" dxfId="3" priority="9">
      <formula>$K2=4</formula>
    </cfRule>
    <cfRule type="expression" dxfId="2" priority="10">
      <formula>$K2=3</formula>
    </cfRule>
    <cfRule type="expression" dxfId="1" priority="11">
      <formula>$K2=2</formula>
    </cfRule>
    <cfRule type="expression" dxfId="0" priority="12">
      <formula>$K2=1</formula>
    </cfRule>
  </conditionalFormatting>
  <conditionalFormatting sqref="O2:O1001">
    <cfRule type="colorScale" priority="2">
      <colorScale>
        <cfvo type="num" val="0.2"/>
        <cfvo type="num" val="0.65"/>
        <cfvo type="num" val="1"/>
        <color theme="0"/>
        <color theme="7" tint="0.39997558519241921"/>
        <color theme="5" tint="-0.249977111117893"/>
      </colorScale>
    </cfRule>
  </conditionalFormatting>
  <conditionalFormatting sqref="P2:P1001">
    <cfRule type="colorScale" priority="1">
      <colorScale>
        <cfvo type="num" val="0"/>
        <cfvo type="num" val="0.28999999999999998"/>
        <cfvo type="num" val="0.6"/>
        <color theme="0" tint="-4.9989318521683403E-2"/>
        <color theme="4" tint="0.39997558519241921"/>
        <color theme="8" tint="-0.249977111117893"/>
      </colorScale>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6A818-0866-42DD-AFBA-7D9C48DE6C6B}">
  <dimension ref="A3:M6"/>
  <sheetViews>
    <sheetView workbookViewId="0">
      <selection activeCell="N18" sqref="N18"/>
    </sheetView>
  </sheetViews>
  <sheetFormatPr defaultRowHeight="14.4" x14ac:dyDescent="0.3"/>
  <cols>
    <col min="1" max="1" width="13.77734375" bestFit="1" customWidth="1"/>
    <col min="2" max="2" width="16.33203125" bestFit="1" customWidth="1"/>
    <col min="13" max="13" width="14.5546875" bestFit="1" customWidth="1"/>
    <col min="14" max="14" width="16.33203125" bestFit="1" customWidth="1"/>
  </cols>
  <sheetData>
    <row r="3" spans="1:13" x14ac:dyDescent="0.3">
      <c r="A3" s="69" t="s">
        <v>158</v>
      </c>
      <c r="B3" s="69" t="s">
        <v>159</v>
      </c>
      <c r="M3" t="s">
        <v>63</v>
      </c>
    </row>
    <row r="4" spans="1:13" x14ac:dyDescent="0.3">
      <c r="A4" s="33" t="s">
        <v>41</v>
      </c>
      <c r="B4" s="33">
        <f>GETPIVOTDATA("Casuals",$M$3)</f>
        <v>4921</v>
      </c>
      <c r="M4">
        <v>4921</v>
      </c>
    </row>
    <row r="5" spans="1:13" x14ac:dyDescent="0.3">
      <c r="A5" s="33" t="s">
        <v>42</v>
      </c>
      <c r="B5" s="33">
        <f>GETPIVOTDATA("Registered",$M$5)</f>
        <v>53383</v>
      </c>
      <c r="M5" t="s">
        <v>64</v>
      </c>
    </row>
    <row r="6" spans="1:13" x14ac:dyDescent="0.3">
      <c r="M6">
        <v>53383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61B0-C86C-4472-843B-31EC9C07B008}">
  <dimension ref="A3:B49"/>
  <sheetViews>
    <sheetView workbookViewId="0">
      <selection activeCell="I23" sqref="I23"/>
    </sheetView>
  </sheetViews>
  <sheetFormatPr defaultRowHeight="14.4" x14ac:dyDescent="0.3"/>
  <cols>
    <col min="1" max="1" width="10.77734375" bestFit="1" customWidth="1"/>
    <col min="2" max="2" width="11.77734375" bestFit="1" customWidth="1"/>
  </cols>
  <sheetData>
    <row r="3" spans="1:2" x14ac:dyDescent="0.3">
      <c r="A3" s="14" t="s">
        <v>163</v>
      </c>
      <c r="B3" t="s">
        <v>55</v>
      </c>
    </row>
    <row r="4" spans="1:2" x14ac:dyDescent="0.3">
      <c r="A4" s="10" t="s">
        <v>98</v>
      </c>
      <c r="B4">
        <v>985</v>
      </c>
    </row>
    <row r="5" spans="1:2" x14ac:dyDescent="0.3">
      <c r="A5" s="10" t="s">
        <v>99</v>
      </c>
      <c r="B5">
        <v>801</v>
      </c>
    </row>
    <row r="6" spans="1:2" x14ac:dyDescent="0.3">
      <c r="A6" s="10" t="s">
        <v>100</v>
      </c>
      <c r="B6">
        <v>1349</v>
      </c>
    </row>
    <row r="7" spans="1:2" x14ac:dyDescent="0.3">
      <c r="A7" s="10" t="s">
        <v>101</v>
      </c>
      <c r="B7">
        <v>1562</v>
      </c>
    </row>
    <row r="8" spans="1:2" x14ac:dyDescent="0.3">
      <c r="A8" s="10" t="s">
        <v>102</v>
      </c>
      <c r="B8">
        <v>1600</v>
      </c>
    </row>
    <row r="9" spans="1:2" x14ac:dyDescent="0.3">
      <c r="A9" s="10" t="s">
        <v>103</v>
      </c>
      <c r="B9">
        <v>1606</v>
      </c>
    </row>
    <row r="10" spans="1:2" x14ac:dyDescent="0.3">
      <c r="A10" s="10" t="s">
        <v>104</v>
      </c>
      <c r="B10">
        <v>1510</v>
      </c>
    </row>
    <row r="11" spans="1:2" x14ac:dyDescent="0.3">
      <c r="A11" s="10" t="s">
        <v>105</v>
      </c>
      <c r="B11">
        <v>959</v>
      </c>
    </row>
    <row r="12" spans="1:2" x14ac:dyDescent="0.3">
      <c r="A12" s="10" t="s">
        <v>106</v>
      </c>
      <c r="B12">
        <v>822</v>
      </c>
    </row>
    <row r="13" spans="1:2" x14ac:dyDescent="0.3">
      <c r="A13" s="10" t="s">
        <v>107</v>
      </c>
      <c r="B13">
        <v>1321</v>
      </c>
    </row>
    <row r="14" spans="1:2" x14ac:dyDescent="0.3">
      <c r="A14" s="10" t="s">
        <v>108</v>
      </c>
      <c r="B14">
        <v>1263</v>
      </c>
    </row>
    <row r="15" spans="1:2" x14ac:dyDescent="0.3">
      <c r="A15" s="10" t="s">
        <v>109</v>
      </c>
      <c r="B15">
        <v>1162</v>
      </c>
    </row>
    <row r="16" spans="1:2" x14ac:dyDescent="0.3">
      <c r="A16" s="10" t="s">
        <v>110</v>
      </c>
      <c r="B16">
        <v>1406</v>
      </c>
    </row>
    <row r="17" spans="1:2" x14ac:dyDescent="0.3">
      <c r="A17" s="10" t="s">
        <v>111</v>
      </c>
      <c r="B17">
        <v>1421</v>
      </c>
    </row>
    <row r="18" spans="1:2" x14ac:dyDescent="0.3">
      <c r="A18" s="10" t="s">
        <v>112</v>
      </c>
      <c r="B18">
        <v>1248</v>
      </c>
    </row>
    <row r="19" spans="1:2" x14ac:dyDescent="0.3">
      <c r="A19" s="10" t="s">
        <v>113</v>
      </c>
      <c r="B19">
        <v>1204</v>
      </c>
    </row>
    <row r="20" spans="1:2" x14ac:dyDescent="0.3">
      <c r="A20" s="10" t="s">
        <v>114</v>
      </c>
      <c r="B20">
        <v>1000</v>
      </c>
    </row>
    <row r="21" spans="1:2" x14ac:dyDescent="0.3">
      <c r="A21" s="10" t="s">
        <v>115</v>
      </c>
      <c r="B21">
        <v>683</v>
      </c>
    </row>
    <row r="22" spans="1:2" x14ac:dyDescent="0.3">
      <c r="A22" s="10" t="s">
        <v>116</v>
      </c>
      <c r="B22">
        <v>1650</v>
      </c>
    </row>
    <row r="23" spans="1:2" x14ac:dyDescent="0.3">
      <c r="A23" s="10" t="s">
        <v>117</v>
      </c>
      <c r="B23">
        <v>1927</v>
      </c>
    </row>
    <row r="24" spans="1:2" x14ac:dyDescent="0.3">
      <c r="A24" s="10" t="s">
        <v>118</v>
      </c>
      <c r="B24">
        <v>1543</v>
      </c>
    </row>
    <row r="25" spans="1:2" x14ac:dyDescent="0.3">
      <c r="A25" s="10" t="s">
        <v>119</v>
      </c>
      <c r="B25">
        <v>981</v>
      </c>
    </row>
    <row r="26" spans="1:2" x14ac:dyDescent="0.3">
      <c r="A26" s="10" t="s">
        <v>120</v>
      </c>
      <c r="B26">
        <v>986</v>
      </c>
    </row>
    <row r="27" spans="1:2" x14ac:dyDescent="0.3">
      <c r="A27" s="10" t="s">
        <v>121</v>
      </c>
      <c r="B27">
        <v>1416</v>
      </c>
    </row>
    <row r="28" spans="1:2" x14ac:dyDescent="0.3">
      <c r="A28" s="10" t="s">
        <v>122</v>
      </c>
      <c r="B28">
        <v>1985</v>
      </c>
    </row>
    <row r="29" spans="1:2" x14ac:dyDescent="0.3">
      <c r="A29" s="10" t="s">
        <v>123</v>
      </c>
      <c r="B29">
        <v>506</v>
      </c>
    </row>
    <row r="30" spans="1:2" x14ac:dyDescent="0.3">
      <c r="A30" s="10" t="s">
        <v>124</v>
      </c>
      <c r="B30">
        <v>431</v>
      </c>
    </row>
    <row r="31" spans="1:2" x14ac:dyDescent="0.3">
      <c r="A31" s="10" t="s">
        <v>125</v>
      </c>
      <c r="B31">
        <v>1167</v>
      </c>
    </row>
    <row r="32" spans="1:2" x14ac:dyDescent="0.3">
      <c r="A32" s="10" t="s">
        <v>126</v>
      </c>
      <c r="B32">
        <v>1098</v>
      </c>
    </row>
    <row r="33" spans="1:2" x14ac:dyDescent="0.3">
      <c r="A33" s="10" t="s">
        <v>127</v>
      </c>
      <c r="B33">
        <v>1096</v>
      </c>
    </row>
    <row r="34" spans="1:2" x14ac:dyDescent="0.3">
      <c r="A34" s="10" t="s">
        <v>128</v>
      </c>
      <c r="B34">
        <v>1501</v>
      </c>
    </row>
    <row r="35" spans="1:2" x14ac:dyDescent="0.3">
      <c r="A35" s="10" t="s">
        <v>129</v>
      </c>
      <c r="B35">
        <v>1360</v>
      </c>
    </row>
    <row r="36" spans="1:2" x14ac:dyDescent="0.3">
      <c r="A36" s="10" t="s">
        <v>130</v>
      </c>
      <c r="B36">
        <v>1526</v>
      </c>
    </row>
    <row r="37" spans="1:2" x14ac:dyDescent="0.3">
      <c r="A37" s="10" t="s">
        <v>131</v>
      </c>
      <c r="B37">
        <v>1550</v>
      </c>
    </row>
    <row r="38" spans="1:2" x14ac:dyDescent="0.3">
      <c r="A38" s="10" t="s">
        <v>132</v>
      </c>
      <c r="B38">
        <v>1708</v>
      </c>
    </row>
    <row r="39" spans="1:2" x14ac:dyDescent="0.3">
      <c r="A39" s="10" t="s">
        <v>133</v>
      </c>
      <c r="B39">
        <v>1005</v>
      </c>
    </row>
    <row r="40" spans="1:2" x14ac:dyDescent="0.3">
      <c r="A40" s="10" t="s">
        <v>134</v>
      </c>
      <c r="B40">
        <v>1623</v>
      </c>
    </row>
    <row r="41" spans="1:2" x14ac:dyDescent="0.3">
      <c r="A41" s="10" t="s">
        <v>135</v>
      </c>
      <c r="B41">
        <v>1712</v>
      </c>
    </row>
    <row r="42" spans="1:2" x14ac:dyDescent="0.3">
      <c r="A42" s="10" t="s">
        <v>136</v>
      </c>
      <c r="B42">
        <v>1530</v>
      </c>
    </row>
    <row r="43" spans="1:2" x14ac:dyDescent="0.3">
      <c r="A43" s="10" t="s">
        <v>137</v>
      </c>
      <c r="B43">
        <v>1605</v>
      </c>
    </row>
    <row r="44" spans="1:2" x14ac:dyDescent="0.3">
      <c r="A44" s="10" t="s">
        <v>138</v>
      </c>
      <c r="B44">
        <v>1538</v>
      </c>
    </row>
    <row r="45" spans="1:2" x14ac:dyDescent="0.3">
      <c r="A45" s="10" t="s">
        <v>139</v>
      </c>
      <c r="B45">
        <v>1746</v>
      </c>
    </row>
    <row r="46" spans="1:2" x14ac:dyDescent="0.3">
      <c r="A46" s="10" t="s">
        <v>140</v>
      </c>
      <c r="B46">
        <v>1472</v>
      </c>
    </row>
    <row r="47" spans="1:2" x14ac:dyDescent="0.3">
      <c r="A47" s="10" t="s">
        <v>141</v>
      </c>
      <c r="B47">
        <v>1589</v>
      </c>
    </row>
    <row r="48" spans="1:2" x14ac:dyDescent="0.3">
      <c r="A48" s="10" t="s">
        <v>142</v>
      </c>
      <c r="B48">
        <v>151</v>
      </c>
    </row>
    <row r="49" spans="1:2" x14ac:dyDescent="0.3">
      <c r="A49" s="10" t="s">
        <v>54</v>
      </c>
      <c r="B49">
        <v>58304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45C2-4EA1-4E10-86E5-1C0A29809459}">
  <dimension ref="A1:B46"/>
  <sheetViews>
    <sheetView workbookViewId="0">
      <selection activeCell="H41" sqref="H41"/>
    </sheetView>
  </sheetViews>
  <sheetFormatPr defaultRowHeight="14.4" x14ac:dyDescent="0.3"/>
  <cols>
    <col min="1" max="1" width="10.33203125" bestFit="1" customWidth="1"/>
  </cols>
  <sheetData>
    <row r="1" spans="1:2" x14ac:dyDescent="0.3">
      <c r="A1" s="51" t="s">
        <v>18</v>
      </c>
      <c r="B1" s="51" t="s">
        <v>55</v>
      </c>
    </row>
    <row r="2" spans="1:2" x14ac:dyDescent="0.3">
      <c r="A2" s="62">
        <v>40544</v>
      </c>
      <c r="B2">
        <v>985</v>
      </c>
    </row>
    <row r="3" spans="1:2" x14ac:dyDescent="0.3">
      <c r="A3" s="62">
        <v>40545</v>
      </c>
      <c r="B3">
        <v>801</v>
      </c>
    </row>
    <row r="4" spans="1:2" x14ac:dyDescent="0.3">
      <c r="A4" s="62">
        <v>40546</v>
      </c>
      <c r="B4">
        <v>1349</v>
      </c>
    </row>
    <row r="5" spans="1:2" x14ac:dyDescent="0.3">
      <c r="A5" s="62">
        <v>40547</v>
      </c>
      <c r="B5">
        <v>1562</v>
      </c>
    </row>
    <row r="6" spans="1:2" x14ac:dyDescent="0.3">
      <c r="A6" s="62">
        <v>40548</v>
      </c>
      <c r="B6">
        <v>1600</v>
      </c>
    </row>
    <row r="7" spans="1:2" x14ac:dyDescent="0.3">
      <c r="A7" s="62">
        <v>40549</v>
      </c>
      <c r="B7">
        <v>1606</v>
      </c>
    </row>
    <row r="8" spans="1:2" x14ac:dyDescent="0.3">
      <c r="A8" s="62">
        <v>40550</v>
      </c>
      <c r="B8">
        <v>1510</v>
      </c>
    </row>
    <row r="9" spans="1:2" x14ac:dyDescent="0.3">
      <c r="A9" s="62">
        <v>40551</v>
      </c>
      <c r="B9">
        <v>959</v>
      </c>
    </row>
    <row r="10" spans="1:2" x14ac:dyDescent="0.3">
      <c r="A10" s="62">
        <v>40552</v>
      </c>
      <c r="B10">
        <v>822</v>
      </c>
    </row>
    <row r="11" spans="1:2" x14ac:dyDescent="0.3">
      <c r="A11" s="62">
        <v>40553</v>
      </c>
      <c r="B11">
        <v>1321</v>
      </c>
    </row>
    <row r="12" spans="1:2" x14ac:dyDescent="0.3">
      <c r="A12" s="62">
        <v>40554</v>
      </c>
      <c r="B12">
        <v>1263</v>
      </c>
    </row>
    <row r="13" spans="1:2" x14ac:dyDescent="0.3">
      <c r="A13" s="62">
        <v>40555</v>
      </c>
      <c r="B13">
        <v>1162</v>
      </c>
    </row>
    <row r="14" spans="1:2" x14ac:dyDescent="0.3">
      <c r="A14" s="62">
        <v>40556</v>
      </c>
      <c r="B14">
        <v>1406</v>
      </c>
    </row>
    <row r="15" spans="1:2" x14ac:dyDescent="0.3">
      <c r="A15" s="62">
        <v>40557</v>
      </c>
      <c r="B15">
        <v>1421</v>
      </c>
    </row>
    <row r="16" spans="1:2" x14ac:dyDescent="0.3">
      <c r="A16" s="62">
        <v>40558</v>
      </c>
      <c r="B16">
        <v>1248</v>
      </c>
    </row>
    <row r="17" spans="1:2" x14ac:dyDescent="0.3">
      <c r="A17" s="62">
        <v>40559</v>
      </c>
      <c r="B17">
        <v>1204</v>
      </c>
    </row>
    <row r="18" spans="1:2" x14ac:dyDescent="0.3">
      <c r="A18" s="62">
        <v>40560</v>
      </c>
      <c r="B18">
        <v>1000</v>
      </c>
    </row>
    <row r="19" spans="1:2" x14ac:dyDescent="0.3">
      <c r="A19" s="62">
        <v>40561</v>
      </c>
      <c r="B19">
        <v>683</v>
      </c>
    </row>
    <row r="20" spans="1:2" x14ac:dyDescent="0.3">
      <c r="A20" s="62">
        <v>40562</v>
      </c>
      <c r="B20">
        <v>1650</v>
      </c>
    </row>
    <row r="21" spans="1:2" x14ac:dyDescent="0.3">
      <c r="A21" s="62">
        <v>40563</v>
      </c>
      <c r="B21">
        <v>1927</v>
      </c>
    </row>
    <row r="22" spans="1:2" x14ac:dyDescent="0.3">
      <c r="A22" s="62">
        <v>40564</v>
      </c>
      <c r="B22">
        <v>1543</v>
      </c>
    </row>
    <row r="23" spans="1:2" x14ac:dyDescent="0.3">
      <c r="A23" s="62">
        <v>40565</v>
      </c>
      <c r="B23">
        <v>981</v>
      </c>
    </row>
    <row r="24" spans="1:2" x14ac:dyDescent="0.3">
      <c r="A24" s="62">
        <v>40566</v>
      </c>
      <c r="B24">
        <v>986</v>
      </c>
    </row>
    <row r="25" spans="1:2" x14ac:dyDescent="0.3">
      <c r="A25" s="62">
        <v>40567</v>
      </c>
      <c r="B25">
        <v>1416</v>
      </c>
    </row>
    <row r="26" spans="1:2" x14ac:dyDescent="0.3">
      <c r="A26" s="62">
        <v>40568</v>
      </c>
      <c r="B26">
        <v>1985</v>
      </c>
    </row>
    <row r="27" spans="1:2" x14ac:dyDescent="0.3">
      <c r="A27" s="62">
        <v>40569</v>
      </c>
      <c r="B27">
        <v>506</v>
      </c>
    </row>
    <row r="28" spans="1:2" x14ac:dyDescent="0.3">
      <c r="A28" s="62">
        <v>40570</v>
      </c>
      <c r="B28">
        <v>431</v>
      </c>
    </row>
    <row r="29" spans="1:2" x14ac:dyDescent="0.3">
      <c r="A29" s="62">
        <v>40571</v>
      </c>
      <c r="B29">
        <v>1167</v>
      </c>
    </row>
    <row r="30" spans="1:2" x14ac:dyDescent="0.3">
      <c r="A30" s="62">
        <v>40572</v>
      </c>
      <c r="B30">
        <v>1098</v>
      </c>
    </row>
    <row r="31" spans="1:2" x14ac:dyDescent="0.3">
      <c r="A31" s="62">
        <v>40573</v>
      </c>
      <c r="B31">
        <v>1096</v>
      </c>
    </row>
    <row r="32" spans="1:2" x14ac:dyDescent="0.3">
      <c r="A32" s="62">
        <v>40574</v>
      </c>
      <c r="B32">
        <v>1501</v>
      </c>
    </row>
    <row r="33" spans="1:2" x14ac:dyDescent="0.3">
      <c r="A33" s="62">
        <v>40575</v>
      </c>
      <c r="B33">
        <v>1360</v>
      </c>
    </row>
    <row r="34" spans="1:2" x14ac:dyDescent="0.3">
      <c r="A34" s="62">
        <v>40576</v>
      </c>
      <c r="B34">
        <v>1526</v>
      </c>
    </row>
    <row r="35" spans="1:2" x14ac:dyDescent="0.3">
      <c r="A35" s="62">
        <v>40577</v>
      </c>
      <c r="B35">
        <v>1550</v>
      </c>
    </row>
    <row r="36" spans="1:2" x14ac:dyDescent="0.3">
      <c r="A36" s="62">
        <v>40578</v>
      </c>
      <c r="B36">
        <v>1708</v>
      </c>
    </row>
    <row r="37" spans="1:2" x14ac:dyDescent="0.3">
      <c r="A37" s="62">
        <v>40579</v>
      </c>
      <c r="B37">
        <v>1005</v>
      </c>
    </row>
    <row r="38" spans="1:2" x14ac:dyDescent="0.3">
      <c r="A38" s="62">
        <v>40580</v>
      </c>
      <c r="B38">
        <v>1623</v>
      </c>
    </row>
    <row r="39" spans="1:2" x14ac:dyDescent="0.3">
      <c r="A39" s="62">
        <v>40581</v>
      </c>
      <c r="B39">
        <v>1712</v>
      </c>
    </row>
    <row r="40" spans="1:2" x14ac:dyDescent="0.3">
      <c r="A40" s="62">
        <v>40582</v>
      </c>
      <c r="B40">
        <v>1530</v>
      </c>
    </row>
    <row r="41" spans="1:2" x14ac:dyDescent="0.3">
      <c r="A41" s="62">
        <v>40583</v>
      </c>
      <c r="B41">
        <v>1605</v>
      </c>
    </row>
    <row r="42" spans="1:2" x14ac:dyDescent="0.3">
      <c r="A42" s="62">
        <v>40584</v>
      </c>
      <c r="B42">
        <v>1538</v>
      </c>
    </row>
    <row r="43" spans="1:2" x14ac:dyDescent="0.3">
      <c r="A43" s="62">
        <v>40585</v>
      </c>
      <c r="B43">
        <v>1746</v>
      </c>
    </row>
    <row r="44" spans="1:2" x14ac:dyDescent="0.3">
      <c r="A44" s="62">
        <v>40586</v>
      </c>
      <c r="B44">
        <v>1472</v>
      </c>
    </row>
    <row r="45" spans="1:2" x14ac:dyDescent="0.3">
      <c r="A45" s="62">
        <v>40587</v>
      </c>
      <c r="B45">
        <v>1589</v>
      </c>
    </row>
    <row r="46" spans="1:2" x14ac:dyDescent="0.3">
      <c r="A46" s="62">
        <v>40588</v>
      </c>
      <c r="B46">
        <v>151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AA810-814C-4BAB-9322-5B1A05BA3D2D}">
  <dimension ref="A1:E78"/>
  <sheetViews>
    <sheetView workbookViewId="0">
      <selection activeCell="I13" sqref="I13"/>
    </sheetView>
  </sheetViews>
  <sheetFormatPr defaultRowHeight="14.4" x14ac:dyDescent="0.3"/>
  <cols>
    <col min="1" max="1" width="10.33203125" bestFit="1" customWidth="1"/>
    <col min="2" max="2" width="13.6640625" customWidth="1"/>
    <col min="3" max="3" width="22" customWidth="1"/>
    <col min="4" max="4" width="36.109375" customWidth="1"/>
    <col min="5" max="5" width="36.21875" customWidth="1"/>
  </cols>
  <sheetData>
    <row r="1" spans="1:5" x14ac:dyDescent="0.3">
      <c r="A1" t="s">
        <v>18</v>
      </c>
      <c r="B1" t="s">
        <v>55</v>
      </c>
      <c r="C1" t="s">
        <v>164</v>
      </c>
      <c r="D1" t="s">
        <v>165</v>
      </c>
      <c r="E1" t="s">
        <v>166</v>
      </c>
    </row>
    <row r="2" spans="1:5" x14ac:dyDescent="0.3">
      <c r="A2" s="4">
        <v>40544</v>
      </c>
      <c r="B2">
        <v>985</v>
      </c>
    </row>
    <row r="3" spans="1:5" x14ac:dyDescent="0.3">
      <c r="A3" s="4">
        <v>40545</v>
      </c>
      <c r="B3">
        <v>801</v>
      </c>
    </row>
    <row r="4" spans="1:5" x14ac:dyDescent="0.3">
      <c r="A4" s="4">
        <v>40546</v>
      </c>
      <c r="B4">
        <v>1349</v>
      </c>
    </row>
    <row r="5" spans="1:5" x14ac:dyDescent="0.3">
      <c r="A5" s="4">
        <v>40547</v>
      </c>
      <c r="B5">
        <v>1562</v>
      </c>
    </row>
    <row r="6" spans="1:5" x14ac:dyDescent="0.3">
      <c r="A6" s="4">
        <v>40548</v>
      </c>
      <c r="B6">
        <v>1600</v>
      </c>
    </row>
    <row r="7" spans="1:5" x14ac:dyDescent="0.3">
      <c r="A7" s="4">
        <v>40549</v>
      </c>
      <c r="B7">
        <v>1606</v>
      </c>
    </row>
    <row r="8" spans="1:5" x14ac:dyDescent="0.3">
      <c r="A8" s="4">
        <v>40550</v>
      </c>
      <c r="B8">
        <v>1510</v>
      </c>
    </row>
    <row r="9" spans="1:5" x14ac:dyDescent="0.3">
      <c r="A9" s="4">
        <v>40551</v>
      </c>
      <c r="B9">
        <v>959</v>
      </c>
    </row>
    <row r="10" spans="1:5" x14ac:dyDescent="0.3">
      <c r="A10" s="4">
        <v>40552</v>
      </c>
      <c r="B10">
        <v>822</v>
      </c>
    </row>
    <row r="11" spans="1:5" x14ac:dyDescent="0.3">
      <c r="A11" s="4">
        <v>40553</v>
      </c>
      <c r="B11">
        <v>1321</v>
      </c>
    </row>
    <row r="12" spans="1:5" x14ac:dyDescent="0.3">
      <c r="A12" s="4">
        <v>40554</v>
      </c>
      <c r="B12">
        <v>1263</v>
      </c>
    </row>
    <row r="13" spans="1:5" x14ac:dyDescent="0.3">
      <c r="A13" s="4">
        <v>40555</v>
      </c>
      <c r="B13">
        <v>1162</v>
      </c>
    </row>
    <row r="14" spans="1:5" x14ac:dyDescent="0.3">
      <c r="A14" s="4">
        <v>40556</v>
      </c>
      <c r="B14">
        <v>1406</v>
      </c>
    </row>
    <row r="15" spans="1:5" x14ac:dyDescent="0.3">
      <c r="A15" s="4">
        <v>40557</v>
      </c>
      <c r="B15">
        <v>1421</v>
      </c>
    </row>
    <row r="16" spans="1:5" x14ac:dyDescent="0.3">
      <c r="A16" s="4">
        <v>40558</v>
      </c>
      <c r="B16">
        <v>1248</v>
      </c>
    </row>
    <row r="17" spans="1:2" x14ac:dyDescent="0.3">
      <c r="A17" s="4">
        <v>40559</v>
      </c>
      <c r="B17">
        <v>1204</v>
      </c>
    </row>
    <row r="18" spans="1:2" x14ac:dyDescent="0.3">
      <c r="A18" s="4">
        <v>40560</v>
      </c>
      <c r="B18">
        <v>1000</v>
      </c>
    </row>
    <row r="19" spans="1:2" x14ac:dyDescent="0.3">
      <c r="A19" s="4">
        <v>40561</v>
      </c>
      <c r="B19">
        <v>683</v>
      </c>
    </row>
    <row r="20" spans="1:2" x14ac:dyDescent="0.3">
      <c r="A20" s="4">
        <v>40562</v>
      </c>
      <c r="B20">
        <v>1650</v>
      </c>
    </row>
    <row r="21" spans="1:2" x14ac:dyDescent="0.3">
      <c r="A21" s="4">
        <v>40563</v>
      </c>
      <c r="B21">
        <v>1927</v>
      </c>
    </row>
    <row r="22" spans="1:2" x14ac:dyDescent="0.3">
      <c r="A22" s="4">
        <v>40564</v>
      </c>
      <c r="B22">
        <v>1543</v>
      </c>
    </row>
    <row r="23" spans="1:2" x14ac:dyDescent="0.3">
      <c r="A23" s="4">
        <v>40565</v>
      </c>
      <c r="B23">
        <v>981</v>
      </c>
    </row>
    <row r="24" spans="1:2" x14ac:dyDescent="0.3">
      <c r="A24" s="4">
        <v>40566</v>
      </c>
      <c r="B24">
        <v>986</v>
      </c>
    </row>
    <row r="25" spans="1:2" x14ac:dyDescent="0.3">
      <c r="A25" s="4">
        <v>40567</v>
      </c>
      <c r="B25">
        <v>1416</v>
      </c>
    </row>
    <row r="26" spans="1:2" x14ac:dyDescent="0.3">
      <c r="A26" s="4">
        <v>40568</v>
      </c>
      <c r="B26">
        <v>1985</v>
      </c>
    </row>
    <row r="27" spans="1:2" x14ac:dyDescent="0.3">
      <c r="A27" s="4">
        <v>40569</v>
      </c>
      <c r="B27">
        <v>506</v>
      </c>
    </row>
    <row r="28" spans="1:2" x14ac:dyDescent="0.3">
      <c r="A28" s="4">
        <v>40570</v>
      </c>
      <c r="B28">
        <v>431</v>
      </c>
    </row>
    <row r="29" spans="1:2" x14ac:dyDescent="0.3">
      <c r="A29" s="4">
        <v>40571</v>
      </c>
      <c r="B29">
        <v>1167</v>
      </c>
    </row>
    <row r="30" spans="1:2" x14ac:dyDescent="0.3">
      <c r="A30" s="4">
        <v>40572</v>
      </c>
      <c r="B30">
        <v>1098</v>
      </c>
    </row>
    <row r="31" spans="1:2" x14ac:dyDescent="0.3">
      <c r="A31" s="4">
        <v>40573</v>
      </c>
      <c r="B31">
        <v>1096</v>
      </c>
    </row>
    <row r="32" spans="1:2" x14ac:dyDescent="0.3">
      <c r="A32" s="4">
        <v>40574</v>
      </c>
      <c r="B32">
        <v>1501</v>
      </c>
    </row>
    <row r="33" spans="1:5" x14ac:dyDescent="0.3">
      <c r="A33" s="4">
        <v>40575</v>
      </c>
      <c r="B33">
        <v>1360</v>
      </c>
    </row>
    <row r="34" spans="1:5" x14ac:dyDescent="0.3">
      <c r="A34" s="4">
        <v>40576</v>
      </c>
      <c r="B34">
        <v>1526</v>
      </c>
    </row>
    <row r="35" spans="1:5" x14ac:dyDescent="0.3">
      <c r="A35" s="4">
        <v>40577</v>
      </c>
      <c r="B35">
        <v>1550</v>
      </c>
    </row>
    <row r="36" spans="1:5" x14ac:dyDescent="0.3">
      <c r="A36" s="4">
        <v>40578</v>
      </c>
      <c r="B36">
        <v>1708</v>
      </c>
    </row>
    <row r="37" spans="1:5" x14ac:dyDescent="0.3">
      <c r="A37" s="4">
        <v>40579</v>
      </c>
      <c r="B37">
        <v>1005</v>
      </c>
    </row>
    <row r="38" spans="1:5" x14ac:dyDescent="0.3">
      <c r="A38" s="4">
        <v>40580</v>
      </c>
      <c r="B38">
        <v>1623</v>
      </c>
    </row>
    <row r="39" spans="1:5" x14ac:dyDescent="0.3">
      <c r="A39" s="4">
        <v>40581</v>
      </c>
      <c r="B39">
        <v>1712</v>
      </c>
    </row>
    <row r="40" spans="1:5" x14ac:dyDescent="0.3">
      <c r="A40" s="4">
        <v>40582</v>
      </c>
      <c r="B40">
        <v>1530</v>
      </c>
    </row>
    <row r="41" spans="1:5" x14ac:dyDescent="0.3">
      <c r="A41" s="4">
        <v>40583</v>
      </c>
      <c r="B41">
        <v>1605</v>
      </c>
    </row>
    <row r="42" spans="1:5" x14ac:dyDescent="0.3">
      <c r="A42" s="4">
        <v>40584</v>
      </c>
      <c r="B42">
        <v>1538</v>
      </c>
    </row>
    <row r="43" spans="1:5" x14ac:dyDescent="0.3">
      <c r="A43" s="4">
        <v>40585</v>
      </c>
      <c r="B43">
        <v>1746</v>
      </c>
    </row>
    <row r="44" spans="1:5" x14ac:dyDescent="0.3">
      <c r="A44" s="4">
        <v>40586</v>
      </c>
      <c r="B44">
        <v>1472</v>
      </c>
    </row>
    <row r="45" spans="1:5" x14ac:dyDescent="0.3">
      <c r="A45" s="4">
        <v>40587</v>
      </c>
      <c r="B45">
        <v>1589</v>
      </c>
    </row>
    <row r="46" spans="1:5" x14ac:dyDescent="0.3">
      <c r="A46" s="4">
        <v>40588</v>
      </c>
      <c r="B46">
        <v>151</v>
      </c>
      <c r="C46">
        <v>151</v>
      </c>
      <c r="D46" s="71">
        <v>151</v>
      </c>
      <c r="E46" s="71">
        <v>151</v>
      </c>
    </row>
    <row r="47" spans="1:5" x14ac:dyDescent="0.3">
      <c r="A47" s="4">
        <v>40589</v>
      </c>
      <c r="C47" s="15">
        <f t="shared" ref="C47:C78" si="0">_xlfn.FORECAST.ETS(A47,$B$2:$B$46,$A$2:$A$46,7,1)</f>
        <v>1383.1712615983563</v>
      </c>
      <c r="D47" s="15">
        <f t="shared" ref="D47:D78" si="1">C47-_xlfn.FORECAST.ETS.CONFINT(A47,$B$2:$B$46,$A$2:$A$46,0.95,7,1)</f>
        <v>608.8914389892002</v>
      </c>
      <c r="E47" s="15">
        <f t="shared" ref="E47:E78" si="2">C47+_xlfn.FORECAST.ETS.CONFINT(A47,$B$2:$B$46,$A$2:$A$46,0.95,7,1)</f>
        <v>2157.4510842075124</v>
      </c>
    </row>
    <row r="48" spans="1:5" x14ac:dyDescent="0.3">
      <c r="A48" s="4">
        <v>40590</v>
      </c>
      <c r="C48" s="15">
        <f t="shared" si="0"/>
        <v>1476.9531321122211</v>
      </c>
      <c r="D48" s="15">
        <f t="shared" si="1"/>
        <v>702.66982525170283</v>
      </c>
      <c r="E48" s="15">
        <f t="shared" si="2"/>
        <v>2251.2364389727391</v>
      </c>
    </row>
    <row r="49" spans="1:5" x14ac:dyDescent="0.3">
      <c r="A49" s="4">
        <v>40591</v>
      </c>
      <c r="C49" s="15">
        <f t="shared" si="0"/>
        <v>1583.4753172185776</v>
      </c>
      <c r="D49" s="15">
        <f t="shared" si="1"/>
        <v>809.18581617212874</v>
      </c>
      <c r="E49" s="15">
        <f t="shared" si="2"/>
        <v>2357.7648182650264</v>
      </c>
    </row>
    <row r="50" spans="1:5" x14ac:dyDescent="0.3">
      <c r="A50" s="4">
        <v>40592</v>
      </c>
      <c r="C50" s="15">
        <f t="shared" si="0"/>
        <v>1586.874011940861</v>
      </c>
      <c r="D50" s="15">
        <f t="shared" si="1"/>
        <v>812.57483257809611</v>
      </c>
      <c r="E50" s="15">
        <f t="shared" si="2"/>
        <v>2361.173191303626</v>
      </c>
    </row>
    <row r="51" spans="1:5" x14ac:dyDescent="0.3">
      <c r="A51" s="4">
        <v>40593</v>
      </c>
      <c r="C51" s="15">
        <f t="shared" si="0"/>
        <v>1191.1960289133265</v>
      </c>
      <c r="D51" s="15">
        <f t="shared" si="1"/>
        <v>416.88291298758907</v>
      </c>
      <c r="E51" s="15">
        <f t="shared" si="2"/>
        <v>1965.509144839064</v>
      </c>
    </row>
    <row r="52" spans="1:5" x14ac:dyDescent="0.3">
      <c r="A52" s="4">
        <v>40594</v>
      </c>
      <c r="C52" s="15">
        <f t="shared" si="0"/>
        <v>1239.3928033916209</v>
      </c>
      <c r="D52" s="15">
        <f t="shared" si="1"/>
        <v>465.06071865822582</v>
      </c>
      <c r="E52" s="15">
        <f t="shared" si="2"/>
        <v>2013.7248881250159</v>
      </c>
    </row>
    <row r="53" spans="1:5" x14ac:dyDescent="0.3">
      <c r="A53" s="4">
        <v>40595</v>
      </c>
      <c r="C53" s="15">
        <f t="shared" si="0"/>
        <v>1275.5273519845941</v>
      </c>
      <c r="D53" s="15">
        <f t="shared" si="1"/>
        <v>501.17049236548894</v>
      </c>
      <c r="E53" s="15">
        <f t="shared" si="2"/>
        <v>2049.8842116036994</v>
      </c>
    </row>
    <row r="54" spans="1:5" x14ac:dyDescent="0.3">
      <c r="A54" s="4">
        <v>40596</v>
      </c>
      <c r="C54" s="15">
        <f t="shared" si="0"/>
        <v>1408.0181176777637</v>
      </c>
      <c r="D54" s="15">
        <f t="shared" si="1"/>
        <v>626.74138436297096</v>
      </c>
      <c r="E54" s="15">
        <f t="shared" si="2"/>
        <v>2189.2948509925563</v>
      </c>
    </row>
    <row r="55" spans="1:5" x14ac:dyDescent="0.3">
      <c r="A55" s="4">
        <v>40597</v>
      </c>
      <c r="C55" s="15">
        <f t="shared" si="0"/>
        <v>1501.7999881916287</v>
      </c>
      <c r="D55" s="15">
        <f t="shared" si="1"/>
        <v>720.48488854014772</v>
      </c>
      <c r="E55" s="15">
        <f t="shared" si="2"/>
        <v>2283.1150878431099</v>
      </c>
    </row>
    <row r="56" spans="1:5" x14ac:dyDescent="0.3">
      <c r="A56" s="4">
        <v>40598</v>
      </c>
      <c r="C56" s="15">
        <f t="shared" si="0"/>
        <v>1608.322173297985</v>
      </c>
      <c r="D56" s="15">
        <f t="shared" si="1"/>
        <v>826.96065289792637</v>
      </c>
      <c r="E56" s="15">
        <f t="shared" si="2"/>
        <v>2389.6836936980435</v>
      </c>
    </row>
    <row r="57" spans="1:5" x14ac:dyDescent="0.3">
      <c r="A57" s="4">
        <v>40599</v>
      </c>
      <c r="C57" s="15">
        <f t="shared" si="0"/>
        <v>1611.7208680202687</v>
      </c>
      <c r="D57" s="15">
        <f t="shared" si="1"/>
        <v>830.3041066867379</v>
      </c>
      <c r="E57" s="15">
        <f t="shared" si="2"/>
        <v>2393.1376293537996</v>
      </c>
    </row>
    <row r="58" spans="1:5" x14ac:dyDescent="0.3">
      <c r="A58" s="4">
        <v>40600</v>
      </c>
      <c r="C58" s="15">
        <f t="shared" si="0"/>
        <v>1216.0428849927339</v>
      </c>
      <c r="D58" s="15">
        <f t="shared" si="1"/>
        <v>434.56129726646543</v>
      </c>
      <c r="E58" s="15">
        <f t="shared" si="2"/>
        <v>1997.5244727190025</v>
      </c>
    </row>
    <row r="59" spans="1:5" x14ac:dyDescent="0.3">
      <c r="A59" s="4">
        <v>40601</v>
      </c>
      <c r="C59" s="15">
        <f t="shared" si="0"/>
        <v>1264.2396594710285</v>
      </c>
      <c r="D59" s="15">
        <f t="shared" si="1"/>
        <v>482.68289520695112</v>
      </c>
      <c r="E59" s="15">
        <f t="shared" si="2"/>
        <v>2045.7964237351059</v>
      </c>
    </row>
    <row r="60" spans="1:5" x14ac:dyDescent="0.3">
      <c r="A60" s="4">
        <v>40602</v>
      </c>
      <c r="C60" s="15">
        <f t="shared" si="0"/>
        <v>1300.3742080640016</v>
      </c>
      <c r="D60" s="15">
        <f t="shared" si="1"/>
        <v>518.73115311707306</v>
      </c>
      <c r="E60" s="15">
        <f t="shared" si="2"/>
        <v>2082.01726301093</v>
      </c>
    </row>
    <row r="61" spans="1:5" x14ac:dyDescent="0.3">
      <c r="A61" s="4">
        <v>40603</v>
      </c>
      <c r="C61" s="15">
        <f t="shared" si="0"/>
        <v>1432.8649737571714</v>
      </c>
      <c r="D61" s="15">
        <f t="shared" si="1"/>
        <v>643.63452032752832</v>
      </c>
      <c r="E61" s="15">
        <f t="shared" si="2"/>
        <v>2222.0954271868145</v>
      </c>
    </row>
    <row r="62" spans="1:5" x14ac:dyDescent="0.3">
      <c r="A62" s="4">
        <v>40604</v>
      </c>
      <c r="C62" s="15">
        <f t="shared" si="0"/>
        <v>1526.6468442710361</v>
      </c>
      <c r="D62" s="15">
        <f t="shared" si="1"/>
        <v>737.30663448048631</v>
      </c>
      <c r="E62" s="15">
        <f t="shared" si="2"/>
        <v>2315.9870540615857</v>
      </c>
    </row>
    <row r="63" spans="1:5" x14ac:dyDescent="0.3">
      <c r="A63" s="4">
        <v>40605</v>
      </c>
      <c r="C63" s="15">
        <f t="shared" si="0"/>
        <v>1633.1690293773927</v>
      </c>
      <c r="D63" s="15">
        <f t="shared" si="1"/>
        <v>843.7057890760168</v>
      </c>
      <c r="E63" s="15">
        <f t="shared" si="2"/>
        <v>2422.6322696787684</v>
      </c>
    </row>
    <row r="64" spans="1:5" x14ac:dyDescent="0.3">
      <c r="A64" s="4">
        <v>40606</v>
      </c>
      <c r="C64" s="15">
        <f t="shared" si="0"/>
        <v>1636.5677240996761</v>
      </c>
      <c r="D64" s="15">
        <f t="shared" si="1"/>
        <v>846.9674260854697</v>
      </c>
      <c r="E64" s="15">
        <f t="shared" si="2"/>
        <v>2426.1680221138822</v>
      </c>
    </row>
    <row r="65" spans="1:5" x14ac:dyDescent="0.3">
      <c r="A65" s="4">
        <v>40607</v>
      </c>
      <c r="C65" s="15">
        <f t="shared" si="0"/>
        <v>1240.8897410721415</v>
      </c>
      <c r="D65" s="15">
        <f t="shared" si="1"/>
        <v>451.13760633517029</v>
      </c>
      <c r="E65" s="15">
        <f t="shared" si="2"/>
        <v>2030.6418758091127</v>
      </c>
    </row>
    <row r="66" spans="1:5" x14ac:dyDescent="0.3">
      <c r="A66" s="4">
        <v>40608</v>
      </c>
      <c r="C66" s="15">
        <f t="shared" si="0"/>
        <v>1289.0865155504359</v>
      </c>
      <c r="D66" s="15">
        <f t="shared" si="1"/>
        <v>499.16701465298695</v>
      </c>
      <c r="E66" s="15">
        <f t="shared" si="2"/>
        <v>2079.006016447885</v>
      </c>
    </row>
    <row r="67" spans="1:5" x14ac:dyDescent="0.3">
      <c r="A67" s="4">
        <v>40609</v>
      </c>
      <c r="C67" s="15">
        <f t="shared" si="0"/>
        <v>1325.2210641434092</v>
      </c>
      <c r="D67" s="15">
        <f t="shared" si="1"/>
        <v>535.11791874274343</v>
      </c>
      <c r="E67" s="15">
        <f t="shared" si="2"/>
        <v>2115.3242095440751</v>
      </c>
    </row>
    <row r="68" spans="1:5" x14ac:dyDescent="0.3">
      <c r="A68" s="4">
        <v>40610</v>
      </c>
      <c r="C68" s="15">
        <f t="shared" si="0"/>
        <v>1457.7118298365788</v>
      </c>
      <c r="D68" s="15">
        <f t="shared" si="1"/>
        <v>659.34184615356037</v>
      </c>
      <c r="E68" s="15">
        <f t="shared" si="2"/>
        <v>2256.0818135195973</v>
      </c>
    </row>
    <row r="69" spans="1:5" x14ac:dyDescent="0.3">
      <c r="A69" s="4">
        <v>40611</v>
      </c>
      <c r="C69" s="15">
        <f t="shared" si="0"/>
        <v>1551.4937003504438</v>
      </c>
      <c r="D69" s="15">
        <f t="shared" si="1"/>
        <v>752.90748198050846</v>
      </c>
      <c r="E69" s="15">
        <f t="shared" si="2"/>
        <v>2350.0799187203793</v>
      </c>
    </row>
    <row r="70" spans="1:5" x14ac:dyDescent="0.3">
      <c r="A70" s="4">
        <v>40612</v>
      </c>
      <c r="C70" s="15">
        <f t="shared" si="0"/>
        <v>1658.0158854568001</v>
      </c>
      <c r="D70" s="15">
        <f t="shared" si="1"/>
        <v>859.1951036491995</v>
      </c>
      <c r="E70" s="15">
        <f t="shared" si="2"/>
        <v>2456.8366672644006</v>
      </c>
    </row>
    <row r="71" spans="1:5" x14ac:dyDescent="0.3">
      <c r="A71" s="4">
        <v>40613</v>
      </c>
      <c r="C71" s="15">
        <f t="shared" si="0"/>
        <v>1661.4145801790837</v>
      </c>
      <c r="D71" s="15">
        <f t="shared" si="1"/>
        <v>862.34017206902081</v>
      </c>
      <c r="E71" s="15">
        <f t="shared" si="2"/>
        <v>2460.4889882891466</v>
      </c>
    </row>
    <row r="72" spans="1:5" x14ac:dyDescent="0.3">
      <c r="A72" s="4">
        <v>40614</v>
      </c>
      <c r="C72" s="15">
        <f t="shared" si="0"/>
        <v>1265.7365971515489</v>
      </c>
      <c r="D72" s="15">
        <f t="shared" si="1"/>
        <v>466.38876802138589</v>
      </c>
      <c r="E72" s="15">
        <f t="shared" si="2"/>
        <v>2065.0844262817118</v>
      </c>
    </row>
    <row r="73" spans="1:5" x14ac:dyDescent="0.3">
      <c r="A73" s="4">
        <v>40615</v>
      </c>
      <c r="C73" s="15">
        <f t="shared" si="0"/>
        <v>1313.9333716298436</v>
      </c>
      <c r="D73" s="15">
        <f t="shared" si="1"/>
        <v>514.29159734452969</v>
      </c>
      <c r="E73" s="15">
        <f t="shared" si="2"/>
        <v>2113.5751459151575</v>
      </c>
    </row>
    <row r="74" spans="1:5" x14ac:dyDescent="0.3">
      <c r="A74" s="4">
        <v>40616</v>
      </c>
      <c r="C74" s="15">
        <f t="shared" si="0"/>
        <v>1350.0679202228166</v>
      </c>
      <c r="D74" s="15">
        <f t="shared" si="1"/>
        <v>550.11094984496162</v>
      </c>
      <c r="E74" s="15">
        <f t="shared" si="2"/>
        <v>2150.0248906006718</v>
      </c>
    </row>
    <row r="75" spans="1:5" x14ac:dyDescent="0.3">
      <c r="A75" s="4">
        <v>40617</v>
      </c>
      <c r="C75" s="15">
        <f t="shared" si="0"/>
        <v>1482.5586859159864</v>
      </c>
      <c r="D75" s="15">
        <f t="shared" si="1"/>
        <v>673.64931890630669</v>
      </c>
      <c r="E75" s="15">
        <f t="shared" si="2"/>
        <v>2291.4680529256661</v>
      </c>
    </row>
    <row r="76" spans="1:5" x14ac:dyDescent="0.3">
      <c r="A76" s="4">
        <v>40618</v>
      </c>
      <c r="C76" s="15">
        <f t="shared" si="0"/>
        <v>1576.3405564298512</v>
      </c>
      <c r="D76" s="15">
        <f t="shared" si="1"/>
        <v>767.07515347529761</v>
      </c>
      <c r="E76" s="15">
        <f t="shared" si="2"/>
        <v>2385.6059593844047</v>
      </c>
    </row>
    <row r="77" spans="1:5" x14ac:dyDescent="0.3">
      <c r="A77" s="4">
        <v>40619</v>
      </c>
      <c r="C77" s="15">
        <f t="shared" si="0"/>
        <v>1682.8627415362077</v>
      </c>
      <c r="D77" s="15">
        <f t="shared" si="1"/>
        <v>873.21813438764855</v>
      </c>
      <c r="E77" s="15">
        <f t="shared" si="2"/>
        <v>2492.5073486847668</v>
      </c>
    </row>
    <row r="78" spans="1:5" x14ac:dyDescent="0.3">
      <c r="A78" s="4">
        <v>40620</v>
      </c>
      <c r="C78" s="15">
        <f t="shared" si="0"/>
        <v>1686.2614362584911</v>
      </c>
      <c r="D78" s="15">
        <f t="shared" si="1"/>
        <v>876.21374911215185</v>
      </c>
      <c r="E78" s="15">
        <f t="shared" si="2"/>
        <v>2496.3091234048306</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FA975-E811-4714-8335-EA34BDF5B0FC}">
  <dimension ref="A3:B10"/>
  <sheetViews>
    <sheetView workbookViewId="0">
      <selection activeCell="N10" sqref="N10"/>
    </sheetView>
  </sheetViews>
  <sheetFormatPr defaultRowHeight="14.4" x14ac:dyDescent="0.3"/>
  <cols>
    <col min="1" max="1" width="12.5546875" bestFit="1" customWidth="1"/>
    <col min="2" max="2" width="10.77734375" bestFit="1" customWidth="1"/>
  </cols>
  <sheetData>
    <row r="3" spans="1:2" x14ac:dyDescent="0.3">
      <c r="A3" s="14" t="s">
        <v>49</v>
      </c>
      <c r="B3" t="s">
        <v>68</v>
      </c>
    </row>
    <row r="4" spans="1:2" x14ac:dyDescent="0.3">
      <c r="A4" s="10" t="s">
        <v>30</v>
      </c>
      <c r="B4" s="15">
        <v>49.518292682926827</v>
      </c>
    </row>
    <row r="5" spans="1:2" x14ac:dyDescent="0.3">
      <c r="A5" s="10" t="s">
        <v>31</v>
      </c>
      <c r="B5" s="15">
        <v>56.711409395973156</v>
      </c>
    </row>
    <row r="6" spans="1:2" x14ac:dyDescent="0.3">
      <c r="A6" s="10" t="s">
        <v>32</v>
      </c>
      <c r="B6" s="15">
        <v>66.00787401574803</v>
      </c>
    </row>
    <row r="7" spans="1:2" x14ac:dyDescent="0.3">
      <c r="A7" s="10" t="s">
        <v>33</v>
      </c>
      <c r="B7" s="15">
        <v>61.44274809160305</v>
      </c>
    </row>
    <row r="8" spans="1:2" x14ac:dyDescent="0.3">
      <c r="A8" s="10" t="s">
        <v>34</v>
      </c>
      <c r="B8" s="15">
        <v>67.664000000000001</v>
      </c>
    </row>
    <row r="9" spans="1:2" x14ac:dyDescent="0.3">
      <c r="A9" s="10" t="s">
        <v>35</v>
      </c>
      <c r="B9" s="15">
        <v>65.905797101449281</v>
      </c>
    </row>
    <row r="10" spans="1:2" x14ac:dyDescent="0.3">
      <c r="A10" s="10" t="s">
        <v>36</v>
      </c>
      <c r="B10" s="15">
        <v>46.674698795180724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CFDE0-C1A9-49C7-9C46-272AA117537C}">
  <dimension ref="A1:K8"/>
  <sheetViews>
    <sheetView topLeftCell="A2" workbookViewId="0">
      <selection activeCell="P21" sqref="P21"/>
    </sheetView>
  </sheetViews>
  <sheetFormatPr defaultRowHeight="14.4" x14ac:dyDescent="0.3"/>
  <cols>
    <col min="1" max="1" width="11" bestFit="1" customWidth="1"/>
    <col min="2" max="2" width="11.77734375" bestFit="1" customWidth="1"/>
    <col min="6" max="6" width="12.5546875" bestFit="1" customWidth="1"/>
    <col min="7" max="7" width="10.88671875" bestFit="1" customWidth="1"/>
    <col min="8" max="8" width="13.5546875" bestFit="1" customWidth="1"/>
    <col min="9" max="9" width="11" bestFit="1" customWidth="1"/>
    <col min="10" max="10" width="10.88671875" bestFit="1" customWidth="1"/>
    <col min="11" max="11" width="13.5546875" bestFit="1" customWidth="1"/>
  </cols>
  <sheetData>
    <row r="1" spans="1:11" x14ac:dyDescent="0.3">
      <c r="A1" s="14" t="s">
        <v>61</v>
      </c>
      <c r="B1" t="s">
        <v>86</v>
      </c>
      <c r="I1" s="14" t="s">
        <v>61</v>
      </c>
      <c r="J1" t="s">
        <v>86</v>
      </c>
    </row>
    <row r="3" spans="1:11" x14ac:dyDescent="0.3">
      <c r="A3" s="14" t="s">
        <v>57</v>
      </c>
      <c r="B3" t="s">
        <v>55</v>
      </c>
      <c r="I3" s="14" t="s">
        <v>57</v>
      </c>
      <c r="J3" t="s">
        <v>65</v>
      </c>
      <c r="K3" t="s">
        <v>66</v>
      </c>
    </row>
    <row r="4" spans="1:11" x14ac:dyDescent="0.3">
      <c r="A4" s="10" t="s">
        <v>52</v>
      </c>
      <c r="B4">
        <v>17132</v>
      </c>
      <c r="I4" s="10" t="s">
        <v>52</v>
      </c>
      <c r="J4" s="15">
        <v>3.3219178082191783</v>
      </c>
      <c r="K4" s="15">
        <v>55.349315068493148</v>
      </c>
    </row>
    <row r="5" spans="1:11" x14ac:dyDescent="0.3">
      <c r="A5" s="10" t="s">
        <v>50</v>
      </c>
      <c r="B5">
        <v>13211</v>
      </c>
      <c r="I5" s="10" t="s">
        <v>50</v>
      </c>
      <c r="J5" s="15">
        <v>11.61046511627907</v>
      </c>
      <c r="K5" s="15">
        <v>65.197674418604649</v>
      </c>
    </row>
    <row r="6" spans="1:11" x14ac:dyDescent="0.3">
      <c r="A6" s="10" t="s">
        <v>51</v>
      </c>
      <c r="B6">
        <v>19041</v>
      </c>
      <c r="I6" s="10" t="s">
        <v>51</v>
      </c>
      <c r="J6" s="15">
        <v>7.4540229885057467</v>
      </c>
      <c r="K6" s="15">
        <v>101.97701149425288</v>
      </c>
    </row>
    <row r="7" spans="1:11" x14ac:dyDescent="0.3">
      <c r="A7" s="10" t="s">
        <v>53</v>
      </c>
      <c r="B7">
        <v>8920</v>
      </c>
      <c r="I7" s="10" t="s">
        <v>53</v>
      </c>
      <c r="J7" s="15">
        <v>1.8149171270718232</v>
      </c>
      <c r="K7" s="15">
        <v>22.825966850828728</v>
      </c>
    </row>
    <row r="8" spans="1:11" x14ac:dyDescent="0.3">
      <c r="A8" s="10" t="s">
        <v>54</v>
      </c>
      <c r="B8">
        <v>58304</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39FC6-543F-40C8-90E4-53FD8998151F}">
  <dimension ref="A3:C8"/>
  <sheetViews>
    <sheetView workbookViewId="0">
      <selection activeCell="B5" sqref="B5"/>
    </sheetView>
  </sheetViews>
  <sheetFormatPr defaultRowHeight="14.4" x14ac:dyDescent="0.3"/>
  <cols>
    <col min="1" max="1" width="18.5546875" bestFit="1" customWidth="1"/>
    <col min="2" max="2" width="11.77734375" bestFit="1" customWidth="1"/>
    <col min="3" max="3" width="10.77734375" bestFit="1" customWidth="1"/>
  </cols>
  <sheetData>
    <row r="3" spans="1:3" x14ac:dyDescent="0.3">
      <c r="A3" s="14" t="s">
        <v>69</v>
      </c>
      <c r="B3" t="s">
        <v>55</v>
      </c>
      <c r="C3" t="s">
        <v>68</v>
      </c>
    </row>
    <row r="4" spans="1:3" x14ac:dyDescent="0.3">
      <c r="A4" s="10" t="s">
        <v>26</v>
      </c>
      <c r="B4">
        <v>37373</v>
      </c>
      <c r="C4" s="15">
        <v>61.671617161716171</v>
      </c>
    </row>
    <row r="5" spans="1:3" x14ac:dyDescent="0.3">
      <c r="A5" s="10" t="s">
        <v>27</v>
      </c>
      <c r="B5">
        <v>18106</v>
      </c>
      <c r="C5" s="15">
        <v>58.595469255663431</v>
      </c>
    </row>
    <row r="6" spans="1:3" x14ac:dyDescent="0.3">
      <c r="A6" s="10" t="s">
        <v>29</v>
      </c>
      <c r="B6">
        <v>2789</v>
      </c>
      <c r="C6" s="15">
        <v>33.202380952380949</v>
      </c>
    </row>
    <row r="7" spans="1:3" x14ac:dyDescent="0.3">
      <c r="A7" s="10" t="s">
        <v>28</v>
      </c>
      <c r="B7">
        <v>36</v>
      </c>
      <c r="C7" s="15">
        <v>36</v>
      </c>
    </row>
    <row r="8" spans="1:3" x14ac:dyDescent="0.3">
      <c r="A8" s="10" t="s">
        <v>54</v>
      </c>
      <c r="B8">
        <v>58304</v>
      </c>
      <c r="C8" s="15">
        <v>58.304000000000002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F734D-B6FF-4BE3-BDDF-C4FE9B0ABA3F}">
  <dimension ref="A1:L27"/>
  <sheetViews>
    <sheetView topLeftCell="A22" workbookViewId="0">
      <selection activeCell="N26" sqref="N26"/>
    </sheetView>
  </sheetViews>
  <sheetFormatPr defaultRowHeight="14.4" x14ac:dyDescent="0.3"/>
  <cols>
    <col min="1" max="1" width="11.77734375" bestFit="1" customWidth="1"/>
    <col min="2" max="2" width="11.88671875" bestFit="1" customWidth="1"/>
    <col min="3" max="3" width="14.5546875" bestFit="1" customWidth="1"/>
    <col min="4" max="4" width="11.21875" bestFit="1" customWidth="1"/>
    <col min="6" max="6" width="11.77734375" bestFit="1" customWidth="1"/>
    <col min="7" max="7" width="12.33203125" bestFit="1" customWidth="1"/>
    <col min="8" max="8" width="10.33203125" bestFit="1" customWidth="1"/>
    <col min="9" max="9" width="13.6640625" bestFit="1" customWidth="1"/>
    <col min="10" max="10" width="10.88671875" bestFit="1" customWidth="1"/>
    <col min="11" max="11" width="13.5546875" bestFit="1" customWidth="1"/>
    <col min="12" max="12" width="12.5546875" bestFit="1" customWidth="1"/>
    <col min="13" max="13" width="10.88671875" bestFit="1" customWidth="1"/>
    <col min="14" max="14" width="13.5546875" bestFit="1" customWidth="1"/>
  </cols>
  <sheetData>
    <row r="1" spans="1:11" x14ac:dyDescent="0.3">
      <c r="F1" s="14" t="s">
        <v>67</v>
      </c>
      <c r="G1" t="s">
        <v>74</v>
      </c>
      <c r="H1" t="s">
        <v>75</v>
      </c>
    </row>
    <row r="2" spans="1:11" x14ac:dyDescent="0.3">
      <c r="F2" s="10" t="s">
        <v>22</v>
      </c>
      <c r="G2" s="16">
        <v>5.2291740308707438E-2</v>
      </c>
      <c r="H2" s="16">
        <v>0.94770825969129258</v>
      </c>
    </row>
    <row r="3" spans="1:11" x14ac:dyDescent="0.3">
      <c r="A3" s="14" t="s">
        <v>67</v>
      </c>
      <c r="B3" t="s">
        <v>63</v>
      </c>
      <c r="C3" t="s">
        <v>64</v>
      </c>
      <c r="F3" s="10" t="s">
        <v>62</v>
      </c>
      <c r="G3" s="16">
        <v>0.17026907807675343</v>
      </c>
      <c r="H3" s="16">
        <v>0.8297309219232466</v>
      </c>
    </row>
    <row r="4" spans="1:11" x14ac:dyDescent="0.3">
      <c r="A4" s="10" t="s">
        <v>22</v>
      </c>
      <c r="B4">
        <v>2219</v>
      </c>
      <c r="C4">
        <v>40216</v>
      </c>
      <c r="I4" s="14" t="s">
        <v>49</v>
      </c>
      <c r="J4" t="s">
        <v>65</v>
      </c>
      <c r="K4" t="s">
        <v>66</v>
      </c>
    </row>
    <row r="5" spans="1:11" x14ac:dyDescent="0.3">
      <c r="A5" s="10" t="s">
        <v>62</v>
      </c>
      <c r="B5">
        <v>2702</v>
      </c>
      <c r="C5">
        <v>13167</v>
      </c>
      <c r="I5" s="10" t="s">
        <v>22</v>
      </c>
      <c r="J5" s="15">
        <v>3.3119402985074626</v>
      </c>
      <c r="K5" s="15">
        <v>60.023880597014923</v>
      </c>
    </row>
    <row r="6" spans="1:11" x14ac:dyDescent="0.3">
      <c r="A6" s="10" t="s">
        <v>54</v>
      </c>
      <c r="B6">
        <v>4921</v>
      </c>
      <c r="C6">
        <v>53383</v>
      </c>
      <c r="I6" s="10" t="s">
        <v>62</v>
      </c>
      <c r="J6" s="15">
        <v>8.1878787878787875</v>
      </c>
      <c r="K6" s="15">
        <v>39.9</v>
      </c>
    </row>
    <row r="25" spans="2:12" x14ac:dyDescent="0.3">
      <c r="B25" s="14" t="s">
        <v>76</v>
      </c>
      <c r="C25" t="s">
        <v>77</v>
      </c>
      <c r="D25" t="s">
        <v>78</v>
      </c>
      <c r="H25" s="14" t="s">
        <v>76</v>
      </c>
      <c r="I25" t="s">
        <v>56</v>
      </c>
    </row>
    <row r="26" spans="2:12" x14ac:dyDescent="0.3">
      <c r="B26" s="10" t="s">
        <v>58</v>
      </c>
      <c r="C26" s="16">
        <v>8.3833589278235379E-2</v>
      </c>
      <c r="D26" s="16">
        <v>0.91616641072176463</v>
      </c>
      <c r="H26" s="10" t="s">
        <v>58</v>
      </c>
      <c r="I26" s="15">
        <v>58.713114754098363</v>
      </c>
      <c r="K26" s="15"/>
      <c r="L26" s="16"/>
    </row>
    <row r="27" spans="2:12" x14ac:dyDescent="0.3">
      <c r="B27" s="10" t="s">
        <v>59</v>
      </c>
      <c r="C27" s="16">
        <v>0.11700000000000001</v>
      </c>
      <c r="D27" s="16">
        <v>0.88300000000000001</v>
      </c>
      <c r="H27" s="10" t="s">
        <v>59</v>
      </c>
      <c r="I27" s="15">
        <v>41.666666666666664</v>
      </c>
      <c r="L27" s="16"/>
    </row>
  </sheetData>
  <pageMargins left="0.7" right="0.7" top="0.75" bottom="0.75" header="0.3" footer="0.3"/>
  <drawing r:id="rId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21689-3C88-45D3-AFBA-66AE03A1C0E3}">
  <dimension ref="B1:F10"/>
  <sheetViews>
    <sheetView workbookViewId="0">
      <selection activeCell="B2" sqref="B2:F10"/>
      <pivotSelection pane="bottomRight" activeRow="1" activeCol="1" previousRow="1" previousCol="1" click="1" r:id="rId1">
        <pivotArea type="all" dataOnly="0" outline="0" fieldPosition="0"/>
      </pivotSelection>
    </sheetView>
  </sheetViews>
  <sheetFormatPr defaultRowHeight="14.4" x14ac:dyDescent="0.3"/>
  <cols>
    <col min="1" max="2" width="13.6640625" bestFit="1" customWidth="1"/>
    <col min="3" max="3" width="11" bestFit="1" customWidth="1"/>
    <col min="4" max="4" width="9.88671875" bestFit="1" customWidth="1"/>
    <col min="5" max="5" width="7.6640625" bestFit="1" customWidth="1"/>
    <col min="6" max="6" width="5.5546875" bestFit="1" customWidth="1"/>
  </cols>
  <sheetData>
    <row r="1" spans="2:6" ht="15" thickBot="1" x14ac:dyDescent="0.35"/>
    <row r="2" spans="2:6" ht="15" thickBot="1" x14ac:dyDescent="0.35">
      <c r="B2" s="95" t="s">
        <v>56</v>
      </c>
      <c r="C2" s="96" t="s">
        <v>57</v>
      </c>
      <c r="D2" s="27"/>
      <c r="E2" s="27"/>
      <c r="F2" s="28"/>
    </row>
    <row r="3" spans="2:6" ht="15" thickBot="1" x14ac:dyDescent="0.35">
      <c r="B3" s="74" t="s">
        <v>24</v>
      </c>
      <c r="C3" s="33" t="s">
        <v>52</v>
      </c>
      <c r="D3" s="33" t="s">
        <v>50</v>
      </c>
      <c r="E3" s="33" t="s">
        <v>51</v>
      </c>
      <c r="F3" s="55" t="s">
        <v>53</v>
      </c>
    </row>
    <row r="4" spans="2:6" x14ac:dyDescent="0.3">
      <c r="B4" s="93" t="s">
        <v>30</v>
      </c>
      <c r="C4" s="15">
        <v>32.043478260869563</v>
      </c>
      <c r="D4" s="15">
        <v>113.17857142857143</v>
      </c>
      <c r="E4" s="15">
        <v>76.071428571428569</v>
      </c>
      <c r="F4" s="17">
        <v>21.741935483870968</v>
      </c>
    </row>
    <row r="5" spans="2:6" x14ac:dyDescent="0.3">
      <c r="B5" s="93" t="s">
        <v>31</v>
      </c>
      <c r="C5" s="15">
        <v>62.666666666666664</v>
      </c>
      <c r="D5" s="15">
        <v>64.083333333333329</v>
      </c>
      <c r="E5" s="15">
        <v>123.625</v>
      </c>
      <c r="F5" s="17">
        <v>20.089285714285715</v>
      </c>
    </row>
    <row r="6" spans="2:6" x14ac:dyDescent="0.3">
      <c r="B6" s="93" t="s">
        <v>32</v>
      </c>
      <c r="C6" s="15">
        <v>79.257142857142853</v>
      </c>
      <c r="D6" s="15">
        <v>58.5</v>
      </c>
      <c r="E6" s="15">
        <v>129.25</v>
      </c>
      <c r="F6" s="17">
        <v>25.068181818181817</v>
      </c>
    </row>
    <row r="7" spans="2:6" x14ac:dyDescent="0.3">
      <c r="B7" s="93" t="s">
        <v>33</v>
      </c>
      <c r="C7" s="15">
        <v>64.261904761904759</v>
      </c>
      <c r="D7" s="15">
        <v>61.666666666666664</v>
      </c>
      <c r="E7" s="15">
        <v>123.27272727272727</v>
      </c>
      <c r="F7" s="17">
        <v>26.930232558139537</v>
      </c>
    </row>
    <row r="8" spans="2:6" x14ac:dyDescent="0.3">
      <c r="B8" s="93" t="s">
        <v>34</v>
      </c>
      <c r="C8" s="15">
        <v>80.971428571428575</v>
      </c>
      <c r="D8" s="15">
        <v>65.45</v>
      </c>
      <c r="E8" s="15">
        <v>123.45833333333333</v>
      </c>
      <c r="F8" s="17">
        <v>29.391304347826086</v>
      </c>
    </row>
    <row r="9" spans="2:6" x14ac:dyDescent="0.3">
      <c r="B9" s="93" t="s">
        <v>35</v>
      </c>
      <c r="C9" s="15">
        <v>77.047619047619051</v>
      </c>
      <c r="D9" s="15">
        <v>67.875</v>
      </c>
      <c r="E9" s="15">
        <v>126.91666666666667</v>
      </c>
      <c r="F9" s="17">
        <v>24.666666666666668</v>
      </c>
    </row>
    <row r="10" spans="2:6" ht="15" thickBot="1" x14ac:dyDescent="0.35">
      <c r="B10" s="94" t="s">
        <v>36</v>
      </c>
      <c r="C10" s="18">
        <v>27.553191489361701</v>
      </c>
      <c r="D10" s="18">
        <v>95.785714285714292</v>
      </c>
      <c r="E10" s="18">
        <v>75.75</v>
      </c>
      <c r="F10" s="19">
        <v>26.19047619047619</v>
      </c>
    </row>
  </sheetData>
  <conditionalFormatting pivot="1" sqref="C4:F1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E0674-F2EF-4474-9A55-02D0212DE2FE}">
  <dimension ref="A2:F20"/>
  <sheetViews>
    <sheetView workbookViewId="0">
      <selection activeCell="B3" sqref="B3:F8"/>
      <pivotSelection pane="bottomRight" activeRow="2" activeCol="1" previousRow="2" previousCol="1" click="1" r:id="rId1">
        <pivotArea type="all" dataOnly="0" outline="0" fieldPosition="0"/>
      </pivotSelection>
    </sheetView>
  </sheetViews>
  <sheetFormatPr defaultRowHeight="14.4" x14ac:dyDescent="0.3"/>
  <cols>
    <col min="1" max="1" width="11.77734375" bestFit="1" customWidth="1"/>
    <col min="2" max="2" width="18.5546875" bestFit="1" customWidth="1"/>
    <col min="3" max="3" width="11.44140625" bestFit="1" customWidth="1"/>
    <col min="4" max="4" width="9.21875" bestFit="1" customWidth="1"/>
    <col min="5" max="6" width="16" bestFit="1" customWidth="1"/>
  </cols>
  <sheetData>
    <row r="2" spans="1:6" ht="15" thickBot="1" x14ac:dyDescent="0.35"/>
    <row r="3" spans="1:6" ht="15" thickBot="1" x14ac:dyDescent="0.35">
      <c r="B3" s="25" t="s">
        <v>56</v>
      </c>
      <c r="C3" s="25" t="s">
        <v>69</v>
      </c>
      <c r="D3" s="26"/>
      <c r="E3" s="27"/>
      <c r="F3" s="28"/>
    </row>
    <row r="4" spans="1:6" ht="15" thickBot="1" x14ac:dyDescent="0.35">
      <c r="B4" s="25" t="s">
        <v>57</v>
      </c>
      <c r="C4" s="115" t="s">
        <v>26</v>
      </c>
      <c r="D4" s="116" t="s">
        <v>27</v>
      </c>
      <c r="E4" s="116" t="s">
        <v>29</v>
      </c>
      <c r="F4" s="117" t="s">
        <v>28</v>
      </c>
    </row>
    <row r="5" spans="1:6" x14ac:dyDescent="0.3">
      <c r="B5" s="29" t="s">
        <v>52</v>
      </c>
      <c r="C5" s="20">
        <v>63.075581395348834</v>
      </c>
      <c r="D5" s="21">
        <v>58.333333333333336</v>
      </c>
      <c r="E5" s="21">
        <v>34.43333333333333</v>
      </c>
      <c r="F5" s="22"/>
    </row>
    <row r="6" spans="1:6" x14ac:dyDescent="0.3">
      <c r="B6" s="30" t="s">
        <v>50</v>
      </c>
      <c r="C6" s="23">
        <v>84.516129032258064</v>
      </c>
      <c r="D6" s="15">
        <v>71.318181818181813</v>
      </c>
      <c r="E6" s="15">
        <v>49.53846153846154</v>
      </c>
      <c r="F6" s="17"/>
    </row>
    <row r="7" spans="1:6" x14ac:dyDescent="0.3">
      <c r="B7" s="30" t="s">
        <v>51</v>
      </c>
      <c r="C7" s="23">
        <v>109.17094017094017</v>
      </c>
      <c r="D7" s="15">
        <v>121.12765957446808</v>
      </c>
      <c r="E7" s="15">
        <v>59.888888888888886</v>
      </c>
      <c r="F7" s="17">
        <v>36</v>
      </c>
    </row>
    <row r="8" spans="1:6" ht="15" thickBot="1" x14ac:dyDescent="0.35">
      <c r="B8" s="31" t="s">
        <v>53</v>
      </c>
      <c r="C8" s="24">
        <v>26.299107142857142</v>
      </c>
      <c r="D8" s="18">
        <v>23.169811320754718</v>
      </c>
      <c r="E8" s="18">
        <v>17.90625</v>
      </c>
      <c r="F8" s="19"/>
    </row>
    <row r="14" spans="1:6" x14ac:dyDescent="0.3">
      <c r="A14" s="14" t="s">
        <v>55</v>
      </c>
      <c r="B14" s="14" t="s">
        <v>69</v>
      </c>
    </row>
    <row r="15" spans="1:6" x14ac:dyDescent="0.3">
      <c r="A15" s="14" t="s">
        <v>57</v>
      </c>
      <c r="B15" t="s">
        <v>26</v>
      </c>
      <c r="C15" t="s">
        <v>27</v>
      </c>
      <c r="D15" t="s">
        <v>29</v>
      </c>
      <c r="E15" t="s">
        <v>28</v>
      </c>
    </row>
    <row r="16" spans="1:6" x14ac:dyDescent="0.3">
      <c r="A16" s="10" t="s">
        <v>52</v>
      </c>
      <c r="B16">
        <v>10849</v>
      </c>
      <c r="C16">
        <v>5250</v>
      </c>
      <c r="D16">
        <v>1033</v>
      </c>
    </row>
    <row r="17" spans="1:5" x14ac:dyDescent="0.3">
      <c r="A17" s="10" t="s">
        <v>50</v>
      </c>
      <c r="B17">
        <v>7860</v>
      </c>
      <c r="C17">
        <v>4707</v>
      </c>
      <c r="D17">
        <v>644</v>
      </c>
    </row>
    <row r="18" spans="1:5" x14ac:dyDescent="0.3">
      <c r="A18" s="10" t="s">
        <v>51</v>
      </c>
      <c r="B18">
        <v>12773</v>
      </c>
      <c r="C18">
        <v>5693</v>
      </c>
      <c r="D18">
        <v>539</v>
      </c>
      <c r="E18">
        <v>36</v>
      </c>
    </row>
    <row r="19" spans="1:5" x14ac:dyDescent="0.3">
      <c r="A19" s="10" t="s">
        <v>53</v>
      </c>
      <c r="B19">
        <v>5891</v>
      </c>
      <c r="C19">
        <v>2456</v>
      </c>
      <c r="D19">
        <v>573</v>
      </c>
    </row>
    <row r="20" spans="1:5" x14ac:dyDescent="0.3">
      <c r="A20" s="10" t="s">
        <v>54</v>
      </c>
      <c r="B20">
        <v>37373</v>
      </c>
      <c r="C20">
        <v>18106</v>
      </c>
      <c r="D20">
        <v>2789</v>
      </c>
      <c r="E20">
        <v>36</v>
      </c>
    </row>
  </sheetData>
  <conditionalFormatting pivot="1" sqref="C5:F8">
    <cfRule type="colorScale" priority="1">
      <colorScale>
        <cfvo type="min"/>
        <cfvo type="percentile" val="50"/>
        <cfvo type="max"/>
        <color rgb="FFF8696B"/>
        <color rgb="FFFFEB84"/>
        <color rgb="FF63BE7B"/>
      </colorScale>
    </cfRule>
  </conditionalFormatting>
  <pageMargins left="0.7" right="0.7" top="0.75" bottom="0.75" header="0.3" footer="0.3"/>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428DA-19AF-4CFF-B827-AD9458E82DCA}">
  <dimension ref="A2:E15"/>
  <sheetViews>
    <sheetView topLeftCell="A3" workbookViewId="0">
      <selection activeCell="F21" sqref="F21"/>
    </sheetView>
  </sheetViews>
  <sheetFormatPr defaultRowHeight="14.4" x14ac:dyDescent="0.3"/>
  <cols>
    <col min="1" max="1" width="13.6640625" bestFit="1" customWidth="1"/>
    <col min="2" max="2" width="18.5546875" bestFit="1" customWidth="1"/>
    <col min="3" max="3" width="11.44140625" bestFit="1" customWidth="1"/>
    <col min="4" max="4" width="9.21875" bestFit="1" customWidth="1"/>
    <col min="5" max="5" width="16" bestFit="1" customWidth="1"/>
  </cols>
  <sheetData>
    <row r="2" spans="1:5" x14ac:dyDescent="0.3">
      <c r="A2" s="33"/>
      <c r="B2" s="33"/>
      <c r="C2" s="33"/>
      <c r="D2" s="33"/>
    </row>
    <row r="3" spans="1:5" x14ac:dyDescent="0.3">
      <c r="A3" s="32" t="s">
        <v>37</v>
      </c>
      <c r="B3" s="33" t="s">
        <v>55</v>
      </c>
      <c r="C3" s="33" t="s">
        <v>68</v>
      </c>
      <c r="D3" s="34" t="s">
        <v>79</v>
      </c>
      <c r="E3" s="5"/>
    </row>
    <row r="4" spans="1:5" x14ac:dyDescent="0.3">
      <c r="A4" s="11" t="s">
        <v>81</v>
      </c>
      <c r="B4" s="35">
        <v>16221</v>
      </c>
      <c r="C4" s="35">
        <v>46.881502890173408</v>
      </c>
      <c r="D4" s="36" t="s">
        <v>80</v>
      </c>
    </row>
    <row r="5" spans="1:5" x14ac:dyDescent="0.3">
      <c r="A5" s="11" t="s">
        <v>82</v>
      </c>
      <c r="B5" s="35">
        <v>33814</v>
      </c>
      <c r="C5" s="35">
        <v>61.146473779385168</v>
      </c>
      <c r="D5" s="37" t="s">
        <v>84</v>
      </c>
    </row>
    <row r="6" spans="1:5" x14ac:dyDescent="0.3">
      <c r="A6" s="11" t="s">
        <v>83</v>
      </c>
      <c r="B6" s="35">
        <v>8269</v>
      </c>
      <c r="C6" s="35">
        <v>81.871287128712865</v>
      </c>
      <c r="D6" s="38" t="s">
        <v>85</v>
      </c>
    </row>
    <row r="10" spans="1:5" ht="15" thickBot="1" x14ac:dyDescent="0.35"/>
    <row r="11" spans="1:5" ht="15" thickBot="1" x14ac:dyDescent="0.35">
      <c r="A11" s="25" t="s">
        <v>56</v>
      </c>
      <c r="B11" s="25" t="s">
        <v>69</v>
      </c>
      <c r="C11" s="26"/>
      <c r="D11" s="27"/>
      <c r="E11" s="28"/>
    </row>
    <row r="12" spans="1:5" ht="15" thickBot="1" x14ac:dyDescent="0.35">
      <c r="A12" s="25" t="s">
        <v>49</v>
      </c>
      <c r="B12" s="43" t="s">
        <v>26</v>
      </c>
      <c r="C12" s="43" t="s">
        <v>27</v>
      </c>
      <c r="D12" s="43" t="s">
        <v>29</v>
      </c>
      <c r="E12" s="44" t="s">
        <v>28</v>
      </c>
    </row>
    <row r="13" spans="1:5" x14ac:dyDescent="0.3">
      <c r="A13" s="29" t="s">
        <v>81</v>
      </c>
      <c r="B13" s="45">
        <v>47.316455696202532</v>
      </c>
      <c r="C13" s="45">
        <v>47.88095238095238</v>
      </c>
      <c r="D13" s="45">
        <v>39.4</v>
      </c>
      <c r="E13" s="46"/>
    </row>
    <row r="14" spans="1:5" x14ac:dyDescent="0.3">
      <c r="A14" s="30" t="s">
        <v>82</v>
      </c>
      <c r="B14" s="35">
        <v>67.523659305993689</v>
      </c>
      <c r="C14" s="35">
        <v>59.344262295081968</v>
      </c>
      <c r="D14" s="35">
        <v>29.096153846153847</v>
      </c>
      <c r="E14" s="41">
        <v>36</v>
      </c>
    </row>
    <row r="15" spans="1:5" ht="15" thickBot="1" x14ac:dyDescent="0.35">
      <c r="A15" s="31" t="s">
        <v>83</v>
      </c>
      <c r="B15" s="40">
        <v>91.42307692307692</v>
      </c>
      <c r="C15" s="40">
        <v>76.761904761904759</v>
      </c>
      <c r="D15" s="40">
        <v>41.571428571428569</v>
      </c>
      <c r="E15" s="42"/>
    </row>
  </sheetData>
  <conditionalFormatting pivot="1" sqref="B13:E1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D253-5FC6-489B-8D48-2A41D6E0C867}">
  <dimension ref="A2:E14"/>
  <sheetViews>
    <sheetView workbookViewId="0">
      <selection activeCell="H9" sqref="H9"/>
    </sheetView>
  </sheetViews>
  <sheetFormatPr defaultRowHeight="14.4" x14ac:dyDescent="0.3"/>
  <cols>
    <col min="1" max="1" width="13.6640625" bestFit="1" customWidth="1"/>
    <col min="2" max="2" width="11" bestFit="1" customWidth="1"/>
    <col min="3" max="3" width="9.88671875" bestFit="1" customWidth="1"/>
    <col min="4" max="4" width="7.6640625" bestFit="1" customWidth="1"/>
    <col min="5" max="5" width="5.5546875" bestFit="1" customWidth="1"/>
    <col min="6" max="6" width="13.5546875" bestFit="1" customWidth="1"/>
    <col min="7" max="7" width="10.77734375" bestFit="1" customWidth="1"/>
    <col min="8" max="8" width="7.6640625" bestFit="1" customWidth="1"/>
    <col min="9" max="9" width="8.21875" bestFit="1" customWidth="1"/>
    <col min="10" max="10" width="5.5546875" bestFit="1" customWidth="1"/>
    <col min="11" max="11" width="13.5546875" bestFit="1" customWidth="1"/>
    <col min="12" max="12" width="10.77734375" bestFit="1" customWidth="1"/>
    <col min="13" max="13" width="7.6640625" bestFit="1" customWidth="1"/>
    <col min="14" max="14" width="8.21875" bestFit="1" customWidth="1"/>
    <col min="15" max="15" width="5.5546875" bestFit="1" customWidth="1"/>
    <col min="16" max="16" width="13.5546875" bestFit="1" customWidth="1"/>
    <col min="17" max="17" width="10.77734375" bestFit="1" customWidth="1"/>
  </cols>
  <sheetData>
    <row r="2" spans="1:5" ht="15" thickBot="1" x14ac:dyDescent="0.35"/>
    <row r="3" spans="1:5" ht="15" thickBot="1" x14ac:dyDescent="0.35">
      <c r="A3" s="25" t="s">
        <v>39</v>
      </c>
      <c r="B3" s="26" t="s">
        <v>55</v>
      </c>
      <c r="C3" s="28" t="s">
        <v>56</v>
      </c>
      <c r="D3" s="39" t="s">
        <v>97</v>
      </c>
    </row>
    <row r="4" spans="1:5" x14ac:dyDescent="0.3">
      <c r="A4" s="29" t="s">
        <v>94</v>
      </c>
      <c r="B4" s="56">
        <v>29736</v>
      </c>
      <c r="C4" s="22">
        <v>71.826086956521735</v>
      </c>
      <c r="D4" s="57" t="s">
        <v>80</v>
      </c>
    </row>
    <row r="5" spans="1:5" x14ac:dyDescent="0.3">
      <c r="A5" s="30" t="s">
        <v>95</v>
      </c>
      <c r="B5" s="130">
        <v>21986</v>
      </c>
      <c r="C5" s="17">
        <v>50.893518518518519</v>
      </c>
      <c r="D5" s="58" t="s">
        <v>84</v>
      </c>
    </row>
    <row r="6" spans="1:5" ht="15" thickBot="1" x14ac:dyDescent="0.35">
      <c r="A6" s="31" t="s">
        <v>96</v>
      </c>
      <c r="B6" s="131">
        <v>6582</v>
      </c>
      <c r="C6" s="19">
        <v>42.740259740259738</v>
      </c>
      <c r="D6" s="59" t="s">
        <v>85</v>
      </c>
    </row>
    <row r="7" spans="1:5" ht="15" thickBot="1" x14ac:dyDescent="0.35"/>
    <row r="8" spans="1:5" x14ac:dyDescent="0.3">
      <c r="A8" s="52" t="s">
        <v>25</v>
      </c>
      <c r="B8" s="53" t="s">
        <v>86</v>
      </c>
    </row>
    <row r="9" spans="1:5" ht="15" thickBot="1" x14ac:dyDescent="0.35"/>
    <row r="10" spans="1:5" ht="15" thickBot="1" x14ac:dyDescent="0.35">
      <c r="A10" s="52" t="s">
        <v>56</v>
      </c>
      <c r="B10" s="60" t="s">
        <v>57</v>
      </c>
      <c r="C10" s="56"/>
      <c r="D10" s="53"/>
      <c r="E10" s="54"/>
    </row>
    <row r="11" spans="1:5" ht="15" thickBot="1" x14ac:dyDescent="0.35">
      <c r="A11" s="25" t="s">
        <v>39</v>
      </c>
      <c r="B11" s="26" t="s">
        <v>52</v>
      </c>
      <c r="C11" s="27" t="s">
        <v>50</v>
      </c>
      <c r="D11" s="27" t="s">
        <v>51</v>
      </c>
      <c r="E11" s="28" t="s">
        <v>53</v>
      </c>
    </row>
    <row r="12" spans="1:5" x14ac:dyDescent="0.3">
      <c r="A12" s="29" t="s">
        <v>94</v>
      </c>
      <c r="B12" s="20">
        <v>68.204301075268816</v>
      </c>
      <c r="C12" s="21">
        <v>82.522935779816507</v>
      </c>
      <c r="D12" s="21">
        <v>112.60396039603961</v>
      </c>
      <c r="E12" s="22">
        <v>27.252252252252251</v>
      </c>
    </row>
    <row r="13" spans="1:5" x14ac:dyDescent="0.3">
      <c r="A13" s="30" t="s">
        <v>95</v>
      </c>
      <c r="B13" s="23">
        <v>56.478873239436616</v>
      </c>
      <c r="C13" s="15">
        <v>75.928571428571431</v>
      </c>
      <c r="D13" s="15">
        <v>113.88888888888889</v>
      </c>
      <c r="E13" s="17">
        <v>23.850515463917525</v>
      </c>
    </row>
    <row r="14" spans="1:5" ht="15" thickBot="1" x14ac:dyDescent="0.35">
      <c r="A14" s="31" t="s">
        <v>96</v>
      </c>
      <c r="B14" s="24">
        <v>48.578947368421055</v>
      </c>
      <c r="C14" s="18">
        <v>48.904761904761905</v>
      </c>
      <c r="D14" s="18">
        <v>79.89473684210526</v>
      </c>
      <c r="E14" s="19">
        <v>22.245614035087719</v>
      </c>
    </row>
  </sheetData>
  <conditionalFormatting pivot="1" sqref="B12:E1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81C3C-5CA9-42CA-9BBC-2E44018AA8B8}">
  <dimension ref="A1:E1001"/>
  <sheetViews>
    <sheetView workbookViewId="0">
      <selection activeCell="H21" sqref="H21"/>
    </sheetView>
  </sheetViews>
  <sheetFormatPr defaultRowHeight="14.4" x14ac:dyDescent="0.3"/>
  <cols>
    <col min="1" max="2" width="9.21875" bestFit="1" customWidth="1"/>
    <col min="3" max="3" width="13.21875" bestFit="1" customWidth="1"/>
    <col min="4" max="4" width="11" bestFit="1" customWidth="1"/>
    <col min="5" max="5" width="15.109375" bestFit="1" customWidth="1"/>
  </cols>
  <sheetData>
    <row r="1" spans="1:5" x14ac:dyDescent="0.3">
      <c r="A1" s="61" t="s">
        <v>17</v>
      </c>
      <c r="B1" s="61" t="s">
        <v>37</v>
      </c>
      <c r="C1" s="61" t="s">
        <v>39</v>
      </c>
      <c r="D1" s="61" t="s">
        <v>40</v>
      </c>
      <c r="E1" s="61" t="s">
        <v>43</v>
      </c>
    </row>
    <row r="2" spans="1:5" x14ac:dyDescent="0.3">
      <c r="A2" s="33">
        <v>1</v>
      </c>
      <c r="B2" s="33">
        <v>0.24</v>
      </c>
      <c r="C2" s="33">
        <v>0.81</v>
      </c>
      <c r="D2" s="33">
        <v>0</v>
      </c>
      <c r="E2" s="33">
        <v>16</v>
      </c>
    </row>
    <row r="3" spans="1:5" x14ac:dyDescent="0.3">
      <c r="A3" s="33">
        <v>2</v>
      </c>
      <c r="B3" s="33">
        <v>0.22</v>
      </c>
      <c r="C3" s="33">
        <v>0.8</v>
      </c>
      <c r="D3" s="33">
        <v>0</v>
      </c>
      <c r="E3" s="33">
        <v>40</v>
      </c>
    </row>
    <row r="4" spans="1:5" x14ac:dyDescent="0.3">
      <c r="A4" s="33">
        <v>3</v>
      </c>
      <c r="B4" s="33">
        <v>0.22</v>
      </c>
      <c r="C4" s="33">
        <v>0.8</v>
      </c>
      <c r="D4" s="33">
        <v>0</v>
      </c>
      <c r="E4" s="33">
        <v>32</v>
      </c>
    </row>
    <row r="5" spans="1:5" x14ac:dyDescent="0.3">
      <c r="A5" s="33">
        <v>4</v>
      </c>
      <c r="B5" s="33">
        <v>0.24</v>
      </c>
      <c r="C5" s="33">
        <v>0.75</v>
      </c>
      <c r="D5" s="33">
        <v>0</v>
      </c>
      <c r="E5" s="33">
        <v>13</v>
      </c>
    </row>
    <row r="6" spans="1:5" x14ac:dyDescent="0.3">
      <c r="A6" s="33">
        <v>5</v>
      </c>
      <c r="B6" s="33">
        <v>0.24</v>
      </c>
      <c r="C6" s="33">
        <v>0.75</v>
      </c>
      <c r="D6" s="33">
        <v>0</v>
      </c>
      <c r="E6" s="33">
        <v>1</v>
      </c>
    </row>
    <row r="7" spans="1:5" x14ac:dyDescent="0.3">
      <c r="A7" s="33">
        <v>6</v>
      </c>
      <c r="B7" s="33">
        <v>0.24</v>
      </c>
      <c r="C7" s="33">
        <v>0.75</v>
      </c>
      <c r="D7" s="33">
        <v>8.9599999999999999E-2</v>
      </c>
      <c r="E7" s="33">
        <v>1</v>
      </c>
    </row>
    <row r="8" spans="1:5" x14ac:dyDescent="0.3">
      <c r="A8" s="33">
        <v>7</v>
      </c>
      <c r="B8" s="33">
        <v>0.22</v>
      </c>
      <c r="C8" s="33">
        <v>0.8</v>
      </c>
      <c r="D8" s="33">
        <v>0</v>
      </c>
      <c r="E8" s="33">
        <v>2</v>
      </c>
    </row>
    <row r="9" spans="1:5" x14ac:dyDescent="0.3">
      <c r="A9" s="33">
        <v>8</v>
      </c>
      <c r="B9" s="33">
        <v>0.2</v>
      </c>
      <c r="C9" s="33">
        <v>0.86</v>
      </c>
      <c r="D9" s="33">
        <v>0</v>
      </c>
      <c r="E9" s="33">
        <v>3</v>
      </c>
    </row>
    <row r="10" spans="1:5" x14ac:dyDescent="0.3">
      <c r="A10" s="33">
        <v>9</v>
      </c>
      <c r="B10" s="33">
        <v>0.24</v>
      </c>
      <c r="C10" s="33">
        <v>0.75</v>
      </c>
      <c r="D10" s="33">
        <v>0</v>
      </c>
      <c r="E10" s="33">
        <v>8</v>
      </c>
    </row>
    <row r="11" spans="1:5" x14ac:dyDescent="0.3">
      <c r="A11" s="33">
        <v>10</v>
      </c>
      <c r="B11" s="33">
        <v>0.32</v>
      </c>
      <c r="C11" s="33">
        <v>0.76</v>
      </c>
      <c r="D11" s="33">
        <v>0</v>
      </c>
      <c r="E11" s="33">
        <v>14</v>
      </c>
    </row>
    <row r="12" spans="1:5" x14ac:dyDescent="0.3">
      <c r="A12" s="33">
        <v>11</v>
      </c>
      <c r="B12" s="33">
        <v>0.38</v>
      </c>
      <c r="C12" s="33">
        <v>0.76</v>
      </c>
      <c r="D12" s="33">
        <v>0.25369999999999998</v>
      </c>
      <c r="E12" s="33">
        <v>36</v>
      </c>
    </row>
    <row r="13" spans="1:5" x14ac:dyDescent="0.3">
      <c r="A13" s="33">
        <v>12</v>
      </c>
      <c r="B13" s="33">
        <v>0.36</v>
      </c>
      <c r="C13" s="33">
        <v>0.81</v>
      </c>
      <c r="D13" s="33">
        <v>0.28360000000000002</v>
      </c>
      <c r="E13" s="33">
        <v>56</v>
      </c>
    </row>
    <row r="14" spans="1:5" x14ac:dyDescent="0.3">
      <c r="A14" s="33">
        <v>13</v>
      </c>
      <c r="B14" s="33">
        <v>0.42</v>
      </c>
      <c r="C14" s="33">
        <v>0.77</v>
      </c>
      <c r="D14" s="33">
        <v>0.28360000000000002</v>
      </c>
      <c r="E14" s="33">
        <v>84</v>
      </c>
    </row>
    <row r="15" spans="1:5" x14ac:dyDescent="0.3">
      <c r="A15" s="33">
        <v>14</v>
      </c>
      <c r="B15" s="33">
        <v>0.46</v>
      </c>
      <c r="C15" s="33">
        <v>0.72</v>
      </c>
      <c r="D15" s="33">
        <v>0.29849999999999999</v>
      </c>
      <c r="E15" s="33">
        <v>94</v>
      </c>
    </row>
    <row r="16" spans="1:5" x14ac:dyDescent="0.3">
      <c r="A16" s="33">
        <v>15</v>
      </c>
      <c r="B16" s="33">
        <v>0.46</v>
      </c>
      <c r="C16" s="33">
        <v>0.72</v>
      </c>
      <c r="D16" s="33">
        <v>0.28360000000000002</v>
      </c>
      <c r="E16" s="33">
        <v>106</v>
      </c>
    </row>
    <row r="17" spans="1:5" x14ac:dyDescent="0.3">
      <c r="A17" s="33">
        <v>16</v>
      </c>
      <c r="B17" s="33">
        <v>0.44</v>
      </c>
      <c r="C17" s="33">
        <v>0.77</v>
      </c>
      <c r="D17" s="33">
        <v>0.29849999999999999</v>
      </c>
      <c r="E17" s="33">
        <v>110</v>
      </c>
    </row>
    <row r="18" spans="1:5" x14ac:dyDescent="0.3">
      <c r="A18" s="33">
        <v>17</v>
      </c>
      <c r="B18" s="33">
        <v>0.42</v>
      </c>
      <c r="C18" s="33">
        <v>0.82</v>
      </c>
      <c r="D18" s="33">
        <v>0.29849999999999999</v>
      </c>
      <c r="E18" s="33">
        <v>93</v>
      </c>
    </row>
    <row r="19" spans="1:5" x14ac:dyDescent="0.3">
      <c r="A19" s="33">
        <v>18</v>
      </c>
      <c r="B19" s="33">
        <v>0.44</v>
      </c>
      <c r="C19" s="33">
        <v>0.82</v>
      </c>
      <c r="D19" s="33">
        <v>0.28360000000000002</v>
      </c>
      <c r="E19" s="33">
        <v>67</v>
      </c>
    </row>
    <row r="20" spans="1:5" x14ac:dyDescent="0.3">
      <c r="A20" s="33">
        <v>19</v>
      </c>
      <c r="B20" s="33">
        <v>0.42</v>
      </c>
      <c r="C20" s="33">
        <v>0.88</v>
      </c>
      <c r="D20" s="33">
        <v>0.25369999999999998</v>
      </c>
      <c r="E20" s="33">
        <v>35</v>
      </c>
    </row>
    <row r="21" spans="1:5" x14ac:dyDescent="0.3">
      <c r="A21" s="33">
        <v>20</v>
      </c>
      <c r="B21" s="33">
        <v>0.42</v>
      </c>
      <c r="C21" s="33">
        <v>0.88</v>
      </c>
      <c r="D21" s="33">
        <v>0.25369999999999998</v>
      </c>
      <c r="E21" s="33">
        <v>37</v>
      </c>
    </row>
    <row r="22" spans="1:5" x14ac:dyDescent="0.3">
      <c r="A22" s="33">
        <v>21</v>
      </c>
      <c r="B22" s="33">
        <v>0.4</v>
      </c>
      <c r="C22" s="33">
        <v>0.87</v>
      </c>
      <c r="D22" s="33">
        <v>0.25369999999999998</v>
      </c>
      <c r="E22" s="33">
        <v>36</v>
      </c>
    </row>
    <row r="23" spans="1:5" x14ac:dyDescent="0.3">
      <c r="A23" s="33">
        <v>22</v>
      </c>
      <c r="B23" s="33">
        <v>0.4</v>
      </c>
      <c r="C23" s="33">
        <v>0.87</v>
      </c>
      <c r="D23" s="33">
        <v>0.19400000000000001</v>
      </c>
      <c r="E23" s="33">
        <v>34</v>
      </c>
    </row>
    <row r="24" spans="1:5" x14ac:dyDescent="0.3">
      <c r="A24" s="33">
        <v>23</v>
      </c>
      <c r="B24" s="33">
        <v>0.4</v>
      </c>
      <c r="C24" s="33">
        <v>0.94</v>
      </c>
      <c r="D24" s="33">
        <v>0.22389999999999999</v>
      </c>
      <c r="E24" s="33">
        <v>28</v>
      </c>
    </row>
    <row r="25" spans="1:5" x14ac:dyDescent="0.3">
      <c r="A25" s="33">
        <v>24</v>
      </c>
      <c r="B25" s="33">
        <v>0.46</v>
      </c>
      <c r="C25" s="33">
        <v>0.88</v>
      </c>
      <c r="D25" s="33">
        <v>0.29849999999999999</v>
      </c>
      <c r="E25" s="33">
        <v>39</v>
      </c>
    </row>
    <row r="26" spans="1:5" x14ac:dyDescent="0.3">
      <c r="A26" s="33">
        <v>25</v>
      </c>
      <c r="B26" s="33">
        <v>0.46</v>
      </c>
      <c r="C26" s="33">
        <v>0.88</v>
      </c>
      <c r="D26" s="33">
        <v>0.29849999999999999</v>
      </c>
      <c r="E26" s="33">
        <v>17</v>
      </c>
    </row>
    <row r="27" spans="1:5" x14ac:dyDescent="0.3">
      <c r="A27" s="33">
        <v>26</v>
      </c>
      <c r="B27" s="33">
        <v>0.44</v>
      </c>
      <c r="C27" s="33">
        <v>0.94</v>
      </c>
      <c r="D27" s="33">
        <v>0.25369999999999998</v>
      </c>
      <c r="E27" s="33">
        <v>17</v>
      </c>
    </row>
    <row r="28" spans="1:5" x14ac:dyDescent="0.3">
      <c r="A28" s="33">
        <v>27</v>
      </c>
      <c r="B28" s="33">
        <v>0.42</v>
      </c>
      <c r="C28" s="33">
        <v>1</v>
      </c>
      <c r="D28" s="33">
        <v>0.28360000000000002</v>
      </c>
      <c r="E28" s="33">
        <v>9</v>
      </c>
    </row>
    <row r="29" spans="1:5" x14ac:dyDescent="0.3">
      <c r="A29" s="33">
        <v>28</v>
      </c>
      <c r="B29" s="33">
        <v>0.46</v>
      </c>
      <c r="C29" s="33">
        <v>0.94</v>
      </c>
      <c r="D29" s="33">
        <v>0.19400000000000001</v>
      </c>
      <c r="E29" s="33">
        <v>6</v>
      </c>
    </row>
    <row r="30" spans="1:5" x14ac:dyDescent="0.3">
      <c r="A30" s="33">
        <v>29</v>
      </c>
      <c r="B30" s="33">
        <v>0.46</v>
      </c>
      <c r="C30" s="33">
        <v>0.94</v>
      </c>
      <c r="D30" s="33">
        <v>0.19400000000000001</v>
      </c>
      <c r="E30" s="33">
        <v>3</v>
      </c>
    </row>
    <row r="31" spans="1:5" x14ac:dyDescent="0.3">
      <c r="A31" s="33">
        <v>30</v>
      </c>
      <c r="B31" s="33">
        <v>0.42</v>
      </c>
      <c r="C31" s="33">
        <v>0.77</v>
      </c>
      <c r="D31" s="33">
        <v>0.29849999999999999</v>
      </c>
      <c r="E31" s="33">
        <v>2</v>
      </c>
    </row>
    <row r="32" spans="1:5" x14ac:dyDescent="0.3">
      <c r="A32" s="33">
        <v>31</v>
      </c>
      <c r="B32" s="33">
        <v>0.4</v>
      </c>
      <c r="C32" s="33">
        <v>0.76</v>
      </c>
      <c r="D32" s="33">
        <v>0.19400000000000001</v>
      </c>
      <c r="E32" s="33">
        <v>1</v>
      </c>
    </row>
    <row r="33" spans="1:5" x14ac:dyDescent="0.3">
      <c r="A33" s="33">
        <v>32</v>
      </c>
      <c r="B33" s="33">
        <v>0.4</v>
      </c>
      <c r="C33" s="33">
        <v>0.71</v>
      </c>
      <c r="D33" s="33">
        <v>0.22389999999999999</v>
      </c>
      <c r="E33" s="33">
        <v>8</v>
      </c>
    </row>
    <row r="34" spans="1:5" x14ac:dyDescent="0.3">
      <c r="A34" s="33">
        <v>33</v>
      </c>
      <c r="B34" s="33">
        <v>0.38</v>
      </c>
      <c r="C34" s="33">
        <v>0.76</v>
      </c>
      <c r="D34" s="33">
        <v>0.22389999999999999</v>
      </c>
      <c r="E34" s="33">
        <v>20</v>
      </c>
    </row>
    <row r="35" spans="1:5" x14ac:dyDescent="0.3">
      <c r="A35" s="33">
        <v>34</v>
      </c>
      <c r="B35" s="33">
        <v>0.36</v>
      </c>
      <c r="C35" s="33">
        <v>0.81</v>
      </c>
      <c r="D35" s="33">
        <v>0.22389999999999999</v>
      </c>
      <c r="E35" s="33">
        <v>53</v>
      </c>
    </row>
    <row r="36" spans="1:5" x14ac:dyDescent="0.3">
      <c r="A36" s="33">
        <v>35</v>
      </c>
      <c r="B36" s="33">
        <v>0.36</v>
      </c>
      <c r="C36" s="33">
        <v>0.71</v>
      </c>
      <c r="D36" s="33">
        <v>0.25369999999999998</v>
      </c>
      <c r="E36" s="33">
        <v>70</v>
      </c>
    </row>
    <row r="37" spans="1:5" x14ac:dyDescent="0.3">
      <c r="A37" s="33">
        <v>36</v>
      </c>
      <c r="B37" s="33">
        <v>0.36</v>
      </c>
      <c r="C37" s="33">
        <v>0.66</v>
      </c>
      <c r="D37" s="33">
        <v>0.29849999999999999</v>
      </c>
      <c r="E37" s="33">
        <v>93</v>
      </c>
    </row>
    <row r="38" spans="1:5" x14ac:dyDescent="0.3">
      <c r="A38" s="33">
        <v>37</v>
      </c>
      <c r="B38" s="33">
        <v>0.36</v>
      </c>
      <c r="C38" s="33">
        <v>0.66</v>
      </c>
      <c r="D38" s="33">
        <v>0.1343</v>
      </c>
      <c r="E38" s="33">
        <v>75</v>
      </c>
    </row>
    <row r="39" spans="1:5" x14ac:dyDescent="0.3">
      <c r="A39" s="33">
        <v>38</v>
      </c>
      <c r="B39" s="33">
        <v>0.36</v>
      </c>
      <c r="C39" s="33">
        <v>0.76</v>
      </c>
      <c r="D39" s="33">
        <v>0.19400000000000001</v>
      </c>
      <c r="E39" s="33">
        <v>59</v>
      </c>
    </row>
    <row r="40" spans="1:5" x14ac:dyDescent="0.3">
      <c r="A40" s="33">
        <v>39</v>
      </c>
      <c r="B40" s="33">
        <v>0.34</v>
      </c>
      <c r="C40" s="33">
        <v>0.81</v>
      </c>
      <c r="D40" s="33">
        <v>0.16420000000000001</v>
      </c>
      <c r="E40" s="33">
        <v>74</v>
      </c>
    </row>
    <row r="41" spans="1:5" x14ac:dyDescent="0.3">
      <c r="A41" s="33">
        <v>40</v>
      </c>
      <c r="B41" s="33">
        <v>0.34</v>
      </c>
      <c r="C41" s="33">
        <v>0.71</v>
      </c>
      <c r="D41" s="33">
        <v>0.16420000000000001</v>
      </c>
      <c r="E41" s="33">
        <v>76</v>
      </c>
    </row>
    <row r="42" spans="1:5" x14ac:dyDescent="0.3">
      <c r="A42" s="33">
        <v>41</v>
      </c>
      <c r="B42" s="33">
        <v>0.34</v>
      </c>
      <c r="C42" s="33">
        <v>0.56999999999999995</v>
      </c>
      <c r="D42" s="33">
        <v>0.19400000000000001</v>
      </c>
      <c r="E42" s="33">
        <v>65</v>
      </c>
    </row>
    <row r="43" spans="1:5" x14ac:dyDescent="0.3">
      <c r="A43" s="33">
        <v>42</v>
      </c>
      <c r="B43" s="33">
        <v>0.36</v>
      </c>
      <c r="C43" s="33">
        <v>0.46</v>
      </c>
      <c r="D43" s="33">
        <v>0.32840000000000003</v>
      </c>
      <c r="E43" s="33">
        <v>53</v>
      </c>
    </row>
    <row r="44" spans="1:5" x14ac:dyDescent="0.3">
      <c r="A44" s="33">
        <v>43</v>
      </c>
      <c r="B44" s="33">
        <v>0.32</v>
      </c>
      <c r="C44" s="33">
        <v>0.42</v>
      </c>
      <c r="D44" s="33">
        <v>0.44779999999999998</v>
      </c>
      <c r="E44" s="33">
        <v>30</v>
      </c>
    </row>
    <row r="45" spans="1:5" x14ac:dyDescent="0.3">
      <c r="A45" s="33">
        <v>44</v>
      </c>
      <c r="B45" s="33">
        <v>0.3</v>
      </c>
      <c r="C45" s="33">
        <v>0.39</v>
      </c>
      <c r="D45" s="33">
        <v>0.35820000000000002</v>
      </c>
      <c r="E45" s="33">
        <v>22</v>
      </c>
    </row>
    <row r="46" spans="1:5" x14ac:dyDescent="0.3">
      <c r="A46" s="33">
        <v>45</v>
      </c>
      <c r="B46" s="33">
        <v>0.26</v>
      </c>
      <c r="C46" s="33">
        <v>0.44</v>
      </c>
      <c r="D46" s="33">
        <v>0.32840000000000003</v>
      </c>
      <c r="E46" s="33">
        <v>31</v>
      </c>
    </row>
    <row r="47" spans="1:5" x14ac:dyDescent="0.3">
      <c r="A47" s="33">
        <v>46</v>
      </c>
      <c r="B47" s="33">
        <v>0.24</v>
      </c>
      <c r="C47" s="33">
        <v>0.44</v>
      </c>
      <c r="D47" s="33">
        <v>0.29849999999999999</v>
      </c>
      <c r="E47" s="33">
        <v>9</v>
      </c>
    </row>
    <row r="48" spans="1:5" x14ac:dyDescent="0.3">
      <c r="A48" s="33">
        <v>47</v>
      </c>
      <c r="B48" s="33">
        <v>0.22</v>
      </c>
      <c r="C48" s="33">
        <v>0.47</v>
      </c>
      <c r="D48" s="33">
        <v>0.16420000000000001</v>
      </c>
      <c r="E48" s="33">
        <v>8</v>
      </c>
    </row>
    <row r="49" spans="1:5" x14ac:dyDescent="0.3">
      <c r="A49" s="33">
        <v>48</v>
      </c>
      <c r="B49" s="33">
        <v>0.22</v>
      </c>
      <c r="C49" s="33">
        <v>0.44</v>
      </c>
      <c r="D49" s="33">
        <v>0.35820000000000002</v>
      </c>
      <c r="E49" s="33">
        <v>5</v>
      </c>
    </row>
    <row r="50" spans="1:5" x14ac:dyDescent="0.3">
      <c r="A50" s="33">
        <v>49</v>
      </c>
      <c r="B50" s="33">
        <v>0.2</v>
      </c>
      <c r="C50" s="33">
        <v>0.44</v>
      </c>
      <c r="D50" s="33">
        <v>0.41789999999999999</v>
      </c>
      <c r="E50" s="33">
        <v>2</v>
      </c>
    </row>
    <row r="51" spans="1:5" x14ac:dyDescent="0.3">
      <c r="A51" s="33">
        <v>50</v>
      </c>
      <c r="B51" s="33">
        <v>0.16</v>
      </c>
      <c r="C51" s="33">
        <v>0.47</v>
      </c>
      <c r="D51" s="33">
        <v>0.3881</v>
      </c>
      <c r="E51" s="33">
        <v>1</v>
      </c>
    </row>
    <row r="52" spans="1:5" x14ac:dyDescent="0.3">
      <c r="A52" s="33">
        <v>51</v>
      </c>
      <c r="B52" s="33">
        <v>0.16</v>
      </c>
      <c r="C52" s="33">
        <v>0.47</v>
      </c>
      <c r="D52" s="33">
        <v>0.28360000000000002</v>
      </c>
      <c r="E52" s="33">
        <v>3</v>
      </c>
    </row>
    <row r="53" spans="1:5" x14ac:dyDescent="0.3">
      <c r="A53" s="33">
        <v>52</v>
      </c>
      <c r="B53" s="33">
        <v>0.14000000000000001</v>
      </c>
      <c r="C53" s="33">
        <v>0.5</v>
      </c>
      <c r="D53" s="33">
        <v>0.3881</v>
      </c>
      <c r="E53" s="33">
        <v>30</v>
      </c>
    </row>
    <row r="54" spans="1:5" x14ac:dyDescent="0.3">
      <c r="A54" s="33">
        <v>53</v>
      </c>
      <c r="B54" s="33">
        <v>0.14000000000000001</v>
      </c>
      <c r="C54" s="33">
        <v>0.5</v>
      </c>
      <c r="D54" s="33">
        <v>0.19400000000000001</v>
      </c>
      <c r="E54" s="33">
        <v>64</v>
      </c>
    </row>
    <row r="55" spans="1:5" x14ac:dyDescent="0.3">
      <c r="A55" s="33">
        <v>54</v>
      </c>
      <c r="B55" s="33">
        <v>0.14000000000000001</v>
      </c>
      <c r="C55" s="33">
        <v>0.5</v>
      </c>
      <c r="D55" s="33">
        <v>0.28360000000000002</v>
      </c>
      <c r="E55" s="33">
        <v>154</v>
      </c>
    </row>
    <row r="56" spans="1:5" x14ac:dyDescent="0.3">
      <c r="A56" s="33">
        <v>55</v>
      </c>
      <c r="B56" s="33">
        <v>0.16</v>
      </c>
      <c r="C56" s="33">
        <v>0.43</v>
      </c>
      <c r="D56" s="33">
        <v>0.3881</v>
      </c>
      <c r="E56" s="33">
        <v>88</v>
      </c>
    </row>
    <row r="57" spans="1:5" x14ac:dyDescent="0.3">
      <c r="A57" s="33">
        <v>56</v>
      </c>
      <c r="B57" s="33">
        <v>0.18</v>
      </c>
      <c r="C57" s="33">
        <v>0.43</v>
      </c>
      <c r="D57" s="33">
        <v>0.25369999999999998</v>
      </c>
      <c r="E57" s="33">
        <v>44</v>
      </c>
    </row>
    <row r="58" spans="1:5" x14ac:dyDescent="0.3">
      <c r="A58" s="33">
        <v>57</v>
      </c>
      <c r="B58" s="33">
        <v>0.2</v>
      </c>
      <c r="C58" s="33">
        <v>0.4</v>
      </c>
      <c r="D58" s="33">
        <v>0.32840000000000003</v>
      </c>
      <c r="E58" s="33">
        <v>51</v>
      </c>
    </row>
    <row r="59" spans="1:5" x14ac:dyDescent="0.3">
      <c r="A59" s="33">
        <v>58</v>
      </c>
      <c r="B59" s="33">
        <v>0.22</v>
      </c>
      <c r="C59" s="33">
        <v>0.35</v>
      </c>
      <c r="D59" s="33">
        <v>0.29849999999999999</v>
      </c>
      <c r="E59" s="33">
        <v>61</v>
      </c>
    </row>
    <row r="60" spans="1:5" x14ac:dyDescent="0.3">
      <c r="A60" s="33">
        <v>59</v>
      </c>
      <c r="B60" s="33">
        <v>0.24</v>
      </c>
      <c r="C60" s="33">
        <v>0.35</v>
      </c>
      <c r="D60" s="33">
        <v>0.28360000000000002</v>
      </c>
      <c r="E60" s="33">
        <v>61</v>
      </c>
    </row>
    <row r="61" spans="1:5" x14ac:dyDescent="0.3">
      <c r="A61" s="33">
        <v>60</v>
      </c>
      <c r="B61" s="33">
        <v>0.26</v>
      </c>
      <c r="C61" s="33">
        <v>0.3</v>
      </c>
      <c r="D61" s="33">
        <v>0.28360000000000002</v>
      </c>
      <c r="E61" s="33">
        <v>77</v>
      </c>
    </row>
    <row r="62" spans="1:5" x14ac:dyDescent="0.3">
      <c r="A62" s="33">
        <v>61</v>
      </c>
      <c r="B62" s="33">
        <v>0.26</v>
      </c>
      <c r="C62" s="33">
        <v>0.3</v>
      </c>
      <c r="D62" s="33">
        <v>0.25369999999999998</v>
      </c>
      <c r="E62" s="33">
        <v>72</v>
      </c>
    </row>
    <row r="63" spans="1:5" x14ac:dyDescent="0.3">
      <c r="A63" s="33">
        <v>62</v>
      </c>
      <c r="B63" s="33">
        <v>0.26</v>
      </c>
      <c r="C63" s="33">
        <v>0.3</v>
      </c>
      <c r="D63" s="33">
        <v>0.25369999999999998</v>
      </c>
      <c r="E63" s="33">
        <v>76</v>
      </c>
    </row>
    <row r="64" spans="1:5" x14ac:dyDescent="0.3">
      <c r="A64" s="33">
        <v>63</v>
      </c>
      <c r="B64" s="33">
        <v>0.24</v>
      </c>
      <c r="C64" s="33">
        <v>0.3</v>
      </c>
      <c r="D64" s="33">
        <v>0.22389999999999999</v>
      </c>
      <c r="E64" s="33">
        <v>157</v>
      </c>
    </row>
    <row r="65" spans="1:5" x14ac:dyDescent="0.3">
      <c r="A65" s="33">
        <v>64</v>
      </c>
      <c r="B65" s="33">
        <v>0.24</v>
      </c>
      <c r="C65" s="33">
        <v>0.32</v>
      </c>
      <c r="D65" s="33">
        <v>0.1045</v>
      </c>
      <c r="E65" s="33">
        <v>157</v>
      </c>
    </row>
    <row r="66" spans="1:5" x14ac:dyDescent="0.3">
      <c r="A66" s="33">
        <v>65</v>
      </c>
      <c r="B66" s="33">
        <v>0.2</v>
      </c>
      <c r="C66" s="33">
        <v>0.47</v>
      </c>
      <c r="D66" s="33">
        <v>0</v>
      </c>
      <c r="E66" s="33">
        <v>110</v>
      </c>
    </row>
    <row r="67" spans="1:5" x14ac:dyDescent="0.3">
      <c r="A67" s="33">
        <v>66</v>
      </c>
      <c r="B67" s="33">
        <v>0.2</v>
      </c>
      <c r="C67" s="33">
        <v>0.47</v>
      </c>
      <c r="D67" s="33">
        <v>0.1045</v>
      </c>
      <c r="E67" s="33">
        <v>52</v>
      </c>
    </row>
    <row r="68" spans="1:5" x14ac:dyDescent="0.3">
      <c r="A68" s="33">
        <v>67</v>
      </c>
      <c r="B68" s="33">
        <v>0.18</v>
      </c>
      <c r="C68" s="33">
        <v>0.64</v>
      </c>
      <c r="D68" s="33">
        <v>0.1343</v>
      </c>
      <c r="E68" s="33">
        <v>52</v>
      </c>
    </row>
    <row r="69" spans="1:5" x14ac:dyDescent="0.3">
      <c r="A69" s="33">
        <v>68</v>
      </c>
      <c r="B69" s="33">
        <v>0.14000000000000001</v>
      </c>
      <c r="C69" s="33">
        <v>0.69</v>
      </c>
      <c r="D69" s="33">
        <v>0.1343</v>
      </c>
      <c r="E69" s="33">
        <v>20</v>
      </c>
    </row>
    <row r="70" spans="1:5" x14ac:dyDescent="0.3">
      <c r="A70" s="33">
        <v>69</v>
      </c>
      <c r="B70" s="33">
        <v>0.18</v>
      </c>
      <c r="C70" s="33">
        <v>0.55000000000000004</v>
      </c>
      <c r="D70" s="33">
        <v>0.1045</v>
      </c>
      <c r="E70" s="33">
        <v>12</v>
      </c>
    </row>
    <row r="71" spans="1:5" x14ac:dyDescent="0.3">
      <c r="A71" s="33">
        <v>70</v>
      </c>
      <c r="B71" s="33">
        <v>0.16</v>
      </c>
      <c r="C71" s="33">
        <v>0.55000000000000004</v>
      </c>
      <c r="D71" s="33">
        <v>0.1045</v>
      </c>
      <c r="E71" s="33">
        <v>5</v>
      </c>
    </row>
    <row r="72" spans="1:5" x14ac:dyDescent="0.3">
      <c r="A72" s="33">
        <v>71</v>
      </c>
      <c r="B72" s="33">
        <v>0.16</v>
      </c>
      <c r="C72" s="33">
        <v>0.59</v>
      </c>
      <c r="D72" s="33">
        <v>0.1045</v>
      </c>
      <c r="E72" s="33">
        <v>2</v>
      </c>
    </row>
    <row r="73" spans="1:5" x14ac:dyDescent="0.3">
      <c r="A73" s="33">
        <v>72</v>
      </c>
      <c r="B73" s="33">
        <v>0.14000000000000001</v>
      </c>
      <c r="C73" s="33">
        <v>0.63</v>
      </c>
      <c r="D73" s="33">
        <v>0.1343</v>
      </c>
      <c r="E73" s="33">
        <v>1</v>
      </c>
    </row>
    <row r="74" spans="1:5" x14ac:dyDescent="0.3">
      <c r="A74" s="33">
        <v>73</v>
      </c>
      <c r="B74" s="33">
        <v>0.14000000000000001</v>
      </c>
      <c r="C74" s="33">
        <v>0.63</v>
      </c>
      <c r="D74" s="33">
        <v>8.9599999999999999E-2</v>
      </c>
      <c r="E74" s="33">
        <v>2</v>
      </c>
    </row>
    <row r="75" spans="1:5" x14ac:dyDescent="0.3">
      <c r="A75" s="33">
        <v>74</v>
      </c>
      <c r="B75" s="33">
        <v>0.12</v>
      </c>
      <c r="C75" s="33">
        <v>0.68</v>
      </c>
      <c r="D75" s="33">
        <v>0.1045</v>
      </c>
      <c r="E75" s="33">
        <v>4</v>
      </c>
    </row>
    <row r="76" spans="1:5" x14ac:dyDescent="0.3">
      <c r="A76" s="33">
        <v>75</v>
      </c>
      <c r="B76" s="33">
        <v>0.12</v>
      </c>
      <c r="C76" s="33">
        <v>0.74</v>
      </c>
      <c r="D76" s="33">
        <v>0.1045</v>
      </c>
      <c r="E76" s="33">
        <v>36</v>
      </c>
    </row>
    <row r="77" spans="1:5" x14ac:dyDescent="0.3">
      <c r="A77" s="33">
        <v>76</v>
      </c>
      <c r="B77" s="33">
        <v>0.12</v>
      </c>
      <c r="C77" s="33">
        <v>0.74</v>
      </c>
      <c r="D77" s="33">
        <v>0.1343</v>
      </c>
      <c r="E77" s="33">
        <v>94</v>
      </c>
    </row>
    <row r="78" spans="1:5" x14ac:dyDescent="0.3">
      <c r="A78" s="33">
        <v>77</v>
      </c>
      <c r="B78" s="33">
        <v>0.14000000000000001</v>
      </c>
      <c r="C78" s="33">
        <v>0.69</v>
      </c>
      <c r="D78" s="33">
        <v>0.16420000000000001</v>
      </c>
      <c r="E78" s="33">
        <v>179</v>
      </c>
    </row>
    <row r="79" spans="1:5" x14ac:dyDescent="0.3">
      <c r="A79" s="33">
        <v>78</v>
      </c>
      <c r="B79" s="33">
        <v>0.16</v>
      </c>
      <c r="C79" s="33">
        <v>0.64</v>
      </c>
      <c r="D79" s="33">
        <v>0.22389999999999999</v>
      </c>
      <c r="E79" s="33">
        <v>100</v>
      </c>
    </row>
    <row r="80" spans="1:5" x14ac:dyDescent="0.3">
      <c r="A80" s="33">
        <v>79</v>
      </c>
      <c r="B80" s="33">
        <v>0.16</v>
      </c>
      <c r="C80" s="33">
        <v>0.69</v>
      </c>
      <c r="D80" s="33">
        <v>0.32840000000000003</v>
      </c>
      <c r="E80" s="33">
        <v>42</v>
      </c>
    </row>
    <row r="81" spans="1:5" x14ac:dyDescent="0.3">
      <c r="A81" s="33">
        <v>80</v>
      </c>
      <c r="B81" s="33">
        <v>0.22</v>
      </c>
      <c r="C81" s="33">
        <v>0.51</v>
      </c>
      <c r="D81" s="33">
        <v>0.29849999999999999</v>
      </c>
      <c r="E81" s="33">
        <v>57</v>
      </c>
    </row>
    <row r="82" spans="1:5" x14ac:dyDescent="0.3">
      <c r="A82" s="33">
        <v>81</v>
      </c>
      <c r="B82" s="33">
        <v>0.22</v>
      </c>
      <c r="C82" s="33">
        <v>0.51</v>
      </c>
      <c r="D82" s="33">
        <v>0.16420000000000001</v>
      </c>
      <c r="E82" s="33">
        <v>78</v>
      </c>
    </row>
    <row r="83" spans="1:5" x14ac:dyDescent="0.3">
      <c r="A83" s="33">
        <v>82</v>
      </c>
      <c r="B83" s="33">
        <v>0.24</v>
      </c>
      <c r="C83" s="33">
        <v>0.56000000000000005</v>
      </c>
      <c r="D83" s="33">
        <v>0.19400000000000001</v>
      </c>
      <c r="E83" s="33">
        <v>97</v>
      </c>
    </row>
    <row r="84" spans="1:5" x14ac:dyDescent="0.3">
      <c r="A84" s="33">
        <v>83</v>
      </c>
      <c r="B84" s="33">
        <v>0.26</v>
      </c>
      <c r="C84" s="33">
        <v>0.52</v>
      </c>
      <c r="D84" s="33">
        <v>0.22389999999999999</v>
      </c>
      <c r="E84" s="33">
        <v>63</v>
      </c>
    </row>
    <row r="85" spans="1:5" x14ac:dyDescent="0.3">
      <c r="A85" s="33">
        <v>84</v>
      </c>
      <c r="B85" s="33">
        <v>0.28000000000000003</v>
      </c>
      <c r="C85" s="33">
        <v>0.52</v>
      </c>
      <c r="D85" s="33">
        <v>0.25369999999999998</v>
      </c>
      <c r="E85" s="33">
        <v>65</v>
      </c>
    </row>
    <row r="86" spans="1:5" x14ac:dyDescent="0.3">
      <c r="A86" s="33">
        <v>85</v>
      </c>
      <c r="B86" s="33">
        <v>0.3</v>
      </c>
      <c r="C86" s="33">
        <v>0.49</v>
      </c>
      <c r="D86" s="33">
        <v>0.25369999999999998</v>
      </c>
      <c r="E86" s="33">
        <v>83</v>
      </c>
    </row>
    <row r="87" spans="1:5" x14ac:dyDescent="0.3">
      <c r="A87" s="33">
        <v>86</v>
      </c>
      <c r="B87" s="33">
        <v>0.28000000000000003</v>
      </c>
      <c r="C87" s="33">
        <v>0.48</v>
      </c>
      <c r="D87" s="33">
        <v>0.22389999999999999</v>
      </c>
      <c r="E87" s="33">
        <v>212</v>
      </c>
    </row>
    <row r="88" spans="1:5" x14ac:dyDescent="0.3">
      <c r="A88" s="33">
        <v>87</v>
      </c>
      <c r="B88" s="33">
        <v>0.26</v>
      </c>
      <c r="C88" s="33">
        <v>0.48</v>
      </c>
      <c r="D88" s="33">
        <v>0.19400000000000001</v>
      </c>
      <c r="E88" s="33">
        <v>182</v>
      </c>
    </row>
    <row r="89" spans="1:5" x14ac:dyDescent="0.3">
      <c r="A89" s="33">
        <v>88</v>
      </c>
      <c r="B89" s="33">
        <v>0.24</v>
      </c>
      <c r="C89" s="33">
        <v>0.48</v>
      </c>
      <c r="D89" s="33">
        <v>0.1045</v>
      </c>
      <c r="E89" s="33">
        <v>112</v>
      </c>
    </row>
    <row r="90" spans="1:5" x14ac:dyDescent="0.3">
      <c r="A90" s="33">
        <v>89</v>
      </c>
      <c r="B90" s="33">
        <v>0.24</v>
      </c>
      <c r="C90" s="33">
        <v>0.48</v>
      </c>
      <c r="D90" s="33">
        <v>0.1045</v>
      </c>
      <c r="E90" s="33">
        <v>54</v>
      </c>
    </row>
    <row r="91" spans="1:5" x14ac:dyDescent="0.3">
      <c r="A91" s="33">
        <v>90</v>
      </c>
      <c r="B91" s="33">
        <v>0.22</v>
      </c>
      <c r="C91" s="33">
        <v>0.64</v>
      </c>
      <c r="D91" s="33">
        <v>0</v>
      </c>
      <c r="E91" s="33">
        <v>48</v>
      </c>
    </row>
    <row r="92" spans="1:5" x14ac:dyDescent="0.3">
      <c r="A92" s="33">
        <v>91</v>
      </c>
      <c r="B92" s="33">
        <v>0.22</v>
      </c>
      <c r="C92" s="33">
        <v>0.64</v>
      </c>
      <c r="D92" s="33">
        <v>8.9599999999999999E-2</v>
      </c>
      <c r="E92" s="33">
        <v>35</v>
      </c>
    </row>
    <row r="93" spans="1:5" x14ac:dyDescent="0.3">
      <c r="A93" s="33">
        <v>92</v>
      </c>
      <c r="B93" s="33">
        <v>0.2</v>
      </c>
      <c r="C93" s="33">
        <v>0.69</v>
      </c>
      <c r="D93" s="33">
        <v>8.9599999999999999E-2</v>
      </c>
      <c r="E93" s="33">
        <v>11</v>
      </c>
    </row>
    <row r="94" spans="1:5" x14ac:dyDescent="0.3">
      <c r="A94" s="33">
        <v>93</v>
      </c>
      <c r="B94" s="33">
        <v>0.2</v>
      </c>
      <c r="C94" s="33">
        <v>0.64</v>
      </c>
      <c r="D94" s="33">
        <v>0</v>
      </c>
      <c r="E94" s="33">
        <v>6</v>
      </c>
    </row>
    <row r="95" spans="1:5" x14ac:dyDescent="0.3">
      <c r="A95" s="33">
        <v>94</v>
      </c>
      <c r="B95" s="33">
        <v>0.16</v>
      </c>
      <c r="C95" s="33">
        <v>0.74</v>
      </c>
      <c r="D95" s="33">
        <v>8.9599999999999999E-2</v>
      </c>
      <c r="E95" s="33">
        <v>6</v>
      </c>
    </row>
    <row r="96" spans="1:5" x14ac:dyDescent="0.3">
      <c r="A96" s="33">
        <v>95</v>
      </c>
      <c r="B96" s="33">
        <v>0.16</v>
      </c>
      <c r="C96" s="33">
        <v>0.74</v>
      </c>
      <c r="D96" s="33">
        <v>8.9599999999999999E-2</v>
      </c>
      <c r="E96" s="33">
        <v>2</v>
      </c>
    </row>
    <row r="97" spans="1:5" x14ac:dyDescent="0.3">
      <c r="A97" s="33">
        <v>96</v>
      </c>
      <c r="B97" s="33">
        <v>0.24</v>
      </c>
      <c r="C97" s="33">
        <v>0.48</v>
      </c>
      <c r="D97" s="33">
        <v>0.22389999999999999</v>
      </c>
      <c r="E97" s="33">
        <v>2</v>
      </c>
    </row>
    <row r="98" spans="1:5" x14ac:dyDescent="0.3">
      <c r="A98" s="33">
        <v>97</v>
      </c>
      <c r="B98" s="33">
        <v>0.22</v>
      </c>
      <c r="C98" s="33">
        <v>0.47</v>
      </c>
      <c r="D98" s="33">
        <v>0.16420000000000001</v>
      </c>
      <c r="E98" s="33">
        <v>3</v>
      </c>
    </row>
    <row r="99" spans="1:5" x14ac:dyDescent="0.3">
      <c r="A99" s="33">
        <v>98</v>
      </c>
      <c r="B99" s="33">
        <v>0.2</v>
      </c>
      <c r="C99" s="33">
        <v>0.47</v>
      </c>
      <c r="D99" s="33">
        <v>0.22389999999999999</v>
      </c>
      <c r="E99" s="33">
        <v>33</v>
      </c>
    </row>
    <row r="100" spans="1:5" x14ac:dyDescent="0.3">
      <c r="A100" s="33">
        <v>99</v>
      </c>
      <c r="B100" s="33">
        <v>0.18</v>
      </c>
      <c r="C100" s="33">
        <v>0.43</v>
      </c>
      <c r="D100" s="33">
        <v>0.19400000000000001</v>
      </c>
      <c r="E100" s="33">
        <v>88</v>
      </c>
    </row>
    <row r="101" spans="1:5" x14ac:dyDescent="0.3">
      <c r="A101" s="33">
        <v>100</v>
      </c>
      <c r="B101" s="33">
        <v>0.2</v>
      </c>
      <c r="C101" s="33">
        <v>0.4</v>
      </c>
      <c r="D101" s="33">
        <v>0.29849999999999999</v>
      </c>
      <c r="E101" s="33">
        <v>195</v>
      </c>
    </row>
    <row r="102" spans="1:5" x14ac:dyDescent="0.3">
      <c r="A102" s="33">
        <v>101</v>
      </c>
      <c r="B102" s="33">
        <v>0.22</v>
      </c>
      <c r="C102" s="33">
        <v>0.37</v>
      </c>
      <c r="D102" s="33">
        <v>0.32840000000000003</v>
      </c>
      <c r="E102" s="33">
        <v>115</v>
      </c>
    </row>
    <row r="103" spans="1:5" x14ac:dyDescent="0.3">
      <c r="A103" s="33">
        <v>102</v>
      </c>
      <c r="B103" s="33">
        <v>0.22</v>
      </c>
      <c r="C103" s="33">
        <v>0.37</v>
      </c>
      <c r="D103" s="33">
        <v>0.32840000000000003</v>
      </c>
      <c r="E103" s="33">
        <v>57</v>
      </c>
    </row>
    <row r="104" spans="1:5" x14ac:dyDescent="0.3">
      <c r="A104" s="33">
        <v>103</v>
      </c>
      <c r="B104" s="33">
        <v>0.26</v>
      </c>
      <c r="C104" s="33">
        <v>0.33</v>
      </c>
      <c r="D104" s="33">
        <v>0.32840000000000003</v>
      </c>
      <c r="E104" s="33">
        <v>46</v>
      </c>
    </row>
    <row r="105" spans="1:5" x14ac:dyDescent="0.3">
      <c r="A105" s="33">
        <v>104</v>
      </c>
      <c r="B105" s="33">
        <v>0.26</v>
      </c>
      <c r="C105" s="33">
        <v>0.33</v>
      </c>
      <c r="D105" s="33">
        <v>0.32840000000000003</v>
      </c>
      <c r="E105" s="33">
        <v>79</v>
      </c>
    </row>
    <row r="106" spans="1:5" x14ac:dyDescent="0.3">
      <c r="A106" s="33">
        <v>105</v>
      </c>
      <c r="B106" s="33">
        <v>0.28000000000000003</v>
      </c>
      <c r="C106" s="33">
        <v>0.3</v>
      </c>
      <c r="D106" s="33">
        <v>0.29849999999999999</v>
      </c>
      <c r="E106" s="33">
        <v>71</v>
      </c>
    </row>
    <row r="107" spans="1:5" x14ac:dyDescent="0.3">
      <c r="A107" s="33">
        <v>106</v>
      </c>
      <c r="B107" s="33">
        <v>0.3</v>
      </c>
      <c r="C107" s="33">
        <v>0.28000000000000003</v>
      </c>
      <c r="D107" s="33">
        <v>0.19400000000000001</v>
      </c>
      <c r="E107" s="33">
        <v>62</v>
      </c>
    </row>
    <row r="108" spans="1:5" x14ac:dyDescent="0.3">
      <c r="A108" s="33">
        <v>107</v>
      </c>
      <c r="B108" s="33">
        <v>0.3</v>
      </c>
      <c r="C108" s="33">
        <v>0.28000000000000003</v>
      </c>
      <c r="D108" s="33">
        <v>0.19400000000000001</v>
      </c>
      <c r="E108" s="33">
        <v>62</v>
      </c>
    </row>
    <row r="109" spans="1:5" x14ac:dyDescent="0.3">
      <c r="A109" s="33">
        <v>108</v>
      </c>
      <c r="B109" s="33">
        <v>0.3</v>
      </c>
      <c r="C109" s="33">
        <v>0.28000000000000003</v>
      </c>
      <c r="D109" s="33">
        <v>8.9599999999999999E-2</v>
      </c>
      <c r="E109" s="33">
        <v>89</v>
      </c>
    </row>
    <row r="110" spans="1:5" x14ac:dyDescent="0.3">
      <c r="A110" s="33">
        <v>109</v>
      </c>
      <c r="B110" s="33">
        <v>0.24</v>
      </c>
      <c r="C110" s="33">
        <v>0.38</v>
      </c>
      <c r="D110" s="33">
        <v>0.19400000000000001</v>
      </c>
      <c r="E110" s="33">
        <v>190</v>
      </c>
    </row>
    <row r="111" spans="1:5" x14ac:dyDescent="0.3">
      <c r="A111" s="33">
        <v>110</v>
      </c>
      <c r="B111" s="33">
        <v>0.24</v>
      </c>
      <c r="C111" s="33">
        <v>0.38</v>
      </c>
      <c r="D111" s="33">
        <v>0.1343</v>
      </c>
      <c r="E111" s="33">
        <v>169</v>
      </c>
    </row>
    <row r="112" spans="1:5" x14ac:dyDescent="0.3">
      <c r="A112" s="33">
        <v>111</v>
      </c>
      <c r="B112" s="33">
        <v>0.24</v>
      </c>
      <c r="C112" s="33">
        <v>0.38</v>
      </c>
      <c r="D112" s="33">
        <v>0.1045</v>
      </c>
      <c r="E112" s="33">
        <v>132</v>
      </c>
    </row>
    <row r="113" spans="1:5" x14ac:dyDescent="0.3">
      <c r="A113" s="33">
        <v>112</v>
      </c>
      <c r="B113" s="33">
        <v>0.22</v>
      </c>
      <c r="C113" s="33">
        <v>0.47</v>
      </c>
      <c r="D113" s="33">
        <v>0.16420000000000001</v>
      </c>
      <c r="E113" s="33">
        <v>89</v>
      </c>
    </row>
    <row r="114" spans="1:5" x14ac:dyDescent="0.3">
      <c r="A114" s="33">
        <v>113</v>
      </c>
      <c r="B114" s="33">
        <v>0.2</v>
      </c>
      <c r="C114" s="33">
        <v>0.51</v>
      </c>
      <c r="D114" s="33">
        <v>0.19400000000000001</v>
      </c>
      <c r="E114" s="33">
        <v>43</v>
      </c>
    </row>
    <row r="115" spans="1:5" x14ac:dyDescent="0.3">
      <c r="A115" s="33">
        <v>114</v>
      </c>
      <c r="B115" s="33">
        <v>0.18</v>
      </c>
      <c r="C115" s="33">
        <v>0.55000000000000004</v>
      </c>
      <c r="D115" s="33">
        <v>0.1343</v>
      </c>
      <c r="E115" s="33">
        <v>42</v>
      </c>
    </row>
    <row r="116" spans="1:5" x14ac:dyDescent="0.3">
      <c r="A116" s="33">
        <v>115</v>
      </c>
      <c r="B116" s="33">
        <v>0.2</v>
      </c>
      <c r="C116" s="33">
        <v>0.47</v>
      </c>
      <c r="D116" s="33">
        <v>0</v>
      </c>
      <c r="E116" s="33">
        <v>19</v>
      </c>
    </row>
    <row r="117" spans="1:5" x14ac:dyDescent="0.3">
      <c r="A117" s="33">
        <v>116</v>
      </c>
      <c r="B117" s="33">
        <v>0.18</v>
      </c>
      <c r="C117" s="33">
        <v>0.55000000000000004</v>
      </c>
      <c r="D117" s="33">
        <v>0</v>
      </c>
      <c r="E117" s="33">
        <v>11</v>
      </c>
    </row>
    <row r="118" spans="1:5" x14ac:dyDescent="0.3">
      <c r="A118" s="33">
        <v>117</v>
      </c>
      <c r="B118" s="33">
        <v>0.16</v>
      </c>
      <c r="C118" s="33">
        <v>0.64</v>
      </c>
      <c r="D118" s="33">
        <v>0</v>
      </c>
      <c r="E118" s="33">
        <v>4</v>
      </c>
    </row>
    <row r="119" spans="1:5" x14ac:dyDescent="0.3">
      <c r="A119" s="33">
        <v>118</v>
      </c>
      <c r="B119" s="33">
        <v>0.16</v>
      </c>
      <c r="C119" s="33">
        <v>0.64</v>
      </c>
      <c r="D119" s="33">
        <v>0</v>
      </c>
      <c r="E119" s="33">
        <v>2</v>
      </c>
    </row>
    <row r="120" spans="1:5" x14ac:dyDescent="0.3">
      <c r="A120" s="33">
        <v>119</v>
      </c>
      <c r="B120" s="33">
        <v>0.16</v>
      </c>
      <c r="C120" s="33">
        <v>0.64</v>
      </c>
      <c r="D120" s="33">
        <v>8.9599999999999999E-2</v>
      </c>
      <c r="E120" s="33">
        <v>1</v>
      </c>
    </row>
    <row r="121" spans="1:5" x14ac:dyDescent="0.3">
      <c r="A121" s="33">
        <v>120</v>
      </c>
      <c r="B121" s="33">
        <v>0.14000000000000001</v>
      </c>
      <c r="C121" s="33">
        <v>0.69</v>
      </c>
      <c r="D121" s="33">
        <v>8.9599999999999999E-2</v>
      </c>
      <c r="E121" s="33">
        <v>4</v>
      </c>
    </row>
    <row r="122" spans="1:5" x14ac:dyDescent="0.3">
      <c r="A122" s="33">
        <v>121</v>
      </c>
      <c r="B122" s="33">
        <v>0.14000000000000001</v>
      </c>
      <c r="C122" s="33">
        <v>0.63</v>
      </c>
      <c r="D122" s="33">
        <v>0.1045</v>
      </c>
      <c r="E122" s="33">
        <v>36</v>
      </c>
    </row>
    <row r="123" spans="1:5" x14ac:dyDescent="0.3">
      <c r="A123" s="33">
        <v>122</v>
      </c>
      <c r="B123" s="33">
        <v>0.16</v>
      </c>
      <c r="C123" s="33">
        <v>0.59</v>
      </c>
      <c r="D123" s="33">
        <v>0</v>
      </c>
      <c r="E123" s="33">
        <v>95</v>
      </c>
    </row>
    <row r="124" spans="1:5" x14ac:dyDescent="0.3">
      <c r="A124" s="33">
        <v>123</v>
      </c>
      <c r="B124" s="33">
        <v>0.16</v>
      </c>
      <c r="C124" s="33">
        <v>0.59</v>
      </c>
      <c r="D124" s="33">
        <v>0</v>
      </c>
      <c r="E124" s="33">
        <v>219</v>
      </c>
    </row>
    <row r="125" spans="1:5" x14ac:dyDescent="0.3">
      <c r="A125" s="33">
        <v>124</v>
      </c>
      <c r="B125" s="33">
        <v>0.18</v>
      </c>
      <c r="C125" s="33">
        <v>0.51</v>
      </c>
      <c r="D125" s="33">
        <v>0</v>
      </c>
      <c r="E125" s="33">
        <v>122</v>
      </c>
    </row>
    <row r="126" spans="1:5" x14ac:dyDescent="0.3">
      <c r="A126" s="33">
        <v>125</v>
      </c>
      <c r="B126" s="33">
        <v>0.2</v>
      </c>
      <c r="C126" s="33">
        <v>0.47</v>
      </c>
      <c r="D126" s="33">
        <v>0</v>
      </c>
      <c r="E126" s="33">
        <v>45</v>
      </c>
    </row>
    <row r="127" spans="1:5" x14ac:dyDescent="0.3">
      <c r="A127" s="33">
        <v>126</v>
      </c>
      <c r="B127" s="33">
        <v>0.22</v>
      </c>
      <c r="C127" s="33">
        <v>0.44</v>
      </c>
      <c r="D127" s="33">
        <v>8.9599999999999999E-2</v>
      </c>
      <c r="E127" s="33">
        <v>59</v>
      </c>
    </row>
    <row r="128" spans="1:5" x14ac:dyDescent="0.3">
      <c r="A128" s="33">
        <v>127</v>
      </c>
      <c r="B128" s="33">
        <v>0.26</v>
      </c>
      <c r="C128" s="33">
        <v>0.35</v>
      </c>
      <c r="D128" s="33">
        <v>0</v>
      </c>
      <c r="E128" s="33">
        <v>84</v>
      </c>
    </row>
    <row r="129" spans="1:5" x14ac:dyDescent="0.3">
      <c r="A129" s="33">
        <v>128</v>
      </c>
      <c r="B129" s="33">
        <v>0.26</v>
      </c>
      <c r="C129" s="33">
        <v>0.35</v>
      </c>
      <c r="D129" s="33">
        <v>0.1045</v>
      </c>
      <c r="E129" s="33">
        <v>67</v>
      </c>
    </row>
    <row r="130" spans="1:5" x14ac:dyDescent="0.3">
      <c r="A130" s="33">
        <v>129</v>
      </c>
      <c r="B130" s="33">
        <v>0.28000000000000003</v>
      </c>
      <c r="C130" s="33">
        <v>0.36</v>
      </c>
      <c r="D130" s="33">
        <v>0.16420000000000001</v>
      </c>
      <c r="E130" s="33">
        <v>70</v>
      </c>
    </row>
    <row r="131" spans="1:5" x14ac:dyDescent="0.3">
      <c r="A131" s="33">
        <v>130</v>
      </c>
      <c r="B131" s="33">
        <v>0.28000000000000003</v>
      </c>
      <c r="C131" s="33">
        <v>0.36</v>
      </c>
      <c r="D131" s="33">
        <v>0</v>
      </c>
      <c r="E131" s="33">
        <v>62</v>
      </c>
    </row>
    <row r="132" spans="1:5" x14ac:dyDescent="0.3">
      <c r="A132" s="33">
        <v>131</v>
      </c>
      <c r="B132" s="33">
        <v>0.26</v>
      </c>
      <c r="C132" s="33">
        <v>0.38</v>
      </c>
      <c r="D132" s="33">
        <v>0.16420000000000001</v>
      </c>
      <c r="E132" s="33">
        <v>86</v>
      </c>
    </row>
    <row r="133" spans="1:5" x14ac:dyDescent="0.3">
      <c r="A133" s="33">
        <v>132</v>
      </c>
      <c r="B133" s="33">
        <v>0.22</v>
      </c>
      <c r="C133" s="33">
        <v>0.51</v>
      </c>
      <c r="D133" s="33">
        <v>0.16420000000000001</v>
      </c>
      <c r="E133" s="33">
        <v>172</v>
      </c>
    </row>
    <row r="134" spans="1:5" x14ac:dyDescent="0.3">
      <c r="A134" s="33">
        <v>133</v>
      </c>
      <c r="B134" s="33">
        <v>0.22</v>
      </c>
      <c r="C134" s="33">
        <v>0.51</v>
      </c>
      <c r="D134" s="33">
        <v>0.1343</v>
      </c>
      <c r="E134" s="33">
        <v>163</v>
      </c>
    </row>
    <row r="135" spans="1:5" x14ac:dyDescent="0.3">
      <c r="A135" s="33">
        <v>134</v>
      </c>
      <c r="B135" s="33">
        <v>0.22</v>
      </c>
      <c r="C135" s="33">
        <v>0.55000000000000004</v>
      </c>
      <c r="D135" s="33">
        <v>8.9599999999999999E-2</v>
      </c>
      <c r="E135" s="33">
        <v>112</v>
      </c>
    </row>
    <row r="136" spans="1:5" x14ac:dyDescent="0.3">
      <c r="A136" s="33">
        <v>135</v>
      </c>
      <c r="B136" s="33">
        <v>0.2</v>
      </c>
      <c r="C136" s="33">
        <v>0.51</v>
      </c>
      <c r="D136" s="33">
        <v>0.16420000000000001</v>
      </c>
      <c r="E136" s="33">
        <v>69</v>
      </c>
    </row>
    <row r="137" spans="1:5" x14ac:dyDescent="0.3">
      <c r="A137" s="33">
        <v>136</v>
      </c>
      <c r="B137" s="33">
        <v>0.22</v>
      </c>
      <c r="C137" s="33">
        <v>0.55000000000000004</v>
      </c>
      <c r="D137" s="33">
        <v>0.22389999999999999</v>
      </c>
      <c r="E137" s="33">
        <v>48</v>
      </c>
    </row>
    <row r="138" spans="1:5" x14ac:dyDescent="0.3">
      <c r="A138" s="33">
        <v>137</v>
      </c>
      <c r="B138" s="33">
        <v>0.22</v>
      </c>
      <c r="C138" s="33">
        <v>0.51</v>
      </c>
      <c r="D138" s="33">
        <v>0.28360000000000002</v>
      </c>
      <c r="E138" s="33">
        <v>52</v>
      </c>
    </row>
    <row r="139" spans="1:5" x14ac:dyDescent="0.3">
      <c r="A139" s="33">
        <v>138</v>
      </c>
      <c r="B139" s="33">
        <v>0.2</v>
      </c>
      <c r="C139" s="33">
        <v>0.59</v>
      </c>
      <c r="D139" s="33">
        <v>0.19400000000000001</v>
      </c>
      <c r="E139" s="33">
        <v>23</v>
      </c>
    </row>
    <row r="140" spans="1:5" x14ac:dyDescent="0.3">
      <c r="A140" s="33">
        <v>139</v>
      </c>
      <c r="B140" s="33">
        <v>0.2</v>
      </c>
      <c r="C140" s="33">
        <v>0.64</v>
      </c>
      <c r="D140" s="33">
        <v>0.19400000000000001</v>
      </c>
      <c r="E140" s="33">
        <v>17</v>
      </c>
    </row>
    <row r="141" spans="1:5" x14ac:dyDescent="0.3">
      <c r="A141" s="33">
        <v>140</v>
      </c>
      <c r="B141" s="33">
        <v>0.2</v>
      </c>
      <c r="C141" s="33">
        <v>0.69</v>
      </c>
      <c r="D141" s="33">
        <v>0.22389999999999999</v>
      </c>
      <c r="E141" s="33">
        <v>7</v>
      </c>
    </row>
    <row r="142" spans="1:5" x14ac:dyDescent="0.3">
      <c r="A142" s="33">
        <v>141</v>
      </c>
      <c r="B142" s="33">
        <v>0.2</v>
      </c>
      <c r="C142" s="33">
        <v>0.69</v>
      </c>
      <c r="D142" s="33">
        <v>0.22389999999999999</v>
      </c>
      <c r="E142" s="33">
        <v>1</v>
      </c>
    </row>
    <row r="143" spans="1:5" x14ac:dyDescent="0.3">
      <c r="A143" s="33">
        <v>142</v>
      </c>
      <c r="B143" s="33">
        <v>0.2</v>
      </c>
      <c r="C143" s="33">
        <v>0.69</v>
      </c>
      <c r="D143" s="33">
        <v>0.1343</v>
      </c>
      <c r="E143" s="33">
        <v>1</v>
      </c>
    </row>
    <row r="144" spans="1:5" x14ac:dyDescent="0.3">
      <c r="A144" s="33">
        <v>143</v>
      </c>
      <c r="B144" s="33">
        <v>0.22</v>
      </c>
      <c r="C144" s="33">
        <v>0.55000000000000004</v>
      </c>
      <c r="D144" s="33">
        <v>0</v>
      </c>
      <c r="E144" s="33">
        <v>5</v>
      </c>
    </row>
    <row r="145" spans="1:5" x14ac:dyDescent="0.3">
      <c r="A145" s="33">
        <v>144</v>
      </c>
      <c r="B145" s="33">
        <v>0.2</v>
      </c>
      <c r="C145" s="33">
        <v>0.69</v>
      </c>
      <c r="D145" s="33">
        <v>0</v>
      </c>
      <c r="E145" s="33">
        <v>34</v>
      </c>
    </row>
    <row r="146" spans="1:5" x14ac:dyDescent="0.3">
      <c r="A146" s="33">
        <v>145</v>
      </c>
      <c r="B146" s="33">
        <v>0.2</v>
      </c>
      <c r="C146" s="33">
        <v>0.69</v>
      </c>
      <c r="D146" s="33">
        <v>0.1343</v>
      </c>
      <c r="E146" s="33">
        <v>84</v>
      </c>
    </row>
    <row r="147" spans="1:5" x14ac:dyDescent="0.3">
      <c r="A147" s="33">
        <v>146</v>
      </c>
      <c r="B147" s="33">
        <v>0.2</v>
      </c>
      <c r="C147" s="33">
        <v>0.51</v>
      </c>
      <c r="D147" s="33">
        <v>0.25369999999999998</v>
      </c>
      <c r="E147" s="33">
        <v>210</v>
      </c>
    </row>
    <row r="148" spans="1:5" x14ac:dyDescent="0.3">
      <c r="A148" s="33">
        <v>147</v>
      </c>
      <c r="B148" s="33">
        <v>0.2</v>
      </c>
      <c r="C148" s="33">
        <v>0.47</v>
      </c>
      <c r="D148" s="33">
        <v>0.29849999999999999</v>
      </c>
      <c r="E148" s="33">
        <v>134</v>
      </c>
    </row>
    <row r="149" spans="1:5" x14ac:dyDescent="0.3">
      <c r="A149" s="33">
        <v>148</v>
      </c>
      <c r="B149" s="33">
        <v>0.22</v>
      </c>
      <c r="C149" s="33">
        <v>0.37</v>
      </c>
      <c r="D149" s="33">
        <v>0.32840000000000003</v>
      </c>
      <c r="E149" s="33">
        <v>63</v>
      </c>
    </row>
    <row r="150" spans="1:5" x14ac:dyDescent="0.3">
      <c r="A150" s="33">
        <v>149</v>
      </c>
      <c r="B150" s="33">
        <v>0.2</v>
      </c>
      <c r="C150" s="33">
        <v>0.4</v>
      </c>
      <c r="D150" s="33">
        <v>0.22389999999999999</v>
      </c>
      <c r="E150" s="33">
        <v>67</v>
      </c>
    </row>
    <row r="151" spans="1:5" x14ac:dyDescent="0.3">
      <c r="A151" s="33">
        <v>150</v>
      </c>
      <c r="B151" s="33">
        <v>0.2</v>
      </c>
      <c r="C151" s="33">
        <v>0.37</v>
      </c>
      <c r="D151" s="33">
        <v>0.25369999999999998</v>
      </c>
      <c r="E151" s="33">
        <v>59</v>
      </c>
    </row>
    <row r="152" spans="1:5" x14ac:dyDescent="0.3">
      <c r="A152" s="33">
        <v>151</v>
      </c>
      <c r="B152" s="33">
        <v>0.2</v>
      </c>
      <c r="C152" s="33">
        <v>0.37</v>
      </c>
      <c r="D152" s="33">
        <v>0.28360000000000002</v>
      </c>
      <c r="E152" s="33">
        <v>73</v>
      </c>
    </row>
    <row r="153" spans="1:5" x14ac:dyDescent="0.3">
      <c r="A153" s="33">
        <v>152</v>
      </c>
      <c r="B153" s="33">
        <v>0.2</v>
      </c>
      <c r="C153" s="33">
        <v>0.4</v>
      </c>
      <c r="D153" s="33">
        <v>0.25369999999999998</v>
      </c>
      <c r="E153" s="33">
        <v>50</v>
      </c>
    </row>
    <row r="154" spans="1:5" x14ac:dyDescent="0.3">
      <c r="A154" s="33">
        <v>153</v>
      </c>
      <c r="B154" s="33">
        <v>0.2</v>
      </c>
      <c r="C154" s="33">
        <v>0.37</v>
      </c>
      <c r="D154" s="33">
        <v>0.16420000000000001</v>
      </c>
      <c r="E154" s="33">
        <v>72</v>
      </c>
    </row>
    <row r="155" spans="1:5" x14ac:dyDescent="0.3">
      <c r="A155" s="33">
        <v>154</v>
      </c>
      <c r="B155" s="33">
        <v>0.2</v>
      </c>
      <c r="C155" s="33">
        <v>0.37</v>
      </c>
      <c r="D155" s="33">
        <v>0.16420000000000001</v>
      </c>
      <c r="E155" s="33">
        <v>87</v>
      </c>
    </row>
    <row r="156" spans="1:5" x14ac:dyDescent="0.3">
      <c r="A156" s="33">
        <v>155</v>
      </c>
      <c r="B156" s="33">
        <v>0.2</v>
      </c>
      <c r="C156" s="33">
        <v>0.37</v>
      </c>
      <c r="D156" s="33">
        <v>0</v>
      </c>
      <c r="E156" s="33">
        <v>187</v>
      </c>
    </row>
    <row r="157" spans="1:5" x14ac:dyDescent="0.3">
      <c r="A157" s="33">
        <v>156</v>
      </c>
      <c r="B157" s="33">
        <v>0.2</v>
      </c>
      <c r="C157" s="33">
        <v>0.4</v>
      </c>
      <c r="D157" s="33">
        <v>8.9599999999999999E-2</v>
      </c>
      <c r="E157" s="33">
        <v>123</v>
      </c>
    </row>
    <row r="158" spans="1:5" x14ac:dyDescent="0.3">
      <c r="A158" s="33">
        <v>157</v>
      </c>
      <c r="B158" s="33">
        <v>0.16</v>
      </c>
      <c r="C158" s="33">
        <v>0.55000000000000004</v>
      </c>
      <c r="D158" s="33">
        <v>8.9599999999999999E-2</v>
      </c>
      <c r="E158" s="33">
        <v>95</v>
      </c>
    </row>
    <row r="159" spans="1:5" x14ac:dyDescent="0.3">
      <c r="A159" s="33">
        <v>158</v>
      </c>
      <c r="B159" s="33">
        <v>0.18</v>
      </c>
      <c r="C159" s="33">
        <v>0.47</v>
      </c>
      <c r="D159" s="33">
        <v>0.1045</v>
      </c>
      <c r="E159" s="33">
        <v>51</v>
      </c>
    </row>
    <row r="160" spans="1:5" x14ac:dyDescent="0.3">
      <c r="A160" s="33">
        <v>159</v>
      </c>
      <c r="B160" s="33">
        <v>0.18</v>
      </c>
      <c r="C160" s="33">
        <v>0.47</v>
      </c>
      <c r="D160" s="33">
        <v>0.1343</v>
      </c>
      <c r="E160" s="33">
        <v>39</v>
      </c>
    </row>
    <row r="161" spans="1:5" x14ac:dyDescent="0.3">
      <c r="A161" s="33">
        <v>160</v>
      </c>
      <c r="B161" s="33">
        <v>0.18</v>
      </c>
      <c r="C161" s="33">
        <v>0.43</v>
      </c>
      <c r="D161" s="33">
        <v>0.16420000000000001</v>
      </c>
      <c r="E161" s="33">
        <v>36</v>
      </c>
    </row>
    <row r="162" spans="1:5" x14ac:dyDescent="0.3">
      <c r="A162" s="33">
        <v>161</v>
      </c>
      <c r="B162" s="33">
        <v>0.18</v>
      </c>
      <c r="C162" s="33">
        <v>0.51</v>
      </c>
      <c r="D162" s="33">
        <v>0.16420000000000001</v>
      </c>
      <c r="E162" s="33">
        <v>15</v>
      </c>
    </row>
    <row r="163" spans="1:5" x14ac:dyDescent="0.3">
      <c r="A163" s="33">
        <v>162</v>
      </c>
      <c r="B163" s="33">
        <v>0.18</v>
      </c>
      <c r="C163" s="33">
        <v>0.51</v>
      </c>
      <c r="D163" s="33">
        <v>0.16420000000000001</v>
      </c>
      <c r="E163" s="33">
        <v>25</v>
      </c>
    </row>
    <row r="164" spans="1:5" x14ac:dyDescent="0.3">
      <c r="A164" s="33">
        <v>163</v>
      </c>
      <c r="B164" s="33">
        <v>0.18</v>
      </c>
      <c r="C164" s="33">
        <v>0.55000000000000004</v>
      </c>
      <c r="D164" s="33">
        <v>8.9599999999999999E-2</v>
      </c>
      <c r="E164" s="33">
        <v>16</v>
      </c>
    </row>
    <row r="165" spans="1:5" x14ac:dyDescent="0.3">
      <c r="A165" s="33">
        <v>164</v>
      </c>
      <c r="B165" s="33">
        <v>0.18</v>
      </c>
      <c r="C165" s="33">
        <v>0.55000000000000004</v>
      </c>
      <c r="D165" s="33">
        <v>0</v>
      </c>
      <c r="E165" s="33">
        <v>16</v>
      </c>
    </row>
    <row r="166" spans="1:5" x14ac:dyDescent="0.3">
      <c r="A166" s="33">
        <v>165</v>
      </c>
      <c r="B166" s="33">
        <v>0.18</v>
      </c>
      <c r="C166" s="33">
        <v>0.55000000000000004</v>
      </c>
      <c r="D166" s="33">
        <v>0.16420000000000001</v>
      </c>
      <c r="E166" s="33">
        <v>7</v>
      </c>
    </row>
    <row r="167" spans="1:5" x14ac:dyDescent="0.3">
      <c r="A167" s="33">
        <v>166</v>
      </c>
      <c r="B167" s="33">
        <v>0.18</v>
      </c>
      <c r="C167" s="33">
        <v>0.55000000000000004</v>
      </c>
      <c r="D167" s="33">
        <v>0.16420000000000001</v>
      </c>
      <c r="E167" s="33">
        <v>1</v>
      </c>
    </row>
    <row r="168" spans="1:5" x14ac:dyDescent="0.3">
      <c r="A168" s="33">
        <v>167</v>
      </c>
      <c r="B168" s="33">
        <v>0.16</v>
      </c>
      <c r="C168" s="33">
        <v>0.74</v>
      </c>
      <c r="D168" s="33">
        <v>0.16420000000000001</v>
      </c>
      <c r="E168" s="33">
        <v>5</v>
      </c>
    </row>
    <row r="169" spans="1:5" x14ac:dyDescent="0.3">
      <c r="A169" s="33">
        <v>168</v>
      </c>
      <c r="B169" s="33">
        <v>0.16</v>
      </c>
      <c r="C169" s="33">
        <v>0.74</v>
      </c>
      <c r="D169" s="33">
        <v>0.16420000000000001</v>
      </c>
      <c r="E169" s="33">
        <v>2</v>
      </c>
    </row>
    <row r="170" spans="1:5" x14ac:dyDescent="0.3">
      <c r="A170" s="33">
        <v>169</v>
      </c>
      <c r="B170" s="33">
        <v>0.16</v>
      </c>
      <c r="C170" s="33">
        <v>0.74</v>
      </c>
      <c r="D170" s="33">
        <v>0.1045</v>
      </c>
      <c r="E170" s="33">
        <v>9</v>
      </c>
    </row>
    <row r="171" spans="1:5" x14ac:dyDescent="0.3">
      <c r="A171" s="33">
        <v>170</v>
      </c>
      <c r="B171" s="33">
        <v>0.16</v>
      </c>
      <c r="C171" s="33">
        <v>0.93</v>
      </c>
      <c r="D171" s="33">
        <v>0.1045</v>
      </c>
      <c r="E171" s="33">
        <v>15</v>
      </c>
    </row>
    <row r="172" spans="1:5" x14ac:dyDescent="0.3">
      <c r="A172" s="33">
        <v>171</v>
      </c>
      <c r="B172" s="33">
        <v>0.16</v>
      </c>
      <c r="C172" s="33">
        <v>0.93</v>
      </c>
      <c r="D172" s="33">
        <v>0.1045</v>
      </c>
      <c r="E172" s="33">
        <v>20</v>
      </c>
    </row>
    <row r="173" spans="1:5" x14ac:dyDescent="0.3">
      <c r="A173" s="33">
        <v>172</v>
      </c>
      <c r="B173" s="33">
        <v>0.18</v>
      </c>
      <c r="C173" s="33">
        <v>0.8</v>
      </c>
      <c r="D173" s="33">
        <v>0.16420000000000001</v>
      </c>
      <c r="E173" s="33">
        <v>61</v>
      </c>
    </row>
    <row r="174" spans="1:5" x14ac:dyDescent="0.3">
      <c r="A174" s="33">
        <v>173</v>
      </c>
      <c r="B174" s="33">
        <v>0.2</v>
      </c>
      <c r="C174" s="33">
        <v>0.69</v>
      </c>
      <c r="D174" s="33">
        <v>0.3881</v>
      </c>
      <c r="E174" s="33">
        <v>62</v>
      </c>
    </row>
    <row r="175" spans="1:5" x14ac:dyDescent="0.3">
      <c r="A175" s="33">
        <v>174</v>
      </c>
      <c r="B175" s="33">
        <v>0.2</v>
      </c>
      <c r="C175" s="33">
        <v>0.59</v>
      </c>
      <c r="D175" s="33">
        <v>0.35820000000000002</v>
      </c>
      <c r="E175" s="33">
        <v>98</v>
      </c>
    </row>
    <row r="176" spans="1:5" x14ac:dyDescent="0.3">
      <c r="A176" s="33">
        <v>175</v>
      </c>
      <c r="B176" s="33">
        <v>0.2</v>
      </c>
      <c r="C176" s="33">
        <v>0.44</v>
      </c>
      <c r="D176" s="33">
        <v>0.32840000000000003</v>
      </c>
      <c r="E176" s="33">
        <v>102</v>
      </c>
    </row>
    <row r="177" spans="1:5" x14ac:dyDescent="0.3">
      <c r="A177" s="33">
        <v>176</v>
      </c>
      <c r="B177" s="33">
        <v>0.2</v>
      </c>
      <c r="C177" s="33">
        <v>0.32</v>
      </c>
      <c r="D177" s="33">
        <v>0.49249999999999999</v>
      </c>
      <c r="E177" s="33">
        <v>95</v>
      </c>
    </row>
    <row r="178" spans="1:5" x14ac:dyDescent="0.3">
      <c r="A178" s="33">
        <v>177</v>
      </c>
      <c r="B178" s="33">
        <v>0.2</v>
      </c>
      <c r="C178" s="33">
        <v>0.32</v>
      </c>
      <c r="D178" s="33">
        <v>0.44779999999999998</v>
      </c>
      <c r="E178" s="33">
        <v>74</v>
      </c>
    </row>
    <row r="179" spans="1:5" x14ac:dyDescent="0.3">
      <c r="A179" s="33">
        <v>178</v>
      </c>
      <c r="B179" s="33">
        <v>0.18</v>
      </c>
      <c r="C179" s="33">
        <v>0.28999999999999998</v>
      </c>
      <c r="D179" s="33">
        <v>0.44779999999999998</v>
      </c>
      <c r="E179" s="33">
        <v>76</v>
      </c>
    </row>
    <row r="180" spans="1:5" x14ac:dyDescent="0.3">
      <c r="A180" s="33">
        <v>179</v>
      </c>
      <c r="B180" s="33">
        <v>0.16</v>
      </c>
      <c r="C180" s="33">
        <v>0.37</v>
      </c>
      <c r="D180" s="33">
        <v>0.55220000000000002</v>
      </c>
      <c r="E180" s="33">
        <v>69</v>
      </c>
    </row>
    <row r="181" spans="1:5" x14ac:dyDescent="0.3">
      <c r="A181" s="33">
        <v>180</v>
      </c>
      <c r="B181" s="33">
        <v>0.14000000000000001</v>
      </c>
      <c r="C181" s="33">
        <v>0.39</v>
      </c>
      <c r="D181" s="33">
        <v>0.29849999999999999</v>
      </c>
      <c r="E181" s="33">
        <v>55</v>
      </c>
    </row>
    <row r="182" spans="1:5" x14ac:dyDescent="0.3">
      <c r="A182" s="33">
        <v>181</v>
      </c>
      <c r="B182" s="33">
        <v>0.14000000000000001</v>
      </c>
      <c r="C182" s="33">
        <v>0.36</v>
      </c>
      <c r="D182" s="33">
        <v>0.25369999999999998</v>
      </c>
      <c r="E182" s="33">
        <v>30</v>
      </c>
    </row>
    <row r="183" spans="1:5" x14ac:dyDescent="0.3">
      <c r="A183" s="33">
        <v>182</v>
      </c>
      <c r="B183" s="33">
        <v>0.12</v>
      </c>
      <c r="C183" s="33">
        <v>0.36</v>
      </c>
      <c r="D183" s="33">
        <v>0.25369999999999998</v>
      </c>
      <c r="E183" s="33">
        <v>28</v>
      </c>
    </row>
    <row r="184" spans="1:5" x14ac:dyDescent="0.3">
      <c r="A184" s="33">
        <v>183</v>
      </c>
      <c r="B184" s="33">
        <v>0.12</v>
      </c>
      <c r="C184" s="33">
        <v>0.39</v>
      </c>
      <c r="D184" s="33">
        <v>0.35820000000000002</v>
      </c>
      <c r="E184" s="33">
        <v>37</v>
      </c>
    </row>
    <row r="185" spans="1:5" x14ac:dyDescent="0.3">
      <c r="A185" s="33">
        <v>184</v>
      </c>
      <c r="B185" s="33">
        <v>0.12</v>
      </c>
      <c r="C185" s="33">
        <v>0.36</v>
      </c>
      <c r="D185" s="33">
        <v>0.3881</v>
      </c>
      <c r="E185" s="33">
        <v>34</v>
      </c>
    </row>
    <row r="186" spans="1:5" x14ac:dyDescent="0.3">
      <c r="A186" s="33">
        <v>185</v>
      </c>
      <c r="B186" s="33">
        <v>0.1</v>
      </c>
      <c r="C186" s="33">
        <v>0.39</v>
      </c>
      <c r="D186" s="33">
        <v>0.44779999999999998</v>
      </c>
      <c r="E186" s="33">
        <v>22</v>
      </c>
    </row>
    <row r="187" spans="1:5" x14ac:dyDescent="0.3">
      <c r="A187" s="33">
        <v>186</v>
      </c>
      <c r="B187" s="33">
        <v>0.1</v>
      </c>
      <c r="C187" s="33">
        <v>0.42</v>
      </c>
      <c r="D187" s="33">
        <v>0.3881</v>
      </c>
      <c r="E187" s="33">
        <v>25</v>
      </c>
    </row>
    <row r="188" spans="1:5" x14ac:dyDescent="0.3">
      <c r="A188" s="33">
        <v>187</v>
      </c>
      <c r="B188" s="33">
        <v>0.1</v>
      </c>
      <c r="C188" s="33">
        <v>0.42</v>
      </c>
      <c r="D188" s="33">
        <v>0.4627</v>
      </c>
      <c r="E188" s="33">
        <v>12</v>
      </c>
    </row>
    <row r="189" spans="1:5" x14ac:dyDescent="0.3">
      <c r="A189" s="33">
        <v>188</v>
      </c>
      <c r="B189" s="33">
        <v>0.1</v>
      </c>
      <c r="C189" s="33">
        <v>0.46</v>
      </c>
      <c r="D189" s="33">
        <v>0.4627</v>
      </c>
      <c r="E189" s="33">
        <v>11</v>
      </c>
    </row>
    <row r="190" spans="1:5" x14ac:dyDescent="0.3">
      <c r="A190" s="33">
        <v>189</v>
      </c>
      <c r="B190" s="33">
        <v>0.1</v>
      </c>
      <c r="C190" s="33">
        <v>0.46</v>
      </c>
      <c r="D190" s="33">
        <v>0.41789999999999999</v>
      </c>
      <c r="E190" s="33">
        <v>4</v>
      </c>
    </row>
    <row r="191" spans="1:5" x14ac:dyDescent="0.3">
      <c r="A191" s="33">
        <v>190</v>
      </c>
      <c r="B191" s="33">
        <v>0.08</v>
      </c>
      <c r="C191" s="33">
        <v>0.53</v>
      </c>
      <c r="D191" s="33">
        <v>0.19400000000000001</v>
      </c>
      <c r="E191" s="33">
        <v>1</v>
      </c>
    </row>
    <row r="192" spans="1:5" x14ac:dyDescent="0.3">
      <c r="A192" s="33">
        <v>191</v>
      </c>
      <c r="B192" s="33">
        <v>0.08</v>
      </c>
      <c r="C192" s="33">
        <v>0.53</v>
      </c>
      <c r="D192" s="33">
        <v>0.19400000000000001</v>
      </c>
      <c r="E192" s="33">
        <v>1</v>
      </c>
    </row>
    <row r="193" spans="1:5" x14ac:dyDescent="0.3">
      <c r="A193" s="33">
        <v>192</v>
      </c>
      <c r="B193" s="33">
        <v>0.1</v>
      </c>
      <c r="C193" s="33">
        <v>0.49</v>
      </c>
      <c r="D193" s="33">
        <v>0.28360000000000002</v>
      </c>
      <c r="E193" s="33">
        <v>1</v>
      </c>
    </row>
    <row r="194" spans="1:5" x14ac:dyDescent="0.3">
      <c r="A194" s="33">
        <v>193</v>
      </c>
      <c r="B194" s="33">
        <v>0.08</v>
      </c>
      <c r="C194" s="33">
        <v>0.53</v>
      </c>
      <c r="D194" s="33">
        <v>0.19400000000000001</v>
      </c>
      <c r="E194" s="33">
        <v>6</v>
      </c>
    </row>
    <row r="195" spans="1:5" x14ac:dyDescent="0.3">
      <c r="A195" s="33">
        <v>194</v>
      </c>
      <c r="B195" s="33">
        <v>0.1</v>
      </c>
      <c r="C195" s="33">
        <v>0.49</v>
      </c>
      <c r="D195" s="33">
        <v>0.28360000000000002</v>
      </c>
      <c r="E195" s="33">
        <v>10</v>
      </c>
    </row>
    <row r="196" spans="1:5" x14ac:dyDescent="0.3">
      <c r="A196" s="33">
        <v>195</v>
      </c>
      <c r="B196" s="33">
        <v>0.12</v>
      </c>
      <c r="C196" s="33">
        <v>0.46</v>
      </c>
      <c r="D196" s="33">
        <v>0.52239999999999998</v>
      </c>
      <c r="E196" s="33">
        <v>19</v>
      </c>
    </row>
    <row r="197" spans="1:5" x14ac:dyDescent="0.3">
      <c r="A197" s="33">
        <v>196</v>
      </c>
      <c r="B197" s="33">
        <v>0.14000000000000001</v>
      </c>
      <c r="C197" s="33">
        <v>0.43</v>
      </c>
      <c r="D197" s="33">
        <v>0.3881</v>
      </c>
      <c r="E197" s="33">
        <v>49</v>
      </c>
    </row>
    <row r="198" spans="1:5" x14ac:dyDescent="0.3">
      <c r="A198" s="33">
        <v>197</v>
      </c>
      <c r="B198" s="33">
        <v>0.16</v>
      </c>
      <c r="C198" s="33">
        <v>0.4</v>
      </c>
      <c r="D198" s="33">
        <v>0.52239999999999998</v>
      </c>
      <c r="E198" s="33">
        <v>49</v>
      </c>
    </row>
    <row r="199" spans="1:5" x14ac:dyDescent="0.3">
      <c r="A199" s="33">
        <v>198</v>
      </c>
      <c r="B199" s="33">
        <v>0.18</v>
      </c>
      <c r="C199" s="33">
        <v>0.37</v>
      </c>
      <c r="D199" s="33">
        <v>0.44779999999999998</v>
      </c>
      <c r="E199" s="33">
        <v>83</v>
      </c>
    </row>
    <row r="200" spans="1:5" x14ac:dyDescent="0.3">
      <c r="A200" s="33">
        <v>199</v>
      </c>
      <c r="B200" s="33">
        <v>0.2</v>
      </c>
      <c r="C200" s="33">
        <v>0.34</v>
      </c>
      <c r="D200" s="33">
        <v>0.44779999999999998</v>
      </c>
      <c r="E200" s="33">
        <v>75</v>
      </c>
    </row>
    <row r="201" spans="1:5" x14ac:dyDescent="0.3">
      <c r="A201" s="33">
        <v>200</v>
      </c>
      <c r="B201" s="33">
        <v>0.22</v>
      </c>
      <c r="C201" s="33">
        <v>0.32</v>
      </c>
      <c r="D201" s="33">
        <v>0.4627</v>
      </c>
      <c r="E201" s="33">
        <v>72</v>
      </c>
    </row>
    <row r="202" spans="1:5" x14ac:dyDescent="0.3">
      <c r="A202" s="33">
        <v>201</v>
      </c>
      <c r="B202" s="33">
        <v>0.22</v>
      </c>
      <c r="C202" s="33">
        <v>0.35</v>
      </c>
      <c r="D202" s="33">
        <v>0.35820000000000002</v>
      </c>
      <c r="E202" s="33">
        <v>82</v>
      </c>
    </row>
    <row r="203" spans="1:5" x14ac:dyDescent="0.3">
      <c r="A203" s="33">
        <v>202</v>
      </c>
      <c r="B203" s="33">
        <v>0.2</v>
      </c>
      <c r="C203" s="33">
        <v>0.34</v>
      </c>
      <c r="D203" s="33">
        <v>0.44779999999999998</v>
      </c>
      <c r="E203" s="33">
        <v>92</v>
      </c>
    </row>
    <row r="204" spans="1:5" x14ac:dyDescent="0.3">
      <c r="A204" s="33">
        <v>203</v>
      </c>
      <c r="B204" s="33">
        <v>0.18</v>
      </c>
      <c r="C204" s="33">
        <v>0.37</v>
      </c>
      <c r="D204" s="33">
        <v>0.3881</v>
      </c>
      <c r="E204" s="33">
        <v>62</v>
      </c>
    </row>
    <row r="205" spans="1:5" x14ac:dyDescent="0.3">
      <c r="A205" s="33">
        <v>204</v>
      </c>
      <c r="B205" s="33">
        <v>0.16</v>
      </c>
      <c r="C205" s="33">
        <v>0.4</v>
      </c>
      <c r="D205" s="33">
        <v>0.32840000000000003</v>
      </c>
      <c r="E205" s="33">
        <v>48</v>
      </c>
    </row>
    <row r="206" spans="1:5" x14ac:dyDescent="0.3">
      <c r="A206" s="33">
        <v>205</v>
      </c>
      <c r="B206" s="33">
        <v>0.16</v>
      </c>
      <c r="C206" s="33">
        <v>0.43</v>
      </c>
      <c r="D206" s="33">
        <v>0.32840000000000003</v>
      </c>
      <c r="E206" s="33">
        <v>41</v>
      </c>
    </row>
    <row r="207" spans="1:5" x14ac:dyDescent="0.3">
      <c r="A207" s="33">
        <v>206</v>
      </c>
      <c r="B207" s="33">
        <v>0.14000000000000001</v>
      </c>
      <c r="C207" s="33">
        <v>0.46</v>
      </c>
      <c r="D207" s="33">
        <v>0.25369999999999998</v>
      </c>
      <c r="E207" s="33">
        <v>38</v>
      </c>
    </row>
    <row r="208" spans="1:5" x14ac:dyDescent="0.3">
      <c r="A208" s="33">
        <v>207</v>
      </c>
      <c r="B208" s="33">
        <v>0.14000000000000001</v>
      </c>
      <c r="C208" s="33">
        <v>0.46</v>
      </c>
      <c r="D208" s="33">
        <v>0.41789999999999999</v>
      </c>
      <c r="E208" s="33">
        <v>20</v>
      </c>
    </row>
    <row r="209" spans="1:5" x14ac:dyDescent="0.3">
      <c r="A209" s="33">
        <v>208</v>
      </c>
      <c r="B209" s="33">
        <v>0.14000000000000001</v>
      </c>
      <c r="C209" s="33">
        <v>0.46</v>
      </c>
      <c r="D209" s="33">
        <v>0.29849999999999999</v>
      </c>
      <c r="E209" s="33">
        <v>15</v>
      </c>
    </row>
    <row r="210" spans="1:5" x14ac:dyDescent="0.3">
      <c r="A210" s="33">
        <v>209</v>
      </c>
      <c r="B210" s="33">
        <v>0.12</v>
      </c>
      <c r="C210" s="33">
        <v>0.5</v>
      </c>
      <c r="D210" s="33">
        <v>0.19400000000000001</v>
      </c>
      <c r="E210" s="33">
        <v>6</v>
      </c>
    </row>
    <row r="211" spans="1:5" x14ac:dyDescent="0.3">
      <c r="A211" s="33">
        <v>210</v>
      </c>
      <c r="B211" s="33">
        <v>0.12</v>
      </c>
      <c r="C211" s="33">
        <v>0.5</v>
      </c>
      <c r="D211" s="33">
        <v>0.28360000000000002</v>
      </c>
      <c r="E211" s="33">
        <v>5</v>
      </c>
    </row>
    <row r="212" spans="1:5" x14ac:dyDescent="0.3">
      <c r="A212" s="33">
        <v>211</v>
      </c>
      <c r="B212" s="33">
        <v>0.12</v>
      </c>
      <c r="C212" s="33">
        <v>0.5</v>
      </c>
      <c r="D212" s="33">
        <v>0.28360000000000002</v>
      </c>
      <c r="E212" s="33">
        <v>1</v>
      </c>
    </row>
    <row r="213" spans="1:5" x14ac:dyDescent="0.3">
      <c r="A213" s="33">
        <v>212</v>
      </c>
      <c r="B213" s="33">
        <v>0.12</v>
      </c>
      <c r="C213" s="33">
        <v>0.5</v>
      </c>
      <c r="D213" s="33">
        <v>0.22389999999999999</v>
      </c>
      <c r="E213" s="33">
        <v>3</v>
      </c>
    </row>
    <row r="214" spans="1:5" x14ac:dyDescent="0.3">
      <c r="A214" s="33">
        <v>213</v>
      </c>
      <c r="B214" s="33">
        <v>0.12</v>
      </c>
      <c r="C214" s="33">
        <v>0.5</v>
      </c>
      <c r="D214" s="33">
        <v>0.22389999999999999</v>
      </c>
      <c r="E214" s="33">
        <v>1</v>
      </c>
    </row>
    <row r="215" spans="1:5" x14ac:dyDescent="0.3">
      <c r="A215" s="33">
        <v>214</v>
      </c>
      <c r="B215" s="33">
        <v>0.1</v>
      </c>
      <c r="C215" s="33">
        <v>0.54</v>
      </c>
      <c r="D215" s="33">
        <v>0.1343</v>
      </c>
      <c r="E215" s="33">
        <v>3</v>
      </c>
    </row>
    <row r="216" spans="1:5" x14ac:dyDescent="0.3">
      <c r="A216" s="33">
        <v>215</v>
      </c>
      <c r="B216" s="33">
        <v>0.1</v>
      </c>
      <c r="C216" s="33">
        <v>0.54</v>
      </c>
      <c r="D216" s="33">
        <v>0.25369999999999998</v>
      </c>
      <c r="E216" s="33">
        <v>3</v>
      </c>
    </row>
    <row r="217" spans="1:5" x14ac:dyDescent="0.3">
      <c r="A217" s="33">
        <v>216</v>
      </c>
      <c r="B217" s="33">
        <v>0.12</v>
      </c>
      <c r="C217" s="33">
        <v>0.5</v>
      </c>
      <c r="D217" s="33">
        <v>0.28360000000000002</v>
      </c>
      <c r="E217" s="33">
        <v>31</v>
      </c>
    </row>
    <row r="218" spans="1:5" x14ac:dyDescent="0.3">
      <c r="A218" s="33">
        <v>217</v>
      </c>
      <c r="B218" s="33">
        <v>0.12</v>
      </c>
      <c r="C218" s="33">
        <v>0.5</v>
      </c>
      <c r="D218" s="33">
        <v>0.22389999999999999</v>
      </c>
      <c r="E218" s="33">
        <v>77</v>
      </c>
    </row>
    <row r="219" spans="1:5" x14ac:dyDescent="0.3">
      <c r="A219" s="33">
        <v>218</v>
      </c>
      <c r="B219" s="33">
        <v>0.12</v>
      </c>
      <c r="C219" s="33">
        <v>0.5</v>
      </c>
      <c r="D219" s="33">
        <v>0.28360000000000002</v>
      </c>
      <c r="E219" s="33">
        <v>188</v>
      </c>
    </row>
    <row r="220" spans="1:5" x14ac:dyDescent="0.3">
      <c r="A220" s="33">
        <v>219</v>
      </c>
      <c r="B220" s="33">
        <v>0.14000000000000001</v>
      </c>
      <c r="C220" s="33">
        <v>0.5</v>
      </c>
      <c r="D220" s="33">
        <v>0.25369999999999998</v>
      </c>
      <c r="E220" s="33">
        <v>94</v>
      </c>
    </row>
    <row r="221" spans="1:5" x14ac:dyDescent="0.3">
      <c r="A221" s="33">
        <v>220</v>
      </c>
      <c r="B221" s="33">
        <v>0.14000000000000001</v>
      </c>
      <c r="C221" s="33">
        <v>0.5</v>
      </c>
      <c r="D221" s="33">
        <v>0.29849999999999999</v>
      </c>
      <c r="E221" s="33">
        <v>31</v>
      </c>
    </row>
    <row r="222" spans="1:5" x14ac:dyDescent="0.3">
      <c r="A222" s="33">
        <v>221</v>
      </c>
      <c r="B222" s="33">
        <v>0.16</v>
      </c>
      <c r="C222" s="33">
        <v>0.47</v>
      </c>
      <c r="D222" s="33">
        <v>0.28360000000000002</v>
      </c>
      <c r="E222" s="33">
        <v>30</v>
      </c>
    </row>
    <row r="223" spans="1:5" x14ac:dyDescent="0.3">
      <c r="A223" s="33">
        <v>222</v>
      </c>
      <c r="B223" s="33">
        <v>0.2</v>
      </c>
      <c r="C223" s="33">
        <v>0.4</v>
      </c>
      <c r="D223" s="33">
        <v>0.28360000000000002</v>
      </c>
      <c r="E223" s="33">
        <v>52</v>
      </c>
    </row>
    <row r="224" spans="1:5" x14ac:dyDescent="0.3">
      <c r="A224" s="33">
        <v>223</v>
      </c>
      <c r="B224" s="33">
        <v>0.2</v>
      </c>
      <c r="C224" s="33">
        <v>0.4</v>
      </c>
      <c r="D224" s="33">
        <v>0.28360000000000002</v>
      </c>
      <c r="E224" s="33">
        <v>54</v>
      </c>
    </row>
    <row r="225" spans="1:5" x14ac:dyDescent="0.3">
      <c r="A225" s="33">
        <v>224</v>
      </c>
      <c r="B225" s="33">
        <v>0.2</v>
      </c>
      <c r="C225" s="33">
        <v>0.4</v>
      </c>
      <c r="D225" s="33">
        <v>0.22389999999999999</v>
      </c>
      <c r="E225" s="33">
        <v>47</v>
      </c>
    </row>
    <row r="226" spans="1:5" x14ac:dyDescent="0.3">
      <c r="A226" s="33">
        <v>225</v>
      </c>
      <c r="B226" s="33">
        <v>0.2</v>
      </c>
      <c r="C226" s="33">
        <v>0.4</v>
      </c>
      <c r="D226" s="33">
        <v>0.22389999999999999</v>
      </c>
      <c r="E226" s="33">
        <v>45</v>
      </c>
    </row>
    <row r="227" spans="1:5" x14ac:dyDescent="0.3">
      <c r="A227" s="33">
        <v>226</v>
      </c>
      <c r="B227" s="33">
        <v>0.2</v>
      </c>
      <c r="C227" s="33">
        <v>0.4</v>
      </c>
      <c r="D227" s="33">
        <v>0.1343</v>
      </c>
      <c r="E227" s="33">
        <v>74</v>
      </c>
    </row>
    <row r="228" spans="1:5" x14ac:dyDescent="0.3">
      <c r="A228" s="33">
        <v>227</v>
      </c>
      <c r="B228" s="33">
        <v>0.2</v>
      </c>
      <c r="C228" s="33">
        <v>0.4</v>
      </c>
      <c r="D228" s="33">
        <v>0.1045</v>
      </c>
      <c r="E228" s="33">
        <v>178</v>
      </c>
    </row>
    <row r="229" spans="1:5" x14ac:dyDescent="0.3">
      <c r="A229" s="33">
        <v>228</v>
      </c>
      <c r="B229" s="33">
        <v>0.2</v>
      </c>
      <c r="C229" s="33">
        <v>0.4</v>
      </c>
      <c r="D229" s="33">
        <v>0.22389999999999999</v>
      </c>
      <c r="E229" s="33">
        <v>155</v>
      </c>
    </row>
    <row r="230" spans="1:5" x14ac:dyDescent="0.3">
      <c r="A230" s="33">
        <v>229</v>
      </c>
      <c r="B230" s="33">
        <v>0.16</v>
      </c>
      <c r="C230" s="33">
        <v>0.47</v>
      </c>
      <c r="D230" s="33">
        <v>0.16420000000000001</v>
      </c>
      <c r="E230" s="33">
        <v>95</v>
      </c>
    </row>
    <row r="231" spans="1:5" x14ac:dyDescent="0.3">
      <c r="A231" s="33">
        <v>230</v>
      </c>
      <c r="B231" s="33">
        <v>0.16</v>
      </c>
      <c r="C231" s="33">
        <v>0.5</v>
      </c>
      <c r="D231" s="33">
        <v>0.16420000000000001</v>
      </c>
      <c r="E231" s="33">
        <v>74</v>
      </c>
    </row>
    <row r="232" spans="1:5" x14ac:dyDescent="0.3">
      <c r="A232" s="33">
        <v>231</v>
      </c>
      <c r="B232" s="33">
        <v>0.14000000000000001</v>
      </c>
      <c r="C232" s="33">
        <v>0.59</v>
      </c>
      <c r="D232" s="33">
        <v>0.19400000000000001</v>
      </c>
      <c r="E232" s="33">
        <v>38</v>
      </c>
    </row>
    <row r="233" spans="1:5" x14ac:dyDescent="0.3">
      <c r="A233" s="33">
        <v>232</v>
      </c>
      <c r="B233" s="33">
        <v>0.14000000000000001</v>
      </c>
      <c r="C233" s="33">
        <v>0.59</v>
      </c>
      <c r="D233" s="33">
        <v>0.16420000000000001</v>
      </c>
      <c r="E233" s="33">
        <v>24</v>
      </c>
    </row>
    <row r="234" spans="1:5" x14ac:dyDescent="0.3">
      <c r="A234" s="33">
        <v>233</v>
      </c>
      <c r="B234" s="33">
        <v>0.14000000000000001</v>
      </c>
      <c r="C234" s="33">
        <v>0.59</v>
      </c>
      <c r="D234" s="33">
        <v>0.16420000000000001</v>
      </c>
      <c r="E234" s="33">
        <v>18</v>
      </c>
    </row>
    <row r="235" spans="1:5" x14ac:dyDescent="0.3">
      <c r="A235" s="33">
        <v>234</v>
      </c>
      <c r="B235" s="33">
        <v>0.14000000000000001</v>
      </c>
      <c r="C235" s="33">
        <v>0.59</v>
      </c>
      <c r="D235" s="33">
        <v>0.1045</v>
      </c>
      <c r="E235" s="33">
        <v>12</v>
      </c>
    </row>
    <row r="236" spans="1:5" x14ac:dyDescent="0.3">
      <c r="A236" s="33">
        <v>235</v>
      </c>
      <c r="B236" s="33">
        <v>0.14000000000000001</v>
      </c>
      <c r="C236" s="33">
        <v>0.59</v>
      </c>
      <c r="D236" s="33">
        <v>0.16420000000000001</v>
      </c>
      <c r="E236" s="33">
        <v>3</v>
      </c>
    </row>
    <row r="237" spans="1:5" x14ac:dyDescent="0.3">
      <c r="A237" s="33">
        <v>236</v>
      </c>
      <c r="B237" s="33">
        <v>0.16</v>
      </c>
      <c r="C237" s="33">
        <v>0.55000000000000004</v>
      </c>
      <c r="D237" s="33">
        <v>0.19400000000000001</v>
      </c>
      <c r="E237" s="33">
        <v>3</v>
      </c>
    </row>
    <row r="238" spans="1:5" x14ac:dyDescent="0.3">
      <c r="A238" s="33">
        <v>237</v>
      </c>
      <c r="B238" s="33">
        <v>0.16</v>
      </c>
      <c r="C238" s="33">
        <v>0.55000000000000004</v>
      </c>
      <c r="D238" s="33">
        <v>0.1343</v>
      </c>
      <c r="E238" s="33">
        <v>6</v>
      </c>
    </row>
    <row r="239" spans="1:5" x14ac:dyDescent="0.3">
      <c r="A239" s="33">
        <v>238</v>
      </c>
      <c r="B239" s="33">
        <v>0.16</v>
      </c>
      <c r="C239" s="33">
        <v>0.55000000000000004</v>
      </c>
      <c r="D239" s="33">
        <v>0.1343</v>
      </c>
      <c r="E239" s="33">
        <v>27</v>
      </c>
    </row>
    <row r="240" spans="1:5" x14ac:dyDescent="0.3">
      <c r="A240" s="33">
        <v>239</v>
      </c>
      <c r="B240" s="33">
        <v>0.16</v>
      </c>
      <c r="C240" s="33">
        <v>0.55000000000000004</v>
      </c>
      <c r="D240" s="33">
        <v>0</v>
      </c>
      <c r="E240" s="33">
        <v>99</v>
      </c>
    </row>
    <row r="241" spans="1:5" x14ac:dyDescent="0.3">
      <c r="A241" s="33">
        <v>240</v>
      </c>
      <c r="B241" s="33">
        <v>0.18</v>
      </c>
      <c r="C241" s="33">
        <v>0.51</v>
      </c>
      <c r="D241" s="33">
        <v>8.9599999999999999E-2</v>
      </c>
      <c r="E241" s="33">
        <v>217</v>
      </c>
    </row>
    <row r="242" spans="1:5" x14ac:dyDescent="0.3">
      <c r="A242" s="33">
        <v>241</v>
      </c>
      <c r="B242" s="33">
        <v>0.18</v>
      </c>
      <c r="C242" s="33">
        <v>0.51</v>
      </c>
      <c r="D242" s="33">
        <v>0.16420000000000001</v>
      </c>
      <c r="E242" s="33">
        <v>130</v>
      </c>
    </row>
    <row r="243" spans="1:5" x14ac:dyDescent="0.3">
      <c r="A243" s="33">
        <v>242</v>
      </c>
      <c r="B243" s="33">
        <v>0.2</v>
      </c>
      <c r="C243" s="33">
        <v>0.51</v>
      </c>
      <c r="D243" s="33">
        <v>0.16420000000000001</v>
      </c>
      <c r="E243" s="33">
        <v>54</v>
      </c>
    </row>
    <row r="244" spans="1:5" x14ac:dyDescent="0.3">
      <c r="A244" s="33">
        <v>243</v>
      </c>
      <c r="B244" s="33">
        <v>0.2</v>
      </c>
      <c r="C244" s="33">
        <v>0.47</v>
      </c>
      <c r="D244" s="33">
        <v>0.1343</v>
      </c>
      <c r="E244" s="33">
        <v>35</v>
      </c>
    </row>
    <row r="245" spans="1:5" x14ac:dyDescent="0.3">
      <c r="A245" s="33">
        <v>244</v>
      </c>
      <c r="B245" s="33">
        <v>0.2</v>
      </c>
      <c r="C245" s="33">
        <v>0.51</v>
      </c>
      <c r="D245" s="33">
        <v>0.1045</v>
      </c>
      <c r="E245" s="33">
        <v>57</v>
      </c>
    </row>
    <row r="246" spans="1:5" x14ac:dyDescent="0.3">
      <c r="A246" s="33">
        <v>245</v>
      </c>
      <c r="B246" s="33">
        <v>0.2</v>
      </c>
      <c r="C246" s="33">
        <v>0.59</v>
      </c>
      <c r="D246" s="33">
        <v>8.9599999999999999E-2</v>
      </c>
      <c r="E246" s="33">
        <v>52</v>
      </c>
    </row>
    <row r="247" spans="1:5" x14ac:dyDescent="0.3">
      <c r="A247" s="33">
        <v>246</v>
      </c>
      <c r="B247" s="33">
        <v>0.2</v>
      </c>
      <c r="C247" s="33">
        <v>0.59</v>
      </c>
      <c r="D247" s="33">
        <v>8.9599999999999999E-2</v>
      </c>
      <c r="E247" s="33">
        <v>63</v>
      </c>
    </row>
    <row r="248" spans="1:5" x14ac:dyDescent="0.3">
      <c r="A248" s="33">
        <v>247</v>
      </c>
      <c r="B248" s="33">
        <v>0.16</v>
      </c>
      <c r="C248" s="33">
        <v>0.8</v>
      </c>
      <c r="D248" s="33">
        <v>8.9599999999999999E-2</v>
      </c>
      <c r="E248" s="33">
        <v>47</v>
      </c>
    </row>
    <row r="249" spans="1:5" x14ac:dyDescent="0.3">
      <c r="A249" s="33">
        <v>248</v>
      </c>
      <c r="B249" s="33">
        <v>0.16</v>
      </c>
      <c r="C249" s="33">
        <v>0.86</v>
      </c>
      <c r="D249" s="33">
        <v>0.22389999999999999</v>
      </c>
      <c r="E249" s="33">
        <v>76</v>
      </c>
    </row>
    <row r="250" spans="1:5" x14ac:dyDescent="0.3">
      <c r="A250" s="33">
        <v>249</v>
      </c>
      <c r="B250" s="33">
        <v>0.16</v>
      </c>
      <c r="C250" s="33">
        <v>0.86</v>
      </c>
      <c r="D250" s="33">
        <v>0.22389999999999999</v>
      </c>
      <c r="E250" s="33">
        <v>136</v>
      </c>
    </row>
    <row r="251" spans="1:5" x14ac:dyDescent="0.3">
      <c r="A251" s="33">
        <v>250</v>
      </c>
      <c r="B251" s="33">
        <v>0.16</v>
      </c>
      <c r="C251" s="33">
        <v>0.93</v>
      </c>
      <c r="D251" s="33">
        <v>0.1045</v>
      </c>
      <c r="E251" s="33">
        <v>95</v>
      </c>
    </row>
    <row r="252" spans="1:5" x14ac:dyDescent="0.3">
      <c r="A252" s="33">
        <v>251</v>
      </c>
      <c r="B252" s="33">
        <v>0.16</v>
      </c>
      <c r="C252" s="33">
        <v>0.93</v>
      </c>
      <c r="D252" s="33">
        <v>0</v>
      </c>
      <c r="E252" s="33">
        <v>51</v>
      </c>
    </row>
    <row r="253" spans="1:5" x14ac:dyDescent="0.3">
      <c r="A253" s="33">
        <v>252</v>
      </c>
      <c r="B253" s="33">
        <v>0.16</v>
      </c>
      <c r="C253" s="33">
        <v>0.93</v>
      </c>
      <c r="D253" s="33">
        <v>0.19400000000000001</v>
      </c>
      <c r="E253" s="33">
        <v>32</v>
      </c>
    </row>
    <row r="254" spans="1:5" x14ac:dyDescent="0.3">
      <c r="A254" s="33">
        <v>253</v>
      </c>
      <c r="B254" s="33">
        <v>0.16</v>
      </c>
      <c r="C254" s="33">
        <v>0.86</v>
      </c>
      <c r="D254" s="33">
        <v>8.9599999999999999E-2</v>
      </c>
      <c r="E254" s="33">
        <v>20</v>
      </c>
    </row>
    <row r="255" spans="1:5" x14ac:dyDescent="0.3">
      <c r="A255" s="33">
        <v>254</v>
      </c>
      <c r="B255" s="33">
        <v>0.16</v>
      </c>
      <c r="C255" s="33">
        <v>0.93</v>
      </c>
      <c r="D255" s="33">
        <v>0.1045</v>
      </c>
      <c r="E255" s="33">
        <v>29</v>
      </c>
    </row>
    <row r="256" spans="1:5" x14ac:dyDescent="0.3">
      <c r="A256" s="33">
        <v>255</v>
      </c>
      <c r="B256" s="33">
        <v>0.16</v>
      </c>
      <c r="C256" s="33">
        <v>0.93</v>
      </c>
      <c r="D256" s="33">
        <v>8.9599999999999999E-2</v>
      </c>
      <c r="E256" s="33">
        <v>19</v>
      </c>
    </row>
    <row r="257" spans="1:5" x14ac:dyDescent="0.3">
      <c r="A257" s="33">
        <v>256</v>
      </c>
      <c r="B257" s="33">
        <v>0.16</v>
      </c>
      <c r="C257" s="33">
        <v>0.86</v>
      </c>
      <c r="D257" s="33">
        <v>8.9599999999999999E-2</v>
      </c>
      <c r="E257" s="33">
        <v>7</v>
      </c>
    </row>
    <row r="258" spans="1:5" x14ac:dyDescent="0.3">
      <c r="A258" s="33">
        <v>257</v>
      </c>
      <c r="B258" s="33">
        <v>0.16</v>
      </c>
      <c r="C258" s="33">
        <v>0.86</v>
      </c>
      <c r="D258" s="33">
        <v>0.1045</v>
      </c>
      <c r="E258" s="33">
        <v>6</v>
      </c>
    </row>
    <row r="259" spans="1:5" x14ac:dyDescent="0.3">
      <c r="A259" s="33">
        <v>258</v>
      </c>
      <c r="B259" s="33">
        <v>0.14000000000000001</v>
      </c>
      <c r="C259" s="33">
        <v>0.86</v>
      </c>
      <c r="D259" s="33">
        <v>0.1343</v>
      </c>
      <c r="E259" s="33">
        <v>1</v>
      </c>
    </row>
    <row r="260" spans="1:5" x14ac:dyDescent="0.3">
      <c r="A260" s="33">
        <v>259</v>
      </c>
      <c r="B260" s="33">
        <v>0.14000000000000001</v>
      </c>
      <c r="C260" s="33">
        <v>0.86</v>
      </c>
      <c r="D260" s="33">
        <v>0.16420000000000001</v>
      </c>
      <c r="E260" s="33">
        <v>5</v>
      </c>
    </row>
    <row r="261" spans="1:5" x14ac:dyDescent="0.3">
      <c r="A261" s="33">
        <v>260</v>
      </c>
      <c r="B261" s="33">
        <v>0.12</v>
      </c>
      <c r="C261" s="33">
        <v>0.93</v>
      </c>
      <c r="D261" s="33">
        <v>0.1343</v>
      </c>
      <c r="E261" s="33">
        <v>16</v>
      </c>
    </row>
    <row r="262" spans="1:5" x14ac:dyDescent="0.3">
      <c r="A262" s="33">
        <v>261</v>
      </c>
      <c r="B262" s="33">
        <v>0.14000000000000001</v>
      </c>
      <c r="C262" s="33">
        <v>0.69</v>
      </c>
      <c r="D262" s="33">
        <v>0.1343</v>
      </c>
      <c r="E262" s="33">
        <v>54</v>
      </c>
    </row>
    <row r="263" spans="1:5" x14ac:dyDescent="0.3">
      <c r="A263" s="33">
        <v>262</v>
      </c>
      <c r="B263" s="33">
        <v>0.16</v>
      </c>
      <c r="C263" s="33">
        <v>0.59</v>
      </c>
      <c r="D263" s="33">
        <v>0.16420000000000001</v>
      </c>
      <c r="E263" s="33">
        <v>128</v>
      </c>
    </row>
    <row r="264" spans="1:5" x14ac:dyDescent="0.3">
      <c r="A264" s="33">
        <v>263</v>
      </c>
      <c r="B264" s="33">
        <v>0.16</v>
      </c>
      <c r="C264" s="33">
        <v>0.59</v>
      </c>
      <c r="D264" s="33">
        <v>0.32840000000000003</v>
      </c>
      <c r="E264" s="33">
        <v>81</v>
      </c>
    </row>
    <row r="265" spans="1:5" x14ac:dyDescent="0.3">
      <c r="A265" s="33">
        <v>264</v>
      </c>
      <c r="B265" s="33">
        <v>0.18</v>
      </c>
      <c r="C265" s="33">
        <v>0.55000000000000004</v>
      </c>
      <c r="D265" s="33">
        <v>0.22389999999999999</v>
      </c>
      <c r="E265" s="33">
        <v>39</v>
      </c>
    </row>
    <row r="266" spans="1:5" x14ac:dyDescent="0.3">
      <c r="A266" s="33">
        <v>265</v>
      </c>
      <c r="B266" s="33">
        <v>0.2</v>
      </c>
      <c r="C266" s="33">
        <v>0.51</v>
      </c>
      <c r="D266" s="33">
        <v>0.3881</v>
      </c>
      <c r="E266" s="33">
        <v>35</v>
      </c>
    </row>
    <row r="267" spans="1:5" x14ac:dyDescent="0.3">
      <c r="A267" s="33">
        <v>266</v>
      </c>
      <c r="B267" s="33">
        <v>0.2</v>
      </c>
      <c r="C267" s="33">
        <v>0.47</v>
      </c>
      <c r="D267" s="33">
        <v>0.58209999999999995</v>
      </c>
      <c r="E267" s="33">
        <v>55</v>
      </c>
    </row>
    <row r="268" spans="1:5" x14ac:dyDescent="0.3">
      <c r="A268" s="33">
        <v>267</v>
      </c>
      <c r="B268" s="33">
        <v>0.22</v>
      </c>
      <c r="C268" s="33">
        <v>0.44</v>
      </c>
      <c r="D268" s="33">
        <v>0.35820000000000002</v>
      </c>
      <c r="E268" s="33">
        <v>49</v>
      </c>
    </row>
    <row r="269" spans="1:5" x14ac:dyDescent="0.3">
      <c r="A269" s="33">
        <v>268</v>
      </c>
      <c r="B269" s="33">
        <v>0.2</v>
      </c>
      <c r="C269" s="33">
        <v>0.47</v>
      </c>
      <c r="D269" s="33">
        <v>0.32840000000000003</v>
      </c>
      <c r="E269" s="33">
        <v>44</v>
      </c>
    </row>
    <row r="270" spans="1:5" x14ac:dyDescent="0.3">
      <c r="A270" s="33">
        <v>269</v>
      </c>
      <c r="B270" s="33">
        <v>0.2</v>
      </c>
      <c r="C270" s="33">
        <v>0.47</v>
      </c>
      <c r="D270" s="33">
        <v>0.41789999999999999</v>
      </c>
      <c r="E270" s="33">
        <v>49</v>
      </c>
    </row>
    <row r="271" spans="1:5" x14ac:dyDescent="0.3">
      <c r="A271" s="33">
        <v>270</v>
      </c>
      <c r="B271" s="33">
        <v>0.22</v>
      </c>
      <c r="C271" s="33">
        <v>0.44</v>
      </c>
      <c r="D271" s="33">
        <v>0.32840000000000003</v>
      </c>
      <c r="E271" s="33">
        <v>68</v>
      </c>
    </row>
    <row r="272" spans="1:5" x14ac:dyDescent="0.3">
      <c r="A272" s="33">
        <v>271</v>
      </c>
      <c r="B272" s="33">
        <v>0.2</v>
      </c>
      <c r="C272" s="33">
        <v>0.47</v>
      </c>
      <c r="D272" s="33">
        <v>0.35820000000000002</v>
      </c>
      <c r="E272" s="33">
        <v>139</v>
      </c>
    </row>
    <row r="273" spans="1:5" x14ac:dyDescent="0.3">
      <c r="A273" s="33">
        <v>272</v>
      </c>
      <c r="B273" s="33">
        <v>0.2</v>
      </c>
      <c r="C273" s="33">
        <v>0.47</v>
      </c>
      <c r="D273" s="33">
        <v>0.52239999999999998</v>
      </c>
      <c r="E273" s="33">
        <v>137</v>
      </c>
    </row>
    <row r="274" spans="1:5" x14ac:dyDescent="0.3">
      <c r="A274" s="33">
        <v>273</v>
      </c>
      <c r="B274" s="33">
        <v>0.18</v>
      </c>
      <c r="C274" s="33">
        <v>0.47</v>
      </c>
      <c r="D274" s="33">
        <v>0.41789999999999999</v>
      </c>
      <c r="E274" s="33">
        <v>83</v>
      </c>
    </row>
    <row r="275" spans="1:5" x14ac:dyDescent="0.3">
      <c r="A275" s="33">
        <v>274</v>
      </c>
      <c r="B275" s="33">
        <v>0.16</v>
      </c>
      <c r="C275" s="33">
        <v>0.5</v>
      </c>
      <c r="D275" s="33">
        <v>0.32840000000000003</v>
      </c>
      <c r="E275" s="33">
        <v>56</v>
      </c>
    </row>
    <row r="276" spans="1:5" x14ac:dyDescent="0.3">
      <c r="A276" s="33">
        <v>275</v>
      </c>
      <c r="B276" s="33">
        <v>0.16</v>
      </c>
      <c r="C276" s="33">
        <v>0.55000000000000004</v>
      </c>
      <c r="D276" s="33">
        <v>0.32840000000000003</v>
      </c>
      <c r="E276" s="33">
        <v>57</v>
      </c>
    </row>
    <row r="277" spans="1:5" x14ac:dyDescent="0.3">
      <c r="A277" s="33">
        <v>276</v>
      </c>
      <c r="B277" s="33">
        <v>0.16</v>
      </c>
      <c r="C277" s="33">
        <v>0.55000000000000004</v>
      </c>
      <c r="D277" s="33">
        <v>0.44779999999999998</v>
      </c>
      <c r="E277" s="33">
        <v>33</v>
      </c>
    </row>
    <row r="278" spans="1:5" x14ac:dyDescent="0.3">
      <c r="A278" s="33">
        <v>277</v>
      </c>
      <c r="B278" s="33">
        <v>0.14000000000000001</v>
      </c>
      <c r="C278" s="33">
        <v>0.59</v>
      </c>
      <c r="D278" s="33">
        <v>0.41789999999999999</v>
      </c>
      <c r="E278" s="33">
        <v>20</v>
      </c>
    </row>
    <row r="279" spans="1:5" x14ac:dyDescent="0.3">
      <c r="A279" s="33">
        <v>278</v>
      </c>
      <c r="B279" s="33">
        <v>0.14000000000000001</v>
      </c>
      <c r="C279" s="33">
        <v>0.59</v>
      </c>
      <c r="D279" s="33">
        <v>0.28360000000000002</v>
      </c>
      <c r="E279" s="33">
        <v>7</v>
      </c>
    </row>
    <row r="280" spans="1:5" x14ac:dyDescent="0.3">
      <c r="A280" s="33">
        <v>279</v>
      </c>
      <c r="B280" s="33">
        <v>0.14000000000000001</v>
      </c>
      <c r="C280" s="33">
        <v>0.5</v>
      </c>
      <c r="D280" s="33">
        <v>0.28360000000000002</v>
      </c>
      <c r="E280" s="33">
        <v>2</v>
      </c>
    </row>
    <row r="281" spans="1:5" x14ac:dyDescent="0.3">
      <c r="A281" s="33">
        <v>280</v>
      </c>
      <c r="B281" s="33">
        <v>0.14000000000000001</v>
      </c>
      <c r="C281" s="33">
        <v>0.5</v>
      </c>
      <c r="D281" s="33">
        <v>0.35820000000000002</v>
      </c>
      <c r="E281" s="33">
        <v>2</v>
      </c>
    </row>
    <row r="282" spans="1:5" x14ac:dyDescent="0.3">
      <c r="A282" s="33">
        <v>281</v>
      </c>
      <c r="B282" s="33">
        <v>0.14000000000000001</v>
      </c>
      <c r="C282" s="33">
        <v>0.5</v>
      </c>
      <c r="D282" s="33">
        <v>0.32840000000000003</v>
      </c>
      <c r="E282" s="33">
        <v>3</v>
      </c>
    </row>
    <row r="283" spans="1:5" x14ac:dyDescent="0.3">
      <c r="A283" s="33">
        <v>282</v>
      </c>
      <c r="B283" s="33">
        <v>0.14000000000000001</v>
      </c>
      <c r="C283" s="33">
        <v>0.5</v>
      </c>
      <c r="D283" s="33">
        <v>0.25369999999999998</v>
      </c>
      <c r="E283" s="33">
        <v>4</v>
      </c>
    </row>
    <row r="284" spans="1:5" x14ac:dyDescent="0.3">
      <c r="A284" s="33">
        <v>283</v>
      </c>
      <c r="B284" s="33">
        <v>0.14000000000000001</v>
      </c>
      <c r="C284" s="33">
        <v>0.5</v>
      </c>
      <c r="D284" s="33">
        <v>0.29849999999999999</v>
      </c>
      <c r="E284" s="33">
        <v>3</v>
      </c>
    </row>
    <row r="285" spans="1:5" x14ac:dyDescent="0.3">
      <c r="A285" s="33">
        <v>284</v>
      </c>
      <c r="B285" s="33">
        <v>0.12</v>
      </c>
      <c r="C285" s="33">
        <v>0.54</v>
      </c>
      <c r="D285" s="33">
        <v>0.1343</v>
      </c>
      <c r="E285" s="33">
        <v>28</v>
      </c>
    </row>
    <row r="286" spans="1:5" x14ac:dyDescent="0.3">
      <c r="A286" s="33">
        <v>285</v>
      </c>
      <c r="B286" s="33">
        <v>0.12</v>
      </c>
      <c r="C286" s="33">
        <v>0.54</v>
      </c>
      <c r="D286" s="33">
        <v>0.1343</v>
      </c>
      <c r="E286" s="33">
        <v>72</v>
      </c>
    </row>
    <row r="287" spans="1:5" x14ac:dyDescent="0.3">
      <c r="A287" s="33">
        <v>286</v>
      </c>
      <c r="B287" s="33">
        <v>0.14000000000000001</v>
      </c>
      <c r="C287" s="33">
        <v>0.5</v>
      </c>
      <c r="D287" s="33">
        <v>0.19400000000000001</v>
      </c>
      <c r="E287" s="33">
        <v>202</v>
      </c>
    </row>
    <row r="288" spans="1:5" x14ac:dyDescent="0.3">
      <c r="A288" s="33">
        <v>287</v>
      </c>
      <c r="B288" s="33">
        <v>0.14000000000000001</v>
      </c>
      <c r="C288" s="33">
        <v>0.5</v>
      </c>
      <c r="D288" s="33">
        <v>0.32840000000000003</v>
      </c>
      <c r="E288" s="33">
        <v>139</v>
      </c>
    </row>
    <row r="289" spans="1:5" x14ac:dyDescent="0.3">
      <c r="A289" s="33">
        <v>288</v>
      </c>
      <c r="B289" s="33">
        <v>0.16</v>
      </c>
      <c r="C289" s="33">
        <v>0.5</v>
      </c>
      <c r="D289" s="33">
        <v>0.35820000000000002</v>
      </c>
      <c r="E289" s="33">
        <v>38</v>
      </c>
    </row>
    <row r="290" spans="1:5" x14ac:dyDescent="0.3">
      <c r="A290" s="33">
        <v>289</v>
      </c>
      <c r="B290" s="33">
        <v>0.2</v>
      </c>
      <c r="C290" s="33">
        <v>0.44</v>
      </c>
      <c r="D290" s="33">
        <v>0.44779999999999998</v>
      </c>
      <c r="E290" s="33">
        <v>37</v>
      </c>
    </row>
    <row r="291" spans="1:5" x14ac:dyDescent="0.3">
      <c r="A291" s="33">
        <v>290</v>
      </c>
      <c r="B291" s="33">
        <v>0.2</v>
      </c>
      <c r="C291" s="33">
        <v>0.44</v>
      </c>
      <c r="D291" s="33">
        <v>0.41789999999999999</v>
      </c>
      <c r="E291" s="33">
        <v>52</v>
      </c>
    </row>
    <row r="292" spans="1:5" x14ac:dyDescent="0.3">
      <c r="A292" s="33">
        <v>291</v>
      </c>
      <c r="B292" s="33">
        <v>0.22</v>
      </c>
      <c r="C292" s="33">
        <v>0.41</v>
      </c>
      <c r="D292" s="33">
        <v>0.44779999999999998</v>
      </c>
      <c r="E292" s="33">
        <v>83</v>
      </c>
    </row>
    <row r="293" spans="1:5" x14ac:dyDescent="0.3">
      <c r="A293" s="33">
        <v>292</v>
      </c>
      <c r="B293" s="33">
        <v>0.22</v>
      </c>
      <c r="C293" s="33">
        <v>0.41</v>
      </c>
      <c r="D293" s="33">
        <v>0.3881</v>
      </c>
      <c r="E293" s="33">
        <v>42</v>
      </c>
    </row>
    <row r="294" spans="1:5" x14ac:dyDescent="0.3">
      <c r="A294" s="33">
        <v>293</v>
      </c>
      <c r="B294" s="33">
        <v>0.24</v>
      </c>
      <c r="C294" s="33">
        <v>0.38</v>
      </c>
      <c r="D294" s="33">
        <v>0.29849999999999999</v>
      </c>
      <c r="E294" s="33">
        <v>60</v>
      </c>
    </row>
    <row r="295" spans="1:5" x14ac:dyDescent="0.3">
      <c r="A295" s="33">
        <v>294</v>
      </c>
      <c r="B295" s="33">
        <v>0.24</v>
      </c>
      <c r="C295" s="33">
        <v>0.38</v>
      </c>
      <c r="D295" s="33">
        <v>0.35820000000000002</v>
      </c>
      <c r="E295" s="33">
        <v>78</v>
      </c>
    </row>
    <row r="296" spans="1:5" x14ac:dyDescent="0.3">
      <c r="A296" s="33">
        <v>295</v>
      </c>
      <c r="B296" s="33">
        <v>0.2</v>
      </c>
      <c r="C296" s="33">
        <v>0.4</v>
      </c>
      <c r="D296" s="33">
        <v>0.28360000000000002</v>
      </c>
      <c r="E296" s="33">
        <v>162</v>
      </c>
    </row>
    <row r="297" spans="1:5" x14ac:dyDescent="0.3">
      <c r="A297" s="33">
        <v>296</v>
      </c>
      <c r="B297" s="33">
        <v>0.2</v>
      </c>
      <c r="C297" s="33">
        <v>0.4</v>
      </c>
      <c r="D297" s="33">
        <v>0.32840000000000003</v>
      </c>
      <c r="E297" s="33">
        <v>144</v>
      </c>
    </row>
    <row r="298" spans="1:5" x14ac:dyDescent="0.3">
      <c r="A298" s="33">
        <v>297</v>
      </c>
      <c r="B298" s="33">
        <v>0.16</v>
      </c>
      <c r="C298" s="33">
        <v>0.47</v>
      </c>
      <c r="D298" s="33">
        <v>0.25369999999999998</v>
      </c>
      <c r="E298" s="33">
        <v>99</v>
      </c>
    </row>
    <row r="299" spans="1:5" x14ac:dyDescent="0.3">
      <c r="A299" s="33">
        <v>298</v>
      </c>
      <c r="B299" s="33">
        <v>0.16</v>
      </c>
      <c r="C299" s="33">
        <v>0.47</v>
      </c>
      <c r="D299" s="33">
        <v>0.22389999999999999</v>
      </c>
      <c r="E299" s="33">
        <v>64</v>
      </c>
    </row>
    <row r="300" spans="1:5" x14ac:dyDescent="0.3">
      <c r="A300" s="33">
        <v>299</v>
      </c>
      <c r="B300" s="33">
        <v>0.14000000000000001</v>
      </c>
      <c r="C300" s="33">
        <v>0.46</v>
      </c>
      <c r="D300" s="33">
        <v>0.29849999999999999</v>
      </c>
      <c r="E300" s="33">
        <v>40</v>
      </c>
    </row>
    <row r="301" spans="1:5" x14ac:dyDescent="0.3">
      <c r="A301" s="33">
        <v>300</v>
      </c>
      <c r="B301" s="33">
        <v>0.14000000000000001</v>
      </c>
      <c r="C301" s="33">
        <v>0.46</v>
      </c>
      <c r="D301" s="33">
        <v>0.32840000000000003</v>
      </c>
      <c r="E301" s="33">
        <v>30</v>
      </c>
    </row>
    <row r="302" spans="1:5" x14ac:dyDescent="0.3">
      <c r="A302" s="33">
        <v>301</v>
      </c>
      <c r="B302" s="33">
        <v>0.12</v>
      </c>
      <c r="C302" s="33">
        <v>0.5</v>
      </c>
      <c r="D302" s="33">
        <v>0.19400000000000001</v>
      </c>
      <c r="E302" s="33">
        <v>15</v>
      </c>
    </row>
    <row r="303" spans="1:5" x14ac:dyDescent="0.3">
      <c r="A303" s="33">
        <v>302</v>
      </c>
      <c r="B303" s="33">
        <v>0.12</v>
      </c>
      <c r="C303" s="33">
        <v>0.5</v>
      </c>
      <c r="D303" s="33">
        <v>0.19400000000000001</v>
      </c>
      <c r="E303" s="33">
        <v>14</v>
      </c>
    </row>
    <row r="304" spans="1:5" x14ac:dyDescent="0.3">
      <c r="A304" s="33">
        <v>303</v>
      </c>
      <c r="B304" s="33">
        <v>0.1</v>
      </c>
      <c r="C304" s="33">
        <v>0.54</v>
      </c>
      <c r="D304" s="33">
        <v>0.16420000000000001</v>
      </c>
      <c r="E304" s="33">
        <v>5</v>
      </c>
    </row>
    <row r="305" spans="1:5" x14ac:dyDescent="0.3">
      <c r="A305" s="33">
        <v>304</v>
      </c>
      <c r="B305" s="33">
        <v>0.1</v>
      </c>
      <c r="C305" s="33">
        <v>0.54</v>
      </c>
      <c r="D305" s="33">
        <v>0.1343</v>
      </c>
      <c r="E305" s="33">
        <v>1</v>
      </c>
    </row>
    <row r="306" spans="1:5" x14ac:dyDescent="0.3">
      <c r="A306" s="33">
        <v>305</v>
      </c>
      <c r="B306" s="33">
        <v>0.1</v>
      </c>
      <c r="C306" s="33">
        <v>0.54</v>
      </c>
      <c r="D306" s="33">
        <v>0.1045</v>
      </c>
      <c r="E306" s="33">
        <v>1</v>
      </c>
    </row>
    <row r="307" spans="1:5" x14ac:dyDescent="0.3">
      <c r="A307" s="33">
        <v>306</v>
      </c>
      <c r="B307" s="33">
        <v>0.1</v>
      </c>
      <c r="C307" s="33">
        <v>0.54</v>
      </c>
      <c r="D307" s="33">
        <v>8.9599999999999999E-2</v>
      </c>
      <c r="E307" s="33">
        <v>8</v>
      </c>
    </row>
    <row r="308" spans="1:5" x14ac:dyDescent="0.3">
      <c r="A308" s="33">
        <v>307</v>
      </c>
      <c r="B308" s="33">
        <v>0.1</v>
      </c>
      <c r="C308" s="33">
        <v>0.54</v>
      </c>
      <c r="D308" s="33">
        <v>0</v>
      </c>
      <c r="E308" s="33">
        <v>17</v>
      </c>
    </row>
    <row r="309" spans="1:5" x14ac:dyDescent="0.3">
      <c r="A309" s="33">
        <v>308</v>
      </c>
      <c r="B309" s="33">
        <v>0.1</v>
      </c>
      <c r="C309" s="33">
        <v>0.74</v>
      </c>
      <c r="D309" s="33">
        <v>0.16420000000000001</v>
      </c>
      <c r="E309" s="33">
        <v>70</v>
      </c>
    </row>
    <row r="310" spans="1:5" x14ac:dyDescent="0.3">
      <c r="A310" s="33">
        <v>309</v>
      </c>
      <c r="B310" s="33">
        <v>0.12</v>
      </c>
      <c r="C310" s="33">
        <v>0.68</v>
      </c>
      <c r="D310" s="33">
        <v>0</v>
      </c>
      <c r="E310" s="33">
        <v>158</v>
      </c>
    </row>
    <row r="311" spans="1:5" x14ac:dyDescent="0.3">
      <c r="A311" s="33">
        <v>310</v>
      </c>
      <c r="B311" s="33">
        <v>0.14000000000000001</v>
      </c>
      <c r="C311" s="33">
        <v>0.69</v>
      </c>
      <c r="D311" s="33">
        <v>0.1343</v>
      </c>
      <c r="E311" s="33">
        <v>117</v>
      </c>
    </row>
    <row r="312" spans="1:5" x14ac:dyDescent="0.3">
      <c r="A312" s="33">
        <v>311</v>
      </c>
      <c r="B312" s="33">
        <v>0.18</v>
      </c>
      <c r="C312" s="33">
        <v>0.55000000000000004</v>
      </c>
      <c r="D312" s="33">
        <v>0.19400000000000001</v>
      </c>
      <c r="E312" s="33">
        <v>44</v>
      </c>
    </row>
    <row r="313" spans="1:5" x14ac:dyDescent="0.3">
      <c r="A313" s="33">
        <v>312</v>
      </c>
      <c r="B313" s="33">
        <v>0.18</v>
      </c>
      <c r="C313" s="33">
        <v>0.51</v>
      </c>
      <c r="D313" s="33">
        <v>0.28360000000000002</v>
      </c>
      <c r="E313" s="33">
        <v>53</v>
      </c>
    </row>
    <row r="314" spans="1:5" x14ac:dyDescent="0.3">
      <c r="A314" s="33">
        <v>313</v>
      </c>
      <c r="B314" s="33">
        <v>0.2</v>
      </c>
      <c r="C314" s="33">
        <v>0.44</v>
      </c>
      <c r="D314" s="33">
        <v>0.25369999999999998</v>
      </c>
      <c r="E314" s="33">
        <v>61</v>
      </c>
    </row>
    <row r="315" spans="1:5" x14ac:dyDescent="0.3">
      <c r="A315" s="33">
        <v>314</v>
      </c>
      <c r="B315" s="33">
        <v>0.22</v>
      </c>
      <c r="C315" s="33">
        <v>0.37</v>
      </c>
      <c r="D315" s="33">
        <v>0.3881</v>
      </c>
      <c r="E315" s="33">
        <v>77</v>
      </c>
    </row>
    <row r="316" spans="1:5" x14ac:dyDescent="0.3">
      <c r="A316" s="33">
        <v>315</v>
      </c>
      <c r="B316" s="33">
        <v>0.22</v>
      </c>
      <c r="C316" s="33">
        <v>0.41</v>
      </c>
      <c r="D316" s="33">
        <v>0.28360000000000002</v>
      </c>
      <c r="E316" s="33">
        <v>64</v>
      </c>
    </row>
    <row r="317" spans="1:5" x14ac:dyDescent="0.3">
      <c r="A317" s="33">
        <v>316</v>
      </c>
      <c r="B317" s="33">
        <v>0.24</v>
      </c>
      <c r="C317" s="33">
        <v>0.38</v>
      </c>
      <c r="D317" s="33">
        <v>0.16420000000000001</v>
      </c>
      <c r="E317" s="33">
        <v>68</v>
      </c>
    </row>
    <row r="318" spans="1:5" x14ac:dyDescent="0.3">
      <c r="A318" s="33">
        <v>317</v>
      </c>
      <c r="B318" s="33">
        <v>0.22</v>
      </c>
      <c r="C318" s="33">
        <v>0.41</v>
      </c>
      <c r="D318" s="33">
        <v>0.1045</v>
      </c>
      <c r="E318" s="33">
        <v>90</v>
      </c>
    </row>
    <row r="319" spans="1:5" x14ac:dyDescent="0.3">
      <c r="A319" s="33">
        <v>318</v>
      </c>
      <c r="B319" s="33">
        <v>0.22</v>
      </c>
      <c r="C319" s="33">
        <v>0.41</v>
      </c>
      <c r="D319" s="33">
        <v>0.16420000000000001</v>
      </c>
      <c r="E319" s="33">
        <v>159</v>
      </c>
    </row>
    <row r="320" spans="1:5" x14ac:dyDescent="0.3">
      <c r="A320" s="33">
        <v>319</v>
      </c>
      <c r="B320" s="33">
        <v>0.2</v>
      </c>
      <c r="C320" s="33">
        <v>0.47</v>
      </c>
      <c r="D320" s="33">
        <v>0</v>
      </c>
      <c r="E320" s="33">
        <v>139</v>
      </c>
    </row>
    <row r="321" spans="1:5" x14ac:dyDescent="0.3">
      <c r="A321" s="33">
        <v>320</v>
      </c>
      <c r="B321" s="33">
        <v>0.16</v>
      </c>
      <c r="C321" s="33">
        <v>0.59</v>
      </c>
      <c r="D321" s="33">
        <v>8.9599999999999999E-2</v>
      </c>
      <c r="E321" s="33">
        <v>92</v>
      </c>
    </row>
    <row r="322" spans="1:5" x14ac:dyDescent="0.3">
      <c r="A322" s="33">
        <v>321</v>
      </c>
      <c r="B322" s="33">
        <v>0.18</v>
      </c>
      <c r="C322" s="33">
        <v>0.59</v>
      </c>
      <c r="D322" s="33">
        <v>0</v>
      </c>
      <c r="E322" s="33">
        <v>68</v>
      </c>
    </row>
    <row r="323" spans="1:5" x14ac:dyDescent="0.3">
      <c r="A323" s="33">
        <v>322</v>
      </c>
      <c r="B323" s="33">
        <v>0.16</v>
      </c>
      <c r="C323" s="33">
        <v>0.69</v>
      </c>
      <c r="D323" s="33">
        <v>0</v>
      </c>
      <c r="E323" s="33">
        <v>52</v>
      </c>
    </row>
    <row r="324" spans="1:5" x14ac:dyDescent="0.3">
      <c r="A324" s="33">
        <v>323</v>
      </c>
      <c r="B324" s="33">
        <v>0.16</v>
      </c>
      <c r="C324" s="33">
        <v>0.69</v>
      </c>
      <c r="D324" s="33">
        <v>0</v>
      </c>
      <c r="E324" s="33">
        <v>36</v>
      </c>
    </row>
    <row r="325" spans="1:5" x14ac:dyDescent="0.3">
      <c r="A325" s="33">
        <v>324</v>
      </c>
      <c r="B325" s="33">
        <v>0.18</v>
      </c>
      <c r="C325" s="33">
        <v>0.55000000000000004</v>
      </c>
      <c r="D325" s="33">
        <v>0</v>
      </c>
      <c r="E325" s="33">
        <v>27</v>
      </c>
    </row>
    <row r="326" spans="1:5" x14ac:dyDescent="0.3">
      <c r="A326" s="33">
        <v>325</v>
      </c>
      <c r="B326" s="33">
        <v>0.18</v>
      </c>
      <c r="C326" s="33">
        <v>0.55000000000000004</v>
      </c>
      <c r="D326" s="33">
        <v>0</v>
      </c>
      <c r="E326" s="33">
        <v>28</v>
      </c>
    </row>
    <row r="327" spans="1:5" x14ac:dyDescent="0.3">
      <c r="A327" s="33">
        <v>326</v>
      </c>
      <c r="B327" s="33">
        <v>0.16</v>
      </c>
      <c r="C327" s="33">
        <v>0.59</v>
      </c>
      <c r="D327" s="33">
        <v>8.9599999999999999E-2</v>
      </c>
      <c r="E327" s="33">
        <v>20</v>
      </c>
    </row>
    <row r="328" spans="1:5" x14ac:dyDescent="0.3">
      <c r="A328" s="33">
        <v>327</v>
      </c>
      <c r="B328" s="33">
        <v>0.16</v>
      </c>
      <c r="C328" s="33">
        <v>0.59</v>
      </c>
      <c r="D328" s="33">
        <v>8.9599999999999999E-2</v>
      </c>
      <c r="E328" s="33">
        <v>12</v>
      </c>
    </row>
    <row r="329" spans="1:5" x14ac:dyDescent="0.3">
      <c r="A329" s="33">
        <v>328</v>
      </c>
      <c r="B329" s="33">
        <v>0.16</v>
      </c>
      <c r="C329" s="33">
        <v>0.59</v>
      </c>
      <c r="D329" s="33">
        <v>0</v>
      </c>
      <c r="E329" s="33">
        <v>8</v>
      </c>
    </row>
    <row r="330" spans="1:5" x14ac:dyDescent="0.3">
      <c r="A330" s="33">
        <v>329</v>
      </c>
      <c r="B330" s="33">
        <v>0.16</v>
      </c>
      <c r="C330" s="33">
        <v>0.59</v>
      </c>
      <c r="D330" s="33">
        <v>0</v>
      </c>
      <c r="E330" s="33">
        <v>5</v>
      </c>
    </row>
    <row r="331" spans="1:5" x14ac:dyDescent="0.3">
      <c r="A331" s="33">
        <v>330</v>
      </c>
      <c r="B331" s="33">
        <v>0.16</v>
      </c>
      <c r="C331" s="33">
        <v>0.59</v>
      </c>
      <c r="D331" s="33">
        <v>0</v>
      </c>
      <c r="E331" s="33">
        <v>1</v>
      </c>
    </row>
    <row r="332" spans="1:5" x14ac:dyDescent="0.3">
      <c r="A332" s="33">
        <v>331</v>
      </c>
      <c r="B332" s="33">
        <v>0.14000000000000001</v>
      </c>
      <c r="C332" s="33">
        <v>0.63</v>
      </c>
      <c r="D332" s="33">
        <v>0.1045</v>
      </c>
      <c r="E332" s="33">
        <v>3</v>
      </c>
    </row>
    <row r="333" spans="1:5" x14ac:dyDescent="0.3">
      <c r="A333" s="33">
        <v>332</v>
      </c>
      <c r="B333" s="33">
        <v>0.14000000000000001</v>
      </c>
      <c r="C333" s="33">
        <v>0.63</v>
      </c>
      <c r="D333" s="33">
        <v>0</v>
      </c>
      <c r="E333" s="33">
        <v>10</v>
      </c>
    </row>
    <row r="334" spans="1:5" x14ac:dyDescent="0.3">
      <c r="A334" s="33">
        <v>333</v>
      </c>
      <c r="B334" s="33">
        <v>0.14000000000000001</v>
      </c>
      <c r="C334" s="33">
        <v>0.63</v>
      </c>
      <c r="D334" s="33">
        <v>0.1343</v>
      </c>
      <c r="E334" s="33">
        <v>23</v>
      </c>
    </row>
    <row r="335" spans="1:5" x14ac:dyDescent="0.3">
      <c r="A335" s="33">
        <v>334</v>
      </c>
      <c r="B335" s="33">
        <v>0.16</v>
      </c>
      <c r="C335" s="33">
        <v>0.64</v>
      </c>
      <c r="D335" s="33">
        <v>0.1343</v>
      </c>
      <c r="E335" s="33">
        <v>33</v>
      </c>
    </row>
    <row r="336" spans="1:5" x14ac:dyDescent="0.3">
      <c r="A336" s="33">
        <v>335</v>
      </c>
      <c r="B336" s="33">
        <v>0.18</v>
      </c>
      <c r="C336" s="33">
        <v>0.59</v>
      </c>
      <c r="D336" s="33">
        <v>0.16420000000000001</v>
      </c>
      <c r="E336" s="33">
        <v>59</v>
      </c>
    </row>
    <row r="337" spans="1:5" x14ac:dyDescent="0.3">
      <c r="A337" s="33">
        <v>336</v>
      </c>
      <c r="B337" s="33">
        <v>0.2</v>
      </c>
      <c r="C337" s="33">
        <v>0.55000000000000004</v>
      </c>
      <c r="D337" s="33">
        <v>0.22389999999999999</v>
      </c>
      <c r="E337" s="33">
        <v>72</v>
      </c>
    </row>
    <row r="338" spans="1:5" x14ac:dyDescent="0.3">
      <c r="A338" s="33">
        <v>337</v>
      </c>
      <c r="B338" s="33">
        <v>0.24</v>
      </c>
      <c r="C338" s="33">
        <v>0.48</v>
      </c>
      <c r="D338" s="33">
        <v>0.22389999999999999</v>
      </c>
      <c r="E338" s="33">
        <v>89</v>
      </c>
    </row>
    <row r="339" spans="1:5" x14ac:dyDescent="0.3">
      <c r="A339" s="33">
        <v>338</v>
      </c>
      <c r="B339" s="33">
        <v>0.28000000000000003</v>
      </c>
      <c r="C339" s="33">
        <v>0.38</v>
      </c>
      <c r="D339" s="33">
        <v>0.29849999999999999</v>
      </c>
      <c r="E339" s="33">
        <v>101</v>
      </c>
    </row>
    <row r="340" spans="1:5" x14ac:dyDescent="0.3">
      <c r="A340" s="33">
        <v>339</v>
      </c>
      <c r="B340" s="33">
        <v>0.3</v>
      </c>
      <c r="C340" s="33">
        <v>0.39</v>
      </c>
      <c r="D340" s="33">
        <v>0.28360000000000002</v>
      </c>
      <c r="E340" s="33">
        <v>118</v>
      </c>
    </row>
    <row r="341" spans="1:5" x14ac:dyDescent="0.3">
      <c r="A341" s="33">
        <v>340</v>
      </c>
      <c r="B341" s="33">
        <v>0.32</v>
      </c>
      <c r="C341" s="33">
        <v>0.36</v>
      </c>
      <c r="D341" s="33">
        <v>0.19400000000000001</v>
      </c>
      <c r="E341" s="33">
        <v>129</v>
      </c>
    </row>
    <row r="342" spans="1:5" x14ac:dyDescent="0.3">
      <c r="A342" s="33">
        <v>341</v>
      </c>
      <c r="B342" s="33">
        <v>0.34</v>
      </c>
      <c r="C342" s="33">
        <v>0.34</v>
      </c>
      <c r="D342" s="33">
        <v>0.19400000000000001</v>
      </c>
      <c r="E342" s="33">
        <v>128</v>
      </c>
    </row>
    <row r="343" spans="1:5" x14ac:dyDescent="0.3">
      <c r="A343" s="33">
        <v>342</v>
      </c>
      <c r="B343" s="33">
        <v>0.32</v>
      </c>
      <c r="C343" s="33">
        <v>0.36</v>
      </c>
      <c r="D343" s="33">
        <v>0.28360000000000002</v>
      </c>
      <c r="E343" s="33">
        <v>83</v>
      </c>
    </row>
    <row r="344" spans="1:5" x14ac:dyDescent="0.3">
      <c r="A344" s="33">
        <v>343</v>
      </c>
      <c r="B344" s="33">
        <v>0.3</v>
      </c>
      <c r="C344" s="33">
        <v>0.45</v>
      </c>
      <c r="D344" s="33">
        <v>0.25369999999999998</v>
      </c>
      <c r="E344" s="33">
        <v>84</v>
      </c>
    </row>
    <row r="345" spans="1:5" x14ac:dyDescent="0.3">
      <c r="A345" s="33">
        <v>344</v>
      </c>
      <c r="B345" s="33">
        <v>0.32</v>
      </c>
      <c r="C345" s="33">
        <v>0.39</v>
      </c>
      <c r="D345" s="33">
        <v>0.25369999999999998</v>
      </c>
      <c r="E345" s="33">
        <v>74</v>
      </c>
    </row>
    <row r="346" spans="1:5" x14ac:dyDescent="0.3">
      <c r="A346" s="33">
        <v>345</v>
      </c>
      <c r="B346" s="33">
        <v>0.32</v>
      </c>
      <c r="C346" s="33">
        <v>0.39</v>
      </c>
      <c r="D346" s="33">
        <v>0.25369999999999998</v>
      </c>
      <c r="E346" s="33">
        <v>41</v>
      </c>
    </row>
    <row r="347" spans="1:5" x14ac:dyDescent="0.3">
      <c r="A347" s="33">
        <v>346</v>
      </c>
      <c r="B347" s="33">
        <v>0.32</v>
      </c>
      <c r="C347" s="33">
        <v>0.39</v>
      </c>
      <c r="D347" s="33">
        <v>0.22389999999999999</v>
      </c>
      <c r="E347" s="33">
        <v>57</v>
      </c>
    </row>
    <row r="348" spans="1:5" x14ac:dyDescent="0.3">
      <c r="A348" s="33">
        <v>347</v>
      </c>
      <c r="B348" s="33">
        <v>0.3</v>
      </c>
      <c r="C348" s="33">
        <v>0.42</v>
      </c>
      <c r="D348" s="33">
        <v>0.1045</v>
      </c>
      <c r="E348" s="33">
        <v>26</v>
      </c>
    </row>
    <row r="349" spans="1:5" x14ac:dyDescent="0.3">
      <c r="A349" s="33">
        <v>348</v>
      </c>
      <c r="B349" s="33">
        <v>0.3</v>
      </c>
      <c r="C349" s="33">
        <v>0.45</v>
      </c>
      <c r="D349" s="33">
        <v>0.28360000000000002</v>
      </c>
      <c r="E349" s="33">
        <v>44</v>
      </c>
    </row>
    <row r="350" spans="1:5" x14ac:dyDescent="0.3">
      <c r="A350" s="33">
        <v>349</v>
      </c>
      <c r="B350" s="33">
        <v>0.26</v>
      </c>
      <c r="C350" s="33">
        <v>0.56000000000000005</v>
      </c>
      <c r="D350" s="33">
        <v>0</v>
      </c>
      <c r="E350" s="33">
        <v>39</v>
      </c>
    </row>
    <row r="351" spans="1:5" x14ac:dyDescent="0.3">
      <c r="A351" s="33">
        <v>350</v>
      </c>
      <c r="B351" s="33">
        <v>0.26</v>
      </c>
      <c r="C351" s="33">
        <v>0.56000000000000005</v>
      </c>
      <c r="D351" s="33">
        <v>0.1343</v>
      </c>
      <c r="E351" s="33">
        <v>23</v>
      </c>
    </row>
    <row r="352" spans="1:5" x14ac:dyDescent="0.3">
      <c r="A352" s="33">
        <v>351</v>
      </c>
      <c r="B352" s="33">
        <v>0.26</v>
      </c>
      <c r="C352" s="33">
        <v>0.56000000000000005</v>
      </c>
      <c r="D352" s="33">
        <v>8.9599999999999999E-2</v>
      </c>
      <c r="E352" s="33">
        <v>16</v>
      </c>
    </row>
    <row r="353" spans="1:5" x14ac:dyDescent="0.3">
      <c r="A353" s="33">
        <v>352</v>
      </c>
      <c r="B353" s="33">
        <v>0.22</v>
      </c>
      <c r="C353" s="33">
        <v>0.69</v>
      </c>
      <c r="D353" s="33">
        <v>0</v>
      </c>
      <c r="E353" s="33">
        <v>15</v>
      </c>
    </row>
    <row r="354" spans="1:5" x14ac:dyDescent="0.3">
      <c r="A354" s="33">
        <v>353</v>
      </c>
      <c r="B354" s="33">
        <v>0.26</v>
      </c>
      <c r="C354" s="33">
        <v>0.56000000000000005</v>
      </c>
      <c r="D354" s="33">
        <v>0.16420000000000001</v>
      </c>
      <c r="E354" s="33">
        <v>1</v>
      </c>
    </row>
    <row r="355" spans="1:5" x14ac:dyDescent="0.3">
      <c r="A355" s="33">
        <v>354</v>
      </c>
      <c r="B355" s="33">
        <v>0.26</v>
      </c>
      <c r="C355" s="33">
        <v>0.56000000000000005</v>
      </c>
      <c r="D355" s="33">
        <v>0.16420000000000001</v>
      </c>
      <c r="E355" s="33">
        <v>2</v>
      </c>
    </row>
    <row r="356" spans="1:5" x14ac:dyDescent="0.3">
      <c r="A356" s="33">
        <v>355</v>
      </c>
      <c r="B356" s="33">
        <v>0.26</v>
      </c>
      <c r="C356" s="33">
        <v>0.56000000000000005</v>
      </c>
      <c r="D356" s="33">
        <v>0.16420000000000001</v>
      </c>
      <c r="E356" s="33">
        <v>1</v>
      </c>
    </row>
    <row r="357" spans="1:5" x14ac:dyDescent="0.3">
      <c r="A357" s="33">
        <v>356</v>
      </c>
      <c r="B357" s="33">
        <v>0.24</v>
      </c>
      <c r="C357" s="33">
        <v>0.56000000000000005</v>
      </c>
      <c r="D357" s="33">
        <v>0.29849999999999999</v>
      </c>
      <c r="E357" s="33">
        <v>3</v>
      </c>
    </row>
    <row r="358" spans="1:5" x14ac:dyDescent="0.3">
      <c r="A358" s="33">
        <v>357</v>
      </c>
      <c r="B358" s="33">
        <v>0.22</v>
      </c>
      <c r="C358" s="33">
        <v>0.55000000000000004</v>
      </c>
      <c r="D358" s="33">
        <v>0.28360000000000002</v>
      </c>
      <c r="E358" s="33">
        <v>18</v>
      </c>
    </row>
    <row r="359" spans="1:5" x14ac:dyDescent="0.3">
      <c r="A359" s="33">
        <v>358</v>
      </c>
      <c r="B359" s="33">
        <v>0.22</v>
      </c>
      <c r="C359" s="33">
        <v>0.51</v>
      </c>
      <c r="D359" s="33">
        <v>0.25369999999999998</v>
      </c>
      <c r="E359" s="33">
        <v>32</v>
      </c>
    </row>
    <row r="360" spans="1:5" x14ac:dyDescent="0.3">
      <c r="A360" s="33">
        <v>359</v>
      </c>
      <c r="B360" s="33">
        <v>0.22</v>
      </c>
      <c r="C360" s="33">
        <v>0.51</v>
      </c>
      <c r="D360" s="33">
        <v>0.28360000000000002</v>
      </c>
      <c r="E360" s="33">
        <v>79</v>
      </c>
    </row>
    <row r="361" spans="1:5" x14ac:dyDescent="0.3">
      <c r="A361" s="33">
        <v>360</v>
      </c>
      <c r="B361" s="33">
        <v>0.24</v>
      </c>
      <c r="C361" s="33">
        <v>0.44</v>
      </c>
      <c r="D361" s="33">
        <v>0.25369999999999998</v>
      </c>
      <c r="E361" s="33">
        <v>93</v>
      </c>
    </row>
    <row r="362" spans="1:5" x14ac:dyDescent="0.3">
      <c r="A362" s="33">
        <v>361</v>
      </c>
      <c r="B362" s="33">
        <v>0.24</v>
      </c>
      <c r="C362" s="33">
        <v>0.41</v>
      </c>
      <c r="D362" s="33">
        <v>0.28360000000000002</v>
      </c>
      <c r="E362" s="33">
        <v>104</v>
      </c>
    </row>
    <row r="363" spans="1:5" x14ac:dyDescent="0.3">
      <c r="A363" s="33">
        <v>362</v>
      </c>
      <c r="B363" s="33">
        <v>0.26</v>
      </c>
      <c r="C363" s="33">
        <v>0.35</v>
      </c>
      <c r="D363" s="33">
        <v>0.29849999999999999</v>
      </c>
      <c r="E363" s="33">
        <v>118</v>
      </c>
    </row>
    <row r="364" spans="1:5" x14ac:dyDescent="0.3">
      <c r="A364" s="33">
        <v>363</v>
      </c>
      <c r="B364" s="33">
        <v>0.28000000000000003</v>
      </c>
      <c r="C364" s="33">
        <v>0.36</v>
      </c>
      <c r="D364" s="33">
        <v>0.25369999999999998</v>
      </c>
      <c r="E364" s="33">
        <v>91</v>
      </c>
    </row>
    <row r="365" spans="1:5" x14ac:dyDescent="0.3">
      <c r="A365" s="33">
        <v>364</v>
      </c>
      <c r="B365" s="33">
        <v>0.26</v>
      </c>
      <c r="C365" s="33">
        <v>0.38</v>
      </c>
      <c r="D365" s="33">
        <v>0.25369999999999998</v>
      </c>
      <c r="E365" s="33">
        <v>113</v>
      </c>
    </row>
    <row r="366" spans="1:5" x14ac:dyDescent="0.3">
      <c r="A366" s="33">
        <v>365</v>
      </c>
      <c r="B366" s="33">
        <v>0.24</v>
      </c>
      <c r="C366" s="33">
        <v>0.38</v>
      </c>
      <c r="D366" s="33">
        <v>0.22389999999999999</v>
      </c>
      <c r="E366" s="33">
        <v>99</v>
      </c>
    </row>
    <row r="367" spans="1:5" x14ac:dyDescent="0.3">
      <c r="A367" s="33">
        <v>366</v>
      </c>
      <c r="B367" s="33">
        <v>0.22</v>
      </c>
      <c r="C367" s="33">
        <v>0.37</v>
      </c>
      <c r="D367" s="33">
        <v>0.25369999999999998</v>
      </c>
      <c r="E367" s="33">
        <v>105</v>
      </c>
    </row>
    <row r="368" spans="1:5" x14ac:dyDescent="0.3">
      <c r="A368" s="33">
        <v>367</v>
      </c>
      <c r="B368" s="33">
        <v>0.2</v>
      </c>
      <c r="C368" s="33">
        <v>0.4</v>
      </c>
      <c r="D368" s="33">
        <v>0.16420000000000001</v>
      </c>
      <c r="E368" s="33">
        <v>67</v>
      </c>
    </row>
    <row r="369" spans="1:5" x14ac:dyDescent="0.3">
      <c r="A369" s="33">
        <v>368</v>
      </c>
      <c r="B369" s="33">
        <v>0.18</v>
      </c>
      <c r="C369" s="33">
        <v>0.47</v>
      </c>
      <c r="D369" s="33">
        <v>0.1343</v>
      </c>
      <c r="E369" s="33">
        <v>61</v>
      </c>
    </row>
    <row r="370" spans="1:5" x14ac:dyDescent="0.3">
      <c r="A370" s="33">
        <v>369</v>
      </c>
      <c r="B370" s="33">
        <v>0.18</v>
      </c>
      <c r="C370" s="33">
        <v>0.47</v>
      </c>
      <c r="D370" s="33">
        <v>0.16420000000000001</v>
      </c>
      <c r="E370" s="33">
        <v>57</v>
      </c>
    </row>
    <row r="371" spans="1:5" x14ac:dyDescent="0.3">
      <c r="A371" s="33">
        <v>370</v>
      </c>
      <c r="B371" s="33">
        <v>0.18</v>
      </c>
      <c r="C371" s="33">
        <v>0.51</v>
      </c>
      <c r="D371" s="33">
        <v>0.16420000000000001</v>
      </c>
      <c r="E371" s="33">
        <v>28</v>
      </c>
    </row>
    <row r="372" spans="1:5" x14ac:dyDescent="0.3">
      <c r="A372" s="33">
        <v>371</v>
      </c>
      <c r="B372" s="33">
        <v>0.2</v>
      </c>
      <c r="C372" s="33">
        <v>0.49</v>
      </c>
      <c r="D372" s="33">
        <v>0.1343</v>
      </c>
      <c r="E372" s="33">
        <v>21</v>
      </c>
    </row>
    <row r="373" spans="1:5" x14ac:dyDescent="0.3">
      <c r="A373" s="33">
        <v>372</v>
      </c>
      <c r="B373" s="33">
        <v>0.2</v>
      </c>
      <c r="C373" s="33">
        <v>0.4</v>
      </c>
      <c r="D373" s="33">
        <v>0.1045</v>
      </c>
      <c r="E373" s="33">
        <v>18</v>
      </c>
    </row>
    <row r="374" spans="1:5" x14ac:dyDescent="0.3">
      <c r="A374" s="33">
        <v>373</v>
      </c>
      <c r="B374" s="33">
        <v>0.2</v>
      </c>
      <c r="C374" s="33">
        <v>0.47</v>
      </c>
      <c r="D374" s="33">
        <v>0.22389999999999999</v>
      </c>
      <c r="E374" s="33">
        <v>17</v>
      </c>
    </row>
    <row r="375" spans="1:5" x14ac:dyDescent="0.3">
      <c r="A375" s="33">
        <v>374</v>
      </c>
      <c r="B375" s="33">
        <v>0.2</v>
      </c>
      <c r="C375" s="33">
        <v>0.44</v>
      </c>
      <c r="D375" s="33">
        <v>0.19400000000000001</v>
      </c>
      <c r="E375" s="33">
        <v>16</v>
      </c>
    </row>
    <row r="376" spans="1:5" x14ac:dyDescent="0.3">
      <c r="A376" s="33">
        <v>375</v>
      </c>
      <c r="B376" s="33">
        <v>0.18</v>
      </c>
      <c r="C376" s="33">
        <v>0.43</v>
      </c>
      <c r="D376" s="33">
        <v>0.25369999999999998</v>
      </c>
      <c r="E376" s="33">
        <v>8</v>
      </c>
    </row>
    <row r="377" spans="1:5" x14ac:dyDescent="0.3">
      <c r="A377" s="33">
        <v>376</v>
      </c>
      <c r="B377" s="33">
        <v>0.18</v>
      </c>
      <c r="C377" s="33">
        <v>0.43</v>
      </c>
      <c r="D377" s="33">
        <v>0.19400000000000001</v>
      </c>
      <c r="E377" s="33">
        <v>2</v>
      </c>
    </row>
    <row r="378" spans="1:5" x14ac:dyDescent="0.3">
      <c r="A378" s="33">
        <v>377</v>
      </c>
      <c r="B378" s="33">
        <v>0.18</v>
      </c>
      <c r="C378" s="33">
        <v>0.43</v>
      </c>
      <c r="D378" s="33">
        <v>0.1343</v>
      </c>
      <c r="E378" s="33">
        <v>3</v>
      </c>
    </row>
    <row r="379" spans="1:5" x14ac:dyDescent="0.3">
      <c r="A379" s="33">
        <v>378</v>
      </c>
      <c r="B379" s="33">
        <v>0.18</v>
      </c>
      <c r="C379" s="33">
        <v>0.43</v>
      </c>
      <c r="D379" s="33">
        <v>0.16420000000000001</v>
      </c>
      <c r="E379" s="33">
        <v>1</v>
      </c>
    </row>
    <row r="380" spans="1:5" x14ac:dyDescent="0.3">
      <c r="A380" s="33">
        <v>379</v>
      </c>
      <c r="B380" s="33">
        <v>0.18</v>
      </c>
      <c r="C380" s="33">
        <v>0.43</v>
      </c>
      <c r="D380" s="33">
        <v>0.19400000000000001</v>
      </c>
      <c r="E380" s="33">
        <v>5</v>
      </c>
    </row>
    <row r="381" spans="1:5" x14ac:dyDescent="0.3">
      <c r="A381" s="33">
        <v>380</v>
      </c>
      <c r="B381" s="33">
        <v>0.16</v>
      </c>
      <c r="C381" s="33">
        <v>0.5</v>
      </c>
      <c r="D381" s="33">
        <v>0.1343</v>
      </c>
      <c r="E381" s="33">
        <v>13</v>
      </c>
    </row>
    <row r="382" spans="1:5" x14ac:dyDescent="0.3">
      <c r="A382" s="33">
        <v>381</v>
      </c>
      <c r="B382" s="33">
        <v>0.16</v>
      </c>
      <c r="C382" s="33">
        <v>0.47</v>
      </c>
      <c r="D382" s="33">
        <v>0.22389999999999999</v>
      </c>
      <c r="E382" s="33">
        <v>33</v>
      </c>
    </row>
    <row r="383" spans="1:5" x14ac:dyDescent="0.3">
      <c r="A383" s="33">
        <v>382</v>
      </c>
      <c r="B383" s="33">
        <v>0.16</v>
      </c>
      <c r="C383" s="33">
        <v>0.47</v>
      </c>
      <c r="D383" s="33">
        <v>0.22389999999999999</v>
      </c>
      <c r="E383" s="33">
        <v>47</v>
      </c>
    </row>
    <row r="384" spans="1:5" x14ac:dyDescent="0.3">
      <c r="A384" s="33">
        <v>383</v>
      </c>
      <c r="B384" s="33">
        <v>0.16</v>
      </c>
      <c r="C384" s="33">
        <v>0.5</v>
      </c>
      <c r="D384" s="33">
        <v>0.25369999999999998</v>
      </c>
      <c r="E384" s="33">
        <v>57</v>
      </c>
    </row>
    <row r="385" spans="1:5" x14ac:dyDescent="0.3">
      <c r="A385" s="33">
        <v>384</v>
      </c>
      <c r="B385" s="33">
        <v>0.16</v>
      </c>
      <c r="C385" s="33">
        <v>0.55000000000000004</v>
      </c>
      <c r="D385" s="33">
        <v>0.19400000000000001</v>
      </c>
      <c r="E385" s="33">
        <v>64</v>
      </c>
    </row>
    <row r="386" spans="1:5" x14ac:dyDescent="0.3">
      <c r="A386" s="33">
        <v>385</v>
      </c>
      <c r="B386" s="33">
        <v>0.18</v>
      </c>
      <c r="C386" s="33">
        <v>0.47</v>
      </c>
      <c r="D386" s="33">
        <v>0.1343</v>
      </c>
      <c r="E386" s="33">
        <v>80</v>
      </c>
    </row>
    <row r="387" spans="1:5" x14ac:dyDescent="0.3">
      <c r="A387" s="33">
        <v>386</v>
      </c>
      <c r="B387" s="33">
        <v>0.18</v>
      </c>
      <c r="C387" s="33">
        <v>0.47</v>
      </c>
      <c r="D387" s="33">
        <v>0.1343</v>
      </c>
      <c r="E387" s="33">
        <v>93</v>
      </c>
    </row>
    <row r="388" spans="1:5" x14ac:dyDescent="0.3">
      <c r="A388" s="33">
        <v>387</v>
      </c>
      <c r="B388" s="33">
        <v>0.18</v>
      </c>
      <c r="C388" s="33">
        <v>0.43</v>
      </c>
      <c r="D388" s="33">
        <v>0.1045</v>
      </c>
      <c r="E388" s="33">
        <v>86</v>
      </c>
    </row>
    <row r="389" spans="1:5" x14ac:dyDescent="0.3">
      <c r="A389" s="33">
        <v>388</v>
      </c>
      <c r="B389" s="33">
        <v>0.2</v>
      </c>
      <c r="C389" s="33">
        <v>0.47</v>
      </c>
      <c r="D389" s="33">
        <v>0.16420000000000001</v>
      </c>
      <c r="E389" s="33">
        <v>93</v>
      </c>
    </row>
    <row r="390" spans="1:5" x14ac:dyDescent="0.3">
      <c r="A390" s="33">
        <v>389</v>
      </c>
      <c r="B390" s="33">
        <v>0.2</v>
      </c>
      <c r="C390" s="33">
        <v>0.47</v>
      </c>
      <c r="D390" s="33">
        <v>0.16420000000000001</v>
      </c>
      <c r="E390" s="33">
        <v>82</v>
      </c>
    </row>
    <row r="391" spans="1:5" x14ac:dyDescent="0.3">
      <c r="A391" s="33">
        <v>390</v>
      </c>
      <c r="B391" s="33">
        <v>0.2</v>
      </c>
      <c r="C391" s="33">
        <v>0.51</v>
      </c>
      <c r="D391" s="33">
        <v>0.19400000000000001</v>
      </c>
      <c r="E391" s="33">
        <v>71</v>
      </c>
    </row>
    <row r="392" spans="1:5" x14ac:dyDescent="0.3">
      <c r="A392" s="33">
        <v>391</v>
      </c>
      <c r="B392" s="33">
        <v>0.18</v>
      </c>
      <c r="C392" s="33">
        <v>0.55000000000000004</v>
      </c>
      <c r="D392" s="33">
        <v>0.25369999999999998</v>
      </c>
      <c r="E392" s="33">
        <v>92</v>
      </c>
    </row>
    <row r="393" spans="1:5" x14ac:dyDescent="0.3">
      <c r="A393" s="33">
        <v>392</v>
      </c>
      <c r="B393" s="33">
        <v>0.18</v>
      </c>
      <c r="C393" s="33">
        <v>0.59</v>
      </c>
      <c r="D393" s="33">
        <v>0.19400000000000001</v>
      </c>
      <c r="E393" s="33">
        <v>60</v>
      </c>
    </row>
    <row r="394" spans="1:5" x14ac:dyDescent="0.3">
      <c r="A394" s="33">
        <v>393</v>
      </c>
      <c r="B394" s="33">
        <v>0.16</v>
      </c>
      <c r="C394" s="33">
        <v>0.8</v>
      </c>
      <c r="D394" s="33">
        <v>0.19400000000000001</v>
      </c>
      <c r="E394" s="33">
        <v>33</v>
      </c>
    </row>
    <row r="395" spans="1:5" x14ac:dyDescent="0.3">
      <c r="A395" s="33">
        <v>394</v>
      </c>
      <c r="B395" s="33">
        <v>0.16</v>
      </c>
      <c r="C395" s="33">
        <v>0.8</v>
      </c>
      <c r="D395" s="33">
        <v>0.19400000000000001</v>
      </c>
      <c r="E395" s="33">
        <v>27</v>
      </c>
    </row>
    <row r="396" spans="1:5" x14ac:dyDescent="0.3">
      <c r="A396" s="33">
        <v>395</v>
      </c>
      <c r="B396" s="33">
        <v>0.14000000000000001</v>
      </c>
      <c r="C396" s="33">
        <v>0.93</v>
      </c>
      <c r="D396" s="33">
        <v>0.25369999999999998</v>
      </c>
      <c r="E396" s="33">
        <v>13</v>
      </c>
    </row>
    <row r="397" spans="1:5" x14ac:dyDescent="0.3">
      <c r="A397" s="33">
        <v>396</v>
      </c>
      <c r="B397" s="33">
        <v>0.16</v>
      </c>
      <c r="C397" s="33">
        <v>0.86</v>
      </c>
      <c r="D397" s="33">
        <v>0.28360000000000002</v>
      </c>
      <c r="E397" s="33">
        <v>4</v>
      </c>
    </row>
    <row r="398" spans="1:5" x14ac:dyDescent="0.3">
      <c r="A398" s="33">
        <v>397</v>
      </c>
      <c r="B398" s="33">
        <v>0.2</v>
      </c>
      <c r="C398" s="33">
        <v>0.86</v>
      </c>
      <c r="D398" s="33">
        <v>0.32840000000000003</v>
      </c>
      <c r="E398" s="33">
        <v>3</v>
      </c>
    </row>
    <row r="399" spans="1:5" x14ac:dyDescent="0.3">
      <c r="A399" s="33">
        <v>398</v>
      </c>
      <c r="B399" s="33">
        <v>0.2</v>
      </c>
      <c r="C399" s="33">
        <v>0.86</v>
      </c>
      <c r="D399" s="33">
        <v>0.22389999999999999</v>
      </c>
      <c r="E399" s="33">
        <v>22</v>
      </c>
    </row>
    <row r="400" spans="1:5" x14ac:dyDescent="0.3">
      <c r="A400" s="33">
        <v>399</v>
      </c>
      <c r="B400" s="33">
        <v>0.22</v>
      </c>
      <c r="C400" s="33">
        <v>0.8</v>
      </c>
      <c r="D400" s="33">
        <v>0.16420000000000001</v>
      </c>
      <c r="E400" s="33">
        <v>28</v>
      </c>
    </row>
    <row r="401" spans="1:5" x14ac:dyDescent="0.3">
      <c r="A401" s="33">
        <v>400</v>
      </c>
      <c r="B401" s="33">
        <v>0.22</v>
      </c>
      <c r="C401" s="33">
        <v>0.87</v>
      </c>
      <c r="D401" s="33">
        <v>0.16420000000000001</v>
      </c>
      <c r="E401" s="33">
        <v>35</v>
      </c>
    </row>
    <row r="402" spans="1:5" x14ac:dyDescent="0.3">
      <c r="A402" s="33">
        <v>401</v>
      </c>
      <c r="B402" s="33">
        <v>0.22</v>
      </c>
      <c r="C402" s="33">
        <v>0.87</v>
      </c>
      <c r="D402" s="33">
        <v>0.19400000000000001</v>
      </c>
      <c r="E402" s="33">
        <v>61</v>
      </c>
    </row>
    <row r="403" spans="1:5" x14ac:dyDescent="0.3">
      <c r="A403" s="33">
        <v>402</v>
      </c>
      <c r="B403" s="33">
        <v>0.22</v>
      </c>
      <c r="C403" s="33">
        <v>0.82</v>
      </c>
      <c r="D403" s="33">
        <v>0.19400000000000001</v>
      </c>
      <c r="E403" s="33">
        <v>125</v>
      </c>
    </row>
    <row r="404" spans="1:5" x14ac:dyDescent="0.3">
      <c r="A404" s="33">
        <v>403</v>
      </c>
      <c r="B404" s="33">
        <v>0.22</v>
      </c>
      <c r="C404" s="33">
        <v>0.8</v>
      </c>
      <c r="D404" s="33">
        <v>0.16420000000000001</v>
      </c>
      <c r="E404" s="33">
        <v>133</v>
      </c>
    </row>
    <row r="405" spans="1:5" x14ac:dyDescent="0.3">
      <c r="A405" s="33">
        <v>404</v>
      </c>
      <c r="B405" s="33">
        <v>0.22</v>
      </c>
      <c r="C405" s="33">
        <v>0.8</v>
      </c>
      <c r="D405" s="33">
        <v>0.1343</v>
      </c>
      <c r="E405" s="33">
        <v>99</v>
      </c>
    </row>
    <row r="406" spans="1:5" x14ac:dyDescent="0.3">
      <c r="A406" s="33">
        <v>405</v>
      </c>
      <c r="B406" s="33">
        <v>0.22</v>
      </c>
      <c r="C406" s="33">
        <v>0.87</v>
      </c>
      <c r="D406" s="33">
        <v>0</v>
      </c>
      <c r="E406" s="33">
        <v>83</v>
      </c>
    </row>
    <row r="407" spans="1:5" x14ac:dyDescent="0.3">
      <c r="A407" s="33">
        <v>406</v>
      </c>
      <c r="B407" s="33">
        <v>0.22</v>
      </c>
      <c r="C407" s="33">
        <v>0.93</v>
      </c>
      <c r="D407" s="33">
        <v>0.1045</v>
      </c>
      <c r="E407" s="33">
        <v>41</v>
      </c>
    </row>
    <row r="408" spans="1:5" x14ac:dyDescent="0.3">
      <c r="A408" s="33">
        <v>407</v>
      </c>
      <c r="B408" s="33">
        <v>0.22</v>
      </c>
      <c r="C408" s="33">
        <v>0.93</v>
      </c>
      <c r="D408" s="33">
        <v>8.9599999999999999E-2</v>
      </c>
      <c r="E408" s="33">
        <v>33</v>
      </c>
    </row>
    <row r="409" spans="1:5" x14ac:dyDescent="0.3">
      <c r="A409" s="33">
        <v>408</v>
      </c>
      <c r="B409" s="33">
        <v>0.22</v>
      </c>
      <c r="C409" s="33">
        <v>0.93</v>
      </c>
      <c r="D409" s="33">
        <v>0</v>
      </c>
      <c r="E409" s="33">
        <v>20</v>
      </c>
    </row>
    <row r="410" spans="1:5" x14ac:dyDescent="0.3">
      <c r="A410" s="33">
        <v>409</v>
      </c>
      <c r="B410" s="33">
        <v>0.22</v>
      </c>
      <c r="C410" s="33">
        <v>0.93</v>
      </c>
      <c r="D410" s="33">
        <v>0</v>
      </c>
      <c r="E410" s="33">
        <v>3</v>
      </c>
    </row>
    <row r="411" spans="1:5" x14ac:dyDescent="0.3">
      <c r="A411" s="33">
        <v>410</v>
      </c>
      <c r="B411" s="33">
        <v>0.22</v>
      </c>
      <c r="C411" s="33">
        <v>0.93</v>
      </c>
      <c r="D411" s="33">
        <v>0.1343</v>
      </c>
      <c r="E411" s="33">
        <v>7</v>
      </c>
    </row>
    <row r="412" spans="1:5" x14ac:dyDescent="0.3">
      <c r="A412" s="33">
        <v>411</v>
      </c>
      <c r="B412" s="33">
        <v>0.22</v>
      </c>
      <c r="C412" s="33">
        <v>0.93</v>
      </c>
      <c r="D412" s="33">
        <v>0.1343</v>
      </c>
      <c r="E412" s="33">
        <v>3</v>
      </c>
    </row>
    <row r="413" spans="1:5" x14ac:dyDescent="0.3">
      <c r="A413" s="33">
        <v>412</v>
      </c>
      <c r="B413" s="33">
        <v>0.22</v>
      </c>
      <c r="C413" s="33">
        <v>0.93</v>
      </c>
      <c r="D413" s="33">
        <v>0.1343</v>
      </c>
      <c r="E413" s="33">
        <v>2</v>
      </c>
    </row>
    <row r="414" spans="1:5" x14ac:dyDescent="0.3">
      <c r="A414" s="33">
        <v>413</v>
      </c>
      <c r="B414" s="33">
        <v>0.22</v>
      </c>
      <c r="C414" s="33">
        <v>0.93</v>
      </c>
      <c r="D414" s="33">
        <v>8.9599999999999999E-2</v>
      </c>
      <c r="E414" s="33">
        <v>7</v>
      </c>
    </row>
    <row r="415" spans="1:5" x14ac:dyDescent="0.3">
      <c r="A415" s="33">
        <v>414</v>
      </c>
      <c r="B415" s="33">
        <v>0.22</v>
      </c>
      <c r="C415" s="33">
        <v>0.93</v>
      </c>
      <c r="D415" s="33">
        <v>8.9599999999999999E-2</v>
      </c>
      <c r="E415" s="33">
        <v>32</v>
      </c>
    </row>
    <row r="416" spans="1:5" x14ac:dyDescent="0.3">
      <c r="A416" s="33">
        <v>415</v>
      </c>
      <c r="B416" s="33">
        <v>0.24</v>
      </c>
      <c r="C416" s="33">
        <v>0.92</v>
      </c>
      <c r="D416" s="33">
        <v>0.1045</v>
      </c>
      <c r="E416" s="33">
        <v>90</v>
      </c>
    </row>
    <row r="417" spans="1:5" x14ac:dyDescent="0.3">
      <c r="A417" s="33">
        <v>416</v>
      </c>
      <c r="B417" s="33">
        <v>0.24</v>
      </c>
      <c r="C417" s="33">
        <v>0.93</v>
      </c>
      <c r="D417" s="33">
        <v>0.1045</v>
      </c>
      <c r="E417" s="33">
        <v>197</v>
      </c>
    </row>
    <row r="418" spans="1:5" x14ac:dyDescent="0.3">
      <c r="A418" s="33">
        <v>417</v>
      </c>
      <c r="B418" s="33">
        <v>0.24</v>
      </c>
      <c r="C418" s="33">
        <v>0.93</v>
      </c>
      <c r="D418" s="33">
        <v>0.1045</v>
      </c>
      <c r="E418" s="33">
        <v>109</v>
      </c>
    </row>
    <row r="419" spans="1:5" x14ac:dyDescent="0.3">
      <c r="A419" s="33">
        <v>418</v>
      </c>
      <c r="B419" s="33">
        <v>0.26</v>
      </c>
      <c r="C419" s="33">
        <v>0.93</v>
      </c>
      <c r="D419" s="33">
        <v>0.1343</v>
      </c>
      <c r="E419" s="33">
        <v>47</v>
      </c>
    </row>
    <row r="420" spans="1:5" x14ac:dyDescent="0.3">
      <c r="A420" s="33">
        <v>419</v>
      </c>
      <c r="B420" s="33">
        <v>0.28000000000000003</v>
      </c>
      <c r="C420" s="33">
        <v>0.87</v>
      </c>
      <c r="D420" s="33">
        <v>8.9599999999999999E-2</v>
      </c>
      <c r="E420" s="33">
        <v>52</v>
      </c>
    </row>
    <row r="421" spans="1:5" x14ac:dyDescent="0.3">
      <c r="A421" s="33">
        <v>420</v>
      </c>
      <c r="B421" s="33">
        <v>0.3</v>
      </c>
      <c r="C421" s="33">
        <v>0.81</v>
      </c>
      <c r="D421" s="33">
        <v>8.9599999999999999E-2</v>
      </c>
      <c r="E421" s="33">
        <v>70</v>
      </c>
    </row>
    <row r="422" spans="1:5" x14ac:dyDescent="0.3">
      <c r="A422" s="33">
        <v>421</v>
      </c>
      <c r="B422" s="33">
        <v>0.4</v>
      </c>
      <c r="C422" s="33">
        <v>0.62</v>
      </c>
      <c r="D422" s="33">
        <v>0.28360000000000002</v>
      </c>
      <c r="E422" s="33">
        <v>78</v>
      </c>
    </row>
    <row r="423" spans="1:5" x14ac:dyDescent="0.3">
      <c r="A423" s="33">
        <v>422</v>
      </c>
      <c r="B423" s="33">
        <v>0.4</v>
      </c>
      <c r="C423" s="33">
        <v>0.57999999999999996</v>
      </c>
      <c r="D423" s="33">
        <v>0.25369999999999998</v>
      </c>
      <c r="E423" s="33">
        <v>75</v>
      </c>
    </row>
    <row r="424" spans="1:5" x14ac:dyDescent="0.3">
      <c r="A424" s="33">
        <v>423</v>
      </c>
      <c r="B424" s="33">
        <v>0.4</v>
      </c>
      <c r="C424" s="33">
        <v>0.54</v>
      </c>
      <c r="D424" s="33">
        <v>0.28360000000000002</v>
      </c>
      <c r="E424" s="33">
        <v>82</v>
      </c>
    </row>
    <row r="425" spans="1:5" x14ac:dyDescent="0.3">
      <c r="A425" s="33">
        <v>424</v>
      </c>
      <c r="B425" s="33">
        <v>0.38</v>
      </c>
      <c r="C425" s="33">
        <v>0.57999999999999996</v>
      </c>
      <c r="D425" s="33">
        <v>0.3881</v>
      </c>
      <c r="E425" s="33">
        <v>104</v>
      </c>
    </row>
    <row r="426" spans="1:5" x14ac:dyDescent="0.3">
      <c r="A426" s="33">
        <v>425</v>
      </c>
      <c r="B426" s="33">
        <v>0.36</v>
      </c>
      <c r="C426" s="33">
        <v>0.56999999999999995</v>
      </c>
      <c r="D426" s="33">
        <v>0.32840000000000003</v>
      </c>
      <c r="E426" s="33">
        <v>197</v>
      </c>
    </row>
    <row r="427" spans="1:5" x14ac:dyDescent="0.3">
      <c r="A427" s="33">
        <v>426</v>
      </c>
      <c r="B427" s="33">
        <v>0.34</v>
      </c>
      <c r="C427" s="33">
        <v>0.61</v>
      </c>
      <c r="D427" s="33">
        <v>0.28360000000000002</v>
      </c>
      <c r="E427" s="33">
        <v>161</v>
      </c>
    </row>
    <row r="428" spans="1:5" x14ac:dyDescent="0.3">
      <c r="A428" s="33">
        <v>427</v>
      </c>
      <c r="B428" s="33">
        <v>0.32</v>
      </c>
      <c r="C428" s="33">
        <v>0.56999999999999995</v>
      </c>
      <c r="D428" s="33">
        <v>0.41789999999999999</v>
      </c>
      <c r="E428" s="33">
        <v>112</v>
      </c>
    </row>
    <row r="429" spans="1:5" x14ac:dyDescent="0.3">
      <c r="A429" s="33">
        <v>428</v>
      </c>
      <c r="B429" s="33">
        <v>0.32</v>
      </c>
      <c r="C429" s="33">
        <v>0.49</v>
      </c>
      <c r="D429" s="33">
        <v>0.29849999999999999</v>
      </c>
      <c r="E429" s="33">
        <v>76</v>
      </c>
    </row>
    <row r="430" spans="1:5" x14ac:dyDescent="0.3">
      <c r="A430" s="33">
        <v>429</v>
      </c>
      <c r="B430" s="33">
        <v>0.32</v>
      </c>
      <c r="C430" s="33">
        <v>0.49</v>
      </c>
      <c r="D430" s="33">
        <v>0.41789999999999999</v>
      </c>
      <c r="E430" s="33">
        <v>59</v>
      </c>
    </row>
    <row r="431" spans="1:5" x14ac:dyDescent="0.3">
      <c r="A431" s="33">
        <v>430</v>
      </c>
      <c r="B431" s="33">
        <v>0.3</v>
      </c>
      <c r="C431" s="33">
        <v>0.52</v>
      </c>
      <c r="D431" s="33">
        <v>0.16420000000000001</v>
      </c>
      <c r="E431" s="33">
        <v>59</v>
      </c>
    </row>
    <row r="432" spans="1:5" x14ac:dyDescent="0.3">
      <c r="A432" s="33">
        <v>431</v>
      </c>
      <c r="B432" s="33">
        <v>0.3</v>
      </c>
      <c r="C432" s="33">
        <v>0.52</v>
      </c>
      <c r="D432" s="33">
        <v>0.4627</v>
      </c>
      <c r="E432" s="33">
        <v>28</v>
      </c>
    </row>
    <row r="433" spans="1:5" x14ac:dyDescent="0.3">
      <c r="A433" s="33">
        <v>432</v>
      </c>
      <c r="B433" s="33">
        <v>0.26</v>
      </c>
      <c r="C433" s="33">
        <v>0.56000000000000005</v>
      </c>
      <c r="D433" s="33">
        <v>0.3881</v>
      </c>
      <c r="E433" s="33">
        <v>13</v>
      </c>
    </row>
    <row r="434" spans="1:5" x14ac:dyDescent="0.3">
      <c r="A434" s="33">
        <v>433</v>
      </c>
      <c r="B434" s="33">
        <v>0.26</v>
      </c>
      <c r="C434" s="33">
        <v>0.56000000000000005</v>
      </c>
      <c r="D434" s="33">
        <v>0</v>
      </c>
      <c r="E434" s="33">
        <v>5</v>
      </c>
    </row>
    <row r="435" spans="1:5" x14ac:dyDescent="0.3">
      <c r="A435" s="33">
        <v>434</v>
      </c>
      <c r="B435" s="33">
        <v>0.26</v>
      </c>
      <c r="C435" s="33">
        <v>0.56000000000000005</v>
      </c>
      <c r="D435" s="33">
        <v>0</v>
      </c>
      <c r="E435" s="33">
        <v>2</v>
      </c>
    </row>
    <row r="436" spans="1:5" x14ac:dyDescent="0.3">
      <c r="A436" s="33">
        <v>435</v>
      </c>
      <c r="B436" s="33">
        <v>0.26</v>
      </c>
      <c r="C436" s="33">
        <v>0.56000000000000005</v>
      </c>
      <c r="D436" s="33">
        <v>0.16420000000000001</v>
      </c>
      <c r="E436" s="33">
        <v>1</v>
      </c>
    </row>
    <row r="437" spans="1:5" x14ac:dyDescent="0.3">
      <c r="A437" s="33">
        <v>436</v>
      </c>
      <c r="B437" s="33">
        <v>0.26</v>
      </c>
      <c r="C437" s="33">
        <v>0.56000000000000005</v>
      </c>
      <c r="D437" s="33">
        <v>0.16420000000000001</v>
      </c>
      <c r="E437" s="33">
        <v>1</v>
      </c>
    </row>
    <row r="438" spans="1:5" x14ac:dyDescent="0.3">
      <c r="A438" s="33">
        <v>437</v>
      </c>
      <c r="B438" s="33">
        <v>0.24</v>
      </c>
      <c r="C438" s="33">
        <v>0.6</v>
      </c>
      <c r="D438" s="33">
        <v>0.22389999999999999</v>
      </c>
      <c r="E438" s="33">
        <v>6</v>
      </c>
    </row>
    <row r="439" spans="1:5" x14ac:dyDescent="0.3">
      <c r="A439" s="33">
        <v>438</v>
      </c>
      <c r="B439" s="33">
        <v>0.22</v>
      </c>
      <c r="C439" s="33">
        <v>0.6</v>
      </c>
      <c r="D439" s="33">
        <v>0.22389999999999999</v>
      </c>
      <c r="E439" s="33">
        <v>35</v>
      </c>
    </row>
    <row r="440" spans="1:5" x14ac:dyDescent="0.3">
      <c r="A440" s="33">
        <v>439</v>
      </c>
      <c r="B440" s="33">
        <v>0.22</v>
      </c>
      <c r="C440" s="33">
        <v>0.55000000000000004</v>
      </c>
      <c r="D440" s="33">
        <v>0.22389999999999999</v>
      </c>
      <c r="E440" s="33">
        <v>101</v>
      </c>
    </row>
    <row r="441" spans="1:5" x14ac:dyDescent="0.3">
      <c r="A441" s="33">
        <v>440</v>
      </c>
      <c r="B441" s="33">
        <v>0.22</v>
      </c>
      <c r="C441" s="33">
        <v>0.55000000000000004</v>
      </c>
      <c r="D441" s="33">
        <v>0.28360000000000002</v>
      </c>
      <c r="E441" s="33">
        <v>249</v>
      </c>
    </row>
    <row r="442" spans="1:5" x14ac:dyDescent="0.3">
      <c r="A442" s="33">
        <v>441</v>
      </c>
      <c r="B442" s="33">
        <v>0.24</v>
      </c>
      <c r="C442" s="33">
        <v>0.52</v>
      </c>
      <c r="D442" s="33">
        <v>0.22389999999999999</v>
      </c>
      <c r="E442" s="33">
        <v>143</v>
      </c>
    </row>
    <row r="443" spans="1:5" x14ac:dyDescent="0.3">
      <c r="A443" s="33">
        <v>442</v>
      </c>
      <c r="B443" s="33">
        <v>0.26</v>
      </c>
      <c r="C443" s="33">
        <v>0.48</v>
      </c>
      <c r="D443" s="33">
        <v>0.29849999999999999</v>
      </c>
      <c r="E443" s="33">
        <v>57</v>
      </c>
    </row>
    <row r="444" spans="1:5" x14ac:dyDescent="0.3">
      <c r="A444" s="33">
        <v>443</v>
      </c>
      <c r="B444" s="33">
        <v>0.28000000000000003</v>
      </c>
      <c r="C444" s="33">
        <v>0.45</v>
      </c>
      <c r="D444" s="33">
        <v>0.16420000000000001</v>
      </c>
      <c r="E444" s="33">
        <v>68</v>
      </c>
    </row>
    <row r="445" spans="1:5" x14ac:dyDescent="0.3">
      <c r="A445" s="33">
        <v>444</v>
      </c>
      <c r="B445" s="33">
        <v>0.3</v>
      </c>
      <c r="C445" s="33">
        <v>0.42</v>
      </c>
      <c r="D445" s="33">
        <v>0</v>
      </c>
      <c r="E445" s="33">
        <v>84</v>
      </c>
    </row>
    <row r="446" spans="1:5" x14ac:dyDescent="0.3">
      <c r="A446" s="33">
        <v>445</v>
      </c>
      <c r="B446" s="33">
        <v>0.28000000000000003</v>
      </c>
      <c r="C446" s="33">
        <v>0.45</v>
      </c>
      <c r="D446" s="33">
        <v>0.1045</v>
      </c>
      <c r="E446" s="33">
        <v>98</v>
      </c>
    </row>
    <row r="447" spans="1:5" x14ac:dyDescent="0.3">
      <c r="A447" s="33">
        <v>446</v>
      </c>
      <c r="B447" s="33">
        <v>0.3</v>
      </c>
      <c r="C447" s="33">
        <v>0.45</v>
      </c>
      <c r="D447" s="33">
        <v>0.1343</v>
      </c>
      <c r="E447" s="33">
        <v>81</v>
      </c>
    </row>
    <row r="448" spans="1:5" x14ac:dyDescent="0.3">
      <c r="A448" s="33">
        <v>447</v>
      </c>
      <c r="B448" s="33">
        <v>0.32</v>
      </c>
      <c r="C448" s="33">
        <v>0.45</v>
      </c>
      <c r="D448" s="33">
        <v>0.19400000000000001</v>
      </c>
      <c r="E448" s="33">
        <v>70</v>
      </c>
    </row>
    <row r="449" spans="1:5" x14ac:dyDescent="0.3">
      <c r="A449" s="33">
        <v>448</v>
      </c>
      <c r="B449" s="33">
        <v>0.3</v>
      </c>
      <c r="C449" s="33">
        <v>0.49</v>
      </c>
      <c r="D449" s="33">
        <v>0.1343</v>
      </c>
      <c r="E449" s="33">
        <v>91</v>
      </c>
    </row>
    <row r="450" spans="1:5" x14ac:dyDescent="0.3">
      <c r="A450" s="33">
        <v>449</v>
      </c>
      <c r="B450" s="33">
        <v>0.3</v>
      </c>
      <c r="C450" s="33">
        <v>0.49</v>
      </c>
      <c r="D450" s="33">
        <v>0.1045</v>
      </c>
      <c r="E450" s="33">
        <v>215</v>
      </c>
    </row>
    <row r="451" spans="1:5" x14ac:dyDescent="0.3">
      <c r="A451" s="33">
        <v>450</v>
      </c>
      <c r="B451" s="33">
        <v>0.26</v>
      </c>
      <c r="C451" s="33">
        <v>0.56000000000000005</v>
      </c>
      <c r="D451" s="33">
        <v>0.19400000000000001</v>
      </c>
      <c r="E451" s="33">
        <v>185</v>
      </c>
    </row>
    <row r="452" spans="1:5" x14ac:dyDescent="0.3">
      <c r="A452" s="33">
        <v>451</v>
      </c>
      <c r="B452" s="33">
        <v>0.26</v>
      </c>
      <c r="C452" s="33">
        <v>0.56000000000000005</v>
      </c>
      <c r="D452" s="33">
        <v>0.32840000000000003</v>
      </c>
      <c r="E452" s="33">
        <v>152</v>
      </c>
    </row>
    <row r="453" spans="1:5" x14ac:dyDescent="0.3">
      <c r="A453" s="33">
        <v>452</v>
      </c>
      <c r="B453" s="33">
        <v>0.26</v>
      </c>
      <c r="C453" s="33">
        <v>0.6</v>
      </c>
      <c r="D453" s="33">
        <v>0.28360000000000002</v>
      </c>
      <c r="E453" s="33">
        <v>126</v>
      </c>
    </row>
    <row r="454" spans="1:5" x14ac:dyDescent="0.3">
      <c r="A454" s="33">
        <v>453</v>
      </c>
      <c r="B454" s="33">
        <v>0.24</v>
      </c>
      <c r="C454" s="33">
        <v>0.6</v>
      </c>
      <c r="D454" s="33">
        <v>0.25369999999999998</v>
      </c>
      <c r="E454" s="33">
        <v>57</v>
      </c>
    </row>
    <row r="455" spans="1:5" x14ac:dyDescent="0.3">
      <c r="A455" s="33">
        <v>454</v>
      </c>
      <c r="B455" s="33">
        <v>0.24</v>
      </c>
      <c r="C455" s="33">
        <v>0.65</v>
      </c>
      <c r="D455" s="33">
        <v>0.28360000000000002</v>
      </c>
      <c r="E455" s="33">
        <v>56</v>
      </c>
    </row>
    <row r="456" spans="1:5" x14ac:dyDescent="0.3">
      <c r="A456" s="33">
        <v>455</v>
      </c>
      <c r="B456" s="33">
        <v>0.24</v>
      </c>
      <c r="C456" s="33">
        <v>0.65</v>
      </c>
      <c r="D456" s="33">
        <v>0.32840000000000003</v>
      </c>
      <c r="E456" s="33">
        <v>31</v>
      </c>
    </row>
    <row r="457" spans="1:5" x14ac:dyDescent="0.3">
      <c r="A457" s="33">
        <v>456</v>
      </c>
      <c r="B457" s="33">
        <v>0.24</v>
      </c>
      <c r="C457" s="33">
        <v>0.7</v>
      </c>
      <c r="D457" s="33">
        <v>0.25369999999999998</v>
      </c>
      <c r="E457" s="33">
        <v>21</v>
      </c>
    </row>
    <row r="458" spans="1:5" x14ac:dyDescent="0.3">
      <c r="A458" s="33">
        <v>457</v>
      </c>
      <c r="B458" s="33">
        <v>0.24</v>
      </c>
      <c r="C458" s="33">
        <v>0.7</v>
      </c>
      <c r="D458" s="33">
        <v>0.25369999999999998</v>
      </c>
      <c r="E458" s="33">
        <v>6</v>
      </c>
    </row>
    <row r="459" spans="1:5" x14ac:dyDescent="0.3">
      <c r="A459" s="33">
        <v>458</v>
      </c>
      <c r="B459" s="33">
        <v>0.24</v>
      </c>
      <c r="C459" s="33">
        <v>0.75</v>
      </c>
      <c r="D459" s="33">
        <v>0.16420000000000001</v>
      </c>
      <c r="E459" s="33">
        <v>2</v>
      </c>
    </row>
    <row r="460" spans="1:5" x14ac:dyDescent="0.3">
      <c r="A460" s="33">
        <v>459</v>
      </c>
      <c r="B460" s="33">
        <v>0.22</v>
      </c>
      <c r="C460" s="33">
        <v>0.8</v>
      </c>
      <c r="D460" s="33">
        <v>0.29849999999999999</v>
      </c>
      <c r="E460" s="33">
        <v>1</v>
      </c>
    </row>
    <row r="461" spans="1:5" x14ac:dyDescent="0.3">
      <c r="A461" s="33">
        <v>460</v>
      </c>
      <c r="B461" s="33">
        <v>0.22</v>
      </c>
      <c r="C461" s="33">
        <v>0.87</v>
      </c>
      <c r="D461" s="33">
        <v>8.9599999999999999E-2</v>
      </c>
      <c r="E461" s="33">
        <v>1</v>
      </c>
    </row>
    <row r="462" spans="1:5" x14ac:dyDescent="0.3">
      <c r="A462" s="33">
        <v>461</v>
      </c>
      <c r="B462" s="33">
        <v>0.24</v>
      </c>
      <c r="C462" s="33">
        <v>0.6</v>
      </c>
      <c r="D462" s="33">
        <v>0.41789999999999999</v>
      </c>
      <c r="E462" s="33">
        <v>5</v>
      </c>
    </row>
    <row r="463" spans="1:5" x14ac:dyDescent="0.3">
      <c r="A463" s="33">
        <v>462</v>
      </c>
      <c r="B463" s="33">
        <v>0.22</v>
      </c>
      <c r="C463" s="33">
        <v>0.55000000000000004</v>
      </c>
      <c r="D463" s="33">
        <v>0.25369999999999998</v>
      </c>
      <c r="E463" s="33">
        <v>27</v>
      </c>
    </row>
    <row r="464" spans="1:5" x14ac:dyDescent="0.3">
      <c r="A464" s="33">
        <v>463</v>
      </c>
      <c r="B464" s="33">
        <v>0.2</v>
      </c>
      <c r="C464" s="33">
        <v>0.51</v>
      </c>
      <c r="D464" s="33">
        <v>0.28360000000000002</v>
      </c>
      <c r="E464" s="33">
        <v>68</v>
      </c>
    </row>
    <row r="465" spans="1:5" x14ac:dyDescent="0.3">
      <c r="A465" s="33">
        <v>464</v>
      </c>
      <c r="B465" s="33">
        <v>0.2</v>
      </c>
      <c r="C465" s="33">
        <v>0.47</v>
      </c>
      <c r="D465" s="33">
        <v>0.32840000000000003</v>
      </c>
      <c r="E465" s="33">
        <v>217</v>
      </c>
    </row>
    <row r="466" spans="1:5" x14ac:dyDescent="0.3">
      <c r="A466" s="33">
        <v>465</v>
      </c>
      <c r="B466" s="33">
        <v>0.2</v>
      </c>
      <c r="C466" s="33">
        <v>0.51</v>
      </c>
      <c r="D466" s="33">
        <v>0.35820000000000002</v>
      </c>
      <c r="E466" s="33">
        <v>166</v>
      </c>
    </row>
    <row r="467" spans="1:5" x14ac:dyDescent="0.3">
      <c r="A467" s="33">
        <v>466</v>
      </c>
      <c r="B467" s="33">
        <v>0.2</v>
      </c>
      <c r="C467" s="33">
        <v>0.47</v>
      </c>
      <c r="D467" s="33">
        <v>0.4627</v>
      </c>
      <c r="E467" s="33">
        <v>63</v>
      </c>
    </row>
    <row r="468" spans="1:5" x14ac:dyDescent="0.3">
      <c r="A468" s="33">
        <v>467</v>
      </c>
      <c r="B468" s="33">
        <v>0.22</v>
      </c>
      <c r="C468" s="33">
        <v>0.41</v>
      </c>
      <c r="D468" s="33">
        <v>0.4627</v>
      </c>
      <c r="E468" s="33">
        <v>59</v>
      </c>
    </row>
    <row r="469" spans="1:5" x14ac:dyDescent="0.3">
      <c r="A469" s="33">
        <v>468</v>
      </c>
      <c r="B469" s="33">
        <v>0.22</v>
      </c>
      <c r="C469" s="33">
        <v>0.27</v>
      </c>
      <c r="D469" s="33">
        <v>0.58209999999999995</v>
      </c>
      <c r="E469" s="33">
        <v>78</v>
      </c>
    </row>
    <row r="470" spans="1:5" x14ac:dyDescent="0.3">
      <c r="A470" s="33">
        <v>469</v>
      </c>
      <c r="B470" s="33">
        <v>0.2</v>
      </c>
      <c r="C470" s="33">
        <v>0.21</v>
      </c>
      <c r="D470" s="33">
        <v>0.58209999999999995</v>
      </c>
      <c r="E470" s="33">
        <v>73</v>
      </c>
    </row>
    <row r="471" spans="1:5" x14ac:dyDescent="0.3">
      <c r="A471" s="33">
        <v>470</v>
      </c>
      <c r="B471" s="33">
        <v>0.2</v>
      </c>
      <c r="C471" s="33">
        <v>0.25</v>
      </c>
      <c r="D471" s="33">
        <v>0.52239999999999998</v>
      </c>
      <c r="E471" s="33">
        <v>62</v>
      </c>
    </row>
    <row r="472" spans="1:5" x14ac:dyDescent="0.3">
      <c r="A472" s="33">
        <v>471</v>
      </c>
      <c r="B472" s="33">
        <v>0.16</v>
      </c>
      <c r="C472" s="33">
        <v>0.26</v>
      </c>
      <c r="D472" s="33">
        <v>0.44779999999999998</v>
      </c>
      <c r="E472" s="33">
        <v>65</v>
      </c>
    </row>
    <row r="473" spans="1:5" x14ac:dyDescent="0.3">
      <c r="A473" s="33">
        <v>472</v>
      </c>
      <c r="B473" s="33">
        <v>0.16</v>
      </c>
      <c r="C473" s="33">
        <v>0.26</v>
      </c>
      <c r="D473" s="33">
        <v>0.35820000000000002</v>
      </c>
      <c r="E473" s="33">
        <v>97</v>
      </c>
    </row>
    <row r="474" spans="1:5" x14ac:dyDescent="0.3">
      <c r="A474" s="33">
        <v>473</v>
      </c>
      <c r="B474" s="33">
        <v>0.14000000000000001</v>
      </c>
      <c r="C474" s="33">
        <v>0.28000000000000003</v>
      </c>
      <c r="D474" s="33">
        <v>0.35820000000000002</v>
      </c>
      <c r="E474" s="33">
        <v>161</v>
      </c>
    </row>
    <row r="475" spans="1:5" x14ac:dyDescent="0.3">
      <c r="A475" s="33">
        <v>474</v>
      </c>
      <c r="B475" s="33">
        <v>0.12</v>
      </c>
      <c r="C475" s="33">
        <v>0.3</v>
      </c>
      <c r="D475" s="33">
        <v>0.25369999999999998</v>
      </c>
      <c r="E475" s="33">
        <v>120</v>
      </c>
    </row>
    <row r="476" spans="1:5" x14ac:dyDescent="0.3">
      <c r="A476" s="33">
        <v>475</v>
      </c>
      <c r="B476" s="33">
        <v>0.12</v>
      </c>
      <c r="C476" s="33">
        <v>0.3</v>
      </c>
      <c r="D476" s="33">
        <v>0.32840000000000003</v>
      </c>
      <c r="E476" s="33">
        <v>96</v>
      </c>
    </row>
    <row r="477" spans="1:5" x14ac:dyDescent="0.3">
      <c r="A477" s="33">
        <v>476</v>
      </c>
      <c r="B477" s="33">
        <v>0.1</v>
      </c>
      <c r="C477" s="33">
        <v>0.33</v>
      </c>
      <c r="D477" s="33">
        <v>0.41789999999999999</v>
      </c>
      <c r="E477" s="33">
        <v>53</v>
      </c>
    </row>
    <row r="478" spans="1:5" x14ac:dyDescent="0.3">
      <c r="A478" s="33">
        <v>477</v>
      </c>
      <c r="B478" s="33">
        <v>0.08</v>
      </c>
      <c r="C478" s="33">
        <v>0.38</v>
      </c>
      <c r="D478" s="33">
        <v>0.28360000000000002</v>
      </c>
      <c r="E478" s="33">
        <v>41</v>
      </c>
    </row>
    <row r="479" spans="1:5" x14ac:dyDescent="0.3">
      <c r="A479" s="33">
        <v>478</v>
      </c>
      <c r="B479" s="33">
        <v>0.06</v>
      </c>
      <c r="C479" s="33">
        <v>0.41</v>
      </c>
      <c r="D479" s="33">
        <v>0.3881</v>
      </c>
      <c r="E479" s="33">
        <v>34</v>
      </c>
    </row>
    <row r="480" spans="1:5" x14ac:dyDescent="0.3">
      <c r="A480" s="33">
        <v>479</v>
      </c>
      <c r="B480" s="33">
        <v>0.06</v>
      </c>
      <c r="C480" s="33">
        <v>0.38</v>
      </c>
      <c r="D480" s="33">
        <v>0.32840000000000003</v>
      </c>
      <c r="E480" s="33">
        <v>27</v>
      </c>
    </row>
    <row r="481" spans="1:5" x14ac:dyDescent="0.3">
      <c r="A481" s="33">
        <v>480</v>
      </c>
      <c r="B481" s="33">
        <v>0.04</v>
      </c>
      <c r="C481" s="33">
        <v>0.45</v>
      </c>
      <c r="D481" s="33">
        <v>0.25369999999999998</v>
      </c>
      <c r="E481" s="33">
        <v>13</v>
      </c>
    </row>
    <row r="482" spans="1:5" x14ac:dyDescent="0.3">
      <c r="A482" s="33">
        <v>481</v>
      </c>
      <c r="B482" s="33">
        <v>0.04</v>
      </c>
      <c r="C482" s="33">
        <v>0.41</v>
      </c>
      <c r="D482" s="33">
        <v>0.3881</v>
      </c>
      <c r="E482" s="33">
        <v>12</v>
      </c>
    </row>
    <row r="483" spans="1:5" x14ac:dyDescent="0.3">
      <c r="A483" s="33">
        <v>482</v>
      </c>
      <c r="B483" s="33">
        <v>0.04</v>
      </c>
      <c r="C483" s="33">
        <v>0.41</v>
      </c>
      <c r="D483" s="33">
        <v>0.25369999999999998</v>
      </c>
      <c r="E483" s="33">
        <v>11</v>
      </c>
    </row>
    <row r="484" spans="1:5" x14ac:dyDescent="0.3">
      <c r="A484" s="33">
        <v>483</v>
      </c>
      <c r="B484" s="33">
        <v>0.04</v>
      </c>
      <c r="C484" s="33">
        <v>0.41</v>
      </c>
      <c r="D484" s="33">
        <v>0.28360000000000002</v>
      </c>
      <c r="E484" s="33">
        <v>7</v>
      </c>
    </row>
    <row r="485" spans="1:5" x14ac:dyDescent="0.3">
      <c r="A485" s="33">
        <v>484</v>
      </c>
      <c r="B485" s="33">
        <v>0.02</v>
      </c>
      <c r="C485" s="33">
        <v>0.48</v>
      </c>
      <c r="D485" s="33">
        <v>0.29849999999999999</v>
      </c>
      <c r="E485" s="33">
        <v>3</v>
      </c>
    </row>
    <row r="486" spans="1:5" x14ac:dyDescent="0.3">
      <c r="A486" s="33">
        <v>485</v>
      </c>
      <c r="B486" s="33">
        <v>0.02</v>
      </c>
      <c r="C486" s="33">
        <v>0.44</v>
      </c>
      <c r="D486" s="33">
        <v>0.22389999999999999</v>
      </c>
      <c r="E486" s="33">
        <v>2</v>
      </c>
    </row>
    <row r="487" spans="1:5" x14ac:dyDescent="0.3">
      <c r="A487" s="33">
        <v>486</v>
      </c>
      <c r="B487" s="33">
        <v>0.02</v>
      </c>
      <c r="C487" s="33">
        <v>0.44</v>
      </c>
      <c r="D487" s="33">
        <v>0.28360000000000002</v>
      </c>
      <c r="E487" s="33">
        <v>8</v>
      </c>
    </row>
    <row r="488" spans="1:5" x14ac:dyDescent="0.3">
      <c r="A488" s="33">
        <v>487</v>
      </c>
      <c r="B488" s="33">
        <v>0.02</v>
      </c>
      <c r="C488" s="33">
        <v>0.44</v>
      </c>
      <c r="D488" s="33">
        <v>0.32840000000000003</v>
      </c>
      <c r="E488" s="33">
        <v>27</v>
      </c>
    </row>
    <row r="489" spans="1:5" x14ac:dyDescent="0.3">
      <c r="A489" s="33">
        <v>488</v>
      </c>
      <c r="B489" s="33">
        <v>0.04</v>
      </c>
      <c r="C489" s="33">
        <v>0.41</v>
      </c>
      <c r="D489" s="33">
        <v>0.25369999999999998</v>
      </c>
      <c r="E489" s="33">
        <v>40</v>
      </c>
    </row>
    <row r="490" spans="1:5" x14ac:dyDescent="0.3">
      <c r="A490" s="33">
        <v>489</v>
      </c>
      <c r="B490" s="33">
        <v>0.04</v>
      </c>
      <c r="C490" s="33">
        <v>0.41</v>
      </c>
      <c r="D490" s="33">
        <v>0.16420000000000001</v>
      </c>
      <c r="E490" s="33">
        <v>53</v>
      </c>
    </row>
    <row r="491" spans="1:5" x14ac:dyDescent="0.3">
      <c r="A491" s="33">
        <v>490</v>
      </c>
      <c r="B491" s="33">
        <v>0.06</v>
      </c>
      <c r="C491" s="33">
        <v>0.38</v>
      </c>
      <c r="D491" s="33">
        <v>0.1343</v>
      </c>
      <c r="E491" s="33">
        <v>63</v>
      </c>
    </row>
    <row r="492" spans="1:5" x14ac:dyDescent="0.3">
      <c r="A492" s="33">
        <v>491</v>
      </c>
      <c r="B492" s="33">
        <v>0.06</v>
      </c>
      <c r="C492" s="33">
        <v>0.38</v>
      </c>
      <c r="D492" s="33">
        <v>0.1045</v>
      </c>
      <c r="E492" s="33">
        <v>70</v>
      </c>
    </row>
    <row r="493" spans="1:5" x14ac:dyDescent="0.3">
      <c r="A493" s="33">
        <v>492</v>
      </c>
      <c r="B493" s="33">
        <v>0.08</v>
      </c>
      <c r="C493" s="33">
        <v>0.35</v>
      </c>
      <c r="D493" s="33">
        <v>0</v>
      </c>
      <c r="E493" s="33">
        <v>84</v>
      </c>
    </row>
    <row r="494" spans="1:5" x14ac:dyDescent="0.3">
      <c r="A494" s="33">
        <v>493</v>
      </c>
      <c r="B494" s="33">
        <v>0.1</v>
      </c>
      <c r="C494" s="33">
        <v>0.33</v>
      </c>
      <c r="D494" s="33">
        <v>0.1045</v>
      </c>
      <c r="E494" s="33">
        <v>75</v>
      </c>
    </row>
    <row r="495" spans="1:5" x14ac:dyDescent="0.3">
      <c r="A495" s="33">
        <v>494</v>
      </c>
      <c r="B495" s="33">
        <v>0.12</v>
      </c>
      <c r="C495" s="33">
        <v>0.28000000000000003</v>
      </c>
      <c r="D495" s="33">
        <v>0</v>
      </c>
      <c r="E495" s="33">
        <v>103</v>
      </c>
    </row>
    <row r="496" spans="1:5" x14ac:dyDescent="0.3">
      <c r="A496" s="33">
        <v>495</v>
      </c>
      <c r="B496" s="33">
        <v>0.12</v>
      </c>
      <c r="C496" s="33">
        <v>0.28000000000000003</v>
      </c>
      <c r="D496" s="33">
        <v>0.19400000000000001</v>
      </c>
      <c r="E496" s="33">
        <v>83</v>
      </c>
    </row>
    <row r="497" spans="1:5" x14ac:dyDescent="0.3">
      <c r="A497" s="33">
        <v>496</v>
      </c>
      <c r="B497" s="33">
        <v>0.12</v>
      </c>
      <c r="C497" s="33">
        <v>0.28000000000000003</v>
      </c>
      <c r="D497" s="33">
        <v>0</v>
      </c>
      <c r="E497" s="33">
        <v>67</v>
      </c>
    </row>
    <row r="498" spans="1:5" x14ac:dyDescent="0.3">
      <c r="A498" s="33">
        <v>497</v>
      </c>
      <c r="B498" s="33">
        <v>0.08</v>
      </c>
      <c r="C498" s="33">
        <v>0.35</v>
      </c>
      <c r="D498" s="33">
        <v>0.19400000000000001</v>
      </c>
      <c r="E498" s="33">
        <v>54</v>
      </c>
    </row>
    <row r="499" spans="1:5" x14ac:dyDescent="0.3">
      <c r="A499" s="33">
        <v>498</v>
      </c>
      <c r="B499" s="33">
        <v>0.08</v>
      </c>
      <c r="C499" s="33">
        <v>0.35</v>
      </c>
      <c r="D499" s="33">
        <v>0.1343</v>
      </c>
      <c r="E499" s="33">
        <v>59</v>
      </c>
    </row>
    <row r="500" spans="1:5" x14ac:dyDescent="0.3">
      <c r="A500" s="33">
        <v>499</v>
      </c>
      <c r="B500" s="33">
        <v>0.06</v>
      </c>
      <c r="C500" s="33">
        <v>0.45</v>
      </c>
      <c r="D500" s="33">
        <v>0.16420000000000001</v>
      </c>
      <c r="E500" s="33">
        <v>45</v>
      </c>
    </row>
    <row r="501" spans="1:5" x14ac:dyDescent="0.3">
      <c r="A501" s="33">
        <v>500</v>
      </c>
      <c r="B501" s="33">
        <v>0.06</v>
      </c>
      <c r="C501" s="33">
        <v>0.41</v>
      </c>
      <c r="D501" s="33">
        <v>8.9599999999999999E-2</v>
      </c>
      <c r="E501" s="33">
        <v>39</v>
      </c>
    </row>
    <row r="502" spans="1:5" x14ac:dyDescent="0.3">
      <c r="A502" s="33">
        <v>501</v>
      </c>
      <c r="B502" s="33">
        <v>0.06</v>
      </c>
      <c r="C502" s="33">
        <v>0.49</v>
      </c>
      <c r="D502" s="33">
        <v>0</v>
      </c>
      <c r="E502" s="33">
        <v>30</v>
      </c>
    </row>
    <row r="503" spans="1:5" x14ac:dyDescent="0.3">
      <c r="A503" s="33">
        <v>502</v>
      </c>
      <c r="B503" s="33">
        <v>0.04</v>
      </c>
      <c r="C503" s="33">
        <v>0.56999999999999995</v>
      </c>
      <c r="D503" s="33">
        <v>0.1045</v>
      </c>
      <c r="E503" s="33">
        <v>33</v>
      </c>
    </row>
    <row r="504" spans="1:5" x14ac:dyDescent="0.3">
      <c r="A504" s="33">
        <v>503</v>
      </c>
      <c r="B504" s="33">
        <v>0.04</v>
      </c>
      <c r="C504" s="33">
        <v>0.56999999999999995</v>
      </c>
      <c r="D504" s="33">
        <v>0.1045</v>
      </c>
      <c r="E504" s="33">
        <v>22</v>
      </c>
    </row>
    <row r="505" spans="1:5" x14ac:dyDescent="0.3">
      <c r="A505" s="33">
        <v>504</v>
      </c>
      <c r="B505" s="33">
        <v>0.04</v>
      </c>
      <c r="C505" s="33">
        <v>0.56999999999999995</v>
      </c>
      <c r="D505" s="33">
        <v>0.1045</v>
      </c>
      <c r="E505" s="33">
        <v>13</v>
      </c>
    </row>
    <row r="506" spans="1:5" x14ac:dyDescent="0.3">
      <c r="A506" s="33">
        <v>505</v>
      </c>
      <c r="B506" s="33">
        <v>0.02</v>
      </c>
      <c r="C506" s="33">
        <v>0.62</v>
      </c>
      <c r="D506" s="33">
        <v>0.1343</v>
      </c>
      <c r="E506" s="33">
        <v>18</v>
      </c>
    </row>
    <row r="507" spans="1:5" x14ac:dyDescent="0.3">
      <c r="A507" s="33">
        <v>506</v>
      </c>
      <c r="B507" s="33">
        <v>0.02</v>
      </c>
      <c r="C507" s="33">
        <v>0.62</v>
      </c>
      <c r="D507" s="33">
        <v>0.1343</v>
      </c>
      <c r="E507" s="33">
        <v>5</v>
      </c>
    </row>
    <row r="508" spans="1:5" x14ac:dyDescent="0.3">
      <c r="A508" s="33">
        <v>507</v>
      </c>
      <c r="B508" s="33">
        <v>0.04</v>
      </c>
      <c r="C508" s="33">
        <v>0.56999999999999995</v>
      </c>
      <c r="D508" s="33">
        <v>0.1045</v>
      </c>
      <c r="E508" s="33">
        <v>3</v>
      </c>
    </row>
    <row r="509" spans="1:5" x14ac:dyDescent="0.3">
      <c r="A509" s="33">
        <v>508</v>
      </c>
      <c r="B509" s="33">
        <v>0.04</v>
      </c>
      <c r="C509" s="33">
        <v>0.56999999999999995</v>
      </c>
      <c r="D509" s="33">
        <v>0.1045</v>
      </c>
      <c r="E509" s="33">
        <v>1</v>
      </c>
    </row>
    <row r="510" spans="1:5" x14ac:dyDescent="0.3">
      <c r="A510" s="33">
        <v>509</v>
      </c>
      <c r="B510" s="33">
        <v>0.08</v>
      </c>
      <c r="C510" s="33">
        <v>0.57999999999999996</v>
      </c>
      <c r="D510" s="33">
        <v>0.16420000000000001</v>
      </c>
      <c r="E510" s="33">
        <v>2</v>
      </c>
    </row>
    <row r="511" spans="1:5" x14ac:dyDescent="0.3">
      <c r="A511" s="33">
        <v>510</v>
      </c>
      <c r="B511" s="33">
        <v>0.06</v>
      </c>
      <c r="C511" s="33">
        <v>0.62</v>
      </c>
      <c r="D511" s="33">
        <v>0.16420000000000001</v>
      </c>
      <c r="E511" s="33">
        <v>19</v>
      </c>
    </row>
    <row r="512" spans="1:5" x14ac:dyDescent="0.3">
      <c r="A512" s="33">
        <v>511</v>
      </c>
      <c r="B512" s="33">
        <v>0.1</v>
      </c>
      <c r="C512" s="33">
        <v>0.54</v>
      </c>
      <c r="D512" s="33">
        <v>0.35820000000000002</v>
      </c>
      <c r="E512" s="33">
        <v>28</v>
      </c>
    </row>
    <row r="513" spans="1:5" x14ac:dyDescent="0.3">
      <c r="A513" s="33">
        <v>512</v>
      </c>
      <c r="B513" s="33">
        <v>0.14000000000000001</v>
      </c>
      <c r="C513" s="33">
        <v>0.46</v>
      </c>
      <c r="D513" s="33">
        <v>0.3881</v>
      </c>
      <c r="E513" s="33">
        <v>58</v>
      </c>
    </row>
    <row r="514" spans="1:5" x14ac:dyDescent="0.3">
      <c r="A514" s="33">
        <v>513</v>
      </c>
      <c r="B514" s="33">
        <v>0.14000000000000001</v>
      </c>
      <c r="C514" s="33">
        <v>0.43</v>
      </c>
      <c r="D514" s="33">
        <v>0.22389999999999999</v>
      </c>
      <c r="E514" s="33">
        <v>99</v>
      </c>
    </row>
    <row r="515" spans="1:5" x14ac:dyDescent="0.3">
      <c r="A515" s="33">
        <v>514</v>
      </c>
      <c r="B515" s="33">
        <v>0.16</v>
      </c>
      <c r="C515" s="33">
        <v>0.37</v>
      </c>
      <c r="D515" s="33">
        <v>0.4627</v>
      </c>
      <c r="E515" s="33">
        <v>116</v>
      </c>
    </row>
    <row r="516" spans="1:5" x14ac:dyDescent="0.3">
      <c r="A516" s="33">
        <v>515</v>
      </c>
      <c r="B516" s="33">
        <v>0.14000000000000001</v>
      </c>
      <c r="C516" s="33">
        <v>0.33</v>
      </c>
      <c r="D516" s="33">
        <v>0.3881</v>
      </c>
      <c r="E516" s="33">
        <v>87</v>
      </c>
    </row>
    <row r="517" spans="1:5" x14ac:dyDescent="0.3">
      <c r="A517" s="33">
        <v>516</v>
      </c>
      <c r="B517" s="33">
        <v>0.16</v>
      </c>
      <c r="C517" s="33">
        <v>0.28000000000000003</v>
      </c>
      <c r="D517" s="33">
        <v>0.35820000000000002</v>
      </c>
      <c r="E517" s="33">
        <v>110</v>
      </c>
    </row>
    <row r="518" spans="1:5" x14ac:dyDescent="0.3">
      <c r="A518" s="33">
        <v>517</v>
      </c>
      <c r="B518" s="33">
        <v>0.16</v>
      </c>
      <c r="C518" s="33">
        <v>0.28000000000000003</v>
      </c>
      <c r="D518" s="33">
        <v>0.35820000000000002</v>
      </c>
      <c r="E518" s="33">
        <v>77</v>
      </c>
    </row>
    <row r="519" spans="1:5" x14ac:dyDescent="0.3">
      <c r="A519" s="33">
        <v>518</v>
      </c>
      <c r="B519" s="33">
        <v>0.16</v>
      </c>
      <c r="C519" s="33">
        <v>0.26</v>
      </c>
      <c r="D519" s="33">
        <v>0.32840000000000003</v>
      </c>
      <c r="E519" s="33">
        <v>65</v>
      </c>
    </row>
    <row r="520" spans="1:5" x14ac:dyDescent="0.3">
      <c r="A520" s="33">
        <v>519</v>
      </c>
      <c r="B520" s="33">
        <v>0.14000000000000001</v>
      </c>
      <c r="C520" s="33">
        <v>0.26</v>
      </c>
      <c r="D520" s="33">
        <v>0.3881</v>
      </c>
      <c r="E520" s="33">
        <v>55</v>
      </c>
    </row>
    <row r="521" spans="1:5" x14ac:dyDescent="0.3">
      <c r="A521" s="33">
        <v>520</v>
      </c>
      <c r="B521" s="33">
        <v>0.12</v>
      </c>
      <c r="C521" s="33">
        <v>0.3</v>
      </c>
      <c r="D521" s="33">
        <v>0.25369999999999998</v>
      </c>
      <c r="E521" s="33">
        <v>49</v>
      </c>
    </row>
    <row r="522" spans="1:5" x14ac:dyDescent="0.3">
      <c r="A522" s="33">
        <v>521</v>
      </c>
      <c r="B522" s="33">
        <v>0.12</v>
      </c>
      <c r="C522" s="33">
        <v>0.3</v>
      </c>
      <c r="D522" s="33">
        <v>0.28360000000000002</v>
      </c>
      <c r="E522" s="33">
        <v>50</v>
      </c>
    </row>
    <row r="523" spans="1:5" x14ac:dyDescent="0.3">
      <c r="A523" s="33">
        <v>522</v>
      </c>
      <c r="B523" s="33">
        <v>0.1</v>
      </c>
      <c r="C523" s="33">
        <v>0.36</v>
      </c>
      <c r="D523" s="33">
        <v>0.25369999999999998</v>
      </c>
      <c r="E523" s="33">
        <v>35</v>
      </c>
    </row>
    <row r="524" spans="1:5" x14ac:dyDescent="0.3">
      <c r="A524" s="33">
        <v>523</v>
      </c>
      <c r="B524" s="33">
        <v>0.1</v>
      </c>
      <c r="C524" s="33">
        <v>0.36</v>
      </c>
      <c r="D524" s="33">
        <v>0.19400000000000001</v>
      </c>
      <c r="E524" s="33">
        <v>25</v>
      </c>
    </row>
    <row r="525" spans="1:5" x14ac:dyDescent="0.3">
      <c r="A525" s="33">
        <v>524</v>
      </c>
      <c r="B525" s="33">
        <v>0.08</v>
      </c>
      <c r="C525" s="33">
        <v>0.38</v>
      </c>
      <c r="D525" s="33">
        <v>0.19400000000000001</v>
      </c>
      <c r="E525" s="33">
        <v>28</v>
      </c>
    </row>
    <row r="526" spans="1:5" x14ac:dyDescent="0.3">
      <c r="A526" s="33">
        <v>525</v>
      </c>
      <c r="B526" s="33">
        <v>0.06</v>
      </c>
      <c r="C526" s="33">
        <v>0.41</v>
      </c>
      <c r="D526" s="33">
        <v>0.22389999999999999</v>
      </c>
      <c r="E526" s="33">
        <v>21</v>
      </c>
    </row>
    <row r="527" spans="1:5" x14ac:dyDescent="0.3">
      <c r="A527" s="33">
        <v>526</v>
      </c>
      <c r="B527" s="33">
        <v>0.06</v>
      </c>
      <c r="C527" s="33">
        <v>0.41</v>
      </c>
      <c r="D527" s="33">
        <v>0.19400000000000001</v>
      </c>
      <c r="E527" s="33">
        <v>7</v>
      </c>
    </row>
    <row r="528" spans="1:5" x14ac:dyDescent="0.3">
      <c r="A528" s="33">
        <v>527</v>
      </c>
      <c r="B528" s="33">
        <v>0.04</v>
      </c>
      <c r="C528" s="33">
        <v>0.45</v>
      </c>
      <c r="D528" s="33">
        <v>0.19400000000000001</v>
      </c>
      <c r="E528" s="33">
        <v>1</v>
      </c>
    </row>
    <row r="529" spans="1:5" x14ac:dyDescent="0.3">
      <c r="A529" s="33">
        <v>528</v>
      </c>
      <c r="B529" s="33">
        <v>0.04</v>
      </c>
      <c r="C529" s="33">
        <v>0.45</v>
      </c>
      <c r="D529" s="33">
        <v>0.25369999999999998</v>
      </c>
      <c r="E529" s="33">
        <v>1</v>
      </c>
    </row>
    <row r="530" spans="1:5" x14ac:dyDescent="0.3">
      <c r="A530" s="33">
        <v>529</v>
      </c>
      <c r="B530" s="33">
        <v>0.02</v>
      </c>
      <c r="C530" s="33">
        <v>0.48</v>
      </c>
      <c r="D530" s="33">
        <v>0.1343</v>
      </c>
      <c r="E530" s="33">
        <v>1</v>
      </c>
    </row>
    <row r="531" spans="1:5" x14ac:dyDescent="0.3">
      <c r="A531" s="33">
        <v>530</v>
      </c>
      <c r="B531" s="33">
        <v>0.02</v>
      </c>
      <c r="C531" s="33">
        <v>0.48</v>
      </c>
      <c r="D531" s="33">
        <v>0.1343</v>
      </c>
      <c r="E531" s="33">
        <v>5</v>
      </c>
    </row>
    <row r="532" spans="1:5" x14ac:dyDescent="0.3">
      <c r="A532" s="33">
        <v>531</v>
      </c>
      <c r="B532" s="33">
        <v>0.02</v>
      </c>
      <c r="C532" s="33">
        <v>0.48</v>
      </c>
      <c r="D532" s="33">
        <v>8.9599999999999999E-2</v>
      </c>
      <c r="E532" s="33">
        <v>15</v>
      </c>
    </row>
    <row r="533" spans="1:5" x14ac:dyDescent="0.3">
      <c r="A533" s="33">
        <v>532</v>
      </c>
      <c r="B533" s="33">
        <v>0.02</v>
      </c>
      <c r="C533" s="33">
        <v>0.48</v>
      </c>
      <c r="D533" s="33">
        <v>0</v>
      </c>
      <c r="E533" s="33">
        <v>84</v>
      </c>
    </row>
    <row r="534" spans="1:5" x14ac:dyDescent="0.3">
      <c r="A534" s="33">
        <v>533</v>
      </c>
      <c r="B534" s="33">
        <v>0.04</v>
      </c>
      <c r="C534" s="33">
        <v>0.49</v>
      </c>
      <c r="D534" s="33">
        <v>0</v>
      </c>
      <c r="E534" s="33">
        <v>177</v>
      </c>
    </row>
    <row r="535" spans="1:5" x14ac:dyDescent="0.3">
      <c r="A535" s="33">
        <v>534</v>
      </c>
      <c r="B535" s="33">
        <v>0.06</v>
      </c>
      <c r="C535" s="33">
        <v>0.41</v>
      </c>
      <c r="D535" s="33">
        <v>0</v>
      </c>
      <c r="E535" s="33">
        <v>102</v>
      </c>
    </row>
    <row r="536" spans="1:5" x14ac:dyDescent="0.3">
      <c r="A536" s="33">
        <v>535</v>
      </c>
      <c r="B536" s="33">
        <v>0.1</v>
      </c>
      <c r="C536" s="33">
        <v>0.42</v>
      </c>
      <c r="D536" s="33">
        <v>0</v>
      </c>
      <c r="E536" s="33">
        <v>40</v>
      </c>
    </row>
    <row r="537" spans="1:5" x14ac:dyDescent="0.3">
      <c r="A537" s="33">
        <v>536</v>
      </c>
      <c r="B537" s="33">
        <v>0.1</v>
      </c>
      <c r="C537" s="33">
        <v>0.46</v>
      </c>
      <c r="D537" s="33">
        <v>0.1343</v>
      </c>
      <c r="E537" s="33">
        <v>46</v>
      </c>
    </row>
    <row r="538" spans="1:5" x14ac:dyDescent="0.3">
      <c r="A538" s="33">
        <v>537</v>
      </c>
      <c r="B538" s="33">
        <v>0.12</v>
      </c>
      <c r="C538" s="33">
        <v>0.42</v>
      </c>
      <c r="D538" s="33">
        <v>0.19400000000000001</v>
      </c>
      <c r="E538" s="33">
        <v>63</v>
      </c>
    </row>
    <row r="539" spans="1:5" x14ac:dyDescent="0.3">
      <c r="A539" s="33">
        <v>538</v>
      </c>
      <c r="B539" s="33">
        <v>0.14000000000000001</v>
      </c>
      <c r="C539" s="33">
        <v>0.43</v>
      </c>
      <c r="D539" s="33">
        <v>0.22389999999999999</v>
      </c>
      <c r="E539" s="33">
        <v>60</v>
      </c>
    </row>
    <row r="540" spans="1:5" x14ac:dyDescent="0.3">
      <c r="A540" s="33">
        <v>539</v>
      </c>
      <c r="B540" s="33">
        <v>0.14000000000000001</v>
      </c>
      <c r="C540" s="33">
        <v>0.46</v>
      </c>
      <c r="D540" s="33">
        <v>0.22389999999999999</v>
      </c>
      <c r="E540" s="33">
        <v>45</v>
      </c>
    </row>
    <row r="541" spans="1:5" x14ac:dyDescent="0.3">
      <c r="A541" s="33">
        <v>540</v>
      </c>
      <c r="B541" s="33">
        <v>0.16</v>
      </c>
      <c r="C541" s="33">
        <v>0.4</v>
      </c>
      <c r="D541" s="33">
        <v>0.16420000000000001</v>
      </c>
      <c r="E541" s="33">
        <v>57</v>
      </c>
    </row>
    <row r="542" spans="1:5" x14ac:dyDescent="0.3">
      <c r="A542" s="33">
        <v>541</v>
      </c>
      <c r="B542" s="33">
        <v>0.16</v>
      </c>
      <c r="C542" s="33">
        <v>0.47</v>
      </c>
      <c r="D542" s="33">
        <v>0.25369999999999998</v>
      </c>
      <c r="E542" s="33">
        <v>70</v>
      </c>
    </row>
    <row r="543" spans="1:5" x14ac:dyDescent="0.3">
      <c r="A543" s="33">
        <v>542</v>
      </c>
      <c r="B543" s="33">
        <v>0.14000000000000001</v>
      </c>
      <c r="C543" s="33">
        <v>0.5</v>
      </c>
      <c r="D543" s="33">
        <v>0.25369999999999998</v>
      </c>
      <c r="E543" s="33">
        <v>184</v>
      </c>
    </row>
    <row r="544" spans="1:5" x14ac:dyDescent="0.3">
      <c r="A544" s="33">
        <v>543</v>
      </c>
      <c r="B544" s="33">
        <v>0.14000000000000001</v>
      </c>
      <c r="C544" s="33">
        <v>0.59</v>
      </c>
      <c r="D544" s="33">
        <v>0.19400000000000001</v>
      </c>
      <c r="E544" s="33">
        <v>153</v>
      </c>
    </row>
    <row r="545" spans="1:5" x14ac:dyDescent="0.3">
      <c r="A545" s="33">
        <v>544</v>
      </c>
      <c r="B545" s="33">
        <v>0.14000000000000001</v>
      </c>
      <c r="C545" s="33">
        <v>0.54</v>
      </c>
      <c r="D545" s="33">
        <v>0.16420000000000001</v>
      </c>
      <c r="E545" s="33">
        <v>106</v>
      </c>
    </row>
    <row r="546" spans="1:5" x14ac:dyDescent="0.3">
      <c r="A546" s="33">
        <v>545</v>
      </c>
      <c r="B546" s="33">
        <v>0.14000000000000001</v>
      </c>
      <c r="C546" s="33">
        <v>0.59</v>
      </c>
      <c r="D546" s="33">
        <v>0.19400000000000001</v>
      </c>
      <c r="E546" s="33">
        <v>81</v>
      </c>
    </row>
    <row r="547" spans="1:5" x14ac:dyDescent="0.3">
      <c r="A547" s="33">
        <v>546</v>
      </c>
      <c r="B547" s="33">
        <v>0.14000000000000001</v>
      </c>
      <c r="C547" s="33">
        <v>0.63</v>
      </c>
      <c r="D547" s="33">
        <v>0.16420000000000001</v>
      </c>
      <c r="E547" s="33">
        <v>59</v>
      </c>
    </row>
    <row r="548" spans="1:5" x14ac:dyDescent="0.3">
      <c r="A548" s="33">
        <v>547</v>
      </c>
      <c r="B548" s="33">
        <v>0.14000000000000001</v>
      </c>
      <c r="C548" s="33">
        <v>0.63</v>
      </c>
      <c r="D548" s="33">
        <v>0.22389999999999999</v>
      </c>
      <c r="E548" s="33">
        <v>35</v>
      </c>
    </row>
    <row r="549" spans="1:5" x14ac:dyDescent="0.3">
      <c r="A549" s="33">
        <v>548</v>
      </c>
      <c r="B549" s="33">
        <v>0.16</v>
      </c>
      <c r="C549" s="33">
        <v>0.64</v>
      </c>
      <c r="D549" s="33">
        <v>0.25369999999999998</v>
      </c>
      <c r="E549" s="33">
        <v>24</v>
      </c>
    </row>
    <row r="550" spans="1:5" x14ac:dyDescent="0.3">
      <c r="A550" s="33">
        <v>549</v>
      </c>
      <c r="B550" s="33">
        <v>0.16</v>
      </c>
      <c r="C550" s="33">
        <v>0.69</v>
      </c>
      <c r="D550" s="33">
        <v>0.28360000000000002</v>
      </c>
      <c r="E550" s="33">
        <v>9</v>
      </c>
    </row>
    <row r="551" spans="1:5" x14ac:dyDescent="0.3">
      <c r="A551" s="33">
        <v>550</v>
      </c>
      <c r="B551" s="33">
        <v>0.16</v>
      </c>
      <c r="C551" s="33">
        <v>0.69</v>
      </c>
      <c r="D551" s="33">
        <v>0.16420000000000001</v>
      </c>
      <c r="E551" s="33">
        <v>5</v>
      </c>
    </row>
    <row r="552" spans="1:5" x14ac:dyDescent="0.3">
      <c r="A552" s="33">
        <v>551</v>
      </c>
      <c r="B552" s="33">
        <v>0.16</v>
      </c>
      <c r="C552" s="33">
        <v>0.69</v>
      </c>
      <c r="D552" s="33">
        <v>0.22389999999999999</v>
      </c>
      <c r="E552" s="33">
        <v>2</v>
      </c>
    </row>
    <row r="553" spans="1:5" x14ac:dyDescent="0.3">
      <c r="A553" s="33">
        <v>552</v>
      </c>
      <c r="B553" s="33">
        <v>0.14000000000000001</v>
      </c>
      <c r="C553" s="33">
        <v>0.74</v>
      </c>
      <c r="D553" s="33">
        <v>0.1045</v>
      </c>
      <c r="E553" s="33">
        <v>1</v>
      </c>
    </row>
    <row r="554" spans="1:5" x14ac:dyDescent="0.3">
      <c r="A554" s="33">
        <v>553</v>
      </c>
      <c r="B554" s="33">
        <v>0.14000000000000001</v>
      </c>
      <c r="C554" s="33">
        <v>0.74</v>
      </c>
      <c r="D554" s="33">
        <v>0.22389999999999999</v>
      </c>
      <c r="E554" s="33">
        <v>9</v>
      </c>
    </row>
    <row r="555" spans="1:5" x14ac:dyDescent="0.3">
      <c r="A555" s="33">
        <v>554</v>
      </c>
      <c r="B555" s="33">
        <v>0.16</v>
      </c>
      <c r="C555" s="33">
        <v>0.74</v>
      </c>
      <c r="D555" s="33">
        <v>0.1045</v>
      </c>
      <c r="E555" s="33">
        <v>36</v>
      </c>
    </row>
    <row r="556" spans="1:5" x14ac:dyDescent="0.3">
      <c r="A556" s="33">
        <v>555</v>
      </c>
      <c r="B556" s="33">
        <v>0.16</v>
      </c>
      <c r="C556" s="33">
        <v>0.74</v>
      </c>
      <c r="D556" s="33">
        <v>0.22389999999999999</v>
      </c>
      <c r="E556" s="33">
        <v>108</v>
      </c>
    </row>
    <row r="557" spans="1:5" x14ac:dyDescent="0.3">
      <c r="A557" s="33">
        <v>556</v>
      </c>
      <c r="B557" s="33">
        <v>0.16</v>
      </c>
      <c r="C557" s="33">
        <v>0.74</v>
      </c>
      <c r="D557" s="33">
        <v>0.1343</v>
      </c>
      <c r="E557" s="33">
        <v>238</v>
      </c>
    </row>
    <row r="558" spans="1:5" x14ac:dyDescent="0.3">
      <c r="A558" s="33">
        <v>557</v>
      </c>
      <c r="B558" s="33">
        <v>0.2</v>
      </c>
      <c r="C558" s="33">
        <v>0.64</v>
      </c>
      <c r="D558" s="33">
        <v>8.9599999999999999E-2</v>
      </c>
      <c r="E558" s="33">
        <v>144</v>
      </c>
    </row>
    <row r="559" spans="1:5" x14ac:dyDescent="0.3">
      <c r="A559" s="33">
        <v>558</v>
      </c>
      <c r="B559" s="33">
        <v>0.22</v>
      </c>
      <c r="C559" s="33">
        <v>0.6</v>
      </c>
      <c r="D559" s="33">
        <v>0.1045</v>
      </c>
      <c r="E559" s="33">
        <v>55</v>
      </c>
    </row>
    <row r="560" spans="1:5" x14ac:dyDescent="0.3">
      <c r="A560" s="33">
        <v>559</v>
      </c>
      <c r="B560" s="33">
        <v>0.24</v>
      </c>
      <c r="C560" s="33">
        <v>0.6</v>
      </c>
      <c r="D560" s="33">
        <v>0.1343</v>
      </c>
      <c r="E560" s="33">
        <v>61</v>
      </c>
    </row>
    <row r="561" spans="1:5" x14ac:dyDescent="0.3">
      <c r="A561" s="33">
        <v>560</v>
      </c>
      <c r="B561" s="33">
        <v>0.26</v>
      </c>
      <c r="C561" s="33">
        <v>0.56000000000000005</v>
      </c>
      <c r="D561" s="33">
        <v>8.9599999999999999E-2</v>
      </c>
      <c r="E561" s="33">
        <v>106</v>
      </c>
    </row>
    <row r="562" spans="1:5" x14ac:dyDescent="0.3">
      <c r="A562" s="33">
        <v>561</v>
      </c>
      <c r="B562" s="33">
        <v>0.26</v>
      </c>
      <c r="C562" s="33">
        <v>0.56000000000000005</v>
      </c>
      <c r="D562" s="33">
        <v>0.1343</v>
      </c>
      <c r="E562" s="33">
        <v>93</v>
      </c>
    </row>
    <row r="563" spans="1:5" x14ac:dyDescent="0.3">
      <c r="A563" s="33">
        <v>562</v>
      </c>
      <c r="B563" s="33">
        <v>0.3</v>
      </c>
      <c r="C563" s="33">
        <v>0.45</v>
      </c>
      <c r="D563" s="33">
        <v>0</v>
      </c>
      <c r="E563" s="33">
        <v>68</v>
      </c>
    </row>
    <row r="564" spans="1:5" x14ac:dyDescent="0.3">
      <c r="A564" s="33">
        <v>563</v>
      </c>
      <c r="B564" s="33">
        <v>0.32</v>
      </c>
      <c r="C564" s="33">
        <v>0.42</v>
      </c>
      <c r="D564" s="33">
        <v>0</v>
      </c>
      <c r="E564" s="33">
        <v>84</v>
      </c>
    </row>
    <row r="565" spans="1:5" x14ac:dyDescent="0.3">
      <c r="A565" s="33">
        <v>564</v>
      </c>
      <c r="B565" s="33">
        <v>0.32</v>
      </c>
      <c r="C565" s="33">
        <v>0.42</v>
      </c>
      <c r="D565" s="33">
        <v>0</v>
      </c>
      <c r="E565" s="33">
        <v>116</v>
      </c>
    </row>
    <row r="566" spans="1:5" x14ac:dyDescent="0.3">
      <c r="A566" s="33">
        <v>565</v>
      </c>
      <c r="B566" s="33">
        <v>0.3</v>
      </c>
      <c r="C566" s="33">
        <v>0.45</v>
      </c>
      <c r="D566" s="33">
        <v>0</v>
      </c>
      <c r="E566" s="33">
        <v>222</v>
      </c>
    </row>
    <row r="567" spans="1:5" x14ac:dyDescent="0.3">
      <c r="A567" s="33">
        <v>566</v>
      </c>
      <c r="B567" s="33">
        <v>0.3</v>
      </c>
      <c r="C567" s="33">
        <v>0.49</v>
      </c>
      <c r="D567" s="33">
        <v>8.9599999999999999E-2</v>
      </c>
      <c r="E567" s="33">
        <v>225</v>
      </c>
    </row>
    <row r="568" spans="1:5" x14ac:dyDescent="0.3">
      <c r="A568" s="33">
        <v>567</v>
      </c>
      <c r="B568" s="33">
        <v>0.26</v>
      </c>
      <c r="C568" s="33">
        <v>0.65</v>
      </c>
      <c r="D568" s="33">
        <v>0.16420000000000001</v>
      </c>
      <c r="E568" s="33">
        <v>146</v>
      </c>
    </row>
    <row r="569" spans="1:5" x14ac:dyDescent="0.3">
      <c r="A569" s="33">
        <v>568</v>
      </c>
      <c r="B569" s="33">
        <v>0.24</v>
      </c>
      <c r="C569" s="33">
        <v>0.65</v>
      </c>
      <c r="D569" s="33">
        <v>0.19400000000000001</v>
      </c>
      <c r="E569" s="33">
        <v>119</v>
      </c>
    </row>
    <row r="570" spans="1:5" x14ac:dyDescent="0.3">
      <c r="A570" s="33">
        <v>569</v>
      </c>
      <c r="B570" s="33">
        <v>0.24</v>
      </c>
      <c r="C570" s="33">
        <v>0.65</v>
      </c>
      <c r="D570" s="33">
        <v>0.19400000000000001</v>
      </c>
      <c r="E570" s="33">
        <v>45</v>
      </c>
    </row>
    <row r="571" spans="1:5" x14ac:dyDescent="0.3">
      <c r="A571" s="33">
        <v>570</v>
      </c>
      <c r="B571" s="33">
        <v>0.22</v>
      </c>
      <c r="C571" s="33">
        <v>0.64</v>
      </c>
      <c r="D571" s="33">
        <v>0.16420000000000001</v>
      </c>
      <c r="E571" s="33">
        <v>53</v>
      </c>
    </row>
    <row r="572" spans="1:5" x14ac:dyDescent="0.3">
      <c r="A572" s="33">
        <v>571</v>
      </c>
      <c r="B572" s="33">
        <v>0.22</v>
      </c>
      <c r="C572" s="33">
        <v>0.64</v>
      </c>
      <c r="D572" s="33">
        <v>0.16420000000000001</v>
      </c>
      <c r="E572" s="33">
        <v>40</v>
      </c>
    </row>
    <row r="573" spans="1:5" x14ac:dyDescent="0.3">
      <c r="A573" s="33">
        <v>572</v>
      </c>
      <c r="B573" s="33">
        <v>0.22</v>
      </c>
      <c r="C573" s="33">
        <v>0.69</v>
      </c>
      <c r="D573" s="33">
        <v>0.1343</v>
      </c>
      <c r="E573" s="33">
        <v>17</v>
      </c>
    </row>
    <row r="574" spans="1:5" x14ac:dyDescent="0.3">
      <c r="A574" s="33">
        <v>573</v>
      </c>
      <c r="B574" s="33">
        <v>0.24</v>
      </c>
      <c r="C574" s="33">
        <v>0.65</v>
      </c>
      <c r="D574" s="33">
        <v>0.1343</v>
      </c>
      <c r="E574" s="33">
        <v>5</v>
      </c>
    </row>
    <row r="575" spans="1:5" x14ac:dyDescent="0.3">
      <c r="A575" s="33">
        <v>574</v>
      </c>
      <c r="B575" s="33">
        <v>0.22</v>
      </c>
      <c r="C575" s="33">
        <v>0.69</v>
      </c>
      <c r="D575" s="33">
        <v>0.19400000000000001</v>
      </c>
      <c r="E575" s="33">
        <v>10</v>
      </c>
    </row>
    <row r="576" spans="1:5" x14ac:dyDescent="0.3">
      <c r="A576" s="33">
        <v>575</v>
      </c>
      <c r="B576" s="33">
        <v>0.2</v>
      </c>
      <c r="C576" s="33">
        <v>0.86</v>
      </c>
      <c r="D576" s="33">
        <v>0.28360000000000002</v>
      </c>
      <c r="E576" s="33">
        <v>1</v>
      </c>
    </row>
    <row r="577" spans="1:5" x14ac:dyDescent="0.3">
      <c r="A577" s="33">
        <v>576</v>
      </c>
      <c r="B577" s="33">
        <v>0.2</v>
      </c>
      <c r="C577" s="33">
        <v>0.86</v>
      </c>
      <c r="D577" s="33">
        <v>0.28360000000000002</v>
      </c>
      <c r="E577" s="33">
        <v>8</v>
      </c>
    </row>
    <row r="578" spans="1:5" x14ac:dyDescent="0.3">
      <c r="A578" s="33">
        <v>577</v>
      </c>
      <c r="B578" s="33">
        <v>0.22</v>
      </c>
      <c r="C578" s="33">
        <v>0.87</v>
      </c>
      <c r="D578" s="33">
        <v>0.29849999999999999</v>
      </c>
      <c r="E578" s="33">
        <v>30</v>
      </c>
    </row>
    <row r="579" spans="1:5" x14ac:dyDescent="0.3">
      <c r="A579" s="33">
        <v>578</v>
      </c>
      <c r="B579" s="33">
        <v>0.22</v>
      </c>
      <c r="C579" s="33">
        <v>0.87</v>
      </c>
      <c r="D579" s="33">
        <v>0.29849999999999999</v>
      </c>
      <c r="E579" s="33">
        <v>72</v>
      </c>
    </row>
    <row r="580" spans="1:5" x14ac:dyDescent="0.3">
      <c r="A580" s="33">
        <v>579</v>
      </c>
      <c r="B580" s="33">
        <v>0.22</v>
      </c>
      <c r="C580" s="33">
        <v>0.87</v>
      </c>
      <c r="D580" s="33">
        <v>0.29849999999999999</v>
      </c>
      <c r="E580" s="33">
        <v>58</v>
      </c>
    </row>
    <row r="581" spans="1:5" x14ac:dyDescent="0.3">
      <c r="A581" s="33">
        <v>580</v>
      </c>
      <c r="B581" s="33">
        <v>0.22</v>
      </c>
      <c r="C581" s="33">
        <v>0.93</v>
      </c>
      <c r="D581" s="33">
        <v>0.28360000000000002</v>
      </c>
      <c r="E581" s="33">
        <v>28</v>
      </c>
    </row>
    <row r="582" spans="1:5" x14ac:dyDescent="0.3">
      <c r="A582" s="33">
        <v>581</v>
      </c>
      <c r="B582" s="33">
        <v>0.22</v>
      </c>
      <c r="C582" s="33">
        <v>0.93</v>
      </c>
      <c r="D582" s="33">
        <v>0.32840000000000003</v>
      </c>
      <c r="E582" s="33">
        <v>41</v>
      </c>
    </row>
    <row r="583" spans="1:5" x14ac:dyDescent="0.3">
      <c r="A583" s="33">
        <v>582</v>
      </c>
      <c r="B583" s="33">
        <v>0.22</v>
      </c>
      <c r="C583" s="33">
        <v>0.93</v>
      </c>
      <c r="D583" s="33">
        <v>0.32840000000000003</v>
      </c>
      <c r="E583" s="33">
        <v>48</v>
      </c>
    </row>
    <row r="584" spans="1:5" x14ac:dyDescent="0.3">
      <c r="A584" s="33">
        <v>583</v>
      </c>
      <c r="B584" s="33">
        <v>0.22</v>
      </c>
      <c r="C584" s="33">
        <v>0.93</v>
      </c>
      <c r="D584" s="33">
        <v>0.32840000000000003</v>
      </c>
      <c r="E584" s="33">
        <v>47</v>
      </c>
    </row>
    <row r="585" spans="1:5" x14ac:dyDescent="0.3">
      <c r="A585" s="33">
        <v>584</v>
      </c>
      <c r="B585" s="33">
        <v>0.22</v>
      </c>
      <c r="C585" s="33">
        <v>0.93</v>
      </c>
      <c r="D585" s="33">
        <v>0.35820000000000002</v>
      </c>
      <c r="E585" s="33">
        <v>36</v>
      </c>
    </row>
    <row r="586" spans="1:5" x14ac:dyDescent="0.3">
      <c r="A586" s="33">
        <v>585</v>
      </c>
      <c r="B586" s="33">
        <v>0.22</v>
      </c>
      <c r="C586" s="33">
        <v>0.93</v>
      </c>
      <c r="D586" s="33">
        <v>0.4627</v>
      </c>
      <c r="E586" s="33">
        <v>43</v>
      </c>
    </row>
    <row r="587" spans="1:5" x14ac:dyDescent="0.3">
      <c r="A587" s="33">
        <v>586</v>
      </c>
      <c r="B587" s="33">
        <v>0.22</v>
      </c>
      <c r="C587" s="33">
        <v>0.93</v>
      </c>
      <c r="D587" s="33">
        <v>0.32840000000000003</v>
      </c>
      <c r="E587" s="33">
        <v>36</v>
      </c>
    </row>
    <row r="588" spans="1:5" x14ac:dyDescent="0.3">
      <c r="A588" s="33">
        <v>587</v>
      </c>
      <c r="B588" s="33">
        <v>0.2</v>
      </c>
      <c r="C588" s="33">
        <v>0.93</v>
      </c>
      <c r="D588" s="33">
        <v>0.35820000000000002</v>
      </c>
      <c r="E588" s="33">
        <v>26</v>
      </c>
    </row>
    <row r="589" spans="1:5" x14ac:dyDescent="0.3">
      <c r="A589" s="33">
        <v>588</v>
      </c>
      <c r="B589" s="33">
        <v>0.22</v>
      </c>
      <c r="C589" s="33">
        <v>0.55000000000000004</v>
      </c>
      <c r="D589" s="33">
        <v>0.19400000000000001</v>
      </c>
      <c r="E589" s="33">
        <v>24</v>
      </c>
    </row>
    <row r="590" spans="1:5" x14ac:dyDescent="0.3">
      <c r="A590" s="33">
        <v>589</v>
      </c>
      <c r="B590" s="33">
        <v>0.22</v>
      </c>
      <c r="C590" s="33">
        <v>0.55000000000000004</v>
      </c>
      <c r="D590" s="33">
        <v>0.1045</v>
      </c>
      <c r="E590" s="33">
        <v>84</v>
      </c>
    </row>
    <row r="591" spans="1:5" x14ac:dyDescent="0.3">
      <c r="A591" s="33">
        <v>590</v>
      </c>
      <c r="B591" s="33">
        <v>0.2</v>
      </c>
      <c r="C591" s="33">
        <v>0.69</v>
      </c>
      <c r="D591" s="33">
        <v>8.9599999999999999E-2</v>
      </c>
      <c r="E591" s="33">
        <v>104</v>
      </c>
    </row>
    <row r="592" spans="1:5" x14ac:dyDescent="0.3">
      <c r="A592" s="33">
        <v>591</v>
      </c>
      <c r="B592" s="33">
        <v>0.2</v>
      </c>
      <c r="C592" s="33">
        <v>0.69</v>
      </c>
      <c r="D592" s="33">
        <v>8.9599999999999999E-2</v>
      </c>
      <c r="E592" s="33">
        <v>79</v>
      </c>
    </row>
    <row r="593" spans="1:5" x14ac:dyDescent="0.3">
      <c r="A593" s="33">
        <v>592</v>
      </c>
      <c r="B593" s="33">
        <v>0.18</v>
      </c>
      <c r="C593" s="33">
        <v>0.74</v>
      </c>
      <c r="D593" s="33">
        <v>8.9599999999999999E-2</v>
      </c>
      <c r="E593" s="33">
        <v>59</v>
      </c>
    </row>
    <row r="594" spans="1:5" x14ac:dyDescent="0.3">
      <c r="A594" s="33">
        <v>593</v>
      </c>
      <c r="B594" s="33">
        <v>0.18</v>
      </c>
      <c r="C594" s="33">
        <v>0.74</v>
      </c>
      <c r="D594" s="33">
        <v>8.9599999999999999E-2</v>
      </c>
      <c r="E594" s="33">
        <v>38</v>
      </c>
    </row>
    <row r="595" spans="1:5" x14ac:dyDescent="0.3">
      <c r="A595" s="33">
        <v>594</v>
      </c>
      <c r="B595" s="33">
        <v>0.18</v>
      </c>
      <c r="C595" s="33">
        <v>0.74</v>
      </c>
      <c r="D595" s="33">
        <v>8.9599999999999999E-2</v>
      </c>
      <c r="E595" s="33">
        <v>27</v>
      </c>
    </row>
    <row r="596" spans="1:5" x14ac:dyDescent="0.3">
      <c r="A596" s="33">
        <v>595</v>
      </c>
      <c r="B596" s="33">
        <v>0.18</v>
      </c>
      <c r="C596" s="33">
        <v>0.8</v>
      </c>
      <c r="D596" s="33">
        <v>0.16420000000000001</v>
      </c>
      <c r="E596" s="33">
        <v>16</v>
      </c>
    </row>
    <row r="597" spans="1:5" x14ac:dyDescent="0.3">
      <c r="A597" s="33">
        <v>596</v>
      </c>
      <c r="B597" s="33">
        <v>0.2</v>
      </c>
      <c r="C597" s="33">
        <v>0.75</v>
      </c>
      <c r="D597" s="33">
        <v>0.1343</v>
      </c>
      <c r="E597" s="33">
        <v>9</v>
      </c>
    </row>
    <row r="598" spans="1:5" x14ac:dyDescent="0.3">
      <c r="A598" s="33">
        <v>597</v>
      </c>
      <c r="B598" s="33">
        <v>0.2</v>
      </c>
      <c r="C598" s="33">
        <v>0.75</v>
      </c>
      <c r="D598" s="33">
        <v>0.1343</v>
      </c>
      <c r="E598" s="33">
        <v>3</v>
      </c>
    </row>
    <row r="599" spans="1:5" x14ac:dyDescent="0.3">
      <c r="A599" s="33">
        <v>598</v>
      </c>
      <c r="B599" s="33">
        <v>0.2</v>
      </c>
      <c r="C599" s="33">
        <v>0.75</v>
      </c>
      <c r="D599" s="33">
        <v>0.16420000000000001</v>
      </c>
      <c r="E599" s="33">
        <v>2</v>
      </c>
    </row>
    <row r="600" spans="1:5" x14ac:dyDescent="0.3">
      <c r="A600" s="33">
        <v>599</v>
      </c>
      <c r="B600" s="33">
        <v>0.2</v>
      </c>
      <c r="C600" s="33">
        <v>0.75</v>
      </c>
      <c r="D600" s="33">
        <v>0.1045</v>
      </c>
      <c r="E600" s="33">
        <v>1</v>
      </c>
    </row>
    <row r="601" spans="1:5" x14ac:dyDescent="0.3">
      <c r="A601" s="33">
        <v>600</v>
      </c>
      <c r="B601" s="33">
        <v>0.18</v>
      </c>
      <c r="C601" s="33">
        <v>0.8</v>
      </c>
      <c r="D601" s="33">
        <v>0.1045</v>
      </c>
      <c r="E601" s="33">
        <v>4</v>
      </c>
    </row>
    <row r="602" spans="1:5" x14ac:dyDescent="0.3">
      <c r="A602" s="33">
        <v>601</v>
      </c>
      <c r="B602" s="33">
        <v>0.18</v>
      </c>
      <c r="C602" s="33">
        <v>0.8</v>
      </c>
      <c r="D602" s="33">
        <v>0.1343</v>
      </c>
      <c r="E602" s="33">
        <v>16</v>
      </c>
    </row>
    <row r="603" spans="1:5" x14ac:dyDescent="0.3">
      <c r="A603" s="33">
        <v>602</v>
      </c>
      <c r="B603" s="33">
        <v>0.16</v>
      </c>
      <c r="C603" s="33">
        <v>0.86</v>
      </c>
      <c r="D603" s="33">
        <v>8.9599999999999999E-2</v>
      </c>
      <c r="E603" s="33">
        <v>60</v>
      </c>
    </row>
    <row r="604" spans="1:5" x14ac:dyDescent="0.3">
      <c r="A604" s="33">
        <v>603</v>
      </c>
      <c r="B604" s="33">
        <v>0.16</v>
      </c>
      <c r="C604" s="33">
        <v>0.86</v>
      </c>
      <c r="D604" s="33">
        <v>8.9599999999999999E-2</v>
      </c>
      <c r="E604" s="33">
        <v>157</v>
      </c>
    </row>
    <row r="605" spans="1:5" x14ac:dyDescent="0.3">
      <c r="A605" s="33">
        <v>604</v>
      </c>
      <c r="B605" s="33">
        <v>0.18</v>
      </c>
      <c r="C605" s="33">
        <v>0.86</v>
      </c>
      <c r="D605" s="33">
        <v>8.9599999999999999E-2</v>
      </c>
      <c r="E605" s="33">
        <v>101</v>
      </c>
    </row>
    <row r="606" spans="1:5" x14ac:dyDescent="0.3">
      <c r="A606" s="33">
        <v>605</v>
      </c>
      <c r="B606" s="33">
        <v>0.18</v>
      </c>
      <c r="C606" s="33">
        <v>0.86</v>
      </c>
      <c r="D606" s="33">
        <v>0.1045</v>
      </c>
      <c r="E606" s="33">
        <v>49</v>
      </c>
    </row>
    <row r="607" spans="1:5" x14ac:dyDescent="0.3">
      <c r="A607" s="33">
        <v>606</v>
      </c>
      <c r="B607" s="33">
        <v>0.18</v>
      </c>
      <c r="C607" s="33">
        <v>0.93</v>
      </c>
      <c r="D607" s="33">
        <v>0.1045</v>
      </c>
      <c r="E607" s="33">
        <v>30</v>
      </c>
    </row>
    <row r="608" spans="1:5" x14ac:dyDescent="0.3">
      <c r="A608" s="33">
        <v>607</v>
      </c>
      <c r="B608" s="33">
        <v>0.18</v>
      </c>
      <c r="C608" s="33">
        <v>0.93</v>
      </c>
      <c r="D608" s="33">
        <v>0.1045</v>
      </c>
      <c r="E608" s="33">
        <v>29</v>
      </c>
    </row>
    <row r="609" spans="1:5" x14ac:dyDescent="0.3">
      <c r="A609" s="33">
        <v>608</v>
      </c>
      <c r="B609" s="33">
        <v>0.18</v>
      </c>
      <c r="C609" s="33">
        <v>0.93</v>
      </c>
      <c r="D609" s="33">
        <v>0.1045</v>
      </c>
      <c r="E609" s="33">
        <v>31</v>
      </c>
    </row>
    <row r="610" spans="1:5" x14ac:dyDescent="0.3">
      <c r="A610" s="33">
        <v>609</v>
      </c>
      <c r="B610" s="33">
        <v>0.22</v>
      </c>
      <c r="C610" s="33">
        <v>0.8</v>
      </c>
      <c r="D610" s="33">
        <v>0</v>
      </c>
      <c r="E610" s="33">
        <v>38</v>
      </c>
    </row>
    <row r="611" spans="1:5" x14ac:dyDescent="0.3">
      <c r="A611" s="33">
        <v>610</v>
      </c>
      <c r="B611" s="33">
        <v>0.2</v>
      </c>
      <c r="C611" s="33">
        <v>0.86</v>
      </c>
      <c r="D611" s="33">
        <v>0</v>
      </c>
      <c r="E611" s="33">
        <v>41</v>
      </c>
    </row>
    <row r="612" spans="1:5" x14ac:dyDescent="0.3">
      <c r="A612" s="33">
        <v>611</v>
      </c>
      <c r="B612" s="33">
        <v>0.22</v>
      </c>
      <c r="C612" s="33">
        <v>0.8</v>
      </c>
      <c r="D612" s="33">
        <v>0</v>
      </c>
      <c r="E612" s="33">
        <v>80</v>
      </c>
    </row>
    <row r="613" spans="1:5" x14ac:dyDescent="0.3">
      <c r="A613" s="33">
        <v>612</v>
      </c>
      <c r="B613" s="33">
        <v>0.24</v>
      </c>
      <c r="C613" s="33">
        <v>0.75</v>
      </c>
      <c r="D613" s="33">
        <v>0.1343</v>
      </c>
      <c r="E613" s="33">
        <v>149</v>
      </c>
    </row>
    <row r="614" spans="1:5" x14ac:dyDescent="0.3">
      <c r="A614" s="33">
        <v>613</v>
      </c>
      <c r="B614" s="33">
        <v>0.24</v>
      </c>
      <c r="C614" s="33">
        <v>0.75</v>
      </c>
      <c r="D614" s="33">
        <v>0.19400000000000001</v>
      </c>
      <c r="E614" s="33">
        <v>109</v>
      </c>
    </row>
    <row r="615" spans="1:5" x14ac:dyDescent="0.3">
      <c r="A615" s="33">
        <v>614</v>
      </c>
      <c r="B615" s="33">
        <v>0.24</v>
      </c>
      <c r="C615" s="33">
        <v>0.75</v>
      </c>
      <c r="D615" s="33">
        <v>0.1343</v>
      </c>
      <c r="E615" s="33">
        <v>89</v>
      </c>
    </row>
    <row r="616" spans="1:5" x14ac:dyDescent="0.3">
      <c r="A616" s="33">
        <v>615</v>
      </c>
      <c r="B616" s="33">
        <v>0.24</v>
      </c>
      <c r="C616" s="33">
        <v>0.7</v>
      </c>
      <c r="D616" s="33">
        <v>0.19400000000000001</v>
      </c>
      <c r="E616" s="33">
        <v>62</v>
      </c>
    </row>
    <row r="617" spans="1:5" x14ac:dyDescent="0.3">
      <c r="A617" s="33">
        <v>616</v>
      </c>
      <c r="B617" s="33">
        <v>0.22</v>
      </c>
      <c r="C617" s="33">
        <v>0.75</v>
      </c>
      <c r="D617" s="33">
        <v>0.1343</v>
      </c>
      <c r="E617" s="33">
        <v>58</v>
      </c>
    </row>
    <row r="618" spans="1:5" x14ac:dyDescent="0.3">
      <c r="A618" s="33">
        <v>617</v>
      </c>
      <c r="B618" s="33">
        <v>0.24</v>
      </c>
      <c r="C618" s="33">
        <v>0.65</v>
      </c>
      <c r="D618" s="33">
        <v>0.35820000000000002</v>
      </c>
      <c r="E618" s="33">
        <v>26</v>
      </c>
    </row>
    <row r="619" spans="1:5" x14ac:dyDescent="0.3">
      <c r="A619" s="33">
        <v>618</v>
      </c>
      <c r="B619" s="33">
        <v>0.24</v>
      </c>
      <c r="C619" s="33">
        <v>0.6</v>
      </c>
      <c r="D619" s="33">
        <v>0.22389999999999999</v>
      </c>
      <c r="E619" s="33">
        <v>23</v>
      </c>
    </row>
    <row r="620" spans="1:5" x14ac:dyDescent="0.3">
      <c r="A620" s="33">
        <v>619</v>
      </c>
      <c r="B620" s="33">
        <v>0.22</v>
      </c>
      <c r="C620" s="33">
        <v>0.64</v>
      </c>
      <c r="D620" s="33">
        <v>0.35820000000000002</v>
      </c>
      <c r="E620" s="33">
        <v>28</v>
      </c>
    </row>
    <row r="621" spans="1:5" x14ac:dyDescent="0.3">
      <c r="A621" s="33">
        <v>620</v>
      </c>
      <c r="B621" s="33">
        <v>0.22</v>
      </c>
      <c r="C621" s="33">
        <v>0.64</v>
      </c>
      <c r="D621" s="33">
        <v>0.19400000000000001</v>
      </c>
      <c r="E621" s="33">
        <v>20</v>
      </c>
    </row>
    <row r="622" spans="1:5" x14ac:dyDescent="0.3">
      <c r="A622" s="33">
        <v>621</v>
      </c>
      <c r="B622" s="33">
        <v>0.22</v>
      </c>
      <c r="C622" s="33">
        <v>0.64</v>
      </c>
      <c r="D622" s="33">
        <v>0.16420000000000001</v>
      </c>
      <c r="E622" s="33">
        <v>15</v>
      </c>
    </row>
    <row r="623" spans="1:5" x14ac:dyDescent="0.3">
      <c r="A623" s="33">
        <v>622</v>
      </c>
      <c r="B623" s="33">
        <v>0.2</v>
      </c>
      <c r="C623" s="33">
        <v>0.64</v>
      </c>
      <c r="D623" s="33">
        <v>0.1343</v>
      </c>
      <c r="E623" s="33">
        <v>8</v>
      </c>
    </row>
    <row r="624" spans="1:5" x14ac:dyDescent="0.3">
      <c r="A624" s="33">
        <v>623</v>
      </c>
      <c r="B624" s="33">
        <v>0.16</v>
      </c>
      <c r="C624" s="33">
        <v>0.69</v>
      </c>
      <c r="D624" s="33">
        <v>0.1045</v>
      </c>
      <c r="E624" s="33">
        <v>3</v>
      </c>
    </row>
    <row r="625" spans="1:5" x14ac:dyDescent="0.3">
      <c r="A625" s="33">
        <v>624</v>
      </c>
      <c r="B625" s="33">
        <v>0.16</v>
      </c>
      <c r="C625" s="33">
        <v>0.64</v>
      </c>
      <c r="D625" s="33">
        <v>0.1343</v>
      </c>
      <c r="E625" s="33">
        <v>2</v>
      </c>
    </row>
    <row r="626" spans="1:5" x14ac:dyDescent="0.3">
      <c r="A626" s="33">
        <v>625</v>
      </c>
      <c r="B626" s="33">
        <v>0.16</v>
      </c>
      <c r="C626" s="33">
        <v>0.59</v>
      </c>
      <c r="D626" s="33">
        <v>0.1045</v>
      </c>
      <c r="E626" s="33">
        <v>5</v>
      </c>
    </row>
    <row r="627" spans="1:5" x14ac:dyDescent="0.3">
      <c r="A627" s="33">
        <v>626</v>
      </c>
      <c r="B627" s="33">
        <v>0.18</v>
      </c>
      <c r="C627" s="33">
        <v>0.55000000000000004</v>
      </c>
      <c r="D627" s="33">
        <v>0.16420000000000001</v>
      </c>
      <c r="E627" s="33">
        <v>34</v>
      </c>
    </row>
    <row r="628" spans="1:5" x14ac:dyDescent="0.3">
      <c r="A628" s="33">
        <v>627</v>
      </c>
      <c r="B628" s="33">
        <v>0.18</v>
      </c>
      <c r="C628" s="33">
        <v>0.59</v>
      </c>
      <c r="D628" s="33">
        <v>8.9599999999999999E-2</v>
      </c>
      <c r="E628" s="33">
        <v>34</v>
      </c>
    </row>
    <row r="629" spans="1:5" x14ac:dyDescent="0.3">
      <c r="A629" s="33">
        <v>628</v>
      </c>
      <c r="B629" s="33">
        <v>0.18</v>
      </c>
      <c r="C629" s="33">
        <v>0.64</v>
      </c>
      <c r="D629" s="33">
        <v>0.1045</v>
      </c>
      <c r="E629" s="33">
        <v>55</v>
      </c>
    </row>
    <row r="630" spans="1:5" x14ac:dyDescent="0.3">
      <c r="A630" s="33">
        <v>629</v>
      </c>
      <c r="B630" s="33">
        <v>0.18</v>
      </c>
      <c r="C630" s="33">
        <v>0.64</v>
      </c>
      <c r="D630" s="33">
        <v>0.1343</v>
      </c>
      <c r="E630" s="33">
        <v>64</v>
      </c>
    </row>
    <row r="631" spans="1:5" x14ac:dyDescent="0.3">
      <c r="A631" s="33">
        <v>630</v>
      </c>
      <c r="B631" s="33">
        <v>0.2</v>
      </c>
      <c r="C631" s="33">
        <v>0.59</v>
      </c>
      <c r="D631" s="33">
        <v>0.19400000000000001</v>
      </c>
      <c r="E631" s="33">
        <v>78</v>
      </c>
    </row>
    <row r="632" spans="1:5" x14ac:dyDescent="0.3">
      <c r="A632" s="33">
        <v>631</v>
      </c>
      <c r="B632" s="33">
        <v>0.22</v>
      </c>
      <c r="C632" s="33">
        <v>0.55000000000000004</v>
      </c>
      <c r="D632" s="33">
        <v>0.16420000000000001</v>
      </c>
      <c r="E632" s="33">
        <v>65</v>
      </c>
    </row>
    <row r="633" spans="1:5" x14ac:dyDescent="0.3">
      <c r="A633" s="33">
        <v>632</v>
      </c>
      <c r="B633" s="33">
        <v>0.22</v>
      </c>
      <c r="C633" s="33">
        <v>0.6</v>
      </c>
      <c r="D633" s="33">
        <v>0.1343</v>
      </c>
      <c r="E633" s="33">
        <v>99</v>
      </c>
    </row>
    <row r="634" spans="1:5" x14ac:dyDescent="0.3">
      <c r="A634" s="33">
        <v>633</v>
      </c>
      <c r="B634" s="33">
        <v>0.22</v>
      </c>
      <c r="C634" s="33">
        <v>0.69</v>
      </c>
      <c r="D634" s="33">
        <v>0.25369999999999998</v>
      </c>
      <c r="E634" s="33">
        <v>120</v>
      </c>
    </row>
    <row r="635" spans="1:5" x14ac:dyDescent="0.3">
      <c r="A635" s="33">
        <v>634</v>
      </c>
      <c r="B635" s="33">
        <v>0.24</v>
      </c>
      <c r="C635" s="33">
        <v>0.6</v>
      </c>
      <c r="D635" s="33">
        <v>0.16420000000000001</v>
      </c>
      <c r="E635" s="33">
        <v>107</v>
      </c>
    </row>
    <row r="636" spans="1:5" x14ac:dyDescent="0.3">
      <c r="A636" s="33">
        <v>635</v>
      </c>
      <c r="B636" s="33">
        <v>0.24</v>
      </c>
      <c r="C636" s="33">
        <v>0.6</v>
      </c>
      <c r="D636" s="33">
        <v>0</v>
      </c>
      <c r="E636" s="33">
        <v>91</v>
      </c>
    </row>
    <row r="637" spans="1:5" x14ac:dyDescent="0.3">
      <c r="A637" s="33">
        <v>636</v>
      </c>
      <c r="B637" s="33">
        <v>0.22</v>
      </c>
      <c r="C637" s="33">
        <v>0.69</v>
      </c>
      <c r="D637" s="33">
        <v>0.1343</v>
      </c>
      <c r="E637" s="33">
        <v>68</v>
      </c>
    </row>
    <row r="638" spans="1:5" x14ac:dyDescent="0.3">
      <c r="A638" s="33">
        <v>637</v>
      </c>
      <c r="B638" s="33">
        <v>0.22</v>
      </c>
      <c r="C638" s="33">
        <v>0.69</v>
      </c>
      <c r="D638" s="33">
        <v>0.25369999999999998</v>
      </c>
      <c r="E638" s="33">
        <v>58</v>
      </c>
    </row>
    <row r="639" spans="1:5" x14ac:dyDescent="0.3">
      <c r="A639" s="33">
        <v>638</v>
      </c>
      <c r="B639" s="33">
        <v>0.18</v>
      </c>
      <c r="C639" s="33">
        <v>0.74</v>
      </c>
      <c r="D639" s="33">
        <v>8.9599999999999999E-2</v>
      </c>
      <c r="E639" s="33">
        <v>43</v>
      </c>
    </row>
    <row r="640" spans="1:5" x14ac:dyDescent="0.3">
      <c r="A640" s="33">
        <v>639</v>
      </c>
      <c r="B640" s="33">
        <v>0.18</v>
      </c>
      <c r="C640" s="33">
        <v>0.74</v>
      </c>
      <c r="D640" s="33">
        <v>8.9599999999999999E-2</v>
      </c>
      <c r="E640" s="33">
        <v>36</v>
      </c>
    </row>
    <row r="641" spans="1:5" x14ac:dyDescent="0.3">
      <c r="A641" s="33">
        <v>640</v>
      </c>
      <c r="B641" s="33">
        <v>0.16</v>
      </c>
      <c r="C641" s="33">
        <v>0.8</v>
      </c>
      <c r="D641" s="33">
        <v>8.9599999999999999E-2</v>
      </c>
      <c r="E641" s="33">
        <v>32</v>
      </c>
    </row>
    <row r="642" spans="1:5" x14ac:dyDescent="0.3">
      <c r="A642" s="33">
        <v>641</v>
      </c>
      <c r="B642" s="33">
        <v>0.16</v>
      </c>
      <c r="C642" s="33">
        <v>0.8</v>
      </c>
      <c r="D642" s="33">
        <v>8.9599999999999999E-2</v>
      </c>
      <c r="E642" s="33">
        <v>33</v>
      </c>
    </row>
    <row r="643" spans="1:5" x14ac:dyDescent="0.3">
      <c r="A643" s="33">
        <v>642</v>
      </c>
      <c r="B643" s="33">
        <v>0.16</v>
      </c>
      <c r="C643" s="33">
        <v>0.8</v>
      </c>
      <c r="D643" s="33">
        <v>0.1045</v>
      </c>
      <c r="E643" s="33">
        <v>33</v>
      </c>
    </row>
    <row r="644" spans="1:5" x14ac:dyDescent="0.3">
      <c r="A644" s="33">
        <v>643</v>
      </c>
      <c r="B644" s="33">
        <v>0.14000000000000001</v>
      </c>
      <c r="C644" s="33">
        <v>0.8</v>
      </c>
      <c r="D644" s="33">
        <v>0</v>
      </c>
      <c r="E644" s="33">
        <v>29</v>
      </c>
    </row>
    <row r="645" spans="1:5" x14ac:dyDescent="0.3">
      <c r="A645" s="33">
        <v>644</v>
      </c>
      <c r="B645" s="33">
        <v>0.16</v>
      </c>
      <c r="C645" s="33">
        <v>0.8</v>
      </c>
      <c r="D645" s="33">
        <v>0</v>
      </c>
      <c r="E645" s="33">
        <v>11</v>
      </c>
    </row>
    <row r="646" spans="1:5" x14ac:dyDescent="0.3">
      <c r="A646" s="33">
        <v>645</v>
      </c>
      <c r="B646" s="33">
        <v>0.14000000000000001</v>
      </c>
      <c r="C646" s="33">
        <v>0.93</v>
      </c>
      <c r="D646" s="33">
        <v>0</v>
      </c>
      <c r="E646" s="33">
        <v>8</v>
      </c>
    </row>
    <row r="647" spans="1:5" x14ac:dyDescent="0.3">
      <c r="A647" s="33">
        <v>646</v>
      </c>
      <c r="B647" s="33">
        <v>0.14000000000000001</v>
      </c>
      <c r="C647" s="33">
        <v>0.93</v>
      </c>
      <c r="D647" s="33">
        <v>0</v>
      </c>
      <c r="E647" s="33">
        <v>1</v>
      </c>
    </row>
    <row r="648" spans="1:5" x14ac:dyDescent="0.3">
      <c r="A648" s="33">
        <v>647</v>
      </c>
      <c r="B648" s="33">
        <v>0.14000000000000001</v>
      </c>
      <c r="C648" s="33">
        <v>0.86</v>
      </c>
      <c r="D648" s="33">
        <v>0</v>
      </c>
      <c r="E648" s="33">
        <v>3</v>
      </c>
    </row>
    <row r="649" spans="1:5" x14ac:dyDescent="0.3">
      <c r="A649" s="33">
        <v>648</v>
      </c>
      <c r="B649" s="33">
        <v>0.14000000000000001</v>
      </c>
      <c r="C649" s="33">
        <v>0.86</v>
      </c>
      <c r="D649" s="33">
        <v>0</v>
      </c>
      <c r="E649" s="33">
        <v>3</v>
      </c>
    </row>
    <row r="650" spans="1:5" x14ac:dyDescent="0.3">
      <c r="A650" s="33">
        <v>649</v>
      </c>
      <c r="B650" s="33">
        <v>0.14000000000000001</v>
      </c>
      <c r="C650" s="33">
        <v>0.86</v>
      </c>
      <c r="D650" s="33">
        <v>0</v>
      </c>
      <c r="E650" s="33">
        <v>12</v>
      </c>
    </row>
    <row r="651" spans="1:5" x14ac:dyDescent="0.3">
      <c r="A651" s="33">
        <v>650</v>
      </c>
      <c r="B651" s="33">
        <v>0.16</v>
      </c>
      <c r="C651" s="33">
        <v>0.8</v>
      </c>
      <c r="D651" s="33">
        <v>0</v>
      </c>
      <c r="E651" s="33">
        <v>38</v>
      </c>
    </row>
    <row r="652" spans="1:5" x14ac:dyDescent="0.3">
      <c r="A652" s="33">
        <v>651</v>
      </c>
      <c r="B652" s="33">
        <v>0.18</v>
      </c>
      <c r="C652" s="33">
        <v>0.8</v>
      </c>
      <c r="D652" s="33">
        <v>0</v>
      </c>
      <c r="E652" s="33">
        <v>64</v>
      </c>
    </row>
    <row r="653" spans="1:5" x14ac:dyDescent="0.3">
      <c r="A653" s="33">
        <v>652</v>
      </c>
      <c r="B653" s="33">
        <v>0.22</v>
      </c>
      <c r="C653" s="33">
        <v>0.75</v>
      </c>
      <c r="D653" s="33">
        <v>0</v>
      </c>
      <c r="E653" s="33">
        <v>59</v>
      </c>
    </row>
    <row r="654" spans="1:5" x14ac:dyDescent="0.3">
      <c r="A654" s="33">
        <v>653</v>
      </c>
      <c r="B654" s="33">
        <v>0.3</v>
      </c>
      <c r="C654" s="33">
        <v>0.52</v>
      </c>
      <c r="D654" s="33">
        <v>0.1045</v>
      </c>
      <c r="E654" s="33">
        <v>97</v>
      </c>
    </row>
    <row r="655" spans="1:5" x14ac:dyDescent="0.3">
      <c r="A655" s="33">
        <v>654</v>
      </c>
      <c r="B655" s="33">
        <v>0.28000000000000003</v>
      </c>
      <c r="C655" s="33">
        <v>0.61</v>
      </c>
      <c r="D655" s="33">
        <v>0.1045</v>
      </c>
      <c r="E655" s="33">
        <v>84</v>
      </c>
    </row>
    <row r="656" spans="1:5" x14ac:dyDescent="0.3">
      <c r="A656" s="33">
        <v>655</v>
      </c>
      <c r="B656" s="33">
        <v>0.28000000000000003</v>
      </c>
      <c r="C656" s="33">
        <v>0.61</v>
      </c>
      <c r="D656" s="33">
        <v>8.9599999999999999E-2</v>
      </c>
      <c r="E656" s="33">
        <v>122</v>
      </c>
    </row>
    <row r="657" spans="1:5" x14ac:dyDescent="0.3">
      <c r="A657" s="33">
        <v>656</v>
      </c>
      <c r="B657" s="33">
        <v>0.3</v>
      </c>
      <c r="C657" s="33">
        <v>0.56000000000000005</v>
      </c>
      <c r="D657" s="33">
        <v>0</v>
      </c>
      <c r="E657" s="33">
        <v>109</v>
      </c>
    </row>
    <row r="658" spans="1:5" x14ac:dyDescent="0.3">
      <c r="A658" s="33">
        <v>657</v>
      </c>
      <c r="B658" s="33">
        <v>0.3</v>
      </c>
      <c r="C658" s="33">
        <v>0.56000000000000005</v>
      </c>
      <c r="D658" s="33">
        <v>0</v>
      </c>
      <c r="E658" s="33">
        <v>123</v>
      </c>
    </row>
    <row r="659" spans="1:5" x14ac:dyDescent="0.3">
      <c r="A659" s="33">
        <v>658</v>
      </c>
      <c r="B659" s="33">
        <v>0.3</v>
      </c>
      <c r="C659" s="33">
        <v>0.56000000000000005</v>
      </c>
      <c r="D659" s="33">
        <v>0.19400000000000001</v>
      </c>
      <c r="E659" s="33">
        <v>77</v>
      </c>
    </row>
    <row r="660" spans="1:5" x14ac:dyDescent="0.3">
      <c r="A660" s="33">
        <v>659</v>
      </c>
      <c r="B660" s="33">
        <v>0.26</v>
      </c>
      <c r="C660" s="33">
        <v>0.65</v>
      </c>
      <c r="D660" s="33">
        <v>0.16420000000000001</v>
      </c>
      <c r="E660" s="33">
        <v>65</v>
      </c>
    </row>
    <row r="661" spans="1:5" x14ac:dyDescent="0.3">
      <c r="A661" s="33">
        <v>660</v>
      </c>
      <c r="B661" s="33">
        <v>0.26</v>
      </c>
      <c r="C661" s="33">
        <v>0.65</v>
      </c>
      <c r="D661" s="33">
        <v>0.19400000000000001</v>
      </c>
      <c r="E661" s="33">
        <v>55</v>
      </c>
    </row>
    <row r="662" spans="1:5" x14ac:dyDescent="0.3">
      <c r="A662" s="33">
        <v>661</v>
      </c>
      <c r="B662" s="33">
        <v>0.26</v>
      </c>
      <c r="C662" s="33">
        <v>0.65</v>
      </c>
      <c r="D662" s="33">
        <v>0.1045</v>
      </c>
      <c r="E662" s="33">
        <v>33</v>
      </c>
    </row>
    <row r="663" spans="1:5" x14ac:dyDescent="0.3">
      <c r="A663" s="33">
        <v>662</v>
      </c>
      <c r="B663" s="33">
        <v>0.24</v>
      </c>
      <c r="C663" s="33">
        <v>0.7</v>
      </c>
      <c r="D663" s="33">
        <v>0.16420000000000001</v>
      </c>
      <c r="E663" s="33">
        <v>28</v>
      </c>
    </row>
    <row r="664" spans="1:5" x14ac:dyDescent="0.3">
      <c r="A664" s="33">
        <v>663</v>
      </c>
      <c r="B664" s="33">
        <v>0.24</v>
      </c>
      <c r="C664" s="33">
        <v>0.7</v>
      </c>
      <c r="D664" s="33">
        <v>0.19400000000000001</v>
      </c>
      <c r="E664" s="33">
        <v>21</v>
      </c>
    </row>
    <row r="665" spans="1:5" x14ac:dyDescent="0.3">
      <c r="A665" s="33">
        <v>664</v>
      </c>
      <c r="B665" s="33">
        <v>0.24</v>
      </c>
      <c r="C665" s="33">
        <v>0.65</v>
      </c>
      <c r="D665" s="33">
        <v>0.28360000000000002</v>
      </c>
      <c r="E665" s="33">
        <v>21</v>
      </c>
    </row>
    <row r="666" spans="1:5" x14ac:dyDescent="0.3">
      <c r="A666" s="33">
        <v>665</v>
      </c>
      <c r="B666" s="33">
        <v>0.24</v>
      </c>
      <c r="C666" s="33">
        <v>0.65</v>
      </c>
      <c r="D666" s="33">
        <v>0.22389999999999999</v>
      </c>
      <c r="E666" s="33">
        <v>7</v>
      </c>
    </row>
    <row r="667" spans="1:5" x14ac:dyDescent="0.3">
      <c r="A667" s="33">
        <v>666</v>
      </c>
      <c r="B667" s="33">
        <v>0.22</v>
      </c>
      <c r="C667" s="33">
        <v>0.64</v>
      </c>
      <c r="D667" s="33">
        <v>0.25369999999999998</v>
      </c>
      <c r="E667" s="33">
        <v>7</v>
      </c>
    </row>
    <row r="668" spans="1:5" x14ac:dyDescent="0.3">
      <c r="A668" s="33">
        <v>667</v>
      </c>
      <c r="B668" s="33">
        <v>0.22</v>
      </c>
      <c r="C668" s="33">
        <v>0.64</v>
      </c>
      <c r="D668" s="33">
        <v>0.19400000000000001</v>
      </c>
      <c r="E668" s="33">
        <v>1</v>
      </c>
    </row>
    <row r="669" spans="1:5" x14ac:dyDescent="0.3">
      <c r="A669" s="33">
        <v>668</v>
      </c>
      <c r="B669" s="33">
        <v>0.22</v>
      </c>
      <c r="C669" s="33">
        <v>0.64</v>
      </c>
      <c r="D669" s="33">
        <v>0.19400000000000001</v>
      </c>
      <c r="E669" s="33">
        <v>2</v>
      </c>
    </row>
    <row r="670" spans="1:5" x14ac:dyDescent="0.3">
      <c r="A670" s="33">
        <v>669</v>
      </c>
      <c r="B670" s="33">
        <v>0.2</v>
      </c>
      <c r="C670" s="33">
        <v>0.59</v>
      </c>
      <c r="D670" s="33">
        <v>0.22389999999999999</v>
      </c>
      <c r="E670" s="33">
        <v>2</v>
      </c>
    </row>
    <row r="671" spans="1:5" x14ac:dyDescent="0.3">
      <c r="A671" s="33">
        <v>670</v>
      </c>
      <c r="B671" s="33">
        <v>0.18</v>
      </c>
      <c r="C671" s="33">
        <v>0.64</v>
      </c>
      <c r="D671" s="33">
        <v>0.28360000000000002</v>
      </c>
      <c r="E671" s="33">
        <v>8</v>
      </c>
    </row>
    <row r="672" spans="1:5" x14ac:dyDescent="0.3">
      <c r="A672" s="33">
        <v>671</v>
      </c>
      <c r="B672" s="33">
        <v>0.16</v>
      </c>
      <c r="C672" s="33">
        <v>0.69</v>
      </c>
      <c r="D672" s="33">
        <v>0.32840000000000003</v>
      </c>
      <c r="E672" s="33">
        <v>37</v>
      </c>
    </row>
    <row r="673" spans="1:5" x14ac:dyDescent="0.3">
      <c r="A673" s="33">
        <v>672</v>
      </c>
      <c r="B673" s="33">
        <v>0.16</v>
      </c>
      <c r="C673" s="33">
        <v>0.64</v>
      </c>
      <c r="D673" s="33">
        <v>0.28360000000000002</v>
      </c>
      <c r="E673" s="33">
        <v>72</v>
      </c>
    </row>
    <row r="674" spans="1:5" x14ac:dyDescent="0.3">
      <c r="A674" s="33">
        <v>673</v>
      </c>
      <c r="B674" s="33">
        <v>0.16</v>
      </c>
      <c r="C674" s="33">
        <v>0.59</v>
      </c>
      <c r="D674" s="33">
        <v>0.28360000000000002</v>
      </c>
      <c r="E674" s="33">
        <v>185</v>
      </c>
    </row>
    <row r="675" spans="1:5" x14ac:dyDescent="0.3">
      <c r="A675" s="33">
        <v>674</v>
      </c>
      <c r="B675" s="33">
        <v>0.16</v>
      </c>
      <c r="C675" s="33">
        <v>0.59</v>
      </c>
      <c r="D675" s="33">
        <v>0.29849999999999999</v>
      </c>
      <c r="E675" s="33">
        <v>112</v>
      </c>
    </row>
    <row r="676" spans="1:5" x14ac:dyDescent="0.3">
      <c r="A676" s="33">
        <v>675</v>
      </c>
      <c r="B676" s="33">
        <v>0.16</v>
      </c>
      <c r="C676" s="33">
        <v>0.59</v>
      </c>
      <c r="D676" s="33">
        <v>0.19400000000000001</v>
      </c>
      <c r="E676" s="33">
        <v>69</v>
      </c>
    </row>
    <row r="677" spans="1:5" x14ac:dyDescent="0.3">
      <c r="A677" s="33">
        <v>676</v>
      </c>
      <c r="B677" s="33">
        <v>0.16</v>
      </c>
      <c r="C677" s="33">
        <v>0.59</v>
      </c>
      <c r="D677" s="33">
        <v>0.19400000000000001</v>
      </c>
      <c r="E677" s="33">
        <v>48</v>
      </c>
    </row>
    <row r="678" spans="1:5" x14ac:dyDescent="0.3">
      <c r="A678" s="33">
        <v>677</v>
      </c>
      <c r="B678" s="33">
        <v>0.18</v>
      </c>
      <c r="C678" s="33">
        <v>0.55000000000000004</v>
      </c>
      <c r="D678" s="33">
        <v>0.1045</v>
      </c>
      <c r="E678" s="33">
        <v>68</v>
      </c>
    </row>
    <row r="679" spans="1:5" x14ac:dyDescent="0.3">
      <c r="A679" s="33">
        <v>678</v>
      </c>
      <c r="B679" s="33">
        <v>0.16</v>
      </c>
      <c r="C679" s="33">
        <v>0.59</v>
      </c>
      <c r="D679" s="33">
        <v>0</v>
      </c>
      <c r="E679" s="33">
        <v>54</v>
      </c>
    </row>
    <row r="680" spans="1:5" x14ac:dyDescent="0.3">
      <c r="A680" s="33">
        <v>679</v>
      </c>
      <c r="B680" s="33">
        <v>0.18</v>
      </c>
      <c r="C680" s="33">
        <v>0.55000000000000004</v>
      </c>
      <c r="D680" s="33">
        <v>0.1343</v>
      </c>
      <c r="E680" s="33">
        <v>86</v>
      </c>
    </row>
    <row r="681" spans="1:5" x14ac:dyDescent="0.3">
      <c r="A681" s="33">
        <v>680</v>
      </c>
      <c r="B681" s="33">
        <v>0.16</v>
      </c>
      <c r="C681" s="33">
        <v>0.59</v>
      </c>
      <c r="D681" s="33">
        <v>0.1343</v>
      </c>
      <c r="E681" s="33">
        <v>44</v>
      </c>
    </row>
    <row r="682" spans="1:5" x14ac:dyDescent="0.3">
      <c r="A682" s="33">
        <v>681</v>
      </c>
      <c r="B682" s="33">
        <v>0.16</v>
      </c>
      <c r="C682" s="33">
        <v>0.56000000000000005</v>
      </c>
      <c r="D682" s="33">
        <v>0.19400000000000001</v>
      </c>
      <c r="E682" s="33">
        <v>86</v>
      </c>
    </row>
    <row r="683" spans="1:5" x14ac:dyDescent="0.3">
      <c r="A683" s="33">
        <v>682</v>
      </c>
      <c r="B683" s="33">
        <v>0.16</v>
      </c>
      <c r="C683" s="33">
        <v>0.59</v>
      </c>
      <c r="D683" s="33">
        <v>0.19400000000000001</v>
      </c>
      <c r="E683" s="33">
        <v>161</v>
      </c>
    </row>
    <row r="684" spans="1:5" x14ac:dyDescent="0.3">
      <c r="A684" s="33">
        <v>683</v>
      </c>
      <c r="B684" s="33">
        <v>0.16</v>
      </c>
      <c r="C684" s="33">
        <v>0.55000000000000004</v>
      </c>
      <c r="D684" s="33">
        <v>0.22389999999999999</v>
      </c>
      <c r="E684" s="33">
        <v>156</v>
      </c>
    </row>
    <row r="685" spans="1:5" x14ac:dyDescent="0.3">
      <c r="A685" s="33">
        <v>684</v>
      </c>
      <c r="B685" s="33">
        <v>0.3</v>
      </c>
      <c r="C685" s="33">
        <v>0.61</v>
      </c>
      <c r="D685" s="33">
        <v>0.1045</v>
      </c>
      <c r="E685" s="33">
        <v>111</v>
      </c>
    </row>
    <row r="686" spans="1:5" x14ac:dyDescent="0.3">
      <c r="A686" s="33">
        <v>685</v>
      </c>
      <c r="B686" s="33">
        <v>0.16</v>
      </c>
      <c r="C686" s="33">
        <v>0.59</v>
      </c>
      <c r="D686" s="33">
        <v>0.16420000000000001</v>
      </c>
      <c r="E686" s="33">
        <v>78</v>
      </c>
    </row>
    <row r="687" spans="1:5" x14ac:dyDescent="0.3">
      <c r="A687" s="33">
        <v>686</v>
      </c>
      <c r="B687" s="33">
        <v>0.16</v>
      </c>
      <c r="C687" s="33">
        <v>0.59</v>
      </c>
      <c r="D687" s="33">
        <v>8.9599999999999999E-2</v>
      </c>
      <c r="E687" s="33">
        <v>56</v>
      </c>
    </row>
    <row r="688" spans="1:5" x14ac:dyDescent="0.3">
      <c r="A688" s="33">
        <v>687</v>
      </c>
      <c r="B688" s="33">
        <v>0.16</v>
      </c>
      <c r="C688" s="33">
        <v>0.59</v>
      </c>
      <c r="D688" s="33">
        <v>0.1045</v>
      </c>
      <c r="E688" s="33">
        <v>34</v>
      </c>
    </row>
    <row r="689" spans="1:5" x14ac:dyDescent="0.3">
      <c r="A689" s="33">
        <v>688</v>
      </c>
      <c r="B689" s="33">
        <v>0.16</v>
      </c>
      <c r="C689" s="33">
        <v>0.64</v>
      </c>
      <c r="D689" s="33">
        <v>8.9599999999999999E-2</v>
      </c>
      <c r="E689" s="33">
        <v>17</v>
      </c>
    </row>
    <row r="690" spans="1:5" x14ac:dyDescent="0.3">
      <c r="A690" s="33">
        <v>689</v>
      </c>
      <c r="B690" s="33">
        <v>0.16</v>
      </c>
      <c r="C690" s="33">
        <v>0.64</v>
      </c>
      <c r="D690" s="33">
        <v>0.1045</v>
      </c>
      <c r="E690" s="33">
        <v>8</v>
      </c>
    </row>
    <row r="691" spans="1:5" x14ac:dyDescent="0.3">
      <c r="A691" s="33">
        <v>690</v>
      </c>
      <c r="B691" s="33">
        <v>0.16</v>
      </c>
      <c r="C691" s="33">
        <v>0.69</v>
      </c>
      <c r="D691" s="33">
        <v>0.1045</v>
      </c>
      <c r="E691" s="33">
        <v>3</v>
      </c>
    </row>
    <row r="692" spans="1:5" x14ac:dyDescent="0.3">
      <c r="A692" s="33">
        <v>691</v>
      </c>
      <c r="B692" s="33">
        <v>0.16</v>
      </c>
      <c r="C692" s="33">
        <v>0.69</v>
      </c>
      <c r="D692" s="33">
        <v>0</v>
      </c>
      <c r="E692" s="33">
        <v>2</v>
      </c>
    </row>
    <row r="693" spans="1:5" x14ac:dyDescent="0.3">
      <c r="A693" s="33">
        <v>692</v>
      </c>
      <c r="B693" s="33">
        <v>0.16</v>
      </c>
      <c r="C693" s="33">
        <v>0.69</v>
      </c>
      <c r="D693" s="33">
        <v>0</v>
      </c>
      <c r="E693" s="33">
        <v>2</v>
      </c>
    </row>
    <row r="694" spans="1:5" x14ac:dyDescent="0.3">
      <c r="A694" s="33">
        <v>693</v>
      </c>
      <c r="B694" s="33">
        <v>0.14000000000000001</v>
      </c>
      <c r="C694" s="33">
        <v>0.93</v>
      </c>
      <c r="D694" s="33">
        <v>0</v>
      </c>
      <c r="E694" s="33">
        <v>3</v>
      </c>
    </row>
    <row r="695" spans="1:5" x14ac:dyDescent="0.3">
      <c r="A695" s="33">
        <v>694</v>
      </c>
      <c r="B695" s="33">
        <v>0.14000000000000001</v>
      </c>
      <c r="C695" s="33">
        <v>0.93</v>
      </c>
      <c r="D695" s="33">
        <v>0</v>
      </c>
      <c r="E695" s="33">
        <v>22</v>
      </c>
    </row>
    <row r="696" spans="1:5" x14ac:dyDescent="0.3">
      <c r="A696" s="33">
        <v>695</v>
      </c>
      <c r="B696" s="33">
        <v>0.16</v>
      </c>
      <c r="C696" s="33">
        <v>0.93</v>
      </c>
      <c r="D696" s="33">
        <v>0</v>
      </c>
      <c r="E696" s="33">
        <v>52</v>
      </c>
    </row>
    <row r="697" spans="1:5" x14ac:dyDescent="0.3">
      <c r="A697" s="33">
        <v>696</v>
      </c>
      <c r="B697" s="33">
        <v>0.16</v>
      </c>
      <c r="C697" s="33">
        <v>0.93</v>
      </c>
      <c r="D697" s="33">
        <v>0</v>
      </c>
      <c r="E697" s="33">
        <v>135</v>
      </c>
    </row>
    <row r="698" spans="1:5" x14ac:dyDescent="0.3">
      <c r="A698" s="33">
        <v>697</v>
      </c>
      <c r="B698" s="33">
        <v>0.16</v>
      </c>
      <c r="C698" s="33">
        <v>0.93</v>
      </c>
      <c r="D698" s="33">
        <v>0</v>
      </c>
      <c r="E698" s="33">
        <v>116</v>
      </c>
    </row>
    <row r="699" spans="1:5" x14ac:dyDescent="0.3">
      <c r="A699" s="33">
        <v>698</v>
      </c>
      <c r="B699" s="33">
        <v>0.16</v>
      </c>
      <c r="C699" s="33">
        <v>0.93</v>
      </c>
      <c r="D699" s="33">
        <v>0</v>
      </c>
      <c r="E699" s="33">
        <v>47</v>
      </c>
    </row>
    <row r="700" spans="1:5" x14ac:dyDescent="0.3">
      <c r="A700" s="33">
        <v>699</v>
      </c>
      <c r="B700" s="33">
        <v>0.18</v>
      </c>
      <c r="C700" s="33">
        <v>0.86</v>
      </c>
      <c r="D700" s="33">
        <v>0</v>
      </c>
      <c r="E700" s="33">
        <v>51</v>
      </c>
    </row>
    <row r="701" spans="1:5" x14ac:dyDescent="0.3">
      <c r="A701" s="33">
        <v>700</v>
      </c>
      <c r="B701" s="33">
        <v>0.2</v>
      </c>
      <c r="C701" s="33">
        <v>0.86</v>
      </c>
      <c r="D701" s="33">
        <v>0</v>
      </c>
      <c r="E701" s="33">
        <v>55</v>
      </c>
    </row>
    <row r="702" spans="1:5" x14ac:dyDescent="0.3">
      <c r="A702" s="33">
        <v>701</v>
      </c>
      <c r="B702" s="33">
        <v>0.2</v>
      </c>
      <c r="C702" s="33">
        <v>0.86</v>
      </c>
      <c r="D702" s="33">
        <v>0</v>
      </c>
      <c r="E702" s="33">
        <v>52</v>
      </c>
    </row>
    <row r="703" spans="1:5" x14ac:dyDescent="0.3">
      <c r="A703" s="33">
        <v>702</v>
      </c>
      <c r="B703" s="33">
        <v>0.22</v>
      </c>
      <c r="C703" s="33">
        <v>0.8</v>
      </c>
      <c r="D703" s="33">
        <v>8.9599999999999999E-2</v>
      </c>
      <c r="E703" s="33">
        <v>54</v>
      </c>
    </row>
    <row r="704" spans="1:5" x14ac:dyDescent="0.3">
      <c r="A704" s="33">
        <v>703</v>
      </c>
      <c r="B704" s="33">
        <v>0.24</v>
      </c>
      <c r="C704" s="33">
        <v>0.75</v>
      </c>
      <c r="D704" s="33">
        <v>0</v>
      </c>
      <c r="E704" s="33">
        <v>52</v>
      </c>
    </row>
    <row r="705" spans="1:5" x14ac:dyDescent="0.3">
      <c r="A705" s="33">
        <v>704</v>
      </c>
      <c r="B705" s="33">
        <v>0.24</v>
      </c>
      <c r="C705" s="33">
        <v>0.75</v>
      </c>
      <c r="D705" s="33">
        <v>0.1343</v>
      </c>
      <c r="E705" s="33">
        <v>64</v>
      </c>
    </row>
    <row r="706" spans="1:5" x14ac:dyDescent="0.3">
      <c r="A706" s="33">
        <v>705</v>
      </c>
      <c r="B706" s="33">
        <v>0.24</v>
      </c>
      <c r="C706" s="33">
        <v>0.75</v>
      </c>
      <c r="D706" s="33">
        <v>0</v>
      </c>
      <c r="E706" s="33">
        <v>176</v>
      </c>
    </row>
    <row r="707" spans="1:5" x14ac:dyDescent="0.3">
      <c r="A707" s="33">
        <v>706</v>
      </c>
      <c r="B707" s="33">
        <v>0.24</v>
      </c>
      <c r="C707" s="33">
        <v>0.81</v>
      </c>
      <c r="D707" s="33">
        <v>0.1045</v>
      </c>
      <c r="E707" s="33">
        <v>168</v>
      </c>
    </row>
    <row r="708" spans="1:5" x14ac:dyDescent="0.3">
      <c r="A708" s="33">
        <v>707</v>
      </c>
      <c r="B708" s="33">
        <v>0.24</v>
      </c>
      <c r="C708" s="33">
        <v>0.81</v>
      </c>
      <c r="D708" s="33">
        <v>0.1343</v>
      </c>
      <c r="E708" s="33">
        <v>108</v>
      </c>
    </row>
    <row r="709" spans="1:5" x14ac:dyDescent="0.3">
      <c r="A709" s="33">
        <v>708</v>
      </c>
      <c r="B709" s="33">
        <v>0.22</v>
      </c>
      <c r="C709" s="33">
        <v>0.87</v>
      </c>
      <c r="D709" s="33">
        <v>0.1343</v>
      </c>
      <c r="E709" s="33">
        <v>74</v>
      </c>
    </row>
    <row r="710" spans="1:5" x14ac:dyDescent="0.3">
      <c r="A710" s="33">
        <v>709</v>
      </c>
      <c r="B710" s="33">
        <v>0.22</v>
      </c>
      <c r="C710" s="33">
        <v>0.87</v>
      </c>
      <c r="D710" s="33">
        <v>0.1343</v>
      </c>
      <c r="E710" s="33">
        <v>64</v>
      </c>
    </row>
    <row r="711" spans="1:5" x14ac:dyDescent="0.3">
      <c r="A711" s="33">
        <v>710</v>
      </c>
      <c r="B711" s="33">
        <v>0.22</v>
      </c>
      <c r="C711" s="33">
        <v>0.87</v>
      </c>
      <c r="D711" s="33">
        <v>8.9599999999999999E-2</v>
      </c>
      <c r="E711" s="33">
        <v>36</v>
      </c>
    </row>
    <row r="712" spans="1:5" x14ac:dyDescent="0.3">
      <c r="A712" s="33">
        <v>711</v>
      </c>
      <c r="B712" s="33">
        <v>0.2</v>
      </c>
      <c r="C712" s="33">
        <v>0.93</v>
      </c>
      <c r="D712" s="33">
        <v>0.19400000000000001</v>
      </c>
      <c r="E712" s="33">
        <v>16</v>
      </c>
    </row>
    <row r="713" spans="1:5" x14ac:dyDescent="0.3">
      <c r="A713" s="33">
        <v>712</v>
      </c>
      <c r="B713" s="33">
        <v>0.22</v>
      </c>
      <c r="C713" s="33">
        <v>0.93</v>
      </c>
      <c r="D713" s="33">
        <v>0.1045</v>
      </c>
      <c r="E713" s="33">
        <v>2</v>
      </c>
    </row>
    <row r="714" spans="1:5" x14ac:dyDescent="0.3">
      <c r="A714" s="33">
        <v>713</v>
      </c>
      <c r="B714" s="33">
        <v>0.22</v>
      </c>
      <c r="C714" s="33">
        <v>0.93</v>
      </c>
      <c r="D714" s="33">
        <v>0.19400000000000001</v>
      </c>
      <c r="E714" s="33">
        <v>3</v>
      </c>
    </row>
    <row r="715" spans="1:5" x14ac:dyDescent="0.3">
      <c r="A715" s="33">
        <v>714</v>
      </c>
      <c r="B715" s="33">
        <v>0.22</v>
      </c>
      <c r="C715" s="33">
        <v>0.93</v>
      </c>
      <c r="D715" s="33">
        <v>0.1343</v>
      </c>
      <c r="E715" s="33">
        <v>4</v>
      </c>
    </row>
    <row r="716" spans="1:5" x14ac:dyDescent="0.3">
      <c r="A716" s="33">
        <v>715</v>
      </c>
      <c r="B716" s="33">
        <v>0.22</v>
      </c>
      <c r="C716" s="33">
        <v>0.93</v>
      </c>
      <c r="D716" s="33">
        <v>0.1343</v>
      </c>
      <c r="E716" s="33">
        <v>1</v>
      </c>
    </row>
    <row r="717" spans="1:5" x14ac:dyDescent="0.3">
      <c r="A717" s="33">
        <v>716</v>
      </c>
      <c r="B717" s="33">
        <v>0.22</v>
      </c>
      <c r="C717" s="33">
        <v>0.93</v>
      </c>
      <c r="D717" s="33">
        <v>0.28360000000000002</v>
      </c>
      <c r="E717" s="33">
        <v>1</v>
      </c>
    </row>
    <row r="718" spans="1:5" x14ac:dyDescent="0.3">
      <c r="A718" s="33">
        <v>717</v>
      </c>
      <c r="B718" s="33">
        <v>0.22</v>
      </c>
      <c r="C718" s="33">
        <v>0.93</v>
      </c>
      <c r="D718" s="33">
        <v>0.1045</v>
      </c>
      <c r="E718" s="33">
        <v>3</v>
      </c>
    </row>
    <row r="719" spans="1:5" x14ac:dyDescent="0.3">
      <c r="A719" s="33">
        <v>718</v>
      </c>
      <c r="B719" s="33">
        <v>0.22</v>
      </c>
      <c r="C719" s="33">
        <v>0.93</v>
      </c>
      <c r="D719" s="33">
        <v>0.1045</v>
      </c>
      <c r="E719" s="33">
        <v>18</v>
      </c>
    </row>
    <row r="720" spans="1:5" x14ac:dyDescent="0.3">
      <c r="A720" s="33">
        <v>719</v>
      </c>
      <c r="B720" s="33">
        <v>0.22</v>
      </c>
      <c r="C720" s="33">
        <v>0.93</v>
      </c>
      <c r="D720" s="33">
        <v>0.22389999999999999</v>
      </c>
      <c r="E720" s="33">
        <v>49</v>
      </c>
    </row>
    <row r="721" spans="1:5" x14ac:dyDescent="0.3">
      <c r="A721" s="33">
        <v>720</v>
      </c>
      <c r="B721" s="33">
        <v>0.22</v>
      </c>
      <c r="C721" s="33">
        <v>0.93</v>
      </c>
      <c r="D721" s="33">
        <v>0.22389999999999999</v>
      </c>
      <c r="E721" s="33">
        <v>155</v>
      </c>
    </row>
    <row r="722" spans="1:5" x14ac:dyDescent="0.3">
      <c r="A722" s="33">
        <v>721</v>
      </c>
      <c r="B722" s="33">
        <v>0.24</v>
      </c>
      <c r="C722" s="33">
        <v>0.93</v>
      </c>
      <c r="D722" s="33">
        <v>8.9599999999999999E-2</v>
      </c>
      <c r="E722" s="33">
        <v>123</v>
      </c>
    </row>
    <row r="723" spans="1:5" x14ac:dyDescent="0.3">
      <c r="A723" s="33">
        <v>722</v>
      </c>
      <c r="B723" s="33">
        <v>0.22</v>
      </c>
      <c r="C723" s="33">
        <v>1</v>
      </c>
      <c r="D723" s="33">
        <v>0</v>
      </c>
      <c r="E723" s="33">
        <v>61</v>
      </c>
    </row>
    <row r="724" spans="1:5" x14ac:dyDescent="0.3">
      <c r="A724" s="33">
        <v>723</v>
      </c>
      <c r="B724" s="33">
        <v>0.24</v>
      </c>
      <c r="C724" s="33">
        <v>0.93</v>
      </c>
      <c r="D724" s="33">
        <v>0.19400000000000001</v>
      </c>
      <c r="E724" s="33">
        <v>52</v>
      </c>
    </row>
    <row r="725" spans="1:5" x14ac:dyDescent="0.3">
      <c r="A725" s="33">
        <v>724</v>
      </c>
      <c r="B725" s="33">
        <v>0.24</v>
      </c>
      <c r="C725" s="33">
        <v>0.93</v>
      </c>
      <c r="D725" s="33">
        <v>0.22389999999999999</v>
      </c>
      <c r="E725" s="33">
        <v>64</v>
      </c>
    </row>
    <row r="726" spans="1:5" x14ac:dyDescent="0.3">
      <c r="A726" s="33">
        <v>725</v>
      </c>
      <c r="B726" s="33">
        <v>0.34</v>
      </c>
      <c r="C726" s="33">
        <v>0.93</v>
      </c>
      <c r="D726" s="33">
        <v>0.16420000000000001</v>
      </c>
      <c r="E726" s="33">
        <v>75</v>
      </c>
    </row>
    <row r="727" spans="1:5" x14ac:dyDescent="0.3">
      <c r="A727" s="33">
        <v>726</v>
      </c>
      <c r="B727" s="33">
        <v>0.38</v>
      </c>
      <c r="C727" s="33">
        <v>0.82</v>
      </c>
      <c r="D727" s="33">
        <v>0.3881</v>
      </c>
      <c r="E727" s="33">
        <v>63</v>
      </c>
    </row>
    <row r="728" spans="1:5" x14ac:dyDescent="0.3">
      <c r="A728" s="33">
        <v>727</v>
      </c>
      <c r="B728" s="33">
        <v>0.38</v>
      </c>
      <c r="C728" s="33">
        <v>0.76</v>
      </c>
      <c r="D728" s="33">
        <v>0.32840000000000003</v>
      </c>
      <c r="E728" s="33">
        <v>76</v>
      </c>
    </row>
    <row r="729" spans="1:5" x14ac:dyDescent="0.3">
      <c r="A729" s="33">
        <v>728</v>
      </c>
      <c r="B729" s="33">
        <v>0.36</v>
      </c>
      <c r="C729" s="33">
        <v>0.71</v>
      </c>
      <c r="D729" s="33">
        <v>0.29849999999999999</v>
      </c>
      <c r="E729" s="33">
        <v>103</v>
      </c>
    </row>
    <row r="730" spans="1:5" x14ac:dyDescent="0.3">
      <c r="A730" s="33">
        <v>729</v>
      </c>
      <c r="B730" s="33">
        <v>0.36</v>
      </c>
      <c r="C730" s="33">
        <v>0.53</v>
      </c>
      <c r="D730" s="33">
        <v>0.52239999999999998</v>
      </c>
      <c r="E730" s="33">
        <v>190</v>
      </c>
    </row>
    <row r="731" spans="1:5" x14ac:dyDescent="0.3">
      <c r="A731" s="33">
        <v>730</v>
      </c>
      <c r="B731" s="33">
        <v>0.34</v>
      </c>
      <c r="C731" s="33">
        <v>0.42</v>
      </c>
      <c r="D731" s="33">
        <v>0.55220000000000002</v>
      </c>
      <c r="E731" s="33">
        <v>182</v>
      </c>
    </row>
    <row r="732" spans="1:5" x14ac:dyDescent="0.3">
      <c r="A732" s="33">
        <v>731</v>
      </c>
      <c r="B732" s="33">
        <v>0.28000000000000003</v>
      </c>
      <c r="C732" s="33">
        <v>0.45</v>
      </c>
      <c r="D732" s="33">
        <v>0.49249999999999999</v>
      </c>
      <c r="E732" s="33">
        <v>91</v>
      </c>
    </row>
    <row r="733" spans="1:5" x14ac:dyDescent="0.3">
      <c r="A733" s="33">
        <v>732</v>
      </c>
      <c r="B733" s="33">
        <v>0.24</v>
      </c>
      <c r="C733" s="33">
        <v>0.48</v>
      </c>
      <c r="D733" s="33">
        <v>0.55220000000000002</v>
      </c>
      <c r="E733" s="33">
        <v>75</v>
      </c>
    </row>
    <row r="734" spans="1:5" x14ac:dyDescent="0.3">
      <c r="A734" s="33">
        <v>733</v>
      </c>
      <c r="B734" s="33">
        <v>0.22</v>
      </c>
      <c r="C734" s="33">
        <v>0.47</v>
      </c>
      <c r="D734" s="33">
        <v>0.32840000000000003</v>
      </c>
      <c r="E734" s="33">
        <v>63</v>
      </c>
    </row>
    <row r="735" spans="1:5" x14ac:dyDescent="0.3">
      <c r="A735" s="33">
        <v>734</v>
      </c>
      <c r="B735" s="33">
        <v>0.22</v>
      </c>
      <c r="C735" s="33">
        <v>0.44</v>
      </c>
      <c r="D735" s="33">
        <v>0.25369999999999998</v>
      </c>
      <c r="E735" s="33">
        <v>40</v>
      </c>
    </row>
    <row r="736" spans="1:5" x14ac:dyDescent="0.3">
      <c r="A736" s="33">
        <v>735</v>
      </c>
      <c r="B736" s="33">
        <v>0.2</v>
      </c>
      <c r="C736" s="33">
        <v>0.44</v>
      </c>
      <c r="D736" s="33">
        <v>0.44779999999999998</v>
      </c>
      <c r="E736" s="33">
        <v>32</v>
      </c>
    </row>
    <row r="737" spans="1:5" x14ac:dyDescent="0.3">
      <c r="A737" s="33">
        <v>736</v>
      </c>
      <c r="B737" s="33">
        <v>0.2</v>
      </c>
      <c r="C737" s="33">
        <v>0.4</v>
      </c>
      <c r="D737" s="33">
        <v>0.44779999999999998</v>
      </c>
      <c r="E737" s="33">
        <v>12</v>
      </c>
    </row>
    <row r="738" spans="1:5" x14ac:dyDescent="0.3">
      <c r="A738" s="33">
        <v>737</v>
      </c>
      <c r="B738" s="33">
        <v>0.2</v>
      </c>
      <c r="C738" s="33">
        <v>0.44</v>
      </c>
      <c r="D738" s="33">
        <v>0.52239999999999998</v>
      </c>
      <c r="E738" s="33">
        <v>5</v>
      </c>
    </row>
    <row r="739" spans="1:5" x14ac:dyDescent="0.3">
      <c r="A739" s="33">
        <v>738</v>
      </c>
      <c r="B739" s="33">
        <v>0.18</v>
      </c>
      <c r="C739" s="33">
        <v>0.43</v>
      </c>
      <c r="D739" s="33">
        <v>0.25369999999999998</v>
      </c>
      <c r="E739" s="33">
        <v>2</v>
      </c>
    </row>
    <row r="740" spans="1:5" x14ac:dyDescent="0.3">
      <c r="A740" s="33">
        <v>739</v>
      </c>
      <c r="B740" s="33">
        <v>0.18</v>
      </c>
      <c r="C740" s="33">
        <v>0.43</v>
      </c>
      <c r="D740" s="33">
        <v>0.25369999999999998</v>
      </c>
      <c r="E740" s="33">
        <v>1</v>
      </c>
    </row>
    <row r="741" spans="1:5" x14ac:dyDescent="0.3">
      <c r="A741" s="33">
        <v>740</v>
      </c>
      <c r="B741" s="33">
        <v>0.16</v>
      </c>
      <c r="C741" s="33">
        <v>0.5</v>
      </c>
      <c r="D741" s="33">
        <v>0.29849999999999999</v>
      </c>
      <c r="E741" s="33">
        <v>2</v>
      </c>
    </row>
    <row r="742" spans="1:5" x14ac:dyDescent="0.3">
      <c r="A742" s="33">
        <v>741</v>
      </c>
      <c r="B742" s="33">
        <v>0.16</v>
      </c>
      <c r="C742" s="33">
        <v>0.43</v>
      </c>
      <c r="D742" s="33">
        <v>0.35820000000000002</v>
      </c>
      <c r="E742" s="33">
        <v>39</v>
      </c>
    </row>
    <row r="743" spans="1:5" x14ac:dyDescent="0.3">
      <c r="A743" s="33">
        <v>742</v>
      </c>
      <c r="B743" s="33">
        <v>0.14000000000000001</v>
      </c>
      <c r="C743" s="33">
        <v>0.5</v>
      </c>
      <c r="D743" s="33">
        <v>0.32840000000000003</v>
      </c>
      <c r="E743" s="33">
        <v>87</v>
      </c>
    </row>
    <row r="744" spans="1:5" x14ac:dyDescent="0.3">
      <c r="A744" s="33">
        <v>743</v>
      </c>
      <c r="B744" s="33">
        <v>0.14000000000000001</v>
      </c>
      <c r="C744" s="33">
        <v>0.5</v>
      </c>
      <c r="D744" s="33">
        <v>0.35820000000000002</v>
      </c>
      <c r="E744" s="33">
        <v>188</v>
      </c>
    </row>
    <row r="745" spans="1:5" x14ac:dyDescent="0.3">
      <c r="A745" s="33">
        <v>744</v>
      </c>
      <c r="B745" s="33">
        <v>0.16</v>
      </c>
      <c r="C745" s="33">
        <v>0.47</v>
      </c>
      <c r="D745" s="33">
        <v>0.29849999999999999</v>
      </c>
      <c r="E745" s="33">
        <v>133</v>
      </c>
    </row>
    <row r="746" spans="1:5" x14ac:dyDescent="0.3">
      <c r="A746" s="33">
        <v>745</v>
      </c>
      <c r="B746" s="33">
        <v>0.18</v>
      </c>
      <c r="C746" s="33">
        <v>0.43</v>
      </c>
      <c r="D746" s="33">
        <v>0.32840000000000003</v>
      </c>
      <c r="E746" s="33">
        <v>52</v>
      </c>
    </row>
    <row r="747" spans="1:5" x14ac:dyDescent="0.3">
      <c r="A747" s="33">
        <v>746</v>
      </c>
      <c r="B747" s="33">
        <v>0.18</v>
      </c>
      <c r="C747" s="33">
        <v>0.43</v>
      </c>
      <c r="D747" s="33">
        <v>0.44779999999999998</v>
      </c>
      <c r="E747" s="33">
        <v>64</v>
      </c>
    </row>
    <row r="748" spans="1:5" x14ac:dyDescent="0.3">
      <c r="A748" s="33">
        <v>747</v>
      </c>
      <c r="B748" s="33">
        <v>0.2</v>
      </c>
      <c r="C748" s="33">
        <v>0.4</v>
      </c>
      <c r="D748" s="33">
        <v>0.35820000000000002</v>
      </c>
      <c r="E748" s="33">
        <v>69</v>
      </c>
    </row>
    <row r="749" spans="1:5" x14ac:dyDescent="0.3">
      <c r="A749" s="33">
        <v>748</v>
      </c>
      <c r="B749" s="33">
        <v>0.2</v>
      </c>
      <c r="C749" s="33">
        <v>0.4</v>
      </c>
      <c r="D749" s="33">
        <v>0.41789999999999999</v>
      </c>
      <c r="E749" s="33">
        <v>51</v>
      </c>
    </row>
    <row r="750" spans="1:5" x14ac:dyDescent="0.3">
      <c r="A750" s="33">
        <v>749</v>
      </c>
      <c r="B750" s="33">
        <v>0.22</v>
      </c>
      <c r="C750" s="33">
        <v>0.37</v>
      </c>
      <c r="D750" s="33">
        <v>0.3881</v>
      </c>
      <c r="E750" s="33">
        <v>47</v>
      </c>
    </row>
    <row r="751" spans="1:5" x14ac:dyDescent="0.3">
      <c r="A751" s="33">
        <v>750</v>
      </c>
      <c r="B751" s="33">
        <v>0.22</v>
      </c>
      <c r="C751" s="33">
        <v>0.37</v>
      </c>
      <c r="D751" s="33">
        <v>0.32840000000000003</v>
      </c>
      <c r="E751" s="33">
        <v>60</v>
      </c>
    </row>
    <row r="752" spans="1:5" x14ac:dyDescent="0.3">
      <c r="A752" s="33">
        <v>751</v>
      </c>
      <c r="B752" s="33">
        <v>0.22</v>
      </c>
      <c r="C752" s="33">
        <v>0.37</v>
      </c>
      <c r="D752" s="33">
        <v>0.25369999999999998</v>
      </c>
      <c r="E752" s="33">
        <v>78</v>
      </c>
    </row>
    <row r="753" spans="1:5" x14ac:dyDescent="0.3">
      <c r="A753" s="33">
        <v>752</v>
      </c>
      <c r="B753" s="33">
        <v>0.2</v>
      </c>
      <c r="C753" s="33">
        <v>0.4</v>
      </c>
      <c r="D753" s="33">
        <v>0.19400000000000001</v>
      </c>
      <c r="E753" s="33">
        <v>175</v>
      </c>
    </row>
    <row r="754" spans="1:5" x14ac:dyDescent="0.3">
      <c r="A754" s="33">
        <v>753</v>
      </c>
      <c r="B754" s="33">
        <v>0.2</v>
      </c>
      <c r="C754" s="33">
        <v>0.4</v>
      </c>
      <c r="D754" s="33">
        <v>0.16420000000000001</v>
      </c>
      <c r="E754" s="33">
        <v>147</v>
      </c>
    </row>
    <row r="755" spans="1:5" x14ac:dyDescent="0.3">
      <c r="A755" s="33">
        <v>754</v>
      </c>
      <c r="B755" s="33">
        <v>0.2</v>
      </c>
      <c r="C755" s="33">
        <v>0.4</v>
      </c>
      <c r="D755" s="33">
        <v>0</v>
      </c>
      <c r="E755" s="33">
        <v>96</v>
      </c>
    </row>
    <row r="756" spans="1:5" x14ac:dyDescent="0.3">
      <c r="A756" s="33">
        <v>755</v>
      </c>
      <c r="B756" s="33">
        <v>0.2</v>
      </c>
      <c r="C756" s="33">
        <v>0.47</v>
      </c>
      <c r="D756" s="33">
        <v>8.9599999999999999E-2</v>
      </c>
      <c r="E756" s="33">
        <v>109</v>
      </c>
    </row>
    <row r="757" spans="1:5" x14ac:dyDescent="0.3">
      <c r="A757" s="33">
        <v>756</v>
      </c>
      <c r="B757" s="33">
        <v>0.18</v>
      </c>
      <c r="C757" s="33">
        <v>0.55000000000000004</v>
      </c>
      <c r="D757" s="33">
        <v>0.1045</v>
      </c>
      <c r="E757" s="33">
        <v>54</v>
      </c>
    </row>
    <row r="758" spans="1:5" x14ac:dyDescent="0.3">
      <c r="A758" s="33">
        <v>757</v>
      </c>
      <c r="B758" s="33">
        <v>0.18</v>
      </c>
      <c r="C758" s="33">
        <v>0.51</v>
      </c>
      <c r="D758" s="33">
        <v>8.9599999999999999E-2</v>
      </c>
      <c r="E758" s="33">
        <v>41</v>
      </c>
    </row>
    <row r="759" spans="1:5" x14ac:dyDescent="0.3">
      <c r="A759" s="33">
        <v>758</v>
      </c>
      <c r="B759" s="33">
        <v>0.2</v>
      </c>
      <c r="C759" s="33">
        <v>0.47</v>
      </c>
      <c r="D759" s="33">
        <v>0.1045</v>
      </c>
      <c r="E759" s="33">
        <v>38</v>
      </c>
    </row>
    <row r="760" spans="1:5" x14ac:dyDescent="0.3">
      <c r="A760" s="33">
        <v>759</v>
      </c>
      <c r="B760" s="33">
        <v>0.2</v>
      </c>
      <c r="C760" s="33">
        <v>0.44</v>
      </c>
      <c r="D760" s="33">
        <v>0</v>
      </c>
      <c r="E760" s="33">
        <v>13</v>
      </c>
    </row>
    <row r="761" spans="1:5" x14ac:dyDescent="0.3">
      <c r="A761" s="33">
        <v>760</v>
      </c>
      <c r="B761" s="33">
        <v>0.16</v>
      </c>
      <c r="C761" s="33">
        <v>0.59</v>
      </c>
      <c r="D761" s="33">
        <v>0</v>
      </c>
      <c r="E761" s="33">
        <v>7</v>
      </c>
    </row>
    <row r="762" spans="1:5" x14ac:dyDescent="0.3">
      <c r="A762" s="33">
        <v>761</v>
      </c>
      <c r="B762" s="33">
        <v>0.14000000000000001</v>
      </c>
      <c r="C762" s="33">
        <v>0.63</v>
      </c>
      <c r="D762" s="33">
        <v>0.1045</v>
      </c>
      <c r="E762" s="33">
        <v>1</v>
      </c>
    </row>
    <row r="763" spans="1:5" x14ac:dyDescent="0.3">
      <c r="A763" s="33">
        <v>762</v>
      </c>
      <c r="B763" s="33">
        <v>0.14000000000000001</v>
      </c>
      <c r="C763" s="33">
        <v>0.63</v>
      </c>
      <c r="D763" s="33">
        <v>0.1045</v>
      </c>
      <c r="E763" s="33">
        <v>1</v>
      </c>
    </row>
    <row r="764" spans="1:5" x14ac:dyDescent="0.3">
      <c r="A764" s="33">
        <v>763</v>
      </c>
      <c r="B764" s="33">
        <v>0.14000000000000001</v>
      </c>
      <c r="C764" s="33">
        <v>0.63</v>
      </c>
      <c r="D764" s="33">
        <v>0.1343</v>
      </c>
      <c r="E764" s="33">
        <v>7</v>
      </c>
    </row>
    <row r="765" spans="1:5" x14ac:dyDescent="0.3">
      <c r="A765" s="33">
        <v>764</v>
      </c>
      <c r="B765" s="33">
        <v>0.16</v>
      </c>
      <c r="C765" s="33">
        <v>0.55000000000000004</v>
      </c>
      <c r="D765" s="33">
        <v>0</v>
      </c>
      <c r="E765" s="33">
        <v>28</v>
      </c>
    </row>
    <row r="766" spans="1:5" x14ac:dyDescent="0.3">
      <c r="A766" s="33">
        <v>765</v>
      </c>
      <c r="B766" s="33">
        <v>0.14000000000000001</v>
      </c>
      <c r="C766" s="33">
        <v>0.59</v>
      </c>
      <c r="D766" s="33">
        <v>0</v>
      </c>
      <c r="E766" s="33">
        <v>87</v>
      </c>
    </row>
    <row r="767" spans="1:5" x14ac:dyDescent="0.3">
      <c r="A767" s="33">
        <v>766</v>
      </c>
      <c r="B767" s="33">
        <v>0.14000000000000001</v>
      </c>
      <c r="C767" s="33">
        <v>0.74</v>
      </c>
      <c r="D767" s="33">
        <v>0.1343</v>
      </c>
      <c r="E767" s="33">
        <v>220</v>
      </c>
    </row>
    <row r="768" spans="1:5" x14ac:dyDescent="0.3">
      <c r="A768" s="33">
        <v>767</v>
      </c>
      <c r="B768" s="33">
        <v>0.16</v>
      </c>
      <c r="C768" s="33">
        <v>0.8</v>
      </c>
      <c r="D768" s="33">
        <v>0.1343</v>
      </c>
      <c r="E768" s="33">
        <v>127</v>
      </c>
    </row>
    <row r="769" spans="1:5" x14ac:dyDescent="0.3">
      <c r="A769" s="33">
        <v>768</v>
      </c>
      <c r="B769" s="33">
        <v>0.2</v>
      </c>
      <c r="C769" s="33">
        <v>0.51</v>
      </c>
      <c r="D769" s="33">
        <v>0.1343</v>
      </c>
      <c r="E769" s="33">
        <v>51</v>
      </c>
    </row>
    <row r="770" spans="1:5" x14ac:dyDescent="0.3">
      <c r="A770" s="33">
        <v>769</v>
      </c>
      <c r="B770" s="33">
        <v>0.22</v>
      </c>
      <c r="C770" s="33">
        <v>0.51</v>
      </c>
      <c r="D770" s="33">
        <v>0.16420000000000001</v>
      </c>
      <c r="E770" s="33">
        <v>64</v>
      </c>
    </row>
    <row r="771" spans="1:5" x14ac:dyDescent="0.3">
      <c r="A771" s="33">
        <v>770</v>
      </c>
      <c r="B771" s="33">
        <v>0.24</v>
      </c>
      <c r="C771" s="33">
        <v>0.48</v>
      </c>
      <c r="D771" s="33">
        <v>0.16420000000000001</v>
      </c>
      <c r="E771" s="33">
        <v>86</v>
      </c>
    </row>
    <row r="772" spans="1:5" x14ac:dyDescent="0.3">
      <c r="A772" s="33">
        <v>771</v>
      </c>
      <c r="B772" s="33">
        <v>0.26</v>
      </c>
      <c r="C772" s="33">
        <v>0.5</v>
      </c>
      <c r="D772" s="33">
        <v>0.22389999999999999</v>
      </c>
      <c r="E772" s="33">
        <v>82</v>
      </c>
    </row>
    <row r="773" spans="1:5" x14ac:dyDescent="0.3">
      <c r="A773" s="33">
        <v>772</v>
      </c>
      <c r="B773" s="33">
        <v>0.28000000000000003</v>
      </c>
      <c r="C773" s="33">
        <v>0.45</v>
      </c>
      <c r="D773" s="33">
        <v>0.16420000000000001</v>
      </c>
      <c r="E773" s="33">
        <v>91</v>
      </c>
    </row>
    <row r="774" spans="1:5" x14ac:dyDescent="0.3">
      <c r="A774" s="33">
        <v>773</v>
      </c>
      <c r="B774" s="33">
        <v>0.28000000000000003</v>
      </c>
      <c r="C774" s="33">
        <v>0.48</v>
      </c>
      <c r="D774" s="33">
        <v>0.25369999999999998</v>
      </c>
      <c r="E774" s="33">
        <v>90</v>
      </c>
    </row>
    <row r="775" spans="1:5" x14ac:dyDescent="0.3">
      <c r="A775" s="33">
        <v>774</v>
      </c>
      <c r="B775" s="33">
        <v>0.3</v>
      </c>
      <c r="C775" s="33">
        <v>0.42</v>
      </c>
      <c r="D775" s="33">
        <v>0.22389999999999999</v>
      </c>
      <c r="E775" s="33">
        <v>99</v>
      </c>
    </row>
    <row r="776" spans="1:5" x14ac:dyDescent="0.3">
      <c r="A776" s="33">
        <v>775</v>
      </c>
      <c r="B776" s="33">
        <v>0.26</v>
      </c>
      <c r="C776" s="33">
        <v>0.56000000000000005</v>
      </c>
      <c r="D776" s="33">
        <v>0.1343</v>
      </c>
      <c r="E776" s="33">
        <v>205</v>
      </c>
    </row>
    <row r="777" spans="1:5" x14ac:dyDescent="0.3">
      <c r="A777" s="33">
        <v>776</v>
      </c>
      <c r="B777" s="33">
        <v>0.24</v>
      </c>
      <c r="C777" s="33">
        <v>0.6</v>
      </c>
      <c r="D777" s="33">
        <v>0.1045</v>
      </c>
      <c r="E777" s="33">
        <v>155</v>
      </c>
    </row>
    <row r="778" spans="1:5" x14ac:dyDescent="0.3">
      <c r="A778" s="33">
        <v>777</v>
      </c>
      <c r="B778" s="33">
        <v>0.24</v>
      </c>
      <c r="C778" s="33">
        <v>0.65</v>
      </c>
      <c r="D778" s="33">
        <v>0.1343</v>
      </c>
      <c r="E778" s="33">
        <v>103</v>
      </c>
    </row>
    <row r="779" spans="1:5" x14ac:dyDescent="0.3">
      <c r="A779" s="33">
        <v>778</v>
      </c>
      <c r="B779" s="33">
        <v>0.24</v>
      </c>
      <c r="C779" s="33">
        <v>0.65</v>
      </c>
      <c r="D779" s="33">
        <v>0.16420000000000001</v>
      </c>
      <c r="E779" s="33">
        <v>71</v>
      </c>
    </row>
    <row r="780" spans="1:5" x14ac:dyDescent="0.3">
      <c r="A780" s="33">
        <v>779</v>
      </c>
      <c r="B780" s="33">
        <v>0.24</v>
      </c>
      <c r="C780" s="33">
        <v>0.7</v>
      </c>
      <c r="D780" s="33">
        <v>0.16420000000000001</v>
      </c>
      <c r="E780" s="33">
        <v>43</v>
      </c>
    </row>
    <row r="781" spans="1:5" x14ac:dyDescent="0.3">
      <c r="A781" s="33">
        <v>780</v>
      </c>
      <c r="B781" s="33">
        <v>0.24</v>
      </c>
      <c r="C781" s="33">
        <v>0.65</v>
      </c>
      <c r="D781" s="33">
        <v>0.16420000000000001</v>
      </c>
      <c r="E781" s="33">
        <v>46</v>
      </c>
    </row>
    <row r="782" spans="1:5" x14ac:dyDescent="0.3">
      <c r="A782" s="33">
        <v>781</v>
      </c>
      <c r="B782" s="33">
        <v>0.24</v>
      </c>
      <c r="C782" s="33">
        <v>0.7</v>
      </c>
      <c r="D782" s="33">
        <v>0.1343</v>
      </c>
      <c r="E782" s="33">
        <v>31</v>
      </c>
    </row>
    <row r="783" spans="1:5" x14ac:dyDescent="0.3">
      <c r="A783" s="33">
        <v>782</v>
      </c>
      <c r="B783" s="33">
        <v>0.24</v>
      </c>
      <c r="C783" s="33">
        <v>0.7</v>
      </c>
      <c r="D783" s="33">
        <v>0.16420000000000001</v>
      </c>
      <c r="E783" s="33">
        <v>39</v>
      </c>
    </row>
    <row r="784" spans="1:5" x14ac:dyDescent="0.3">
      <c r="A784" s="33">
        <v>783</v>
      </c>
      <c r="B784" s="33">
        <v>0.24</v>
      </c>
      <c r="C784" s="33">
        <v>0.65</v>
      </c>
      <c r="D784" s="33">
        <v>0.16420000000000001</v>
      </c>
      <c r="E784" s="33">
        <v>18</v>
      </c>
    </row>
    <row r="785" spans="1:5" x14ac:dyDescent="0.3">
      <c r="A785" s="33">
        <v>784</v>
      </c>
      <c r="B785" s="33">
        <v>0.24</v>
      </c>
      <c r="C785" s="33">
        <v>0.75</v>
      </c>
      <c r="D785" s="33">
        <v>0.16420000000000001</v>
      </c>
      <c r="E785" s="33">
        <v>17</v>
      </c>
    </row>
    <row r="786" spans="1:5" x14ac:dyDescent="0.3">
      <c r="A786" s="33">
        <v>785</v>
      </c>
      <c r="B786" s="33">
        <v>0.24</v>
      </c>
      <c r="C786" s="33">
        <v>0.75</v>
      </c>
      <c r="D786" s="33">
        <v>0.16420000000000001</v>
      </c>
      <c r="E786" s="33">
        <v>11</v>
      </c>
    </row>
    <row r="787" spans="1:5" x14ac:dyDescent="0.3">
      <c r="A787" s="33">
        <v>786</v>
      </c>
      <c r="B787" s="33">
        <v>0.22</v>
      </c>
      <c r="C787" s="33">
        <v>0.93</v>
      </c>
      <c r="D787" s="33">
        <v>0.1343</v>
      </c>
      <c r="E787" s="33">
        <v>8</v>
      </c>
    </row>
    <row r="788" spans="1:5" x14ac:dyDescent="0.3">
      <c r="A788" s="33">
        <v>787</v>
      </c>
      <c r="B788" s="33">
        <v>0.2</v>
      </c>
      <c r="C788" s="33">
        <v>1</v>
      </c>
      <c r="D788" s="33">
        <v>8.9599999999999999E-2</v>
      </c>
      <c r="E788" s="33">
        <v>9</v>
      </c>
    </row>
    <row r="789" spans="1:5" x14ac:dyDescent="0.3">
      <c r="A789" s="33">
        <v>788</v>
      </c>
      <c r="B789" s="33">
        <v>0.2</v>
      </c>
      <c r="C789" s="33">
        <v>1</v>
      </c>
      <c r="D789" s="33">
        <v>0</v>
      </c>
      <c r="E789" s="33">
        <v>4</v>
      </c>
    </row>
    <row r="790" spans="1:5" x14ac:dyDescent="0.3">
      <c r="A790" s="33">
        <v>789</v>
      </c>
      <c r="B790" s="33">
        <v>0.22</v>
      </c>
      <c r="C790" s="33">
        <v>0.93</v>
      </c>
      <c r="D790" s="33">
        <v>8.9599999999999999E-2</v>
      </c>
      <c r="E790" s="33">
        <v>4</v>
      </c>
    </row>
    <row r="791" spans="1:5" x14ac:dyDescent="0.3">
      <c r="A791" s="33">
        <v>790</v>
      </c>
      <c r="B791" s="33">
        <v>0.2</v>
      </c>
      <c r="C791" s="33">
        <v>1</v>
      </c>
      <c r="D791" s="33">
        <v>8.9599999999999999E-2</v>
      </c>
      <c r="E791" s="33">
        <v>10</v>
      </c>
    </row>
    <row r="792" spans="1:5" x14ac:dyDescent="0.3">
      <c r="A792" s="33">
        <v>791</v>
      </c>
      <c r="B792" s="33">
        <v>0.2</v>
      </c>
      <c r="C792" s="33">
        <v>1</v>
      </c>
      <c r="D792" s="33">
        <v>8.9599999999999999E-2</v>
      </c>
      <c r="E792" s="33">
        <v>20</v>
      </c>
    </row>
    <row r="793" spans="1:5" x14ac:dyDescent="0.3">
      <c r="A793" s="33">
        <v>792</v>
      </c>
      <c r="B793" s="33">
        <v>0.2</v>
      </c>
      <c r="C793" s="33">
        <v>1</v>
      </c>
      <c r="D793" s="33">
        <v>0.1343</v>
      </c>
      <c r="E793" s="33">
        <v>34</v>
      </c>
    </row>
    <row r="794" spans="1:5" x14ac:dyDescent="0.3">
      <c r="A794" s="33">
        <v>793</v>
      </c>
      <c r="B794" s="33">
        <v>0.22</v>
      </c>
      <c r="C794" s="33">
        <v>1</v>
      </c>
      <c r="D794" s="33">
        <v>0.1343</v>
      </c>
      <c r="E794" s="33">
        <v>47</v>
      </c>
    </row>
    <row r="795" spans="1:5" x14ac:dyDescent="0.3">
      <c r="A795" s="33">
        <v>794</v>
      </c>
      <c r="B795" s="33">
        <v>0.22</v>
      </c>
      <c r="C795" s="33">
        <v>1</v>
      </c>
      <c r="D795" s="33">
        <v>0.16420000000000001</v>
      </c>
      <c r="E795" s="33">
        <v>52</v>
      </c>
    </row>
    <row r="796" spans="1:5" x14ac:dyDescent="0.3">
      <c r="A796" s="33">
        <v>795</v>
      </c>
      <c r="B796" s="33">
        <v>0.22</v>
      </c>
      <c r="C796" s="33">
        <v>1</v>
      </c>
      <c r="D796" s="33">
        <v>0.16420000000000001</v>
      </c>
      <c r="E796" s="33">
        <v>72</v>
      </c>
    </row>
    <row r="797" spans="1:5" x14ac:dyDescent="0.3">
      <c r="A797" s="33">
        <v>796</v>
      </c>
      <c r="B797" s="33">
        <v>0.22</v>
      </c>
      <c r="C797" s="33">
        <v>1</v>
      </c>
      <c r="D797" s="33">
        <v>0</v>
      </c>
      <c r="E797" s="33">
        <v>55</v>
      </c>
    </row>
    <row r="798" spans="1:5" x14ac:dyDescent="0.3">
      <c r="A798" s="33">
        <v>797</v>
      </c>
      <c r="B798" s="33">
        <v>0.22</v>
      </c>
      <c r="C798" s="33">
        <v>1</v>
      </c>
      <c r="D798" s="33">
        <v>0</v>
      </c>
      <c r="E798" s="33">
        <v>60</v>
      </c>
    </row>
    <row r="799" spans="1:5" x14ac:dyDescent="0.3">
      <c r="A799" s="33">
        <v>798</v>
      </c>
      <c r="B799" s="33">
        <v>0.22</v>
      </c>
      <c r="C799" s="33">
        <v>1</v>
      </c>
      <c r="D799" s="33">
        <v>0.1343</v>
      </c>
      <c r="E799" s="33">
        <v>71</v>
      </c>
    </row>
    <row r="800" spans="1:5" x14ac:dyDescent="0.3">
      <c r="A800" s="33">
        <v>799</v>
      </c>
      <c r="B800" s="33">
        <v>0.24</v>
      </c>
      <c r="C800" s="33">
        <v>1</v>
      </c>
      <c r="D800" s="33">
        <v>0.28360000000000002</v>
      </c>
      <c r="E800" s="33">
        <v>78</v>
      </c>
    </row>
    <row r="801" spans="1:5" x14ac:dyDescent="0.3">
      <c r="A801" s="33">
        <v>800</v>
      </c>
      <c r="B801" s="33">
        <v>0.28000000000000003</v>
      </c>
      <c r="C801" s="33">
        <v>0.93</v>
      </c>
      <c r="D801" s="33">
        <v>0.44779999999999998</v>
      </c>
      <c r="E801" s="33">
        <v>83</v>
      </c>
    </row>
    <row r="802" spans="1:5" x14ac:dyDescent="0.3">
      <c r="A802" s="33">
        <v>801</v>
      </c>
      <c r="B802" s="33">
        <v>0.28000000000000003</v>
      </c>
      <c r="C802" s="33">
        <v>0.93</v>
      </c>
      <c r="D802" s="33">
        <v>0.44779999999999998</v>
      </c>
      <c r="E802" s="33">
        <v>84</v>
      </c>
    </row>
    <row r="803" spans="1:5" x14ac:dyDescent="0.3">
      <c r="A803" s="33">
        <v>802</v>
      </c>
      <c r="B803" s="33">
        <v>0.3</v>
      </c>
      <c r="C803" s="33">
        <v>0.87</v>
      </c>
      <c r="D803" s="33">
        <v>0.25369999999999998</v>
      </c>
      <c r="E803" s="33">
        <v>69</v>
      </c>
    </row>
    <row r="804" spans="1:5" x14ac:dyDescent="0.3">
      <c r="A804" s="33">
        <v>803</v>
      </c>
      <c r="B804" s="33">
        <v>0.26</v>
      </c>
      <c r="C804" s="33">
        <v>1</v>
      </c>
      <c r="D804" s="33">
        <v>0.19400000000000001</v>
      </c>
      <c r="E804" s="33">
        <v>56</v>
      </c>
    </row>
    <row r="805" spans="1:5" x14ac:dyDescent="0.3">
      <c r="A805" s="33">
        <v>804</v>
      </c>
      <c r="B805" s="33">
        <v>0.26</v>
      </c>
      <c r="C805" s="33">
        <v>0.93</v>
      </c>
      <c r="D805" s="33">
        <v>0.1343</v>
      </c>
      <c r="E805" s="33">
        <v>45</v>
      </c>
    </row>
    <row r="806" spans="1:5" x14ac:dyDescent="0.3">
      <c r="A806" s="33">
        <v>805</v>
      </c>
      <c r="B806" s="33">
        <v>0.26</v>
      </c>
      <c r="C806" s="33">
        <v>0.93</v>
      </c>
      <c r="D806" s="33">
        <v>0.22389999999999999</v>
      </c>
      <c r="E806" s="33">
        <v>59</v>
      </c>
    </row>
    <row r="807" spans="1:5" x14ac:dyDescent="0.3">
      <c r="A807" s="33">
        <v>806</v>
      </c>
      <c r="B807" s="33">
        <v>0.26</v>
      </c>
      <c r="C807" s="33">
        <v>0.7</v>
      </c>
      <c r="D807" s="33">
        <v>0.19400000000000001</v>
      </c>
      <c r="E807" s="33">
        <v>39</v>
      </c>
    </row>
    <row r="808" spans="1:5" x14ac:dyDescent="0.3">
      <c r="A808" s="33">
        <v>807</v>
      </c>
      <c r="B808" s="33">
        <v>0.26</v>
      </c>
      <c r="C808" s="33">
        <v>0.65</v>
      </c>
      <c r="D808" s="33">
        <v>0.41789999999999999</v>
      </c>
      <c r="E808" s="33">
        <v>44</v>
      </c>
    </row>
    <row r="809" spans="1:5" x14ac:dyDescent="0.3">
      <c r="A809" s="33">
        <v>808</v>
      </c>
      <c r="B809" s="33">
        <v>0.26</v>
      </c>
      <c r="C809" s="33">
        <v>0.6</v>
      </c>
      <c r="D809" s="33">
        <v>0.32840000000000003</v>
      </c>
      <c r="E809" s="33">
        <v>20</v>
      </c>
    </row>
    <row r="810" spans="1:5" x14ac:dyDescent="0.3">
      <c r="A810" s="33">
        <v>809</v>
      </c>
      <c r="B810" s="33">
        <v>0.26</v>
      </c>
      <c r="C810" s="33">
        <v>0.6</v>
      </c>
      <c r="D810" s="33">
        <v>8.9599999999999999E-2</v>
      </c>
      <c r="E810" s="33">
        <v>13</v>
      </c>
    </row>
    <row r="811" spans="1:5" x14ac:dyDescent="0.3">
      <c r="A811" s="33">
        <v>810</v>
      </c>
      <c r="B811" s="33">
        <v>0.26</v>
      </c>
      <c r="C811" s="33">
        <v>0.6</v>
      </c>
      <c r="D811" s="33">
        <v>0.35820000000000002</v>
      </c>
      <c r="E811" s="33">
        <v>2</v>
      </c>
    </row>
    <row r="812" spans="1:5" x14ac:dyDescent="0.3">
      <c r="A812" s="33">
        <v>811</v>
      </c>
      <c r="B812" s="33">
        <v>0.26</v>
      </c>
      <c r="C812" s="33">
        <v>0.6</v>
      </c>
      <c r="D812" s="33">
        <v>0.22389999999999999</v>
      </c>
      <c r="E812" s="33">
        <v>1</v>
      </c>
    </row>
    <row r="813" spans="1:5" x14ac:dyDescent="0.3">
      <c r="A813" s="33">
        <v>812</v>
      </c>
      <c r="B813" s="33">
        <v>0.26</v>
      </c>
      <c r="C813" s="33">
        <v>0.6</v>
      </c>
      <c r="D813" s="33">
        <v>0.22389999999999999</v>
      </c>
      <c r="E813" s="33">
        <v>1</v>
      </c>
    </row>
    <row r="814" spans="1:5" x14ac:dyDescent="0.3">
      <c r="A814" s="33">
        <v>813</v>
      </c>
      <c r="B814" s="33">
        <v>0.24</v>
      </c>
      <c r="C814" s="33">
        <v>0.65</v>
      </c>
      <c r="D814" s="33">
        <v>0.16420000000000001</v>
      </c>
      <c r="E814" s="33">
        <v>8</v>
      </c>
    </row>
    <row r="815" spans="1:5" x14ac:dyDescent="0.3">
      <c r="A815" s="33">
        <v>814</v>
      </c>
      <c r="B815" s="33">
        <v>0.24</v>
      </c>
      <c r="C815" s="33">
        <v>0.65</v>
      </c>
      <c r="D815" s="33">
        <v>0.1045</v>
      </c>
      <c r="E815" s="33">
        <v>23</v>
      </c>
    </row>
    <row r="816" spans="1:5" x14ac:dyDescent="0.3">
      <c r="A816" s="33">
        <v>815</v>
      </c>
      <c r="B816" s="33">
        <v>0.28000000000000003</v>
      </c>
      <c r="C816" s="33">
        <v>0.56000000000000005</v>
      </c>
      <c r="D816" s="33">
        <v>0.1045</v>
      </c>
      <c r="E816" s="33">
        <v>45</v>
      </c>
    </row>
    <row r="817" spans="1:5" x14ac:dyDescent="0.3">
      <c r="A817" s="33">
        <v>816</v>
      </c>
      <c r="B817" s="33">
        <v>0.3</v>
      </c>
      <c r="C817" s="33">
        <v>0.52</v>
      </c>
      <c r="D817" s="33">
        <v>0.25369999999999998</v>
      </c>
      <c r="E817" s="33">
        <v>89</v>
      </c>
    </row>
    <row r="818" spans="1:5" x14ac:dyDescent="0.3">
      <c r="A818" s="33">
        <v>817</v>
      </c>
      <c r="B818" s="33">
        <v>0.32</v>
      </c>
      <c r="C818" s="33">
        <v>0.49</v>
      </c>
      <c r="D818" s="33">
        <v>0.25369999999999998</v>
      </c>
      <c r="E818" s="33">
        <v>117</v>
      </c>
    </row>
    <row r="819" spans="1:5" x14ac:dyDescent="0.3">
      <c r="A819" s="33">
        <v>818</v>
      </c>
      <c r="B819" s="33">
        <v>0.34</v>
      </c>
      <c r="C819" s="33">
        <v>0.46</v>
      </c>
      <c r="D819" s="33">
        <v>0</v>
      </c>
      <c r="E819" s="33">
        <v>174</v>
      </c>
    </row>
    <row r="820" spans="1:5" x14ac:dyDescent="0.3">
      <c r="A820" s="33">
        <v>819</v>
      </c>
      <c r="B820" s="33">
        <v>0.34</v>
      </c>
      <c r="C820" s="33">
        <v>0.46</v>
      </c>
      <c r="D820" s="33">
        <v>0</v>
      </c>
      <c r="E820" s="33">
        <v>182</v>
      </c>
    </row>
    <row r="821" spans="1:5" x14ac:dyDescent="0.3">
      <c r="A821" s="33">
        <v>820</v>
      </c>
      <c r="B821" s="33">
        <v>0.34</v>
      </c>
      <c r="C821" s="33">
        <v>0.46</v>
      </c>
      <c r="D821" s="33">
        <v>8.9599999999999999E-2</v>
      </c>
      <c r="E821" s="33">
        <v>161</v>
      </c>
    </row>
    <row r="822" spans="1:5" x14ac:dyDescent="0.3">
      <c r="A822" s="33">
        <v>821</v>
      </c>
      <c r="B822" s="33">
        <v>0.34</v>
      </c>
      <c r="C822" s="33">
        <v>0.46</v>
      </c>
      <c r="D822" s="33">
        <v>8.9599999999999999E-2</v>
      </c>
      <c r="E822" s="33">
        <v>182</v>
      </c>
    </row>
    <row r="823" spans="1:5" x14ac:dyDescent="0.3">
      <c r="A823" s="33">
        <v>822</v>
      </c>
      <c r="B823" s="33">
        <v>0.34</v>
      </c>
      <c r="C823" s="33">
        <v>0.49</v>
      </c>
      <c r="D823" s="33">
        <v>0.1045</v>
      </c>
      <c r="E823" s="33">
        <v>157</v>
      </c>
    </row>
    <row r="824" spans="1:5" x14ac:dyDescent="0.3">
      <c r="A824" s="33">
        <v>823</v>
      </c>
      <c r="B824" s="33">
        <v>0.34</v>
      </c>
      <c r="C824" s="33">
        <v>0.46</v>
      </c>
      <c r="D824" s="33">
        <v>0</v>
      </c>
      <c r="E824" s="33">
        <v>121</v>
      </c>
    </row>
    <row r="825" spans="1:5" x14ac:dyDescent="0.3">
      <c r="A825" s="33">
        <v>824</v>
      </c>
      <c r="B825" s="33">
        <v>0.3</v>
      </c>
      <c r="C825" s="33">
        <v>0.56000000000000005</v>
      </c>
      <c r="D825" s="33">
        <v>0.16420000000000001</v>
      </c>
      <c r="E825" s="33">
        <v>78</v>
      </c>
    </row>
    <row r="826" spans="1:5" x14ac:dyDescent="0.3">
      <c r="A826" s="33">
        <v>825</v>
      </c>
      <c r="B826" s="33">
        <v>0.28000000000000003</v>
      </c>
      <c r="C826" s="33">
        <v>0.61</v>
      </c>
      <c r="D826" s="33">
        <v>0.1343</v>
      </c>
      <c r="E826" s="33">
        <v>21</v>
      </c>
    </row>
    <row r="827" spans="1:5" x14ac:dyDescent="0.3">
      <c r="A827" s="33">
        <v>826</v>
      </c>
      <c r="B827" s="33">
        <v>0.28000000000000003</v>
      </c>
      <c r="C827" s="33">
        <v>0.61</v>
      </c>
      <c r="D827" s="33">
        <v>0.1045</v>
      </c>
      <c r="E827" s="33">
        <v>26</v>
      </c>
    </row>
    <row r="828" spans="1:5" x14ac:dyDescent="0.3">
      <c r="A828" s="33">
        <v>827</v>
      </c>
      <c r="B828" s="33">
        <v>0.26</v>
      </c>
      <c r="C828" s="33">
        <v>0.6</v>
      </c>
      <c r="D828" s="33">
        <v>0</v>
      </c>
      <c r="E828" s="33">
        <v>27</v>
      </c>
    </row>
    <row r="829" spans="1:5" x14ac:dyDescent="0.3">
      <c r="A829" s="33">
        <v>828</v>
      </c>
      <c r="B829" s="33">
        <v>0.26</v>
      </c>
      <c r="C829" s="33">
        <v>0.6</v>
      </c>
      <c r="D829" s="33">
        <v>0</v>
      </c>
      <c r="E829" s="33">
        <v>62</v>
      </c>
    </row>
    <row r="830" spans="1:5" x14ac:dyDescent="0.3">
      <c r="A830" s="33">
        <v>829</v>
      </c>
      <c r="B830" s="33">
        <v>0.24</v>
      </c>
      <c r="C830" s="33">
        <v>0.65</v>
      </c>
      <c r="D830" s="33">
        <v>0</v>
      </c>
      <c r="E830" s="33">
        <v>30</v>
      </c>
    </row>
    <row r="831" spans="1:5" x14ac:dyDescent="0.3">
      <c r="A831" s="33">
        <v>830</v>
      </c>
      <c r="B831" s="33">
        <v>0.24</v>
      </c>
      <c r="C831" s="33">
        <v>0.65</v>
      </c>
      <c r="D831" s="33">
        <v>0</v>
      </c>
      <c r="E831" s="33">
        <v>15</v>
      </c>
    </row>
    <row r="832" spans="1:5" x14ac:dyDescent="0.3">
      <c r="A832" s="33">
        <v>831</v>
      </c>
      <c r="B832" s="33">
        <v>0.22</v>
      </c>
      <c r="C832" s="33">
        <v>0.75</v>
      </c>
      <c r="D832" s="33">
        <v>0</v>
      </c>
      <c r="E832" s="33">
        <v>5</v>
      </c>
    </row>
    <row r="833" spans="1:5" x14ac:dyDescent="0.3">
      <c r="A833" s="33">
        <v>832</v>
      </c>
      <c r="B833" s="33">
        <v>0.2</v>
      </c>
      <c r="C833" s="33">
        <v>0.8</v>
      </c>
      <c r="D833" s="33">
        <v>0</v>
      </c>
      <c r="E833" s="33">
        <v>3</v>
      </c>
    </row>
    <row r="834" spans="1:5" x14ac:dyDescent="0.3">
      <c r="A834" s="33">
        <v>833</v>
      </c>
      <c r="B834" s="33">
        <v>0.2</v>
      </c>
      <c r="C834" s="33">
        <v>0.86</v>
      </c>
      <c r="D834" s="33">
        <v>0</v>
      </c>
      <c r="E834" s="33">
        <v>1</v>
      </c>
    </row>
    <row r="835" spans="1:5" x14ac:dyDescent="0.3">
      <c r="A835" s="33">
        <v>834</v>
      </c>
      <c r="B835" s="33">
        <v>0.2</v>
      </c>
      <c r="C835" s="33">
        <v>0.86</v>
      </c>
      <c r="D835" s="33">
        <v>0</v>
      </c>
      <c r="E835" s="33">
        <v>2</v>
      </c>
    </row>
    <row r="836" spans="1:5" x14ac:dyDescent="0.3">
      <c r="A836" s="33">
        <v>835</v>
      </c>
      <c r="B836" s="33">
        <v>0.2</v>
      </c>
      <c r="C836" s="33">
        <v>0.86</v>
      </c>
      <c r="D836" s="33">
        <v>0</v>
      </c>
      <c r="E836" s="33">
        <v>10</v>
      </c>
    </row>
    <row r="837" spans="1:5" x14ac:dyDescent="0.3">
      <c r="A837" s="33">
        <v>836</v>
      </c>
      <c r="B837" s="33">
        <v>0.18</v>
      </c>
      <c r="C837" s="33">
        <v>0.93</v>
      </c>
      <c r="D837" s="33">
        <v>0</v>
      </c>
      <c r="E837" s="33">
        <v>30</v>
      </c>
    </row>
    <row r="838" spans="1:5" x14ac:dyDescent="0.3">
      <c r="A838" s="33">
        <v>837</v>
      </c>
      <c r="B838" s="33">
        <v>0.18</v>
      </c>
      <c r="C838" s="33">
        <v>0.86</v>
      </c>
      <c r="D838" s="33">
        <v>0</v>
      </c>
      <c r="E838" s="33">
        <v>95</v>
      </c>
    </row>
    <row r="839" spans="1:5" x14ac:dyDescent="0.3">
      <c r="A839" s="33">
        <v>838</v>
      </c>
      <c r="B839" s="33">
        <v>0.16</v>
      </c>
      <c r="C839" s="33">
        <v>1</v>
      </c>
      <c r="D839" s="33">
        <v>0</v>
      </c>
      <c r="E839" s="33">
        <v>230</v>
      </c>
    </row>
    <row r="840" spans="1:5" x14ac:dyDescent="0.3">
      <c r="A840" s="33">
        <v>839</v>
      </c>
      <c r="B840" s="33">
        <v>0.22</v>
      </c>
      <c r="C840" s="33">
        <v>0.8</v>
      </c>
      <c r="D840" s="33">
        <v>0</v>
      </c>
      <c r="E840" s="33">
        <v>118</v>
      </c>
    </row>
    <row r="841" spans="1:5" x14ac:dyDescent="0.3">
      <c r="A841" s="33">
        <v>840</v>
      </c>
      <c r="B841" s="33">
        <v>0.24</v>
      </c>
      <c r="C841" s="33">
        <v>0.75</v>
      </c>
      <c r="D841" s="33">
        <v>0.1045</v>
      </c>
      <c r="E841" s="33">
        <v>55</v>
      </c>
    </row>
    <row r="842" spans="1:5" x14ac:dyDescent="0.3">
      <c r="A842" s="33">
        <v>841</v>
      </c>
      <c r="B842" s="33">
        <v>0.3</v>
      </c>
      <c r="C842" s="33">
        <v>0.65</v>
      </c>
      <c r="D842" s="33">
        <v>8.9599999999999999E-2</v>
      </c>
      <c r="E842" s="33">
        <v>47</v>
      </c>
    </row>
    <row r="843" spans="1:5" x14ac:dyDescent="0.3">
      <c r="A843" s="33">
        <v>842</v>
      </c>
      <c r="B843" s="33">
        <v>0.32</v>
      </c>
      <c r="C843" s="33">
        <v>0.62</v>
      </c>
      <c r="D843" s="33">
        <v>0</v>
      </c>
      <c r="E843" s="33">
        <v>66</v>
      </c>
    </row>
    <row r="844" spans="1:5" x14ac:dyDescent="0.3">
      <c r="A844" s="33">
        <v>843</v>
      </c>
      <c r="B844" s="33">
        <v>0.36</v>
      </c>
      <c r="C844" s="33">
        <v>0.56999999999999995</v>
      </c>
      <c r="D844" s="33">
        <v>8.9599999999999999E-2</v>
      </c>
      <c r="E844" s="33">
        <v>64</v>
      </c>
    </row>
    <row r="845" spans="1:5" x14ac:dyDescent="0.3">
      <c r="A845" s="33">
        <v>844</v>
      </c>
      <c r="B845" s="33">
        <v>0.36</v>
      </c>
      <c r="C845" s="33">
        <v>0.56999999999999995</v>
      </c>
      <c r="D845" s="33">
        <v>8.9599999999999999E-2</v>
      </c>
      <c r="E845" s="33">
        <v>60</v>
      </c>
    </row>
    <row r="846" spans="1:5" x14ac:dyDescent="0.3">
      <c r="A846" s="33">
        <v>845</v>
      </c>
      <c r="B846" s="33">
        <v>0.38</v>
      </c>
      <c r="C846" s="33">
        <v>0.54</v>
      </c>
      <c r="D846" s="33">
        <v>8.9599999999999999E-2</v>
      </c>
      <c r="E846" s="33">
        <v>50</v>
      </c>
    </row>
    <row r="847" spans="1:5" x14ac:dyDescent="0.3">
      <c r="A847" s="33">
        <v>846</v>
      </c>
      <c r="B847" s="33">
        <v>0.36</v>
      </c>
      <c r="C847" s="33">
        <v>0.56999999999999995</v>
      </c>
      <c r="D847" s="33">
        <v>0.1343</v>
      </c>
      <c r="E847" s="33">
        <v>114</v>
      </c>
    </row>
    <row r="848" spans="1:5" x14ac:dyDescent="0.3">
      <c r="A848" s="33">
        <v>847</v>
      </c>
      <c r="B848" s="33">
        <v>0.32</v>
      </c>
      <c r="C848" s="33">
        <v>0.7</v>
      </c>
      <c r="D848" s="33">
        <v>0.16420000000000001</v>
      </c>
      <c r="E848" s="33">
        <v>216</v>
      </c>
    </row>
    <row r="849" spans="1:5" x14ac:dyDescent="0.3">
      <c r="A849" s="33">
        <v>848</v>
      </c>
      <c r="B849" s="33">
        <v>0.34</v>
      </c>
      <c r="C849" s="33">
        <v>0.66</v>
      </c>
      <c r="D849" s="33">
        <v>0.1343</v>
      </c>
      <c r="E849" s="33">
        <v>175</v>
      </c>
    </row>
    <row r="850" spans="1:5" x14ac:dyDescent="0.3">
      <c r="A850" s="33">
        <v>849</v>
      </c>
      <c r="B850" s="33">
        <v>0.32</v>
      </c>
      <c r="C850" s="33">
        <v>0.7</v>
      </c>
      <c r="D850" s="33">
        <v>0</v>
      </c>
      <c r="E850" s="33">
        <v>128</v>
      </c>
    </row>
    <row r="851" spans="1:5" x14ac:dyDescent="0.3">
      <c r="A851" s="33">
        <v>850</v>
      </c>
      <c r="B851" s="33">
        <v>0.32</v>
      </c>
      <c r="C851" s="33">
        <v>0.7</v>
      </c>
      <c r="D851" s="33">
        <v>0.1045</v>
      </c>
      <c r="E851" s="33">
        <v>88</v>
      </c>
    </row>
    <row r="852" spans="1:5" x14ac:dyDescent="0.3">
      <c r="A852" s="33">
        <v>851</v>
      </c>
      <c r="B852" s="33">
        <v>0.32</v>
      </c>
      <c r="C852" s="33">
        <v>0.7</v>
      </c>
      <c r="D852" s="33">
        <v>0</v>
      </c>
      <c r="E852" s="33">
        <v>78</v>
      </c>
    </row>
    <row r="853" spans="1:5" x14ac:dyDescent="0.3">
      <c r="A853" s="33">
        <v>852</v>
      </c>
      <c r="B853" s="33">
        <v>0.28000000000000003</v>
      </c>
      <c r="C853" s="33">
        <v>0.81</v>
      </c>
      <c r="D853" s="33">
        <v>8.9599999999999999E-2</v>
      </c>
      <c r="E853" s="33">
        <v>37</v>
      </c>
    </row>
    <row r="854" spans="1:5" x14ac:dyDescent="0.3">
      <c r="A854" s="33">
        <v>853</v>
      </c>
      <c r="B854" s="33">
        <v>0.3</v>
      </c>
      <c r="C854" s="33">
        <v>0.81</v>
      </c>
      <c r="D854" s="33">
        <v>0</v>
      </c>
      <c r="E854" s="33">
        <v>25</v>
      </c>
    </row>
    <row r="855" spans="1:5" x14ac:dyDescent="0.3">
      <c r="A855" s="33">
        <v>854</v>
      </c>
      <c r="B855" s="33">
        <v>0.28000000000000003</v>
      </c>
      <c r="C855" s="33">
        <v>0.87</v>
      </c>
      <c r="D855" s="33">
        <v>0</v>
      </c>
      <c r="E855" s="33">
        <v>10</v>
      </c>
    </row>
    <row r="856" spans="1:5" x14ac:dyDescent="0.3">
      <c r="A856" s="33">
        <v>855</v>
      </c>
      <c r="B856" s="33">
        <v>0.28000000000000003</v>
      </c>
      <c r="C856" s="33">
        <v>0.87</v>
      </c>
      <c r="D856" s="33">
        <v>0</v>
      </c>
      <c r="E856" s="33">
        <v>4</v>
      </c>
    </row>
    <row r="857" spans="1:5" x14ac:dyDescent="0.3">
      <c r="A857" s="33">
        <v>856</v>
      </c>
      <c r="B857" s="33">
        <v>0.26</v>
      </c>
      <c r="C857" s="33">
        <v>0.93</v>
      </c>
      <c r="D857" s="33">
        <v>0.1045</v>
      </c>
      <c r="E857" s="33">
        <v>2</v>
      </c>
    </row>
    <row r="858" spans="1:5" x14ac:dyDescent="0.3">
      <c r="A858" s="33">
        <v>857</v>
      </c>
      <c r="B858" s="33">
        <v>0.28000000000000003</v>
      </c>
      <c r="C858" s="33">
        <v>0.93</v>
      </c>
      <c r="D858" s="33">
        <v>0.16420000000000001</v>
      </c>
      <c r="E858" s="33">
        <v>1</v>
      </c>
    </row>
    <row r="859" spans="1:5" x14ac:dyDescent="0.3">
      <c r="A859" s="33">
        <v>858</v>
      </c>
      <c r="B859" s="33">
        <v>0.26</v>
      </c>
      <c r="C859" s="33">
        <v>0.93</v>
      </c>
      <c r="D859" s="33">
        <v>0.16420000000000001</v>
      </c>
      <c r="E859" s="33">
        <v>3</v>
      </c>
    </row>
    <row r="860" spans="1:5" x14ac:dyDescent="0.3">
      <c r="A860" s="33">
        <v>859</v>
      </c>
      <c r="B860" s="33">
        <v>0.26</v>
      </c>
      <c r="C860" s="33">
        <v>0.81</v>
      </c>
      <c r="D860" s="33">
        <v>0.32840000000000003</v>
      </c>
      <c r="E860" s="33">
        <v>2</v>
      </c>
    </row>
    <row r="861" spans="1:5" x14ac:dyDescent="0.3">
      <c r="A861" s="33">
        <v>860</v>
      </c>
      <c r="B861" s="33">
        <v>0.26</v>
      </c>
      <c r="C861" s="33">
        <v>0.7</v>
      </c>
      <c r="D861" s="33">
        <v>0.32840000000000003</v>
      </c>
      <c r="E861" s="33">
        <v>39</v>
      </c>
    </row>
    <row r="862" spans="1:5" x14ac:dyDescent="0.3">
      <c r="A862" s="33">
        <v>861</v>
      </c>
      <c r="B862" s="33">
        <v>0.24</v>
      </c>
      <c r="C862" s="33">
        <v>0.65</v>
      </c>
      <c r="D862" s="33">
        <v>0.41789999999999999</v>
      </c>
      <c r="E862" s="33">
        <v>100</v>
      </c>
    </row>
    <row r="863" spans="1:5" x14ac:dyDescent="0.3">
      <c r="A863" s="33">
        <v>862</v>
      </c>
      <c r="B863" s="33">
        <v>0.24</v>
      </c>
      <c r="C863" s="33">
        <v>0.56000000000000005</v>
      </c>
      <c r="D863" s="33">
        <v>0.49249999999999999</v>
      </c>
      <c r="E863" s="33">
        <v>243</v>
      </c>
    </row>
    <row r="864" spans="1:5" x14ac:dyDescent="0.3">
      <c r="A864" s="33">
        <v>863</v>
      </c>
      <c r="B864" s="33">
        <v>0.24</v>
      </c>
      <c r="C864" s="33">
        <v>0.52</v>
      </c>
      <c r="D864" s="33">
        <v>0.49249999999999999</v>
      </c>
      <c r="E864" s="33">
        <v>135</v>
      </c>
    </row>
    <row r="865" spans="1:5" x14ac:dyDescent="0.3">
      <c r="A865" s="33">
        <v>864</v>
      </c>
      <c r="B865" s="33">
        <v>0.22</v>
      </c>
      <c r="C865" s="33">
        <v>0.47</v>
      </c>
      <c r="D865" s="33">
        <v>0.55220000000000002</v>
      </c>
      <c r="E865" s="33">
        <v>48</v>
      </c>
    </row>
    <row r="866" spans="1:5" x14ac:dyDescent="0.3">
      <c r="A866" s="33">
        <v>865</v>
      </c>
      <c r="B866" s="33">
        <v>0.22</v>
      </c>
      <c r="C866" s="33">
        <v>0.47</v>
      </c>
      <c r="D866" s="33">
        <v>0.4627</v>
      </c>
      <c r="E866" s="33">
        <v>50</v>
      </c>
    </row>
    <row r="867" spans="1:5" x14ac:dyDescent="0.3">
      <c r="A867" s="33">
        <v>866</v>
      </c>
      <c r="B867" s="33">
        <v>0.24</v>
      </c>
      <c r="C867" s="33">
        <v>0.38</v>
      </c>
      <c r="D867" s="33">
        <v>0.49249999999999999</v>
      </c>
      <c r="E867" s="33">
        <v>65</v>
      </c>
    </row>
    <row r="868" spans="1:5" x14ac:dyDescent="0.3">
      <c r="A868" s="33">
        <v>867</v>
      </c>
      <c r="B868" s="33">
        <v>0.24</v>
      </c>
      <c r="C868" s="33">
        <v>0.32</v>
      </c>
      <c r="D868" s="33">
        <v>0.44779999999999998</v>
      </c>
      <c r="E868" s="33">
        <v>50</v>
      </c>
    </row>
    <row r="869" spans="1:5" x14ac:dyDescent="0.3">
      <c r="A869" s="33">
        <v>868</v>
      </c>
      <c r="B869" s="33">
        <v>0.22</v>
      </c>
      <c r="C869" s="33">
        <v>0.37</v>
      </c>
      <c r="D869" s="33">
        <v>0.41789999999999999</v>
      </c>
      <c r="E869" s="33">
        <v>64</v>
      </c>
    </row>
    <row r="870" spans="1:5" x14ac:dyDescent="0.3">
      <c r="A870" s="33">
        <v>869</v>
      </c>
      <c r="B870" s="33">
        <v>0.22</v>
      </c>
      <c r="C870" s="33">
        <v>0.35</v>
      </c>
      <c r="D870" s="33">
        <v>0.3881</v>
      </c>
      <c r="E870" s="33">
        <v>51</v>
      </c>
    </row>
    <row r="871" spans="1:5" x14ac:dyDescent="0.3">
      <c r="A871" s="33">
        <v>870</v>
      </c>
      <c r="B871" s="33">
        <v>0.22</v>
      </c>
      <c r="C871" s="33">
        <v>0.35</v>
      </c>
      <c r="D871" s="33">
        <v>0.52239999999999998</v>
      </c>
      <c r="E871" s="33">
        <v>83</v>
      </c>
    </row>
    <row r="872" spans="1:5" x14ac:dyDescent="0.3">
      <c r="A872" s="33">
        <v>871</v>
      </c>
      <c r="B872" s="33">
        <v>0.22</v>
      </c>
      <c r="C872" s="33">
        <v>0.32</v>
      </c>
      <c r="D872" s="33">
        <v>0.58209999999999995</v>
      </c>
      <c r="E872" s="33">
        <v>176</v>
      </c>
    </row>
    <row r="873" spans="1:5" x14ac:dyDescent="0.3">
      <c r="A873" s="33">
        <v>872</v>
      </c>
      <c r="B873" s="33">
        <v>0.2</v>
      </c>
      <c r="C873" s="33">
        <v>0.32</v>
      </c>
      <c r="D873" s="33">
        <v>0.3881</v>
      </c>
      <c r="E873" s="33">
        <v>152</v>
      </c>
    </row>
    <row r="874" spans="1:5" x14ac:dyDescent="0.3">
      <c r="A874" s="33">
        <v>873</v>
      </c>
      <c r="B874" s="33">
        <v>0.16</v>
      </c>
      <c r="C874" s="33">
        <v>0.4</v>
      </c>
      <c r="D874" s="33">
        <v>0.4627</v>
      </c>
      <c r="E874" s="33">
        <v>101</v>
      </c>
    </row>
    <row r="875" spans="1:5" x14ac:dyDescent="0.3">
      <c r="A875" s="33">
        <v>874</v>
      </c>
      <c r="B875" s="33">
        <v>0.16</v>
      </c>
      <c r="C875" s="33">
        <v>0.4</v>
      </c>
      <c r="D875" s="33">
        <v>0.32840000000000003</v>
      </c>
      <c r="E875" s="33">
        <v>56</v>
      </c>
    </row>
    <row r="876" spans="1:5" x14ac:dyDescent="0.3">
      <c r="A876" s="33">
        <v>875</v>
      </c>
      <c r="B876" s="33">
        <v>0.14000000000000001</v>
      </c>
      <c r="C876" s="33">
        <v>0.33</v>
      </c>
      <c r="D876" s="33">
        <v>0.4627</v>
      </c>
      <c r="E876" s="33">
        <v>54</v>
      </c>
    </row>
    <row r="877" spans="1:5" x14ac:dyDescent="0.3">
      <c r="A877" s="33">
        <v>876</v>
      </c>
      <c r="B877" s="33">
        <v>0.12</v>
      </c>
      <c r="C877" s="33">
        <v>0.33</v>
      </c>
      <c r="D877" s="33">
        <v>0.35820000000000002</v>
      </c>
      <c r="E877" s="33">
        <v>29</v>
      </c>
    </row>
    <row r="878" spans="1:5" x14ac:dyDescent="0.3">
      <c r="A878" s="33">
        <v>877</v>
      </c>
      <c r="B878" s="33">
        <v>0.12</v>
      </c>
      <c r="C878" s="33">
        <v>0.33</v>
      </c>
      <c r="D878" s="33">
        <v>0.32840000000000003</v>
      </c>
      <c r="E878" s="33">
        <v>12</v>
      </c>
    </row>
    <row r="879" spans="1:5" x14ac:dyDescent="0.3">
      <c r="A879" s="33">
        <v>878</v>
      </c>
      <c r="B879" s="33">
        <v>0.1</v>
      </c>
      <c r="C879" s="33">
        <v>0.36</v>
      </c>
      <c r="D879" s="33">
        <v>0.35820000000000002</v>
      </c>
      <c r="E879" s="33">
        <v>17</v>
      </c>
    </row>
    <row r="880" spans="1:5" x14ac:dyDescent="0.3">
      <c r="A880" s="33">
        <v>879</v>
      </c>
      <c r="B880" s="33">
        <v>0.1</v>
      </c>
      <c r="C880" s="33">
        <v>0.36</v>
      </c>
      <c r="D880" s="33">
        <v>0.22389999999999999</v>
      </c>
      <c r="E880" s="33">
        <v>7</v>
      </c>
    </row>
    <row r="881" spans="1:5" x14ac:dyDescent="0.3">
      <c r="A881" s="33">
        <v>880</v>
      </c>
      <c r="B881" s="33">
        <v>0.08</v>
      </c>
      <c r="C881" s="33">
        <v>0.38</v>
      </c>
      <c r="D881" s="33">
        <v>0.28360000000000002</v>
      </c>
      <c r="E881" s="33">
        <v>3</v>
      </c>
    </row>
    <row r="882" spans="1:5" x14ac:dyDescent="0.3">
      <c r="A882" s="33">
        <v>881</v>
      </c>
      <c r="B882" s="33">
        <v>0.06</v>
      </c>
      <c r="C882" s="33">
        <v>0.45</v>
      </c>
      <c r="D882" s="33">
        <v>0.1343</v>
      </c>
      <c r="E882" s="33">
        <v>2</v>
      </c>
    </row>
    <row r="883" spans="1:5" x14ac:dyDescent="0.3">
      <c r="A883" s="33">
        <v>882</v>
      </c>
      <c r="B883" s="33">
        <v>0.06</v>
      </c>
      <c r="C883" s="33">
        <v>0.45</v>
      </c>
      <c r="D883" s="33">
        <v>0.1045</v>
      </c>
      <c r="E883" s="33">
        <v>7</v>
      </c>
    </row>
    <row r="884" spans="1:5" x14ac:dyDescent="0.3">
      <c r="A884" s="33">
        <v>883</v>
      </c>
      <c r="B884" s="33">
        <v>0.06</v>
      </c>
      <c r="C884" s="33">
        <v>0.45</v>
      </c>
      <c r="D884" s="33">
        <v>0</v>
      </c>
      <c r="E884" s="33">
        <v>43</v>
      </c>
    </row>
    <row r="885" spans="1:5" x14ac:dyDescent="0.3">
      <c r="A885" s="33">
        <v>884</v>
      </c>
      <c r="B885" s="33">
        <v>0.06</v>
      </c>
      <c r="C885" s="33">
        <v>0.49</v>
      </c>
      <c r="D885" s="33">
        <v>0.1045</v>
      </c>
      <c r="E885" s="33">
        <v>99</v>
      </c>
    </row>
    <row r="886" spans="1:5" x14ac:dyDescent="0.3">
      <c r="A886" s="33">
        <v>885</v>
      </c>
      <c r="B886" s="33">
        <v>0.1</v>
      </c>
      <c r="C886" s="33">
        <v>0.42</v>
      </c>
      <c r="D886" s="33">
        <v>0</v>
      </c>
      <c r="E886" s="33">
        <v>199</v>
      </c>
    </row>
    <row r="887" spans="1:5" x14ac:dyDescent="0.3">
      <c r="A887" s="33">
        <v>886</v>
      </c>
      <c r="B887" s="33">
        <v>0.12</v>
      </c>
      <c r="C887" s="33">
        <v>0.39</v>
      </c>
      <c r="D887" s="33">
        <v>0.16420000000000001</v>
      </c>
      <c r="E887" s="33">
        <v>123</v>
      </c>
    </row>
    <row r="888" spans="1:5" x14ac:dyDescent="0.3">
      <c r="A888" s="33">
        <v>887</v>
      </c>
      <c r="B888" s="33">
        <v>0.14000000000000001</v>
      </c>
      <c r="C888" s="33">
        <v>0.36</v>
      </c>
      <c r="D888" s="33">
        <v>0</v>
      </c>
      <c r="E888" s="33">
        <v>59</v>
      </c>
    </row>
    <row r="889" spans="1:5" x14ac:dyDescent="0.3">
      <c r="A889" s="33">
        <v>888</v>
      </c>
      <c r="B889" s="33">
        <v>0.14000000000000001</v>
      </c>
      <c r="C889" s="33">
        <v>0.43</v>
      </c>
      <c r="D889" s="33">
        <v>0.16420000000000001</v>
      </c>
      <c r="E889" s="33">
        <v>41</v>
      </c>
    </row>
    <row r="890" spans="1:5" x14ac:dyDescent="0.3">
      <c r="A890" s="33">
        <v>889</v>
      </c>
      <c r="B890" s="33">
        <v>0.18</v>
      </c>
      <c r="C890" s="33">
        <v>0.4</v>
      </c>
      <c r="D890" s="33">
        <v>0.22389999999999999</v>
      </c>
      <c r="E890" s="33">
        <v>61</v>
      </c>
    </row>
    <row r="891" spans="1:5" x14ac:dyDescent="0.3">
      <c r="A891" s="33">
        <v>890</v>
      </c>
      <c r="B891" s="33">
        <v>0.18</v>
      </c>
      <c r="C891" s="33">
        <v>0.4</v>
      </c>
      <c r="D891" s="33">
        <v>0.25369999999999998</v>
      </c>
      <c r="E891" s="33">
        <v>69</v>
      </c>
    </row>
    <row r="892" spans="1:5" x14ac:dyDescent="0.3">
      <c r="A892" s="33">
        <v>891</v>
      </c>
      <c r="B892" s="33">
        <v>0.2</v>
      </c>
      <c r="C892" s="33">
        <v>0.34</v>
      </c>
      <c r="D892" s="33">
        <v>0.29849999999999999</v>
      </c>
      <c r="E892" s="33">
        <v>58</v>
      </c>
    </row>
    <row r="893" spans="1:5" x14ac:dyDescent="0.3">
      <c r="A893" s="33">
        <v>892</v>
      </c>
      <c r="B893" s="33">
        <v>0.2</v>
      </c>
      <c r="C893" s="33">
        <v>0.34</v>
      </c>
      <c r="D893" s="33">
        <v>0.28360000000000002</v>
      </c>
      <c r="E893" s="33">
        <v>64</v>
      </c>
    </row>
    <row r="894" spans="1:5" x14ac:dyDescent="0.3">
      <c r="A894" s="33">
        <v>893</v>
      </c>
      <c r="B894" s="33">
        <v>0.2</v>
      </c>
      <c r="C894" s="33">
        <v>0.37</v>
      </c>
      <c r="D894" s="33">
        <v>0.25369999999999998</v>
      </c>
      <c r="E894" s="33">
        <v>79</v>
      </c>
    </row>
    <row r="895" spans="1:5" x14ac:dyDescent="0.3">
      <c r="A895" s="33">
        <v>894</v>
      </c>
      <c r="B895" s="33">
        <v>0.2</v>
      </c>
      <c r="C895" s="33">
        <v>0.34</v>
      </c>
      <c r="D895" s="33">
        <v>0.25369999999999998</v>
      </c>
      <c r="E895" s="33">
        <v>166</v>
      </c>
    </row>
    <row r="896" spans="1:5" x14ac:dyDescent="0.3">
      <c r="A896" s="33">
        <v>895</v>
      </c>
      <c r="B896" s="33">
        <v>0.18</v>
      </c>
      <c r="C896" s="33">
        <v>0.47</v>
      </c>
      <c r="D896" s="33">
        <v>0.29849999999999999</v>
      </c>
      <c r="E896" s="33">
        <v>170</v>
      </c>
    </row>
    <row r="897" spans="1:5" x14ac:dyDescent="0.3">
      <c r="A897" s="33">
        <v>896</v>
      </c>
      <c r="B897" s="33">
        <v>0.14000000000000001</v>
      </c>
      <c r="C897" s="33">
        <v>0.86</v>
      </c>
      <c r="D897" s="33">
        <v>0.25369999999999998</v>
      </c>
      <c r="E897" s="33">
        <v>88</v>
      </c>
    </row>
    <row r="898" spans="1:5" x14ac:dyDescent="0.3">
      <c r="A898" s="33">
        <v>897</v>
      </c>
      <c r="B898" s="33">
        <v>0.14000000000000001</v>
      </c>
      <c r="C898" s="33">
        <v>0.86</v>
      </c>
      <c r="D898" s="33">
        <v>0.16420000000000001</v>
      </c>
      <c r="E898" s="33">
        <v>84</v>
      </c>
    </row>
    <row r="899" spans="1:5" x14ac:dyDescent="0.3">
      <c r="A899" s="33">
        <v>898</v>
      </c>
      <c r="B899" s="33">
        <v>0.14000000000000001</v>
      </c>
      <c r="C899" s="33">
        <v>0.86</v>
      </c>
      <c r="D899" s="33">
        <v>0.16420000000000001</v>
      </c>
      <c r="E899" s="33">
        <v>83</v>
      </c>
    </row>
    <row r="900" spans="1:5" x14ac:dyDescent="0.3">
      <c r="A900" s="33">
        <v>899</v>
      </c>
      <c r="B900" s="33">
        <v>0.16</v>
      </c>
      <c r="C900" s="33">
        <v>0.8</v>
      </c>
      <c r="D900" s="33">
        <v>0.16420000000000001</v>
      </c>
      <c r="E900" s="33">
        <v>46</v>
      </c>
    </row>
    <row r="901" spans="1:5" x14ac:dyDescent="0.3">
      <c r="A901" s="33">
        <v>900</v>
      </c>
      <c r="B901" s="33">
        <v>0.16</v>
      </c>
      <c r="C901" s="33">
        <v>0.8</v>
      </c>
      <c r="D901" s="33">
        <v>0.19400000000000001</v>
      </c>
      <c r="E901" s="33">
        <v>37</v>
      </c>
    </row>
    <row r="902" spans="1:5" x14ac:dyDescent="0.3">
      <c r="A902" s="33">
        <v>901</v>
      </c>
      <c r="B902" s="33">
        <v>0.14000000000000001</v>
      </c>
      <c r="C902" s="33">
        <v>0.86</v>
      </c>
      <c r="D902" s="33">
        <v>0.19400000000000001</v>
      </c>
      <c r="E902" s="33">
        <v>16</v>
      </c>
    </row>
    <row r="903" spans="1:5" x14ac:dyDescent="0.3">
      <c r="A903" s="33">
        <v>902</v>
      </c>
      <c r="B903" s="33">
        <v>0.14000000000000001</v>
      </c>
      <c r="C903" s="33">
        <v>0.8</v>
      </c>
      <c r="D903" s="33">
        <v>0.1343</v>
      </c>
      <c r="E903" s="33">
        <v>7</v>
      </c>
    </row>
    <row r="904" spans="1:5" x14ac:dyDescent="0.3">
      <c r="A904" s="33">
        <v>903</v>
      </c>
      <c r="B904" s="33">
        <v>0.14000000000000001</v>
      </c>
      <c r="C904" s="33">
        <v>0.8</v>
      </c>
      <c r="D904" s="33">
        <v>0.1343</v>
      </c>
      <c r="E904" s="33">
        <v>3</v>
      </c>
    </row>
    <row r="905" spans="1:5" x14ac:dyDescent="0.3">
      <c r="A905" s="33">
        <v>904</v>
      </c>
      <c r="B905" s="33">
        <v>0.14000000000000001</v>
      </c>
      <c r="C905" s="33">
        <v>0.59</v>
      </c>
      <c r="D905" s="33">
        <v>0.22389999999999999</v>
      </c>
      <c r="E905" s="33">
        <v>1</v>
      </c>
    </row>
    <row r="906" spans="1:5" x14ac:dyDescent="0.3">
      <c r="A906" s="33">
        <v>905</v>
      </c>
      <c r="B906" s="33">
        <v>0.12</v>
      </c>
      <c r="C906" s="33">
        <v>0.5</v>
      </c>
      <c r="D906" s="33">
        <v>0.22389999999999999</v>
      </c>
      <c r="E906" s="33">
        <v>6</v>
      </c>
    </row>
    <row r="907" spans="1:5" x14ac:dyDescent="0.3">
      <c r="A907" s="33">
        <v>906</v>
      </c>
      <c r="B907" s="33">
        <v>0.12</v>
      </c>
      <c r="C907" s="33">
        <v>0.54</v>
      </c>
      <c r="D907" s="33">
        <v>0.28360000000000002</v>
      </c>
      <c r="E907" s="33">
        <v>26</v>
      </c>
    </row>
    <row r="908" spans="1:5" x14ac:dyDescent="0.3">
      <c r="A908" s="33">
        <v>907</v>
      </c>
      <c r="B908" s="33">
        <v>0.1</v>
      </c>
      <c r="C908" s="33">
        <v>0.5</v>
      </c>
      <c r="D908" s="33">
        <v>0.41789999999999999</v>
      </c>
      <c r="E908" s="33">
        <v>99</v>
      </c>
    </row>
    <row r="909" spans="1:5" x14ac:dyDescent="0.3">
      <c r="A909" s="33">
        <v>908</v>
      </c>
      <c r="B909" s="33">
        <v>0.1</v>
      </c>
      <c r="C909" s="33">
        <v>0.49</v>
      </c>
      <c r="D909" s="33">
        <v>0.32840000000000003</v>
      </c>
      <c r="E909" s="33">
        <v>178</v>
      </c>
    </row>
    <row r="910" spans="1:5" x14ac:dyDescent="0.3">
      <c r="A910" s="33">
        <v>909</v>
      </c>
      <c r="B910" s="33">
        <v>0.12</v>
      </c>
      <c r="C910" s="33">
        <v>0.42</v>
      </c>
      <c r="D910" s="33">
        <v>0.35820000000000002</v>
      </c>
      <c r="E910" s="33">
        <v>122</v>
      </c>
    </row>
    <row r="911" spans="1:5" x14ac:dyDescent="0.3">
      <c r="A911" s="33">
        <v>910</v>
      </c>
      <c r="B911" s="33">
        <v>0.12</v>
      </c>
      <c r="C911" s="33">
        <v>0.42</v>
      </c>
      <c r="D911" s="33">
        <v>0.29849999999999999</v>
      </c>
      <c r="E911" s="33">
        <v>35</v>
      </c>
    </row>
    <row r="912" spans="1:5" x14ac:dyDescent="0.3">
      <c r="A912" s="33">
        <v>911</v>
      </c>
      <c r="B912" s="33">
        <v>0.14000000000000001</v>
      </c>
      <c r="C912" s="33">
        <v>0.39</v>
      </c>
      <c r="D912" s="33">
        <v>0.35820000000000002</v>
      </c>
      <c r="E912" s="33">
        <v>45</v>
      </c>
    </row>
    <row r="913" spans="1:5" x14ac:dyDescent="0.3">
      <c r="A913" s="33">
        <v>912</v>
      </c>
      <c r="B913" s="33">
        <v>0.16</v>
      </c>
      <c r="C913" s="33">
        <v>0.34</v>
      </c>
      <c r="D913" s="33">
        <v>0.3881</v>
      </c>
      <c r="E913" s="33">
        <v>69</v>
      </c>
    </row>
    <row r="914" spans="1:5" x14ac:dyDescent="0.3">
      <c r="A914" s="33">
        <v>913</v>
      </c>
      <c r="B914" s="33">
        <v>0.18</v>
      </c>
      <c r="C914" s="33">
        <v>0.28999999999999998</v>
      </c>
      <c r="D914" s="33">
        <v>0.29849999999999999</v>
      </c>
      <c r="E914" s="33">
        <v>62</v>
      </c>
    </row>
    <row r="915" spans="1:5" x14ac:dyDescent="0.3">
      <c r="A915" s="33">
        <v>914</v>
      </c>
      <c r="B915" s="33">
        <v>0.2</v>
      </c>
      <c r="C915" s="33">
        <v>0.27</v>
      </c>
      <c r="D915" s="33">
        <v>0.28360000000000002</v>
      </c>
      <c r="E915" s="33">
        <v>48</v>
      </c>
    </row>
    <row r="916" spans="1:5" x14ac:dyDescent="0.3">
      <c r="A916" s="33">
        <v>915</v>
      </c>
      <c r="B916" s="33">
        <v>0.2</v>
      </c>
      <c r="C916" s="33">
        <v>0.25</v>
      </c>
      <c r="D916" s="33">
        <v>0.25369999999999998</v>
      </c>
      <c r="E916" s="33">
        <v>50</v>
      </c>
    </row>
    <row r="917" spans="1:5" x14ac:dyDescent="0.3">
      <c r="A917" s="33">
        <v>916</v>
      </c>
      <c r="B917" s="33">
        <v>0.2</v>
      </c>
      <c r="C917" s="33">
        <v>0.27</v>
      </c>
      <c r="D917" s="33">
        <v>0.29849999999999999</v>
      </c>
      <c r="E917" s="33">
        <v>80</v>
      </c>
    </row>
    <row r="918" spans="1:5" x14ac:dyDescent="0.3">
      <c r="A918" s="33">
        <v>917</v>
      </c>
      <c r="B918" s="33">
        <v>0.18</v>
      </c>
      <c r="C918" s="33">
        <v>0.26</v>
      </c>
      <c r="D918" s="33">
        <v>0.19400000000000001</v>
      </c>
      <c r="E918" s="33">
        <v>165</v>
      </c>
    </row>
    <row r="919" spans="1:5" x14ac:dyDescent="0.3">
      <c r="A919" s="33">
        <v>918</v>
      </c>
      <c r="B919" s="33">
        <v>0.16</v>
      </c>
      <c r="C919" s="33">
        <v>0.28000000000000003</v>
      </c>
      <c r="D919" s="33">
        <v>0.1343</v>
      </c>
      <c r="E919" s="33">
        <v>160</v>
      </c>
    </row>
    <row r="920" spans="1:5" x14ac:dyDescent="0.3">
      <c r="A920" s="33">
        <v>919</v>
      </c>
      <c r="B920" s="33">
        <v>0.14000000000000001</v>
      </c>
      <c r="C920" s="33">
        <v>0.28000000000000003</v>
      </c>
      <c r="D920" s="33">
        <v>0.1045</v>
      </c>
      <c r="E920" s="33">
        <v>112</v>
      </c>
    </row>
    <row r="921" spans="1:5" x14ac:dyDescent="0.3">
      <c r="A921" s="33">
        <v>920</v>
      </c>
      <c r="B921" s="33">
        <v>0.14000000000000001</v>
      </c>
      <c r="C921" s="33">
        <v>0.31</v>
      </c>
      <c r="D921" s="33">
        <v>8.9599999999999999E-2</v>
      </c>
      <c r="E921" s="33">
        <v>97</v>
      </c>
    </row>
    <row r="922" spans="1:5" x14ac:dyDescent="0.3">
      <c r="A922" s="33">
        <v>921</v>
      </c>
      <c r="B922" s="33">
        <v>0.14000000000000001</v>
      </c>
      <c r="C922" s="33">
        <v>0.39</v>
      </c>
      <c r="D922" s="33">
        <v>0</v>
      </c>
      <c r="E922" s="33">
        <v>72</v>
      </c>
    </row>
    <row r="923" spans="1:5" x14ac:dyDescent="0.3">
      <c r="A923" s="33">
        <v>922</v>
      </c>
      <c r="B923" s="33">
        <v>0.12</v>
      </c>
      <c r="C923" s="33">
        <v>0.39</v>
      </c>
      <c r="D923" s="33">
        <v>0</v>
      </c>
      <c r="E923" s="33">
        <v>51</v>
      </c>
    </row>
    <row r="924" spans="1:5" x14ac:dyDescent="0.3">
      <c r="A924" s="33">
        <v>923</v>
      </c>
      <c r="B924" s="33">
        <v>0.12</v>
      </c>
      <c r="C924" s="33">
        <v>0.42</v>
      </c>
      <c r="D924" s="33">
        <v>0.1045</v>
      </c>
      <c r="E924" s="33">
        <v>34</v>
      </c>
    </row>
    <row r="925" spans="1:5" x14ac:dyDescent="0.3">
      <c r="A925" s="33">
        <v>924</v>
      </c>
      <c r="B925" s="33">
        <v>0.1</v>
      </c>
      <c r="C925" s="33">
        <v>0.49</v>
      </c>
      <c r="D925" s="33">
        <v>0.1045</v>
      </c>
      <c r="E925" s="33">
        <v>14</v>
      </c>
    </row>
    <row r="926" spans="1:5" x14ac:dyDescent="0.3">
      <c r="A926" s="33">
        <v>925</v>
      </c>
      <c r="B926" s="33">
        <v>0.1</v>
      </c>
      <c r="C926" s="33">
        <v>0.54</v>
      </c>
      <c r="D926" s="33">
        <v>8.9599999999999999E-2</v>
      </c>
      <c r="E926" s="33">
        <v>7</v>
      </c>
    </row>
    <row r="927" spans="1:5" x14ac:dyDescent="0.3">
      <c r="A927" s="33">
        <v>926</v>
      </c>
      <c r="B927" s="33">
        <v>0.1</v>
      </c>
      <c r="C927" s="33">
        <v>0.54</v>
      </c>
      <c r="D927" s="33">
        <v>8.9599999999999999E-2</v>
      </c>
      <c r="E927" s="33">
        <v>3</v>
      </c>
    </row>
    <row r="928" spans="1:5" x14ac:dyDescent="0.3">
      <c r="A928" s="33">
        <v>927</v>
      </c>
      <c r="B928" s="33">
        <v>0.08</v>
      </c>
      <c r="C928" s="33">
        <v>0.63</v>
      </c>
      <c r="D928" s="33">
        <v>8.9599999999999999E-2</v>
      </c>
      <c r="E928" s="33">
        <v>4</v>
      </c>
    </row>
    <row r="929" spans="1:5" x14ac:dyDescent="0.3">
      <c r="A929" s="33">
        <v>928</v>
      </c>
      <c r="B929" s="33">
        <v>0.1</v>
      </c>
      <c r="C929" s="33">
        <v>0.68</v>
      </c>
      <c r="D929" s="33">
        <v>0</v>
      </c>
      <c r="E929" s="33">
        <v>24</v>
      </c>
    </row>
    <row r="930" spans="1:5" x14ac:dyDescent="0.3">
      <c r="A930" s="33">
        <v>929</v>
      </c>
      <c r="B930" s="33">
        <v>0.08</v>
      </c>
      <c r="C930" s="33">
        <v>0.73</v>
      </c>
      <c r="D930" s="33">
        <v>0</v>
      </c>
      <c r="E930" s="33">
        <v>74</v>
      </c>
    </row>
    <row r="931" spans="1:5" x14ac:dyDescent="0.3">
      <c r="A931" s="33">
        <v>930</v>
      </c>
      <c r="B931" s="33">
        <v>0.1</v>
      </c>
      <c r="C931" s="33">
        <v>0.74</v>
      </c>
      <c r="D931" s="33">
        <v>0.16420000000000001</v>
      </c>
      <c r="E931" s="33">
        <v>216</v>
      </c>
    </row>
    <row r="932" spans="1:5" x14ac:dyDescent="0.3">
      <c r="A932" s="33">
        <v>931</v>
      </c>
      <c r="B932" s="33">
        <v>0.12</v>
      </c>
      <c r="C932" s="33">
        <v>0.74</v>
      </c>
      <c r="D932" s="33">
        <v>0.22389999999999999</v>
      </c>
      <c r="E932" s="33">
        <v>140</v>
      </c>
    </row>
    <row r="933" spans="1:5" x14ac:dyDescent="0.3">
      <c r="A933" s="33">
        <v>932</v>
      </c>
      <c r="B933" s="33">
        <v>0.14000000000000001</v>
      </c>
      <c r="C933" s="33">
        <v>0.69</v>
      </c>
      <c r="D933" s="33">
        <v>0.19400000000000001</v>
      </c>
      <c r="E933" s="33">
        <v>44</v>
      </c>
    </row>
    <row r="934" spans="1:5" x14ac:dyDescent="0.3">
      <c r="A934" s="33">
        <v>933</v>
      </c>
      <c r="B934" s="33">
        <v>0.22</v>
      </c>
      <c r="C934" s="33">
        <v>0.47</v>
      </c>
      <c r="D934" s="33">
        <v>0.1343</v>
      </c>
      <c r="E934" s="33">
        <v>64</v>
      </c>
    </row>
    <row r="935" spans="1:5" x14ac:dyDescent="0.3">
      <c r="A935" s="33">
        <v>934</v>
      </c>
      <c r="B935" s="33">
        <v>0.22</v>
      </c>
      <c r="C935" s="33">
        <v>0.47</v>
      </c>
      <c r="D935" s="33">
        <v>0.1343</v>
      </c>
      <c r="E935" s="33">
        <v>71</v>
      </c>
    </row>
    <row r="936" spans="1:5" x14ac:dyDescent="0.3">
      <c r="A936" s="33">
        <v>935</v>
      </c>
      <c r="B936" s="33">
        <v>0.24</v>
      </c>
      <c r="C936" s="33">
        <v>0.35</v>
      </c>
      <c r="D936" s="33">
        <v>0.19400000000000001</v>
      </c>
      <c r="E936" s="33">
        <v>110</v>
      </c>
    </row>
    <row r="937" spans="1:5" x14ac:dyDescent="0.3">
      <c r="A937" s="33">
        <v>936</v>
      </c>
      <c r="B937" s="33">
        <v>0.3</v>
      </c>
      <c r="C937" s="33">
        <v>0.26</v>
      </c>
      <c r="D937" s="33">
        <v>0.25369999999999998</v>
      </c>
      <c r="E937" s="33">
        <v>84</v>
      </c>
    </row>
    <row r="938" spans="1:5" x14ac:dyDescent="0.3">
      <c r="A938" s="33">
        <v>937</v>
      </c>
      <c r="B938" s="33">
        <v>0.32</v>
      </c>
      <c r="C938" s="33">
        <v>0.21</v>
      </c>
      <c r="D938" s="33">
        <v>0.16420000000000001</v>
      </c>
      <c r="E938" s="33">
        <v>74</v>
      </c>
    </row>
    <row r="939" spans="1:5" x14ac:dyDescent="0.3">
      <c r="A939" s="33">
        <v>938</v>
      </c>
      <c r="B939" s="33">
        <v>0.3</v>
      </c>
      <c r="C939" s="33">
        <v>0.28000000000000003</v>
      </c>
      <c r="D939" s="33">
        <v>0.19400000000000001</v>
      </c>
      <c r="E939" s="33">
        <v>125</v>
      </c>
    </row>
    <row r="940" spans="1:5" x14ac:dyDescent="0.3">
      <c r="A940" s="33">
        <v>939</v>
      </c>
      <c r="B940" s="33">
        <v>0.3</v>
      </c>
      <c r="C940" s="33">
        <v>0.24</v>
      </c>
      <c r="D940" s="33">
        <v>0</v>
      </c>
      <c r="E940" s="33">
        <v>211</v>
      </c>
    </row>
    <row r="941" spans="1:5" x14ac:dyDescent="0.3">
      <c r="A941" s="33">
        <v>940</v>
      </c>
      <c r="B941" s="33">
        <v>0.28000000000000003</v>
      </c>
      <c r="C941" s="33">
        <v>0.28000000000000003</v>
      </c>
      <c r="D941" s="33">
        <v>0</v>
      </c>
      <c r="E941" s="33">
        <v>174</v>
      </c>
    </row>
    <row r="942" spans="1:5" x14ac:dyDescent="0.3">
      <c r="A942" s="33">
        <v>941</v>
      </c>
      <c r="B942" s="33">
        <v>0.26</v>
      </c>
      <c r="C942" s="33">
        <v>0.33</v>
      </c>
      <c r="D942" s="33">
        <v>0</v>
      </c>
      <c r="E942" s="33">
        <v>101</v>
      </c>
    </row>
    <row r="943" spans="1:5" x14ac:dyDescent="0.3">
      <c r="A943" s="33">
        <v>942</v>
      </c>
      <c r="B943" s="33">
        <v>0.22</v>
      </c>
      <c r="C943" s="33">
        <v>0.55000000000000004</v>
      </c>
      <c r="D943" s="33">
        <v>0.1343</v>
      </c>
      <c r="E943" s="33">
        <v>63</v>
      </c>
    </row>
    <row r="944" spans="1:5" x14ac:dyDescent="0.3">
      <c r="A944" s="33">
        <v>943</v>
      </c>
      <c r="B944" s="33">
        <v>0.2</v>
      </c>
      <c r="C944" s="33">
        <v>0.59</v>
      </c>
      <c r="D944" s="33">
        <v>0.1343</v>
      </c>
      <c r="E944" s="33">
        <v>47</v>
      </c>
    </row>
    <row r="945" spans="1:5" x14ac:dyDescent="0.3">
      <c r="A945" s="33">
        <v>944</v>
      </c>
      <c r="B945" s="33">
        <v>0.2</v>
      </c>
      <c r="C945" s="33">
        <v>0.64</v>
      </c>
      <c r="D945" s="33">
        <v>8.9599999999999999E-2</v>
      </c>
      <c r="E945" s="33">
        <v>43</v>
      </c>
    </row>
    <row r="946" spans="1:5" x14ac:dyDescent="0.3">
      <c r="A946" s="33">
        <v>945</v>
      </c>
      <c r="B946" s="33">
        <v>0.18</v>
      </c>
      <c r="C946" s="33">
        <v>0.69</v>
      </c>
      <c r="D946" s="33">
        <v>0</v>
      </c>
      <c r="E946" s="33">
        <v>53</v>
      </c>
    </row>
    <row r="947" spans="1:5" x14ac:dyDescent="0.3">
      <c r="A947" s="33">
        <v>946</v>
      </c>
      <c r="B947" s="33">
        <v>0.16</v>
      </c>
      <c r="C947" s="33">
        <v>0.69</v>
      </c>
      <c r="D947" s="33">
        <v>8.9599999999999999E-2</v>
      </c>
      <c r="E947" s="33">
        <v>30</v>
      </c>
    </row>
    <row r="948" spans="1:5" x14ac:dyDescent="0.3">
      <c r="A948" s="33">
        <v>947</v>
      </c>
      <c r="B948" s="33">
        <v>0.14000000000000001</v>
      </c>
      <c r="C948" s="33">
        <v>0.86</v>
      </c>
      <c r="D948" s="33">
        <v>0</v>
      </c>
      <c r="E948" s="33">
        <v>24</v>
      </c>
    </row>
    <row r="949" spans="1:5" x14ac:dyDescent="0.3">
      <c r="A949" s="33">
        <v>948</v>
      </c>
      <c r="B949" s="33">
        <v>0.14000000000000001</v>
      </c>
      <c r="C949" s="33">
        <v>0.8</v>
      </c>
      <c r="D949" s="33">
        <v>0</v>
      </c>
      <c r="E949" s="33">
        <v>15</v>
      </c>
    </row>
    <row r="950" spans="1:5" x14ac:dyDescent="0.3">
      <c r="A950" s="33">
        <v>949</v>
      </c>
      <c r="B950" s="33">
        <v>0.12</v>
      </c>
      <c r="C950" s="33">
        <v>0.8</v>
      </c>
      <c r="D950" s="33">
        <v>0</v>
      </c>
      <c r="E950" s="33">
        <v>10</v>
      </c>
    </row>
    <row r="951" spans="1:5" x14ac:dyDescent="0.3">
      <c r="A951" s="33">
        <v>950</v>
      </c>
      <c r="B951" s="33">
        <v>0.12</v>
      </c>
      <c r="C951" s="33">
        <v>0.74</v>
      </c>
      <c r="D951" s="33">
        <v>8.9599999999999999E-2</v>
      </c>
      <c r="E951" s="33">
        <v>4</v>
      </c>
    </row>
    <row r="952" spans="1:5" x14ac:dyDescent="0.3">
      <c r="A952" s="33">
        <v>951</v>
      </c>
      <c r="B952" s="33">
        <v>0.12</v>
      </c>
      <c r="C952" s="33">
        <v>0.74</v>
      </c>
      <c r="D952" s="33">
        <v>8.9599999999999999E-2</v>
      </c>
      <c r="E952" s="33">
        <v>1</v>
      </c>
    </row>
    <row r="953" spans="1:5" x14ac:dyDescent="0.3">
      <c r="A953" s="33">
        <v>952</v>
      </c>
      <c r="B953" s="33">
        <v>0.12</v>
      </c>
      <c r="C953" s="33">
        <v>0.93</v>
      </c>
      <c r="D953" s="33">
        <v>0.19400000000000001</v>
      </c>
      <c r="E953" s="33">
        <v>2</v>
      </c>
    </row>
    <row r="954" spans="1:5" x14ac:dyDescent="0.3">
      <c r="A954" s="33">
        <v>953</v>
      </c>
      <c r="B954" s="33">
        <v>0.12</v>
      </c>
      <c r="C954" s="33">
        <v>0.8</v>
      </c>
      <c r="D954" s="33">
        <v>0.1045</v>
      </c>
      <c r="E954" s="33">
        <v>11</v>
      </c>
    </row>
    <row r="955" spans="1:5" x14ac:dyDescent="0.3">
      <c r="A955" s="33">
        <v>954</v>
      </c>
      <c r="B955" s="33">
        <v>0.14000000000000001</v>
      </c>
      <c r="C955" s="33">
        <v>0.86</v>
      </c>
      <c r="D955" s="33">
        <v>0.1343</v>
      </c>
      <c r="E955" s="33">
        <v>30</v>
      </c>
    </row>
    <row r="956" spans="1:5" x14ac:dyDescent="0.3">
      <c r="A956" s="33">
        <v>955</v>
      </c>
      <c r="B956" s="33">
        <v>0.16</v>
      </c>
      <c r="C956" s="33">
        <v>0.64</v>
      </c>
      <c r="D956" s="33">
        <v>0.1343</v>
      </c>
      <c r="E956" s="33">
        <v>43</v>
      </c>
    </row>
    <row r="957" spans="1:5" x14ac:dyDescent="0.3">
      <c r="A957" s="33">
        <v>956</v>
      </c>
      <c r="B957" s="33">
        <v>0.22</v>
      </c>
      <c r="C957" s="33">
        <v>0.41</v>
      </c>
      <c r="D957" s="33">
        <v>0.25369999999999998</v>
      </c>
      <c r="E957" s="33">
        <v>84</v>
      </c>
    </row>
    <row r="958" spans="1:5" x14ac:dyDescent="0.3">
      <c r="A958" s="33">
        <v>957</v>
      </c>
      <c r="B958" s="33">
        <v>0.3</v>
      </c>
      <c r="C958" s="33">
        <v>0.28000000000000003</v>
      </c>
      <c r="D958" s="33">
        <v>0.32840000000000003</v>
      </c>
      <c r="E958" s="33">
        <v>114</v>
      </c>
    </row>
    <row r="959" spans="1:5" x14ac:dyDescent="0.3">
      <c r="A959" s="33">
        <v>958</v>
      </c>
      <c r="B959" s="33">
        <v>0.3</v>
      </c>
      <c r="C959" s="33">
        <v>0.39</v>
      </c>
      <c r="D959" s="33">
        <v>0.4627</v>
      </c>
      <c r="E959" s="33">
        <v>120</v>
      </c>
    </row>
    <row r="960" spans="1:5" x14ac:dyDescent="0.3">
      <c r="A960" s="33">
        <v>959</v>
      </c>
      <c r="B960" s="33">
        <v>0.3</v>
      </c>
      <c r="C960" s="33">
        <v>0.39</v>
      </c>
      <c r="D960" s="33">
        <v>0.41789999999999999</v>
      </c>
      <c r="E960" s="33">
        <v>135</v>
      </c>
    </row>
    <row r="961" spans="1:5" x14ac:dyDescent="0.3">
      <c r="A961" s="33">
        <v>960</v>
      </c>
      <c r="B961" s="33">
        <v>0.34</v>
      </c>
      <c r="C961" s="33">
        <v>0.31</v>
      </c>
      <c r="D961" s="33">
        <v>0.28360000000000002</v>
      </c>
      <c r="E961" s="33">
        <v>120</v>
      </c>
    </row>
    <row r="962" spans="1:5" x14ac:dyDescent="0.3">
      <c r="A962" s="33">
        <v>961</v>
      </c>
      <c r="B962" s="33">
        <v>0.34</v>
      </c>
      <c r="C962" s="33">
        <v>0.28999999999999998</v>
      </c>
      <c r="D962" s="33">
        <v>0.41789999999999999</v>
      </c>
      <c r="E962" s="33">
        <v>174</v>
      </c>
    </row>
    <row r="963" spans="1:5" x14ac:dyDescent="0.3">
      <c r="A963" s="33">
        <v>962</v>
      </c>
      <c r="B963" s="33">
        <v>0.34</v>
      </c>
      <c r="C963" s="33">
        <v>0.28999999999999998</v>
      </c>
      <c r="D963" s="33">
        <v>0.41789999999999999</v>
      </c>
      <c r="E963" s="33">
        <v>145</v>
      </c>
    </row>
    <row r="964" spans="1:5" x14ac:dyDescent="0.3">
      <c r="A964" s="33">
        <v>963</v>
      </c>
      <c r="B964" s="33">
        <v>0.32</v>
      </c>
      <c r="C964" s="33">
        <v>0.31</v>
      </c>
      <c r="D964" s="33">
        <v>0.52239999999999998</v>
      </c>
      <c r="E964" s="33">
        <v>137</v>
      </c>
    </row>
    <row r="965" spans="1:5" x14ac:dyDescent="0.3">
      <c r="A965" s="33">
        <v>964</v>
      </c>
      <c r="B965" s="33">
        <v>0.28000000000000003</v>
      </c>
      <c r="C965" s="33">
        <v>0.38</v>
      </c>
      <c r="D965" s="33">
        <v>0.32840000000000003</v>
      </c>
      <c r="E965" s="33">
        <v>64</v>
      </c>
    </row>
    <row r="966" spans="1:5" x14ac:dyDescent="0.3">
      <c r="A966" s="33">
        <v>965</v>
      </c>
      <c r="B966" s="33">
        <v>0.28000000000000003</v>
      </c>
      <c r="C966" s="33">
        <v>0.38</v>
      </c>
      <c r="D966" s="33">
        <v>0.16420000000000001</v>
      </c>
      <c r="E966" s="33">
        <v>41</v>
      </c>
    </row>
    <row r="967" spans="1:5" x14ac:dyDescent="0.3">
      <c r="A967" s="33">
        <v>966</v>
      </c>
      <c r="B967" s="33">
        <v>0.26</v>
      </c>
      <c r="C967" s="33">
        <v>0.41</v>
      </c>
      <c r="D967" s="33">
        <v>0.22389999999999999</v>
      </c>
      <c r="E967" s="33">
        <v>40</v>
      </c>
    </row>
    <row r="968" spans="1:5" x14ac:dyDescent="0.3">
      <c r="A968" s="33">
        <v>967</v>
      </c>
      <c r="B968" s="33">
        <v>0.26</v>
      </c>
      <c r="C968" s="33">
        <v>0.41</v>
      </c>
      <c r="D968" s="33">
        <v>0</v>
      </c>
      <c r="E968" s="33">
        <v>51</v>
      </c>
    </row>
    <row r="969" spans="1:5" x14ac:dyDescent="0.3">
      <c r="A969" s="33">
        <v>968</v>
      </c>
      <c r="B969" s="33">
        <v>0.24</v>
      </c>
      <c r="C969" s="33">
        <v>0.44</v>
      </c>
      <c r="D969" s="33">
        <v>8.9599999999999999E-2</v>
      </c>
      <c r="E969" s="33">
        <v>45</v>
      </c>
    </row>
    <row r="970" spans="1:5" x14ac:dyDescent="0.3">
      <c r="A970" s="33">
        <v>969</v>
      </c>
      <c r="B970" s="33">
        <v>0.22</v>
      </c>
      <c r="C970" s="33">
        <v>0.51</v>
      </c>
      <c r="D970" s="33">
        <v>0.1343</v>
      </c>
      <c r="E970" s="33">
        <v>32</v>
      </c>
    </row>
    <row r="971" spans="1:5" x14ac:dyDescent="0.3">
      <c r="A971" s="33">
        <v>970</v>
      </c>
      <c r="B971" s="33">
        <v>0.2</v>
      </c>
      <c r="C971" s="33">
        <v>0.64</v>
      </c>
      <c r="D971" s="33">
        <v>0.1045</v>
      </c>
      <c r="E971" s="33">
        <v>39</v>
      </c>
    </row>
    <row r="972" spans="1:5" x14ac:dyDescent="0.3">
      <c r="A972" s="33">
        <v>971</v>
      </c>
      <c r="B972" s="33">
        <v>0.2</v>
      </c>
      <c r="C972" s="33">
        <v>0.59</v>
      </c>
      <c r="D972" s="33">
        <v>8.9599999999999999E-2</v>
      </c>
      <c r="E972" s="33">
        <v>24</v>
      </c>
    </row>
    <row r="973" spans="1:5" x14ac:dyDescent="0.3">
      <c r="A973" s="33">
        <v>972</v>
      </c>
      <c r="B973" s="33">
        <v>0.2</v>
      </c>
      <c r="C973" s="33">
        <v>0.75</v>
      </c>
      <c r="D973" s="33">
        <v>8.9599999999999999E-2</v>
      </c>
      <c r="E973" s="33">
        <v>20</v>
      </c>
    </row>
    <row r="974" spans="1:5" x14ac:dyDescent="0.3">
      <c r="A974" s="33">
        <v>973</v>
      </c>
      <c r="B974" s="33">
        <v>0.2</v>
      </c>
      <c r="C974" s="33">
        <v>0.69</v>
      </c>
      <c r="D974" s="33">
        <v>0.1045</v>
      </c>
      <c r="E974" s="33">
        <v>12</v>
      </c>
    </row>
    <row r="975" spans="1:5" x14ac:dyDescent="0.3">
      <c r="A975" s="33">
        <v>974</v>
      </c>
      <c r="B975" s="33">
        <v>0.2</v>
      </c>
      <c r="C975" s="33">
        <v>0.69</v>
      </c>
      <c r="D975" s="33">
        <v>0.16420000000000001</v>
      </c>
      <c r="E975" s="33">
        <v>2</v>
      </c>
    </row>
    <row r="976" spans="1:5" x14ac:dyDescent="0.3">
      <c r="A976" s="33">
        <v>975</v>
      </c>
      <c r="B976" s="33">
        <v>0.2</v>
      </c>
      <c r="C976" s="33">
        <v>0.69</v>
      </c>
      <c r="D976" s="33">
        <v>0.1343</v>
      </c>
      <c r="E976" s="33">
        <v>5</v>
      </c>
    </row>
    <row r="977" spans="1:5" x14ac:dyDescent="0.3">
      <c r="A977" s="33">
        <v>976</v>
      </c>
      <c r="B977" s="33">
        <v>0.22</v>
      </c>
      <c r="C977" s="33">
        <v>0.55000000000000004</v>
      </c>
      <c r="D977" s="33">
        <v>0</v>
      </c>
      <c r="E977" s="33">
        <v>3</v>
      </c>
    </row>
    <row r="978" spans="1:5" x14ac:dyDescent="0.3">
      <c r="A978" s="33">
        <v>977</v>
      </c>
      <c r="B978" s="33">
        <v>0.22</v>
      </c>
      <c r="C978" s="33">
        <v>0.64</v>
      </c>
      <c r="D978" s="33">
        <v>0.19400000000000001</v>
      </c>
      <c r="E978" s="33">
        <v>12</v>
      </c>
    </row>
    <row r="979" spans="1:5" x14ac:dyDescent="0.3">
      <c r="A979" s="33">
        <v>978</v>
      </c>
      <c r="B979" s="33">
        <v>0.24</v>
      </c>
      <c r="C979" s="33">
        <v>0.6</v>
      </c>
      <c r="D979" s="33">
        <v>0.22389999999999999</v>
      </c>
      <c r="E979" s="33">
        <v>47</v>
      </c>
    </row>
    <row r="980" spans="1:5" x14ac:dyDescent="0.3">
      <c r="A980" s="33">
        <v>979</v>
      </c>
      <c r="B980" s="33">
        <v>0.3</v>
      </c>
      <c r="C980" s="33">
        <v>0.45</v>
      </c>
      <c r="D980" s="33">
        <v>0.32840000000000003</v>
      </c>
      <c r="E980" s="33">
        <v>105</v>
      </c>
    </row>
    <row r="981" spans="1:5" x14ac:dyDescent="0.3">
      <c r="A981" s="33">
        <v>980</v>
      </c>
      <c r="B981" s="33">
        <v>0.32</v>
      </c>
      <c r="C981" s="33">
        <v>0.39</v>
      </c>
      <c r="D981" s="33">
        <v>0.44779999999999998</v>
      </c>
      <c r="E981" s="33">
        <v>112</v>
      </c>
    </row>
    <row r="982" spans="1:5" x14ac:dyDescent="0.3">
      <c r="A982" s="33">
        <v>981</v>
      </c>
      <c r="B982" s="33">
        <v>0.36</v>
      </c>
      <c r="C982" s="33">
        <v>0.32</v>
      </c>
      <c r="D982" s="33">
        <v>0.4627</v>
      </c>
      <c r="E982" s="33">
        <v>152</v>
      </c>
    </row>
    <row r="983" spans="1:5" x14ac:dyDescent="0.3">
      <c r="A983" s="33">
        <v>982</v>
      </c>
      <c r="B983" s="33">
        <v>0.38</v>
      </c>
      <c r="C983" s="33">
        <v>0.28999999999999998</v>
      </c>
      <c r="D983" s="33">
        <v>0.35820000000000002</v>
      </c>
      <c r="E983" s="33">
        <v>154</v>
      </c>
    </row>
    <row r="984" spans="1:5" x14ac:dyDescent="0.3">
      <c r="A984" s="33">
        <v>983</v>
      </c>
      <c r="B984" s="33">
        <v>0.4</v>
      </c>
      <c r="C984" s="33">
        <v>0.3</v>
      </c>
      <c r="D984" s="33">
        <v>0.41789999999999999</v>
      </c>
      <c r="E984" s="33">
        <v>161</v>
      </c>
    </row>
    <row r="985" spans="1:5" x14ac:dyDescent="0.3">
      <c r="A985" s="33">
        <v>984</v>
      </c>
      <c r="B985" s="33">
        <v>0.4</v>
      </c>
      <c r="C985" s="33">
        <v>0.3</v>
      </c>
      <c r="D985" s="33">
        <v>0.29849999999999999</v>
      </c>
      <c r="E985" s="33">
        <v>162</v>
      </c>
    </row>
    <row r="986" spans="1:5" x14ac:dyDescent="0.3">
      <c r="A986" s="33">
        <v>985</v>
      </c>
      <c r="B986" s="33">
        <v>0.42</v>
      </c>
      <c r="C986" s="33">
        <v>0.28000000000000003</v>
      </c>
      <c r="D986" s="33">
        <v>0.32840000000000003</v>
      </c>
      <c r="E986" s="33">
        <v>134</v>
      </c>
    </row>
    <row r="987" spans="1:5" x14ac:dyDescent="0.3">
      <c r="A987" s="33">
        <v>986</v>
      </c>
      <c r="B987" s="33">
        <v>0.42</v>
      </c>
      <c r="C987" s="33">
        <v>0.28000000000000003</v>
      </c>
      <c r="D987" s="33">
        <v>0.32840000000000003</v>
      </c>
      <c r="E987" s="33">
        <v>125</v>
      </c>
    </row>
    <row r="988" spans="1:5" x14ac:dyDescent="0.3">
      <c r="A988" s="33">
        <v>987</v>
      </c>
      <c r="B988" s="33">
        <v>0.4</v>
      </c>
      <c r="C988" s="33">
        <v>0.32</v>
      </c>
      <c r="D988" s="33">
        <v>0.29849999999999999</v>
      </c>
      <c r="E988" s="33">
        <v>95</v>
      </c>
    </row>
    <row r="989" spans="1:5" x14ac:dyDescent="0.3">
      <c r="A989" s="33">
        <v>988</v>
      </c>
      <c r="B989" s="33">
        <v>0.4</v>
      </c>
      <c r="C989" s="33">
        <v>0.35</v>
      </c>
      <c r="D989" s="33">
        <v>0.28360000000000002</v>
      </c>
      <c r="E989" s="33">
        <v>61</v>
      </c>
    </row>
    <row r="990" spans="1:5" x14ac:dyDescent="0.3">
      <c r="A990" s="33">
        <v>989</v>
      </c>
      <c r="B990" s="33">
        <v>0.4</v>
      </c>
      <c r="C990" s="33">
        <v>0.35</v>
      </c>
      <c r="D990" s="33">
        <v>0.32840000000000003</v>
      </c>
      <c r="E990" s="33">
        <v>47</v>
      </c>
    </row>
    <row r="991" spans="1:5" x14ac:dyDescent="0.3">
      <c r="A991" s="33">
        <v>990</v>
      </c>
      <c r="B991" s="33">
        <v>0.4</v>
      </c>
      <c r="C991" s="33">
        <v>0.35</v>
      </c>
      <c r="D991" s="33">
        <v>0.35820000000000002</v>
      </c>
      <c r="E991" s="33">
        <v>51</v>
      </c>
    </row>
    <row r="992" spans="1:5" x14ac:dyDescent="0.3">
      <c r="A992" s="33">
        <v>991</v>
      </c>
      <c r="B992" s="33">
        <v>0.4</v>
      </c>
      <c r="C992" s="33">
        <v>0.35</v>
      </c>
      <c r="D992" s="33">
        <v>0.29849999999999999</v>
      </c>
      <c r="E992" s="33">
        <v>36</v>
      </c>
    </row>
    <row r="993" spans="1:5" x14ac:dyDescent="0.3">
      <c r="A993" s="33">
        <v>992</v>
      </c>
      <c r="B993" s="33">
        <v>0.4</v>
      </c>
      <c r="C993" s="33">
        <v>0.35</v>
      </c>
      <c r="D993" s="33">
        <v>0.35820000000000002</v>
      </c>
      <c r="E993" s="33">
        <v>30</v>
      </c>
    </row>
    <row r="994" spans="1:5" x14ac:dyDescent="0.3">
      <c r="A994" s="33">
        <v>993</v>
      </c>
      <c r="B994" s="33">
        <v>0.38</v>
      </c>
      <c r="C994" s="33">
        <v>0.37</v>
      </c>
      <c r="D994" s="33">
        <v>0.35820000000000002</v>
      </c>
      <c r="E994" s="33">
        <v>11</v>
      </c>
    </row>
    <row r="995" spans="1:5" x14ac:dyDescent="0.3">
      <c r="A995" s="33">
        <v>994</v>
      </c>
      <c r="B995" s="33">
        <v>0.38</v>
      </c>
      <c r="C995" s="33">
        <v>0.37</v>
      </c>
      <c r="D995" s="33">
        <v>0.35820000000000002</v>
      </c>
      <c r="E995" s="33">
        <v>7</v>
      </c>
    </row>
    <row r="996" spans="1:5" x14ac:dyDescent="0.3">
      <c r="A996" s="33">
        <v>995</v>
      </c>
      <c r="B996" s="33">
        <v>0.36</v>
      </c>
      <c r="C996" s="33">
        <v>0.4</v>
      </c>
      <c r="D996" s="33">
        <v>0.29849999999999999</v>
      </c>
      <c r="E996" s="33">
        <v>2</v>
      </c>
    </row>
    <row r="997" spans="1:5" x14ac:dyDescent="0.3">
      <c r="A997" s="33">
        <v>996</v>
      </c>
      <c r="B997" s="33">
        <v>0.34</v>
      </c>
      <c r="C997" s="33">
        <v>0.46</v>
      </c>
      <c r="D997" s="33">
        <v>0.22389999999999999</v>
      </c>
      <c r="E997" s="33">
        <v>2</v>
      </c>
    </row>
    <row r="998" spans="1:5" x14ac:dyDescent="0.3">
      <c r="A998" s="33">
        <v>997</v>
      </c>
      <c r="B998" s="33">
        <v>0.32</v>
      </c>
      <c r="C998" s="33">
        <v>0.53</v>
      </c>
      <c r="D998" s="33">
        <v>0.28360000000000002</v>
      </c>
      <c r="E998" s="33">
        <v>2</v>
      </c>
    </row>
    <row r="999" spans="1:5" x14ac:dyDescent="0.3">
      <c r="A999" s="33">
        <v>998</v>
      </c>
      <c r="B999" s="33">
        <v>0.32</v>
      </c>
      <c r="C999" s="33">
        <v>0.53</v>
      </c>
      <c r="D999" s="33">
        <v>0.28360000000000002</v>
      </c>
      <c r="E999" s="33">
        <v>3</v>
      </c>
    </row>
    <row r="1000" spans="1:5" x14ac:dyDescent="0.3">
      <c r="A1000" s="33">
        <v>999</v>
      </c>
      <c r="B1000" s="33">
        <v>0.34</v>
      </c>
      <c r="C1000" s="33">
        <v>0.46</v>
      </c>
      <c r="D1000" s="33">
        <v>0.29849999999999999</v>
      </c>
      <c r="E1000" s="33">
        <v>26</v>
      </c>
    </row>
    <row r="1001" spans="1:5" x14ac:dyDescent="0.3">
      <c r="A1001" s="33">
        <v>1000</v>
      </c>
      <c r="B1001" s="33">
        <v>0.34</v>
      </c>
      <c r="C1001" s="33">
        <v>0.46</v>
      </c>
      <c r="D1001" s="33">
        <v>0.29849999999999999</v>
      </c>
      <c r="E1001" s="33">
        <v>98</v>
      </c>
    </row>
  </sheetData>
  <autoFilter ref="A1:E1" xr:uid="{6FD81C3C-5CA9-42CA-9BBC-2E44018AA8B8}"/>
  <conditionalFormatting sqref="C2:C1001">
    <cfRule type="colorScale" priority="2">
      <colorScale>
        <cfvo type="num" val="0.2"/>
        <cfvo type="num" val="0.65"/>
        <cfvo type="num" val="1"/>
        <color theme="0"/>
        <color theme="7" tint="0.39997558519241921"/>
        <color theme="5" tint="-0.249977111117893"/>
      </colorScale>
    </cfRule>
  </conditionalFormatting>
  <conditionalFormatting sqref="D2:D1001">
    <cfRule type="colorScale" priority="1">
      <colorScale>
        <cfvo type="num" val="0"/>
        <cfvo type="num" val="0.28999999999999998"/>
        <cfvo type="num" val="0.6"/>
        <color theme="0" tint="-4.9989318521683403E-2"/>
        <color theme="4" tint="0.39997558519241921"/>
        <color theme="8" tint="-0.249977111117893"/>
      </colorScale>
    </cfRule>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78BE0-3783-4E60-9E5B-D09BCB78CB7C}">
  <dimension ref="A2:K11"/>
  <sheetViews>
    <sheetView workbookViewId="0">
      <selection activeCell="F7" sqref="F7"/>
    </sheetView>
  </sheetViews>
  <sheetFormatPr defaultRowHeight="14.4" x14ac:dyDescent="0.3"/>
  <cols>
    <col min="1" max="1" width="13.5546875" bestFit="1" customWidth="1"/>
    <col min="2" max="2" width="19.5546875" bestFit="1" customWidth="1"/>
    <col min="3" max="3" width="11.77734375" bestFit="1" customWidth="1"/>
    <col min="4" max="4" width="4" bestFit="1" customWidth="1"/>
    <col min="5" max="5" width="18.88671875" bestFit="1" customWidth="1"/>
    <col min="6" max="6" width="24.88671875" bestFit="1" customWidth="1"/>
    <col min="7" max="8" width="1.44140625" bestFit="1" customWidth="1"/>
    <col min="9" max="10" width="5" bestFit="1" customWidth="1"/>
    <col min="11" max="11" width="21.44140625" bestFit="1" customWidth="1"/>
    <col min="12" max="25" width="5" bestFit="1" customWidth="1"/>
    <col min="26" max="26" width="10.77734375" bestFit="1" customWidth="1"/>
  </cols>
  <sheetData>
    <row r="2" spans="1:11" ht="15" thickBot="1" x14ac:dyDescent="0.35"/>
    <row r="3" spans="1:11" ht="26.4" thickBot="1" x14ac:dyDescent="0.55000000000000004">
      <c r="A3" s="107" t="s">
        <v>70</v>
      </c>
      <c r="B3" s="107" t="s">
        <v>68</v>
      </c>
      <c r="E3" s="108" t="s">
        <v>69</v>
      </c>
      <c r="F3" s="108" t="s">
        <v>56</v>
      </c>
      <c r="K3" s="109" t="s">
        <v>55</v>
      </c>
    </row>
    <row r="4" spans="1:11" ht="33.6" x14ac:dyDescent="0.65">
      <c r="A4" s="110" t="s">
        <v>71</v>
      </c>
      <c r="B4" s="111">
        <v>140.20454545454547</v>
      </c>
      <c r="E4" s="110" t="s">
        <v>26</v>
      </c>
      <c r="F4" s="111">
        <v>61.671617161716171</v>
      </c>
      <c r="K4" s="101">
        <v>58304</v>
      </c>
    </row>
    <row r="6" spans="1:11" ht="28.8" x14ac:dyDescent="0.55000000000000004"/>
    <row r="7" spans="1:11" ht="28.8" x14ac:dyDescent="0.55000000000000004">
      <c r="G7" t="s">
        <v>72</v>
      </c>
    </row>
    <row r="8" spans="1:11" x14ac:dyDescent="0.3">
      <c r="H8" t="s">
        <v>72</v>
      </c>
    </row>
    <row r="9" spans="1:11" ht="15" thickBot="1" x14ac:dyDescent="0.35"/>
    <row r="10" spans="1:11" ht="26.4" thickBot="1" x14ac:dyDescent="0.55000000000000004">
      <c r="E10" s="108" t="s">
        <v>57</v>
      </c>
      <c r="F10" s="108" t="s">
        <v>56</v>
      </c>
      <c r="K10" s="109" t="s">
        <v>68</v>
      </c>
    </row>
    <row r="11" spans="1:11" ht="33.6" x14ac:dyDescent="0.65">
      <c r="E11" s="110" t="s">
        <v>51</v>
      </c>
      <c r="F11" s="111">
        <v>109.43103448275862</v>
      </c>
      <c r="K11" s="112">
        <v>58.304000000000002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CC57E-2A17-48CC-88DD-D3732B75E0BF}">
  <dimension ref="B1:C13"/>
  <sheetViews>
    <sheetView workbookViewId="0">
      <selection activeCell="F14" sqref="F14"/>
    </sheetView>
  </sheetViews>
  <sheetFormatPr defaultRowHeight="14.4" x14ac:dyDescent="0.3"/>
  <cols>
    <col min="2" max="2" width="44.5546875" bestFit="1" customWidth="1"/>
    <col min="3" max="3" width="17.88671875" bestFit="1" customWidth="1"/>
  </cols>
  <sheetData>
    <row r="1" spans="2:3" ht="15" thickBot="1" x14ac:dyDescent="0.35"/>
    <row r="2" spans="2:3" ht="33.6" x14ac:dyDescent="0.65">
      <c r="B2" s="128" t="s">
        <v>87</v>
      </c>
      <c r="C2" s="129" t="s">
        <v>88</v>
      </c>
    </row>
    <row r="3" spans="2:3" ht="31.2" x14ac:dyDescent="0.6">
      <c r="B3" s="47" t="s">
        <v>89</v>
      </c>
      <c r="C3" s="48">
        <f>SUBTOTAL(9,Append15[Total_Rentals])</f>
        <v>58304</v>
      </c>
    </row>
    <row r="4" spans="2:3" ht="31.2" x14ac:dyDescent="0.6">
      <c r="B4" s="47" t="s">
        <v>91</v>
      </c>
      <c r="C4" s="48">
        <f>ROUND(SUBTOTAL(1,Append15[Total_Rentals]),0)</f>
        <v>58</v>
      </c>
    </row>
    <row r="5" spans="2:3" ht="31.2" x14ac:dyDescent="0.6">
      <c r="B5" s="47" t="s">
        <v>90</v>
      </c>
      <c r="C5" s="48" t="str">
        <f>'Peak Identification'!A4</f>
        <v>5 PM</v>
      </c>
    </row>
    <row r="6" spans="2:3" ht="31.2" x14ac:dyDescent="0.6">
      <c r="B6" s="47" t="s">
        <v>92</v>
      </c>
      <c r="C6" s="48" t="str">
        <f>'Peak Identification'!E4</f>
        <v>Clear Sky</v>
      </c>
    </row>
    <row r="7" spans="2:3" ht="31.8" thickBot="1" x14ac:dyDescent="0.65">
      <c r="B7" s="49" t="s">
        <v>93</v>
      </c>
      <c r="C7" s="50" t="str">
        <f>'Peak Identification'!E11</f>
        <v>Evening</v>
      </c>
    </row>
    <row r="10" spans="2:3" x14ac:dyDescent="0.3">
      <c r="B10" s="33" t="s">
        <v>160</v>
      </c>
      <c r="C10" s="33">
        <f>COUNTIF(Append15[Holiday],TRUE)</f>
        <v>24</v>
      </c>
    </row>
    <row r="11" spans="2:3" x14ac:dyDescent="0.3">
      <c r="B11" s="33" t="s">
        <v>161</v>
      </c>
      <c r="C11" s="33">
        <f>SUMIF(Append15[Weather_Type],"Clear Sky",Append15[Total_Rentals])</f>
        <v>37373</v>
      </c>
    </row>
    <row r="12" spans="2:3" x14ac:dyDescent="0.3">
      <c r="B12" s="33" t="s">
        <v>162</v>
      </c>
      <c r="C12" s="35">
        <f>AVERAGEIF(Append15[Time_Slot],"Evening",Append15[Total_Rentals])</f>
        <v>109.43103448275862</v>
      </c>
    </row>
    <row r="13" spans="2:3" x14ac:dyDescent="0.3">
      <c r="C13" s="7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44434-D06F-4584-B878-626DBE2B4664}">
  <dimension ref="A1:E1001"/>
  <sheetViews>
    <sheetView workbookViewId="0">
      <selection activeCell="J14" sqref="J14"/>
    </sheetView>
  </sheetViews>
  <sheetFormatPr defaultRowHeight="14.4" x14ac:dyDescent="0.3"/>
  <cols>
    <col min="1" max="1" width="5.77734375" bestFit="1" customWidth="1"/>
    <col min="2" max="2" width="7" bestFit="1" customWidth="1"/>
    <col min="3" max="3" width="8.6640625" bestFit="1" customWidth="1"/>
    <col min="4" max="4" width="10.6640625" bestFit="1" customWidth="1"/>
    <col min="5" max="5" width="12.33203125" bestFit="1" customWidth="1"/>
  </cols>
  <sheetData>
    <row r="1" spans="1:5" x14ac:dyDescent="0.3">
      <c r="A1" s="63" t="s">
        <v>37</v>
      </c>
      <c r="B1" s="63" t="s">
        <v>38</v>
      </c>
      <c r="C1" s="63" t="s">
        <v>39</v>
      </c>
      <c r="D1" s="63" t="s">
        <v>40</v>
      </c>
      <c r="E1" s="63" t="s">
        <v>43</v>
      </c>
    </row>
    <row r="2" spans="1:5" x14ac:dyDescent="0.3">
      <c r="A2" s="33">
        <v>0.24</v>
      </c>
      <c r="B2" s="33">
        <v>0.28789999999999999</v>
      </c>
      <c r="C2" s="33">
        <v>0.81</v>
      </c>
      <c r="D2" s="33">
        <v>0</v>
      </c>
      <c r="E2" s="33">
        <v>16</v>
      </c>
    </row>
    <row r="3" spans="1:5" x14ac:dyDescent="0.3">
      <c r="A3" s="33">
        <v>0.22</v>
      </c>
      <c r="B3" s="33">
        <v>0.2727</v>
      </c>
      <c r="C3" s="33">
        <v>0.8</v>
      </c>
      <c r="D3" s="33">
        <v>0</v>
      </c>
      <c r="E3" s="33">
        <v>40</v>
      </c>
    </row>
    <row r="4" spans="1:5" x14ac:dyDescent="0.3">
      <c r="A4" s="33">
        <v>0.22</v>
      </c>
      <c r="B4" s="33">
        <v>0.2727</v>
      </c>
      <c r="C4" s="33">
        <v>0.8</v>
      </c>
      <c r="D4" s="33">
        <v>0</v>
      </c>
      <c r="E4" s="33">
        <v>32</v>
      </c>
    </row>
    <row r="5" spans="1:5" x14ac:dyDescent="0.3">
      <c r="A5" s="33">
        <v>0.24</v>
      </c>
      <c r="B5" s="33">
        <v>0.28789999999999999</v>
      </c>
      <c r="C5" s="33">
        <v>0.75</v>
      </c>
      <c r="D5" s="33">
        <v>0</v>
      </c>
      <c r="E5" s="33">
        <v>13</v>
      </c>
    </row>
    <row r="6" spans="1:5" x14ac:dyDescent="0.3">
      <c r="A6" s="33">
        <v>0.24</v>
      </c>
      <c r="B6" s="33">
        <v>0.28789999999999999</v>
      </c>
      <c r="C6" s="33">
        <v>0.75</v>
      </c>
      <c r="D6" s="33">
        <v>0</v>
      </c>
      <c r="E6" s="33">
        <v>1</v>
      </c>
    </row>
    <row r="7" spans="1:5" x14ac:dyDescent="0.3">
      <c r="A7" s="33">
        <v>0.24</v>
      </c>
      <c r="B7" s="33">
        <v>0.2576</v>
      </c>
      <c r="C7" s="33">
        <v>0.75</v>
      </c>
      <c r="D7" s="33">
        <v>8.9599999999999999E-2</v>
      </c>
      <c r="E7" s="33">
        <v>1</v>
      </c>
    </row>
    <row r="8" spans="1:5" x14ac:dyDescent="0.3">
      <c r="A8" s="33">
        <v>0.22</v>
      </c>
      <c r="B8" s="33">
        <v>0.2727</v>
      </c>
      <c r="C8" s="33">
        <v>0.8</v>
      </c>
      <c r="D8" s="33">
        <v>0</v>
      </c>
      <c r="E8" s="33">
        <v>2</v>
      </c>
    </row>
    <row r="9" spans="1:5" x14ac:dyDescent="0.3">
      <c r="A9" s="33">
        <v>0.2</v>
      </c>
      <c r="B9" s="33">
        <v>0.2576</v>
      </c>
      <c r="C9" s="33">
        <v>0.86</v>
      </c>
      <c r="D9" s="33">
        <v>0</v>
      </c>
      <c r="E9" s="33">
        <v>3</v>
      </c>
    </row>
    <row r="10" spans="1:5" x14ac:dyDescent="0.3">
      <c r="A10" s="33">
        <v>0.24</v>
      </c>
      <c r="B10" s="33">
        <v>0.19989999999999999</v>
      </c>
      <c r="C10" s="33">
        <v>0.75</v>
      </c>
      <c r="D10" s="33">
        <v>0</v>
      </c>
      <c r="E10" s="33">
        <v>8</v>
      </c>
    </row>
    <row r="11" spans="1:5" x14ac:dyDescent="0.3">
      <c r="A11" s="33">
        <v>0.32</v>
      </c>
      <c r="B11" s="33">
        <v>0.34849999999999998</v>
      </c>
      <c r="C11" s="33">
        <v>0.76</v>
      </c>
      <c r="D11" s="33">
        <v>0</v>
      </c>
      <c r="E11" s="33">
        <v>14</v>
      </c>
    </row>
    <row r="12" spans="1:5" x14ac:dyDescent="0.3">
      <c r="A12" s="33">
        <v>0.38</v>
      </c>
      <c r="B12" s="33">
        <v>0.39389999999999997</v>
      </c>
      <c r="C12" s="33">
        <v>0.76</v>
      </c>
      <c r="D12" s="33">
        <v>0.25369999999999998</v>
      </c>
      <c r="E12" s="33">
        <v>36</v>
      </c>
    </row>
    <row r="13" spans="1:5" x14ac:dyDescent="0.3">
      <c r="A13" s="33">
        <v>0.36</v>
      </c>
      <c r="B13" s="33">
        <v>0.33329999999999999</v>
      </c>
      <c r="C13" s="33">
        <v>0.81</v>
      </c>
      <c r="D13" s="33">
        <v>0.28360000000000002</v>
      </c>
      <c r="E13" s="33">
        <v>56</v>
      </c>
    </row>
    <row r="14" spans="1:5" x14ac:dyDescent="0.3">
      <c r="A14" s="33">
        <v>0.42</v>
      </c>
      <c r="B14" s="33">
        <v>0.42420000000000002</v>
      </c>
      <c r="C14" s="33">
        <v>0.77</v>
      </c>
      <c r="D14" s="33">
        <v>0.28360000000000002</v>
      </c>
      <c r="E14" s="33">
        <v>84</v>
      </c>
    </row>
    <row r="15" spans="1:5" x14ac:dyDescent="0.3">
      <c r="A15" s="33">
        <v>0.46</v>
      </c>
      <c r="B15" s="33">
        <v>0.45450000000000002</v>
      </c>
      <c r="C15" s="33">
        <v>0.72</v>
      </c>
      <c r="D15" s="33">
        <v>0.29849999999999999</v>
      </c>
      <c r="E15" s="33">
        <v>94</v>
      </c>
    </row>
    <row r="16" spans="1:5" x14ac:dyDescent="0.3">
      <c r="A16" s="33">
        <v>0.46</v>
      </c>
      <c r="B16" s="33">
        <v>0.45450000000000002</v>
      </c>
      <c r="C16" s="33">
        <v>0.72</v>
      </c>
      <c r="D16" s="33">
        <v>0.28360000000000002</v>
      </c>
      <c r="E16" s="33">
        <v>106</v>
      </c>
    </row>
    <row r="17" spans="1:5" x14ac:dyDescent="0.3">
      <c r="A17" s="33">
        <v>0.44</v>
      </c>
      <c r="B17" s="33">
        <v>0.43940000000000001</v>
      </c>
      <c r="C17" s="33">
        <v>0.77</v>
      </c>
      <c r="D17" s="33">
        <v>0.29849999999999999</v>
      </c>
      <c r="E17" s="33">
        <v>110</v>
      </c>
    </row>
    <row r="18" spans="1:5" x14ac:dyDescent="0.3">
      <c r="A18" s="33">
        <v>0.42</v>
      </c>
      <c r="B18" s="33">
        <v>0.42420000000000002</v>
      </c>
      <c r="C18" s="33">
        <v>0.82</v>
      </c>
      <c r="D18" s="33">
        <v>0.29849999999999999</v>
      </c>
      <c r="E18" s="33">
        <v>93</v>
      </c>
    </row>
    <row r="19" spans="1:5" x14ac:dyDescent="0.3">
      <c r="A19" s="33">
        <v>0.44</v>
      </c>
      <c r="B19" s="33">
        <v>0.19989999999999999</v>
      </c>
      <c r="C19" s="33">
        <v>0.82</v>
      </c>
      <c r="D19" s="33">
        <v>0.28360000000000002</v>
      </c>
      <c r="E19" s="33">
        <v>67</v>
      </c>
    </row>
    <row r="20" spans="1:5" x14ac:dyDescent="0.3">
      <c r="A20" s="33">
        <v>0.42</v>
      </c>
      <c r="B20" s="33">
        <v>0.42420000000000002</v>
      </c>
      <c r="C20" s="33">
        <v>0.88</v>
      </c>
      <c r="D20" s="33">
        <v>0.25369999999999998</v>
      </c>
      <c r="E20" s="33">
        <v>35</v>
      </c>
    </row>
    <row r="21" spans="1:5" x14ac:dyDescent="0.3">
      <c r="A21" s="33">
        <v>0.42</v>
      </c>
      <c r="B21" s="33">
        <v>0.42420000000000002</v>
      </c>
      <c r="C21" s="33">
        <v>0.88</v>
      </c>
      <c r="D21" s="33">
        <v>0.25369999999999998</v>
      </c>
      <c r="E21" s="33">
        <v>37</v>
      </c>
    </row>
    <row r="22" spans="1:5" x14ac:dyDescent="0.3">
      <c r="A22" s="33">
        <v>0.4</v>
      </c>
      <c r="B22" s="33">
        <v>0.40910000000000002</v>
      </c>
      <c r="C22" s="33">
        <v>0.87</v>
      </c>
      <c r="D22" s="33">
        <v>0.25369999999999998</v>
      </c>
      <c r="E22" s="33">
        <v>36</v>
      </c>
    </row>
    <row r="23" spans="1:5" x14ac:dyDescent="0.3">
      <c r="A23" s="33">
        <v>0.4</v>
      </c>
      <c r="B23" s="33">
        <v>0.40910000000000002</v>
      </c>
      <c r="C23" s="33">
        <v>0.87</v>
      </c>
      <c r="D23" s="33">
        <v>0.19400000000000001</v>
      </c>
      <c r="E23" s="33">
        <v>34</v>
      </c>
    </row>
    <row r="24" spans="1:5" x14ac:dyDescent="0.3">
      <c r="A24" s="33">
        <v>0.4</v>
      </c>
      <c r="B24" s="33">
        <v>0.40910000000000002</v>
      </c>
      <c r="C24" s="33">
        <v>0.94</v>
      </c>
      <c r="D24" s="33">
        <v>0.22389999999999999</v>
      </c>
      <c r="E24" s="33">
        <v>28</v>
      </c>
    </row>
    <row r="25" spans="1:5" x14ac:dyDescent="0.3">
      <c r="A25" s="33">
        <v>0.46</v>
      </c>
      <c r="B25" s="33">
        <v>0.19989999999999999</v>
      </c>
      <c r="C25" s="33">
        <v>0.88</v>
      </c>
      <c r="D25" s="33">
        <v>0.29849999999999999</v>
      </c>
      <c r="E25" s="33">
        <v>39</v>
      </c>
    </row>
    <row r="26" spans="1:5" x14ac:dyDescent="0.3">
      <c r="A26" s="33">
        <v>0.46</v>
      </c>
      <c r="B26" s="33">
        <v>0.45450000000000002</v>
      </c>
      <c r="C26" s="33">
        <v>0.88</v>
      </c>
      <c r="D26" s="33">
        <v>0.29849999999999999</v>
      </c>
      <c r="E26" s="33">
        <v>17</v>
      </c>
    </row>
    <row r="27" spans="1:5" x14ac:dyDescent="0.3">
      <c r="A27" s="33">
        <v>0.44</v>
      </c>
      <c r="B27" s="33">
        <v>0.43940000000000001</v>
      </c>
      <c r="C27" s="33">
        <v>0.94</v>
      </c>
      <c r="D27" s="33">
        <v>0.25369999999999998</v>
      </c>
      <c r="E27" s="33">
        <v>17</v>
      </c>
    </row>
    <row r="28" spans="1:5" x14ac:dyDescent="0.3">
      <c r="A28" s="33">
        <v>0.42</v>
      </c>
      <c r="B28" s="33">
        <v>0.42420000000000002</v>
      </c>
      <c r="C28" s="33">
        <v>1</v>
      </c>
      <c r="D28" s="33">
        <v>0.28360000000000002</v>
      </c>
      <c r="E28" s="33">
        <v>9</v>
      </c>
    </row>
    <row r="29" spans="1:5" x14ac:dyDescent="0.3">
      <c r="A29" s="33">
        <v>0.46</v>
      </c>
      <c r="B29" s="33">
        <v>0.45450000000000002</v>
      </c>
      <c r="C29" s="33">
        <v>0.94</v>
      </c>
      <c r="D29" s="33">
        <v>0.19400000000000001</v>
      </c>
      <c r="E29" s="33">
        <v>6</v>
      </c>
    </row>
    <row r="30" spans="1:5" x14ac:dyDescent="0.3">
      <c r="A30" s="33">
        <v>0.46</v>
      </c>
      <c r="B30" s="33">
        <v>0.19989999999999999</v>
      </c>
      <c r="C30" s="33">
        <v>0.94</v>
      </c>
      <c r="D30" s="33">
        <v>0.19400000000000001</v>
      </c>
      <c r="E30" s="33">
        <v>3</v>
      </c>
    </row>
    <row r="31" spans="1:5" x14ac:dyDescent="0.3">
      <c r="A31" s="33">
        <v>0.42</v>
      </c>
      <c r="B31" s="33">
        <v>0.42420000000000002</v>
      </c>
      <c r="C31" s="33">
        <v>0.77</v>
      </c>
      <c r="D31" s="33">
        <v>0.29849999999999999</v>
      </c>
      <c r="E31" s="33">
        <v>2</v>
      </c>
    </row>
    <row r="32" spans="1:5" x14ac:dyDescent="0.3">
      <c r="A32" s="33">
        <v>0.4</v>
      </c>
      <c r="B32" s="33">
        <v>0.40910000000000002</v>
      </c>
      <c r="C32" s="33">
        <v>0.76</v>
      </c>
      <c r="D32" s="33">
        <v>0.19400000000000001</v>
      </c>
      <c r="E32" s="33">
        <v>1</v>
      </c>
    </row>
    <row r="33" spans="1:5" x14ac:dyDescent="0.3">
      <c r="A33" s="33">
        <v>0.4</v>
      </c>
      <c r="B33" s="33">
        <v>0.40910000000000002</v>
      </c>
      <c r="C33" s="33">
        <v>0.71</v>
      </c>
      <c r="D33" s="33">
        <v>0.22389999999999999</v>
      </c>
      <c r="E33" s="33">
        <v>8</v>
      </c>
    </row>
    <row r="34" spans="1:5" x14ac:dyDescent="0.3">
      <c r="A34" s="33">
        <v>0.38</v>
      </c>
      <c r="B34" s="33">
        <v>0.19989999999999999</v>
      </c>
      <c r="C34" s="33">
        <v>0.76</v>
      </c>
      <c r="D34" s="33">
        <v>0.22389999999999999</v>
      </c>
      <c r="E34" s="33">
        <v>20</v>
      </c>
    </row>
    <row r="35" spans="1:5" x14ac:dyDescent="0.3">
      <c r="A35" s="33">
        <v>0.36</v>
      </c>
      <c r="B35" s="33">
        <v>0.34849999999999998</v>
      </c>
      <c r="C35" s="33">
        <v>0.81</v>
      </c>
      <c r="D35" s="33">
        <v>0.22389999999999999</v>
      </c>
      <c r="E35" s="33">
        <v>53</v>
      </c>
    </row>
    <row r="36" spans="1:5" x14ac:dyDescent="0.3">
      <c r="A36" s="33">
        <v>0.36</v>
      </c>
      <c r="B36" s="33">
        <v>0.33329999999999999</v>
      </c>
      <c r="C36" s="33">
        <v>0.71</v>
      </c>
      <c r="D36" s="33">
        <v>0.25369999999999998</v>
      </c>
      <c r="E36" s="33">
        <v>70</v>
      </c>
    </row>
    <row r="37" spans="1:5" x14ac:dyDescent="0.3">
      <c r="A37" s="33">
        <v>0.36</v>
      </c>
      <c r="B37" s="33">
        <v>0.33329999999999999</v>
      </c>
      <c r="C37" s="33">
        <v>0.66</v>
      </c>
      <c r="D37" s="33">
        <v>0.29849999999999999</v>
      </c>
      <c r="E37" s="33">
        <v>93</v>
      </c>
    </row>
    <row r="38" spans="1:5" x14ac:dyDescent="0.3">
      <c r="A38" s="33">
        <v>0.36</v>
      </c>
      <c r="B38" s="33">
        <v>0.34849999999999998</v>
      </c>
      <c r="C38" s="33">
        <v>0.66</v>
      </c>
      <c r="D38" s="33">
        <v>0.1343</v>
      </c>
      <c r="E38" s="33">
        <v>75</v>
      </c>
    </row>
    <row r="39" spans="1:5" x14ac:dyDescent="0.3">
      <c r="A39" s="33">
        <v>0.36</v>
      </c>
      <c r="B39" s="33">
        <v>0.19989999999999999</v>
      </c>
      <c r="C39" s="33">
        <v>0.76</v>
      </c>
      <c r="D39" s="33">
        <v>0.19400000000000001</v>
      </c>
      <c r="E39" s="33">
        <v>59</v>
      </c>
    </row>
    <row r="40" spans="1:5" x14ac:dyDescent="0.3">
      <c r="A40" s="33">
        <v>0.34</v>
      </c>
      <c r="B40" s="33">
        <v>0.33329999999999999</v>
      </c>
      <c r="C40" s="33">
        <v>0.81</v>
      </c>
      <c r="D40" s="33">
        <v>0.16420000000000001</v>
      </c>
      <c r="E40" s="33">
        <v>74</v>
      </c>
    </row>
    <row r="41" spans="1:5" x14ac:dyDescent="0.3">
      <c r="A41" s="33">
        <v>0.34</v>
      </c>
      <c r="B41" s="33">
        <v>0.33329999999999999</v>
      </c>
      <c r="C41" s="33">
        <v>0.71</v>
      </c>
      <c r="D41" s="33">
        <v>0.16420000000000001</v>
      </c>
      <c r="E41" s="33">
        <v>76</v>
      </c>
    </row>
    <row r="42" spans="1:5" x14ac:dyDescent="0.3">
      <c r="A42" s="33">
        <v>0.34</v>
      </c>
      <c r="B42" s="33">
        <v>0.33329999999999999</v>
      </c>
      <c r="C42" s="33">
        <v>0.56999999999999995</v>
      </c>
      <c r="D42" s="33">
        <v>0.19400000000000001</v>
      </c>
      <c r="E42" s="33">
        <v>65</v>
      </c>
    </row>
    <row r="43" spans="1:5" x14ac:dyDescent="0.3">
      <c r="A43" s="33">
        <v>0.36</v>
      </c>
      <c r="B43" s="33">
        <v>0.33329999999999999</v>
      </c>
      <c r="C43" s="33">
        <v>0.46</v>
      </c>
      <c r="D43" s="33">
        <v>0.32840000000000003</v>
      </c>
      <c r="E43" s="33">
        <v>53</v>
      </c>
    </row>
    <row r="44" spans="1:5" x14ac:dyDescent="0.3">
      <c r="A44" s="33">
        <v>0.32</v>
      </c>
      <c r="B44" s="33">
        <v>0.28789999999999999</v>
      </c>
      <c r="C44" s="33">
        <v>0.42</v>
      </c>
      <c r="D44" s="33">
        <v>0.44779999999999998</v>
      </c>
      <c r="E44" s="33">
        <v>30</v>
      </c>
    </row>
    <row r="45" spans="1:5" x14ac:dyDescent="0.3">
      <c r="A45" s="33">
        <v>0.3</v>
      </c>
      <c r="B45" s="33">
        <v>0.19989999999999999</v>
      </c>
      <c r="C45" s="33">
        <v>0.39</v>
      </c>
      <c r="D45" s="33">
        <v>0.35820000000000002</v>
      </c>
      <c r="E45" s="33">
        <v>22</v>
      </c>
    </row>
    <row r="46" spans="1:5" x14ac:dyDescent="0.3">
      <c r="A46" s="33">
        <v>0.26</v>
      </c>
      <c r="B46" s="33">
        <v>0.2273</v>
      </c>
      <c r="C46" s="33">
        <v>0.44</v>
      </c>
      <c r="D46" s="33">
        <v>0.32840000000000003</v>
      </c>
      <c r="E46" s="33">
        <v>31</v>
      </c>
    </row>
    <row r="47" spans="1:5" x14ac:dyDescent="0.3">
      <c r="A47" s="33">
        <v>0.24</v>
      </c>
      <c r="B47" s="33">
        <v>0.21210000000000001</v>
      </c>
      <c r="C47" s="33">
        <v>0.44</v>
      </c>
      <c r="D47" s="33">
        <v>0.29849999999999999</v>
      </c>
      <c r="E47" s="33">
        <v>9</v>
      </c>
    </row>
    <row r="48" spans="1:5" x14ac:dyDescent="0.3">
      <c r="A48" s="33">
        <v>0.22</v>
      </c>
      <c r="B48" s="33">
        <v>0.2273</v>
      </c>
      <c r="C48" s="33">
        <v>0.47</v>
      </c>
      <c r="D48" s="33">
        <v>0.16420000000000001</v>
      </c>
      <c r="E48" s="33">
        <v>8</v>
      </c>
    </row>
    <row r="49" spans="1:5" x14ac:dyDescent="0.3">
      <c r="A49" s="33">
        <v>0.22</v>
      </c>
      <c r="B49" s="33">
        <v>0.19700000000000001</v>
      </c>
      <c r="C49" s="33">
        <v>0.44</v>
      </c>
      <c r="D49" s="33">
        <v>0.35820000000000002</v>
      </c>
      <c r="E49" s="33">
        <v>5</v>
      </c>
    </row>
    <row r="50" spans="1:5" x14ac:dyDescent="0.3">
      <c r="A50" s="33">
        <v>0.2</v>
      </c>
      <c r="B50" s="33">
        <v>0.19989999999999999</v>
      </c>
      <c r="C50" s="33">
        <v>0.44</v>
      </c>
      <c r="D50" s="33">
        <v>0.41789999999999999</v>
      </c>
      <c r="E50" s="33">
        <v>2</v>
      </c>
    </row>
    <row r="51" spans="1:5" x14ac:dyDescent="0.3">
      <c r="A51" s="33">
        <v>0.16</v>
      </c>
      <c r="B51" s="33">
        <v>0.13639999999999999</v>
      </c>
      <c r="C51" s="33">
        <v>0.47</v>
      </c>
      <c r="D51" s="33">
        <v>0.3881</v>
      </c>
      <c r="E51" s="33">
        <v>1</v>
      </c>
    </row>
    <row r="52" spans="1:5" x14ac:dyDescent="0.3">
      <c r="A52" s="33">
        <v>0.16</v>
      </c>
      <c r="B52" s="33">
        <v>0.13639999999999999</v>
      </c>
      <c r="C52" s="33">
        <v>0.47</v>
      </c>
      <c r="D52" s="33">
        <v>0.28360000000000002</v>
      </c>
      <c r="E52" s="33">
        <v>3</v>
      </c>
    </row>
    <row r="53" spans="1:5" x14ac:dyDescent="0.3">
      <c r="A53" s="33">
        <v>0.14000000000000001</v>
      </c>
      <c r="B53" s="33">
        <v>0.1061</v>
      </c>
      <c r="C53" s="33">
        <v>0.5</v>
      </c>
      <c r="D53" s="33">
        <v>0.3881</v>
      </c>
      <c r="E53" s="33">
        <v>30</v>
      </c>
    </row>
    <row r="54" spans="1:5" x14ac:dyDescent="0.3">
      <c r="A54" s="33">
        <v>0.14000000000000001</v>
      </c>
      <c r="B54" s="33">
        <v>0.13639999999999999</v>
      </c>
      <c r="C54" s="33">
        <v>0.5</v>
      </c>
      <c r="D54" s="33">
        <v>0.19400000000000001</v>
      </c>
      <c r="E54" s="33">
        <v>64</v>
      </c>
    </row>
    <row r="55" spans="1:5" x14ac:dyDescent="0.3">
      <c r="A55" s="33">
        <v>0.14000000000000001</v>
      </c>
      <c r="B55" s="33">
        <v>0.1212</v>
      </c>
      <c r="C55" s="33">
        <v>0.5</v>
      </c>
      <c r="D55" s="33">
        <v>0.28360000000000002</v>
      </c>
      <c r="E55" s="33">
        <v>154</v>
      </c>
    </row>
    <row r="56" spans="1:5" x14ac:dyDescent="0.3">
      <c r="A56" s="33">
        <v>0.16</v>
      </c>
      <c r="B56" s="33">
        <v>0.13639999999999999</v>
      </c>
      <c r="C56" s="33">
        <v>0.43</v>
      </c>
      <c r="D56" s="33">
        <v>0.3881</v>
      </c>
      <c r="E56" s="33">
        <v>88</v>
      </c>
    </row>
    <row r="57" spans="1:5" x14ac:dyDescent="0.3">
      <c r="A57" s="33">
        <v>0.18</v>
      </c>
      <c r="B57" s="33">
        <v>0.16669999999999999</v>
      </c>
      <c r="C57" s="33">
        <v>0.43</v>
      </c>
      <c r="D57" s="33">
        <v>0.25369999999999998</v>
      </c>
      <c r="E57" s="33">
        <v>44</v>
      </c>
    </row>
    <row r="58" spans="1:5" x14ac:dyDescent="0.3">
      <c r="A58" s="33">
        <v>0.2</v>
      </c>
      <c r="B58" s="33">
        <v>0.18179999999999999</v>
      </c>
      <c r="C58" s="33">
        <v>0.4</v>
      </c>
      <c r="D58" s="33">
        <v>0.32840000000000003</v>
      </c>
      <c r="E58" s="33">
        <v>51</v>
      </c>
    </row>
    <row r="59" spans="1:5" x14ac:dyDescent="0.3">
      <c r="A59" s="33">
        <v>0.22</v>
      </c>
      <c r="B59" s="33">
        <v>0.21210000000000001</v>
      </c>
      <c r="C59" s="33">
        <v>0.35</v>
      </c>
      <c r="D59" s="33">
        <v>0.29849999999999999</v>
      </c>
      <c r="E59" s="33">
        <v>61</v>
      </c>
    </row>
    <row r="60" spans="1:5" x14ac:dyDescent="0.3">
      <c r="A60" s="33">
        <v>0.24</v>
      </c>
      <c r="B60" s="33">
        <v>0.19989999999999999</v>
      </c>
      <c r="C60" s="33">
        <v>0.35</v>
      </c>
      <c r="D60" s="33">
        <v>0.28360000000000002</v>
      </c>
      <c r="E60" s="33">
        <v>61</v>
      </c>
    </row>
    <row r="61" spans="1:5" x14ac:dyDescent="0.3">
      <c r="A61" s="33">
        <v>0.26</v>
      </c>
      <c r="B61" s="33">
        <v>0.2424</v>
      </c>
      <c r="C61" s="33">
        <v>0.3</v>
      </c>
      <c r="D61" s="33">
        <v>0.28360000000000002</v>
      </c>
      <c r="E61" s="33">
        <v>77</v>
      </c>
    </row>
    <row r="62" spans="1:5" x14ac:dyDescent="0.3">
      <c r="A62" s="33">
        <v>0.26</v>
      </c>
      <c r="B62" s="33">
        <v>0.2424</v>
      </c>
      <c r="C62" s="33">
        <v>0.3</v>
      </c>
      <c r="D62" s="33">
        <v>0.25369999999999998</v>
      </c>
      <c r="E62" s="33">
        <v>72</v>
      </c>
    </row>
    <row r="63" spans="1:5" x14ac:dyDescent="0.3">
      <c r="A63" s="33">
        <v>0.26</v>
      </c>
      <c r="B63" s="33">
        <v>0.2424</v>
      </c>
      <c r="C63" s="33">
        <v>0.3</v>
      </c>
      <c r="D63" s="33">
        <v>0.25369999999999998</v>
      </c>
      <c r="E63" s="33">
        <v>76</v>
      </c>
    </row>
    <row r="64" spans="1:5" x14ac:dyDescent="0.3">
      <c r="A64" s="33">
        <v>0.24</v>
      </c>
      <c r="B64" s="33">
        <v>0.2273</v>
      </c>
      <c r="C64" s="33">
        <v>0.3</v>
      </c>
      <c r="D64" s="33">
        <v>0.22389999999999999</v>
      </c>
      <c r="E64" s="33">
        <v>157</v>
      </c>
    </row>
    <row r="65" spans="1:5" x14ac:dyDescent="0.3">
      <c r="A65" s="33">
        <v>0.24</v>
      </c>
      <c r="B65" s="33">
        <v>0.2576</v>
      </c>
      <c r="C65" s="33">
        <v>0.32</v>
      </c>
      <c r="D65" s="33">
        <v>0.1045</v>
      </c>
      <c r="E65" s="33">
        <v>157</v>
      </c>
    </row>
    <row r="66" spans="1:5" x14ac:dyDescent="0.3">
      <c r="A66" s="33">
        <v>0.2</v>
      </c>
      <c r="B66" s="33">
        <v>0.2576</v>
      </c>
      <c r="C66" s="33">
        <v>0.47</v>
      </c>
      <c r="D66" s="33">
        <v>0</v>
      </c>
      <c r="E66" s="33">
        <v>110</v>
      </c>
    </row>
    <row r="67" spans="1:5" x14ac:dyDescent="0.3">
      <c r="A67" s="33">
        <v>0.2</v>
      </c>
      <c r="B67" s="33">
        <v>0.19989999999999999</v>
      </c>
      <c r="C67" s="33">
        <v>0.47</v>
      </c>
      <c r="D67" s="33">
        <v>0.1045</v>
      </c>
      <c r="E67" s="33">
        <v>52</v>
      </c>
    </row>
    <row r="68" spans="1:5" x14ac:dyDescent="0.3">
      <c r="A68" s="33">
        <v>0.18</v>
      </c>
      <c r="B68" s="33">
        <v>0.19700000000000001</v>
      </c>
      <c r="C68" s="33">
        <v>0.64</v>
      </c>
      <c r="D68" s="33">
        <v>0.1343</v>
      </c>
      <c r="E68" s="33">
        <v>52</v>
      </c>
    </row>
    <row r="69" spans="1:5" x14ac:dyDescent="0.3">
      <c r="A69" s="33">
        <v>0.14000000000000001</v>
      </c>
      <c r="B69" s="33">
        <v>0.1515</v>
      </c>
      <c r="C69" s="33">
        <v>0.69</v>
      </c>
      <c r="D69" s="33">
        <v>0.1343</v>
      </c>
      <c r="E69" s="33">
        <v>20</v>
      </c>
    </row>
    <row r="70" spans="1:5" x14ac:dyDescent="0.3">
      <c r="A70" s="33">
        <v>0.18</v>
      </c>
      <c r="B70" s="33">
        <v>0.21210000000000001</v>
      </c>
      <c r="C70" s="33">
        <v>0.55000000000000004</v>
      </c>
      <c r="D70" s="33">
        <v>0.1045</v>
      </c>
      <c r="E70" s="33">
        <v>12</v>
      </c>
    </row>
    <row r="71" spans="1:5" x14ac:dyDescent="0.3">
      <c r="A71" s="33">
        <v>0.16</v>
      </c>
      <c r="B71" s="33">
        <v>0.19989999999999999</v>
      </c>
      <c r="C71" s="33">
        <v>0.55000000000000004</v>
      </c>
      <c r="D71" s="33">
        <v>0.1045</v>
      </c>
      <c r="E71" s="33">
        <v>5</v>
      </c>
    </row>
    <row r="72" spans="1:5" x14ac:dyDescent="0.3">
      <c r="A72" s="33">
        <v>0.16</v>
      </c>
      <c r="B72" s="33">
        <v>0.18179999999999999</v>
      </c>
      <c r="C72" s="33">
        <v>0.59</v>
      </c>
      <c r="D72" s="33">
        <v>0.1045</v>
      </c>
      <c r="E72" s="33">
        <v>2</v>
      </c>
    </row>
    <row r="73" spans="1:5" x14ac:dyDescent="0.3">
      <c r="A73" s="33">
        <v>0.14000000000000001</v>
      </c>
      <c r="B73" s="33">
        <v>0.1515</v>
      </c>
      <c r="C73" s="33">
        <v>0.63</v>
      </c>
      <c r="D73" s="33">
        <v>0.1343</v>
      </c>
      <c r="E73" s="33">
        <v>1</v>
      </c>
    </row>
    <row r="74" spans="1:5" x14ac:dyDescent="0.3">
      <c r="A74" s="33">
        <v>0.14000000000000001</v>
      </c>
      <c r="B74" s="33">
        <v>0.18179999999999999</v>
      </c>
      <c r="C74" s="33">
        <v>0.63</v>
      </c>
      <c r="D74" s="33">
        <v>8.9599999999999999E-2</v>
      </c>
      <c r="E74" s="33">
        <v>2</v>
      </c>
    </row>
    <row r="75" spans="1:5" x14ac:dyDescent="0.3">
      <c r="A75" s="33">
        <v>0.12</v>
      </c>
      <c r="B75" s="33">
        <v>0.1515</v>
      </c>
      <c r="C75" s="33">
        <v>0.68</v>
      </c>
      <c r="D75" s="33">
        <v>0.1045</v>
      </c>
      <c r="E75" s="33">
        <v>4</v>
      </c>
    </row>
    <row r="76" spans="1:5" x14ac:dyDescent="0.3">
      <c r="A76" s="33">
        <v>0.12</v>
      </c>
      <c r="B76" s="33">
        <v>0.1515</v>
      </c>
      <c r="C76" s="33">
        <v>0.74</v>
      </c>
      <c r="D76" s="33">
        <v>0.1045</v>
      </c>
      <c r="E76" s="33">
        <v>36</v>
      </c>
    </row>
    <row r="77" spans="1:5" x14ac:dyDescent="0.3">
      <c r="A77" s="33">
        <v>0.12</v>
      </c>
      <c r="B77" s="33">
        <v>0.1515</v>
      </c>
      <c r="C77" s="33">
        <v>0.74</v>
      </c>
      <c r="D77" s="33">
        <v>0.1343</v>
      </c>
      <c r="E77" s="33">
        <v>94</v>
      </c>
    </row>
    <row r="78" spans="1:5" x14ac:dyDescent="0.3">
      <c r="A78" s="33">
        <v>0.14000000000000001</v>
      </c>
      <c r="B78" s="33">
        <v>0.1515</v>
      </c>
      <c r="C78" s="33">
        <v>0.69</v>
      </c>
      <c r="D78" s="33">
        <v>0.16420000000000001</v>
      </c>
      <c r="E78" s="33">
        <v>179</v>
      </c>
    </row>
    <row r="79" spans="1:5" x14ac:dyDescent="0.3">
      <c r="A79" s="33">
        <v>0.16</v>
      </c>
      <c r="B79" s="33">
        <v>0.1515</v>
      </c>
      <c r="C79" s="33">
        <v>0.64</v>
      </c>
      <c r="D79" s="33">
        <v>0.22389999999999999</v>
      </c>
      <c r="E79" s="33">
        <v>100</v>
      </c>
    </row>
    <row r="80" spans="1:5" x14ac:dyDescent="0.3">
      <c r="A80" s="33">
        <v>0.16</v>
      </c>
      <c r="B80" s="33">
        <v>0.13639999999999999</v>
      </c>
      <c r="C80" s="33">
        <v>0.69</v>
      </c>
      <c r="D80" s="33">
        <v>0.32840000000000003</v>
      </c>
      <c r="E80" s="33">
        <v>42</v>
      </c>
    </row>
    <row r="81" spans="1:5" x14ac:dyDescent="0.3">
      <c r="A81" s="33">
        <v>0.22</v>
      </c>
      <c r="B81" s="33">
        <v>0.21210000000000001</v>
      </c>
      <c r="C81" s="33">
        <v>0.51</v>
      </c>
      <c r="D81" s="33">
        <v>0.29849999999999999</v>
      </c>
      <c r="E81" s="33">
        <v>57</v>
      </c>
    </row>
    <row r="82" spans="1:5" x14ac:dyDescent="0.3">
      <c r="A82" s="33">
        <v>0.22</v>
      </c>
      <c r="B82" s="33">
        <v>0.2273</v>
      </c>
      <c r="C82" s="33">
        <v>0.51</v>
      </c>
      <c r="D82" s="33">
        <v>0.16420000000000001</v>
      </c>
      <c r="E82" s="33">
        <v>78</v>
      </c>
    </row>
    <row r="83" spans="1:5" x14ac:dyDescent="0.3">
      <c r="A83" s="33">
        <v>0.24</v>
      </c>
      <c r="B83" s="33">
        <v>0.2273</v>
      </c>
      <c r="C83" s="33">
        <v>0.56000000000000005</v>
      </c>
      <c r="D83" s="33">
        <v>0.19400000000000001</v>
      </c>
      <c r="E83" s="33">
        <v>97</v>
      </c>
    </row>
    <row r="84" spans="1:5" x14ac:dyDescent="0.3">
      <c r="A84" s="33">
        <v>0.26</v>
      </c>
      <c r="B84" s="33">
        <v>0.2576</v>
      </c>
      <c r="C84" s="33">
        <v>0.52</v>
      </c>
      <c r="D84" s="33">
        <v>0.22389999999999999</v>
      </c>
      <c r="E84" s="33">
        <v>63</v>
      </c>
    </row>
    <row r="85" spans="1:5" x14ac:dyDescent="0.3">
      <c r="A85" s="33">
        <v>0.28000000000000003</v>
      </c>
      <c r="B85" s="33">
        <v>0.2727</v>
      </c>
      <c r="C85" s="33">
        <v>0.52</v>
      </c>
      <c r="D85" s="33">
        <v>0.25369999999999998</v>
      </c>
      <c r="E85" s="33">
        <v>65</v>
      </c>
    </row>
    <row r="86" spans="1:5" x14ac:dyDescent="0.3">
      <c r="A86" s="33">
        <v>0.3</v>
      </c>
      <c r="B86" s="33">
        <v>0.28789999999999999</v>
      </c>
      <c r="C86" s="33">
        <v>0.49</v>
      </c>
      <c r="D86" s="33">
        <v>0.25369999999999998</v>
      </c>
      <c r="E86" s="33">
        <v>83</v>
      </c>
    </row>
    <row r="87" spans="1:5" x14ac:dyDescent="0.3">
      <c r="A87" s="33">
        <v>0.28000000000000003</v>
      </c>
      <c r="B87" s="33">
        <v>0.2727</v>
      </c>
      <c r="C87" s="33">
        <v>0.48</v>
      </c>
      <c r="D87" s="33">
        <v>0.22389999999999999</v>
      </c>
      <c r="E87" s="33">
        <v>212</v>
      </c>
    </row>
    <row r="88" spans="1:5" x14ac:dyDescent="0.3">
      <c r="A88" s="33">
        <v>0.26</v>
      </c>
      <c r="B88" s="33">
        <v>0.2576</v>
      </c>
      <c r="C88" s="33">
        <v>0.48</v>
      </c>
      <c r="D88" s="33">
        <v>0.19400000000000001</v>
      </c>
      <c r="E88" s="33">
        <v>182</v>
      </c>
    </row>
    <row r="89" spans="1:5" x14ac:dyDescent="0.3">
      <c r="A89" s="33">
        <v>0.24</v>
      </c>
      <c r="B89" s="33">
        <v>0.2576</v>
      </c>
      <c r="C89" s="33">
        <v>0.48</v>
      </c>
      <c r="D89" s="33">
        <v>0.1045</v>
      </c>
      <c r="E89" s="33">
        <v>112</v>
      </c>
    </row>
    <row r="90" spans="1:5" x14ac:dyDescent="0.3">
      <c r="A90" s="33">
        <v>0.24</v>
      </c>
      <c r="B90" s="33">
        <v>0.2576</v>
      </c>
      <c r="C90" s="33">
        <v>0.48</v>
      </c>
      <c r="D90" s="33">
        <v>0.1045</v>
      </c>
      <c r="E90" s="33">
        <v>54</v>
      </c>
    </row>
    <row r="91" spans="1:5" x14ac:dyDescent="0.3">
      <c r="A91" s="33">
        <v>0.22</v>
      </c>
      <c r="B91" s="33">
        <v>0.2727</v>
      </c>
      <c r="C91" s="33">
        <v>0.64</v>
      </c>
      <c r="D91" s="33">
        <v>0</v>
      </c>
      <c r="E91" s="33">
        <v>48</v>
      </c>
    </row>
    <row r="92" spans="1:5" x14ac:dyDescent="0.3">
      <c r="A92" s="33">
        <v>0.22</v>
      </c>
      <c r="B92" s="33">
        <v>0.2576</v>
      </c>
      <c r="C92" s="33">
        <v>0.64</v>
      </c>
      <c r="D92" s="33">
        <v>8.9599999999999999E-2</v>
      </c>
      <c r="E92" s="33">
        <v>35</v>
      </c>
    </row>
    <row r="93" spans="1:5" x14ac:dyDescent="0.3">
      <c r="A93" s="33">
        <v>0.2</v>
      </c>
      <c r="B93" s="33">
        <v>0.2273</v>
      </c>
      <c r="C93" s="33">
        <v>0.69</v>
      </c>
      <c r="D93" s="33">
        <v>8.9599999999999999E-2</v>
      </c>
      <c r="E93" s="33">
        <v>11</v>
      </c>
    </row>
    <row r="94" spans="1:5" x14ac:dyDescent="0.3">
      <c r="A94" s="33">
        <v>0.2</v>
      </c>
      <c r="B94" s="33">
        <v>0.2576</v>
      </c>
      <c r="C94" s="33">
        <v>0.64</v>
      </c>
      <c r="D94" s="33">
        <v>0</v>
      </c>
      <c r="E94" s="33">
        <v>6</v>
      </c>
    </row>
    <row r="95" spans="1:5" x14ac:dyDescent="0.3">
      <c r="A95" s="33">
        <v>0.16</v>
      </c>
      <c r="B95" s="33">
        <v>0.19700000000000001</v>
      </c>
      <c r="C95" s="33">
        <v>0.74</v>
      </c>
      <c r="D95" s="33">
        <v>8.9599999999999999E-2</v>
      </c>
      <c r="E95" s="33">
        <v>6</v>
      </c>
    </row>
    <row r="96" spans="1:5" x14ac:dyDescent="0.3">
      <c r="A96" s="33">
        <v>0.16</v>
      </c>
      <c r="B96" s="33">
        <v>0.19700000000000001</v>
      </c>
      <c r="C96" s="33">
        <v>0.74</v>
      </c>
      <c r="D96" s="33">
        <v>8.9599999999999999E-2</v>
      </c>
      <c r="E96" s="33">
        <v>2</v>
      </c>
    </row>
    <row r="97" spans="1:5" x14ac:dyDescent="0.3">
      <c r="A97" s="33">
        <v>0.24</v>
      </c>
      <c r="B97" s="33">
        <v>0.2273</v>
      </c>
      <c r="C97" s="33">
        <v>0.48</v>
      </c>
      <c r="D97" s="33">
        <v>0.22389999999999999</v>
      </c>
      <c r="E97" s="33">
        <v>2</v>
      </c>
    </row>
    <row r="98" spans="1:5" x14ac:dyDescent="0.3">
      <c r="A98" s="33">
        <v>0.22</v>
      </c>
      <c r="B98" s="33">
        <v>0.2273</v>
      </c>
      <c r="C98" s="33">
        <v>0.47</v>
      </c>
      <c r="D98" s="33">
        <v>0.16420000000000001</v>
      </c>
      <c r="E98" s="33">
        <v>3</v>
      </c>
    </row>
    <row r="99" spans="1:5" x14ac:dyDescent="0.3">
      <c r="A99" s="33">
        <v>0.2</v>
      </c>
      <c r="B99" s="33">
        <v>0.19700000000000001</v>
      </c>
      <c r="C99" s="33">
        <v>0.47</v>
      </c>
      <c r="D99" s="33">
        <v>0.22389999999999999</v>
      </c>
      <c r="E99" s="33">
        <v>33</v>
      </c>
    </row>
    <row r="100" spans="1:5" x14ac:dyDescent="0.3">
      <c r="A100" s="33">
        <v>0.18</v>
      </c>
      <c r="B100" s="33">
        <v>0.18179999999999999</v>
      </c>
      <c r="C100" s="33">
        <v>0.43</v>
      </c>
      <c r="D100" s="33">
        <v>0.19400000000000001</v>
      </c>
      <c r="E100" s="33">
        <v>88</v>
      </c>
    </row>
    <row r="101" spans="1:5" x14ac:dyDescent="0.3">
      <c r="A101" s="33">
        <v>0.2</v>
      </c>
      <c r="B101" s="33">
        <v>0.18179999999999999</v>
      </c>
      <c r="C101" s="33">
        <v>0.4</v>
      </c>
      <c r="D101" s="33">
        <v>0.29849999999999999</v>
      </c>
      <c r="E101" s="33">
        <v>195</v>
      </c>
    </row>
    <row r="102" spans="1:5" x14ac:dyDescent="0.3">
      <c r="A102" s="33">
        <v>0.22</v>
      </c>
      <c r="B102" s="33">
        <v>0.19700000000000001</v>
      </c>
      <c r="C102" s="33">
        <v>0.37</v>
      </c>
      <c r="D102" s="33">
        <v>0.32840000000000003</v>
      </c>
      <c r="E102" s="33">
        <v>115</v>
      </c>
    </row>
    <row r="103" spans="1:5" x14ac:dyDescent="0.3">
      <c r="A103" s="33">
        <v>0.22</v>
      </c>
      <c r="B103" s="33">
        <v>0.19700000000000001</v>
      </c>
      <c r="C103" s="33">
        <v>0.37</v>
      </c>
      <c r="D103" s="33">
        <v>0.32840000000000003</v>
      </c>
      <c r="E103" s="33">
        <v>57</v>
      </c>
    </row>
    <row r="104" spans="1:5" x14ac:dyDescent="0.3">
      <c r="A104" s="33">
        <v>0.26</v>
      </c>
      <c r="B104" s="33">
        <v>0.2273</v>
      </c>
      <c r="C104" s="33">
        <v>0.33</v>
      </c>
      <c r="D104" s="33">
        <v>0.32840000000000003</v>
      </c>
      <c r="E104" s="33">
        <v>46</v>
      </c>
    </row>
    <row r="105" spans="1:5" x14ac:dyDescent="0.3">
      <c r="A105" s="33">
        <v>0.26</v>
      </c>
      <c r="B105" s="33">
        <v>0.2273</v>
      </c>
      <c r="C105" s="33">
        <v>0.33</v>
      </c>
      <c r="D105" s="33">
        <v>0.32840000000000003</v>
      </c>
      <c r="E105" s="33">
        <v>79</v>
      </c>
    </row>
    <row r="106" spans="1:5" x14ac:dyDescent="0.3">
      <c r="A106" s="33">
        <v>0.28000000000000003</v>
      </c>
      <c r="B106" s="33">
        <v>0.2576</v>
      </c>
      <c r="C106" s="33">
        <v>0.3</v>
      </c>
      <c r="D106" s="33">
        <v>0.29849999999999999</v>
      </c>
      <c r="E106" s="33">
        <v>71</v>
      </c>
    </row>
    <row r="107" spans="1:5" x14ac:dyDescent="0.3">
      <c r="A107" s="33">
        <v>0.3</v>
      </c>
      <c r="B107" s="33">
        <v>0.28789999999999999</v>
      </c>
      <c r="C107" s="33">
        <v>0.28000000000000003</v>
      </c>
      <c r="D107" s="33">
        <v>0.19400000000000001</v>
      </c>
      <c r="E107" s="33">
        <v>62</v>
      </c>
    </row>
    <row r="108" spans="1:5" x14ac:dyDescent="0.3">
      <c r="A108" s="33">
        <v>0.3</v>
      </c>
      <c r="B108" s="33">
        <v>0.28789999999999999</v>
      </c>
      <c r="C108" s="33">
        <v>0.28000000000000003</v>
      </c>
      <c r="D108" s="33">
        <v>0.19400000000000001</v>
      </c>
      <c r="E108" s="33">
        <v>62</v>
      </c>
    </row>
    <row r="109" spans="1:5" x14ac:dyDescent="0.3">
      <c r="A109" s="33">
        <v>0.3</v>
      </c>
      <c r="B109" s="33">
        <v>0.31819999999999998</v>
      </c>
      <c r="C109" s="33">
        <v>0.28000000000000003</v>
      </c>
      <c r="D109" s="33">
        <v>8.9599999999999999E-2</v>
      </c>
      <c r="E109" s="33">
        <v>89</v>
      </c>
    </row>
    <row r="110" spans="1:5" x14ac:dyDescent="0.3">
      <c r="A110" s="33">
        <v>0.24</v>
      </c>
      <c r="B110" s="33">
        <v>0.2273</v>
      </c>
      <c r="C110" s="33">
        <v>0.38</v>
      </c>
      <c r="D110" s="33">
        <v>0.19400000000000001</v>
      </c>
      <c r="E110" s="33">
        <v>190</v>
      </c>
    </row>
    <row r="111" spans="1:5" x14ac:dyDescent="0.3">
      <c r="A111" s="33">
        <v>0.24</v>
      </c>
      <c r="B111" s="33">
        <v>0.2424</v>
      </c>
      <c r="C111" s="33">
        <v>0.38</v>
      </c>
      <c r="D111" s="33">
        <v>0.1343</v>
      </c>
      <c r="E111" s="33">
        <v>169</v>
      </c>
    </row>
    <row r="112" spans="1:5" x14ac:dyDescent="0.3">
      <c r="A112" s="33">
        <v>0.24</v>
      </c>
      <c r="B112" s="33">
        <v>0.2576</v>
      </c>
      <c r="C112" s="33">
        <v>0.38</v>
      </c>
      <c r="D112" s="33">
        <v>0.1045</v>
      </c>
      <c r="E112" s="33">
        <v>132</v>
      </c>
    </row>
    <row r="113" spans="1:5" x14ac:dyDescent="0.3">
      <c r="A113" s="33">
        <v>0.22</v>
      </c>
      <c r="B113" s="33">
        <v>0.2273</v>
      </c>
      <c r="C113" s="33">
        <v>0.47</v>
      </c>
      <c r="D113" s="33">
        <v>0.16420000000000001</v>
      </c>
      <c r="E113" s="33">
        <v>89</v>
      </c>
    </row>
    <row r="114" spans="1:5" x14ac:dyDescent="0.3">
      <c r="A114" s="33">
        <v>0.2</v>
      </c>
      <c r="B114" s="33">
        <v>0.19700000000000001</v>
      </c>
      <c r="C114" s="33">
        <v>0.51</v>
      </c>
      <c r="D114" s="33">
        <v>0.19400000000000001</v>
      </c>
      <c r="E114" s="33">
        <v>43</v>
      </c>
    </row>
    <row r="115" spans="1:5" x14ac:dyDescent="0.3">
      <c r="A115" s="33">
        <v>0.18</v>
      </c>
      <c r="B115" s="33">
        <v>0.19700000000000001</v>
      </c>
      <c r="C115" s="33">
        <v>0.55000000000000004</v>
      </c>
      <c r="D115" s="33">
        <v>0.1343</v>
      </c>
      <c r="E115" s="33">
        <v>42</v>
      </c>
    </row>
    <row r="116" spans="1:5" x14ac:dyDescent="0.3">
      <c r="A116" s="33">
        <v>0.2</v>
      </c>
      <c r="B116" s="33">
        <v>0.2576</v>
      </c>
      <c r="C116" s="33">
        <v>0.47</v>
      </c>
      <c r="D116" s="33">
        <v>0</v>
      </c>
      <c r="E116" s="33">
        <v>19</v>
      </c>
    </row>
    <row r="117" spans="1:5" x14ac:dyDescent="0.3">
      <c r="A117" s="33">
        <v>0.18</v>
      </c>
      <c r="B117" s="33">
        <v>0.2424</v>
      </c>
      <c r="C117" s="33">
        <v>0.55000000000000004</v>
      </c>
      <c r="D117" s="33">
        <v>0</v>
      </c>
      <c r="E117" s="33">
        <v>11</v>
      </c>
    </row>
    <row r="118" spans="1:5" x14ac:dyDescent="0.3">
      <c r="A118" s="33">
        <v>0.16</v>
      </c>
      <c r="B118" s="33">
        <v>0.2273</v>
      </c>
      <c r="C118" s="33">
        <v>0.64</v>
      </c>
      <c r="D118" s="33">
        <v>0</v>
      </c>
      <c r="E118" s="33">
        <v>4</v>
      </c>
    </row>
    <row r="119" spans="1:5" x14ac:dyDescent="0.3">
      <c r="A119" s="33">
        <v>0.16</v>
      </c>
      <c r="B119" s="33">
        <v>0.2273</v>
      </c>
      <c r="C119" s="33">
        <v>0.64</v>
      </c>
      <c r="D119" s="33">
        <v>0</v>
      </c>
      <c r="E119" s="33">
        <v>2</v>
      </c>
    </row>
    <row r="120" spans="1:5" x14ac:dyDescent="0.3">
      <c r="A120" s="33">
        <v>0.16</v>
      </c>
      <c r="B120" s="33">
        <v>0.19700000000000001</v>
      </c>
      <c r="C120" s="33">
        <v>0.64</v>
      </c>
      <c r="D120" s="33">
        <v>8.9599999999999999E-2</v>
      </c>
      <c r="E120" s="33">
        <v>1</v>
      </c>
    </row>
    <row r="121" spans="1:5" x14ac:dyDescent="0.3">
      <c r="A121" s="33">
        <v>0.14000000000000001</v>
      </c>
      <c r="B121" s="33">
        <v>0.18179999999999999</v>
      </c>
      <c r="C121" s="33">
        <v>0.69</v>
      </c>
      <c r="D121" s="33">
        <v>8.9599999999999999E-2</v>
      </c>
      <c r="E121" s="33">
        <v>4</v>
      </c>
    </row>
    <row r="122" spans="1:5" x14ac:dyDescent="0.3">
      <c r="A122" s="33">
        <v>0.14000000000000001</v>
      </c>
      <c r="B122" s="33">
        <v>0.16669999999999999</v>
      </c>
      <c r="C122" s="33">
        <v>0.63</v>
      </c>
      <c r="D122" s="33">
        <v>0.1045</v>
      </c>
      <c r="E122" s="33">
        <v>36</v>
      </c>
    </row>
    <row r="123" spans="1:5" x14ac:dyDescent="0.3">
      <c r="A123" s="33">
        <v>0.16</v>
      </c>
      <c r="B123" s="33">
        <v>0.2273</v>
      </c>
      <c r="C123" s="33">
        <v>0.59</v>
      </c>
      <c r="D123" s="33">
        <v>0</v>
      </c>
      <c r="E123" s="33">
        <v>95</v>
      </c>
    </row>
    <row r="124" spans="1:5" x14ac:dyDescent="0.3">
      <c r="A124" s="33">
        <v>0.16</v>
      </c>
      <c r="B124" s="33">
        <v>0.2273</v>
      </c>
      <c r="C124" s="33">
        <v>0.59</v>
      </c>
      <c r="D124" s="33">
        <v>0</v>
      </c>
      <c r="E124" s="33">
        <v>219</v>
      </c>
    </row>
    <row r="125" spans="1:5" x14ac:dyDescent="0.3">
      <c r="A125" s="33">
        <v>0.18</v>
      </c>
      <c r="B125" s="33">
        <v>0.2424</v>
      </c>
      <c r="C125" s="33">
        <v>0.51</v>
      </c>
      <c r="D125" s="33">
        <v>0</v>
      </c>
      <c r="E125" s="33">
        <v>122</v>
      </c>
    </row>
    <row r="126" spans="1:5" x14ac:dyDescent="0.3">
      <c r="A126" s="33">
        <v>0.2</v>
      </c>
      <c r="B126" s="33">
        <v>0.2576</v>
      </c>
      <c r="C126" s="33">
        <v>0.47</v>
      </c>
      <c r="D126" s="33">
        <v>0</v>
      </c>
      <c r="E126" s="33">
        <v>45</v>
      </c>
    </row>
    <row r="127" spans="1:5" x14ac:dyDescent="0.3">
      <c r="A127" s="33">
        <v>0.22</v>
      </c>
      <c r="B127" s="33">
        <v>0.2576</v>
      </c>
      <c r="C127" s="33">
        <v>0.44</v>
      </c>
      <c r="D127" s="33">
        <v>8.9599999999999999E-2</v>
      </c>
      <c r="E127" s="33">
        <v>59</v>
      </c>
    </row>
    <row r="128" spans="1:5" x14ac:dyDescent="0.3">
      <c r="A128" s="33">
        <v>0.26</v>
      </c>
      <c r="B128" s="33">
        <v>0.28789999999999999</v>
      </c>
      <c r="C128" s="33">
        <v>0.35</v>
      </c>
      <c r="D128" s="33">
        <v>0</v>
      </c>
      <c r="E128" s="33">
        <v>84</v>
      </c>
    </row>
    <row r="129" spans="1:5" x14ac:dyDescent="0.3">
      <c r="A129" s="33">
        <v>0.26</v>
      </c>
      <c r="B129" s="33">
        <v>0.2727</v>
      </c>
      <c r="C129" s="33">
        <v>0.35</v>
      </c>
      <c r="D129" s="33">
        <v>0.1045</v>
      </c>
      <c r="E129" s="33">
        <v>67</v>
      </c>
    </row>
    <row r="130" spans="1:5" x14ac:dyDescent="0.3">
      <c r="A130" s="33">
        <v>0.28000000000000003</v>
      </c>
      <c r="B130" s="33">
        <v>0.2727</v>
      </c>
      <c r="C130" s="33">
        <v>0.36</v>
      </c>
      <c r="D130" s="33">
        <v>0.16420000000000001</v>
      </c>
      <c r="E130" s="33">
        <v>70</v>
      </c>
    </row>
    <row r="131" spans="1:5" x14ac:dyDescent="0.3">
      <c r="A131" s="33">
        <v>0.28000000000000003</v>
      </c>
      <c r="B131" s="33">
        <v>0.2727</v>
      </c>
      <c r="C131" s="33">
        <v>0.36</v>
      </c>
      <c r="D131" s="33">
        <v>0</v>
      </c>
      <c r="E131" s="33">
        <v>62</v>
      </c>
    </row>
    <row r="132" spans="1:5" x14ac:dyDescent="0.3">
      <c r="A132" s="33">
        <v>0.26</v>
      </c>
      <c r="B132" s="33">
        <v>0.2576</v>
      </c>
      <c r="C132" s="33">
        <v>0.38</v>
      </c>
      <c r="D132" s="33">
        <v>0.16420000000000001</v>
      </c>
      <c r="E132" s="33">
        <v>86</v>
      </c>
    </row>
    <row r="133" spans="1:5" x14ac:dyDescent="0.3">
      <c r="A133" s="33">
        <v>0.22</v>
      </c>
      <c r="B133" s="33">
        <v>0.2273</v>
      </c>
      <c r="C133" s="33">
        <v>0.51</v>
      </c>
      <c r="D133" s="33">
        <v>0.16420000000000001</v>
      </c>
      <c r="E133" s="33">
        <v>172</v>
      </c>
    </row>
    <row r="134" spans="1:5" x14ac:dyDescent="0.3">
      <c r="A134" s="33">
        <v>0.22</v>
      </c>
      <c r="B134" s="33">
        <v>0.2273</v>
      </c>
      <c r="C134" s="33">
        <v>0.51</v>
      </c>
      <c r="D134" s="33">
        <v>0.1343</v>
      </c>
      <c r="E134" s="33">
        <v>163</v>
      </c>
    </row>
    <row r="135" spans="1:5" x14ac:dyDescent="0.3">
      <c r="A135" s="33">
        <v>0.22</v>
      </c>
      <c r="B135" s="33">
        <v>0.2576</v>
      </c>
      <c r="C135" s="33">
        <v>0.55000000000000004</v>
      </c>
      <c r="D135" s="33">
        <v>8.9599999999999999E-2</v>
      </c>
      <c r="E135" s="33">
        <v>112</v>
      </c>
    </row>
    <row r="136" spans="1:5" x14ac:dyDescent="0.3">
      <c r="A136" s="33">
        <v>0.2</v>
      </c>
      <c r="B136" s="33">
        <v>0.21210000000000001</v>
      </c>
      <c r="C136" s="33">
        <v>0.51</v>
      </c>
      <c r="D136" s="33">
        <v>0.16420000000000001</v>
      </c>
      <c r="E136" s="33">
        <v>69</v>
      </c>
    </row>
    <row r="137" spans="1:5" x14ac:dyDescent="0.3">
      <c r="A137" s="33">
        <v>0.22</v>
      </c>
      <c r="B137" s="33">
        <v>0.21210000000000001</v>
      </c>
      <c r="C137" s="33">
        <v>0.55000000000000004</v>
      </c>
      <c r="D137" s="33">
        <v>0.22389999999999999</v>
      </c>
      <c r="E137" s="33">
        <v>48</v>
      </c>
    </row>
    <row r="138" spans="1:5" x14ac:dyDescent="0.3">
      <c r="A138" s="33">
        <v>0.22</v>
      </c>
      <c r="B138" s="33">
        <v>0.21210000000000001</v>
      </c>
      <c r="C138" s="33">
        <v>0.51</v>
      </c>
      <c r="D138" s="33">
        <v>0.28360000000000002</v>
      </c>
      <c r="E138" s="33">
        <v>52</v>
      </c>
    </row>
    <row r="139" spans="1:5" x14ac:dyDescent="0.3">
      <c r="A139" s="33">
        <v>0.2</v>
      </c>
      <c r="B139" s="33">
        <v>0.19700000000000001</v>
      </c>
      <c r="C139" s="33">
        <v>0.59</v>
      </c>
      <c r="D139" s="33">
        <v>0.19400000000000001</v>
      </c>
      <c r="E139" s="33">
        <v>23</v>
      </c>
    </row>
    <row r="140" spans="1:5" x14ac:dyDescent="0.3">
      <c r="A140" s="33">
        <v>0.2</v>
      </c>
      <c r="B140" s="33">
        <v>0.19700000000000001</v>
      </c>
      <c r="C140" s="33">
        <v>0.64</v>
      </c>
      <c r="D140" s="33">
        <v>0.19400000000000001</v>
      </c>
      <c r="E140" s="33">
        <v>17</v>
      </c>
    </row>
    <row r="141" spans="1:5" x14ac:dyDescent="0.3">
      <c r="A141" s="33">
        <v>0.2</v>
      </c>
      <c r="B141" s="33">
        <v>0.19700000000000001</v>
      </c>
      <c r="C141" s="33">
        <v>0.69</v>
      </c>
      <c r="D141" s="33">
        <v>0.22389999999999999</v>
      </c>
      <c r="E141" s="33">
        <v>7</v>
      </c>
    </row>
    <row r="142" spans="1:5" x14ac:dyDescent="0.3">
      <c r="A142" s="33">
        <v>0.2</v>
      </c>
      <c r="B142" s="33">
        <v>0.19700000000000001</v>
      </c>
      <c r="C142" s="33">
        <v>0.69</v>
      </c>
      <c r="D142" s="33">
        <v>0.22389999999999999</v>
      </c>
      <c r="E142" s="33">
        <v>1</v>
      </c>
    </row>
    <row r="143" spans="1:5" x14ac:dyDescent="0.3">
      <c r="A143" s="33">
        <v>0.2</v>
      </c>
      <c r="B143" s="33">
        <v>0.21210000000000001</v>
      </c>
      <c r="C143" s="33">
        <v>0.69</v>
      </c>
      <c r="D143" s="33">
        <v>0.1343</v>
      </c>
      <c r="E143" s="33">
        <v>1</v>
      </c>
    </row>
    <row r="144" spans="1:5" x14ac:dyDescent="0.3">
      <c r="A144" s="33">
        <v>0.22</v>
      </c>
      <c r="B144" s="33">
        <v>0.2727</v>
      </c>
      <c r="C144" s="33">
        <v>0.55000000000000004</v>
      </c>
      <c r="D144" s="33">
        <v>0</v>
      </c>
      <c r="E144" s="33">
        <v>5</v>
      </c>
    </row>
    <row r="145" spans="1:5" x14ac:dyDescent="0.3">
      <c r="A145" s="33">
        <v>0.2</v>
      </c>
      <c r="B145" s="33">
        <v>0.2576</v>
      </c>
      <c r="C145" s="33">
        <v>0.69</v>
      </c>
      <c r="D145" s="33">
        <v>0</v>
      </c>
      <c r="E145" s="33">
        <v>34</v>
      </c>
    </row>
    <row r="146" spans="1:5" x14ac:dyDescent="0.3">
      <c r="A146" s="33">
        <v>0.2</v>
      </c>
      <c r="B146" s="33">
        <v>0.21210000000000001</v>
      </c>
      <c r="C146" s="33">
        <v>0.69</v>
      </c>
      <c r="D146" s="33">
        <v>0.1343</v>
      </c>
      <c r="E146" s="33">
        <v>84</v>
      </c>
    </row>
    <row r="147" spans="1:5" x14ac:dyDescent="0.3">
      <c r="A147" s="33">
        <v>0.2</v>
      </c>
      <c r="B147" s="33">
        <v>0.19700000000000001</v>
      </c>
      <c r="C147" s="33">
        <v>0.51</v>
      </c>
      <c r="D147" s="33">
        <v>0.25369999999999998</v>
      </c>
      <c r="E147" s="33">
        <v>210</v>
      </c>
    </row>
    <row r="148" spans="1:5" x14ac:dyDescent="0.3">
      <c r="A148" s="33">
        <v>0.2</v>
      </c>
      <c r="B148" s="33">
        <v>0.18179999999999999</v>
      </c>
      <c r="C148" s="33">
        <v>0.47</v>
      </c>
      <c r="D148" s="33">
        <v>0.29849999999999999</v>
      </c>
      <c r="E148" s="33">
        <v>134</v>
      </c>
    </row>
    <row r="149" spans="1:5" x14ac:dyDescent="0.3">
      <c r="A149" s="33">
        <v>0.22</v>
      </c>
      <c r="B149" s="33">
        <v>0.19700000000000001</v>
      </c>
      <c r="C149" s="33">
        <v>0.37</v>
      </c>
      <c r="D149" s="33">
        <v>0.32840000000000003</v>
      </c>
      <c r="E149" s="33">
        <v>63</v>
      </c>
    </row>
    <row r="150" spans="1:5" x14ac:dyDescent="0.3">
      <c r="A150" s="33">
        <v>0.2</v>
      </c>
      <c r="B150" s="33">
        <v>0.19700000000000001</v>
      </c>
      <c r="C150" s="33">
        <v>0.4</v>
      </c>
      <c r="D150" s="33">
        <v>0.22389999999999999</v>
      </c>
      <c r="E150" s="33">
        <v>67</v>
      </c>
    </row>
    <row r="151" spans="1:5" x14ac:dyDescent="0.3">
      <c r="A151" s="33">
        <v>0.2</v>
      </c>
      <c r="B151" s="33">
        <v>0.19700000000000001</v>
      </c>
      <c r="C151" s="33">
        <v>0.37</v>
      </c>
      <c r="D151" s="33">
        <v>0.25369999999999998</v>
      </c>
      <c r="E151" s="33">
        <v>59</v>
      </c>
    </row>
    <row r="152" spans="1:5" x14ac:dyDescent="0.3">
      <c r="A152" s="33">
        <v>0.2</v>
      </c>
      <c r="B152" s="33">
        <v>0.18179999999999999</v>
      </c>
      <c r="C152" s="33">
        <v>0.37</v>
      </c>
      <c r="D152" s="33">
        <v>0.28360000000000002</v>
      </c>
      <c r="E152" s="33">
        <v>73</v>
      </c>
    </row>
    <row r="153" spans="1:5" x14ac:dyDescent="0.3">
      <c r="A153" s="33">
        <v>0.2</v>
      </c>
      <c r="B153" s="33">
        <v>0.19700000000000001</v>
      </c>
      <c r="C153" s="33">
        <v>0.4</v>
      </c>
      <c r="D153" s="33">
        <v>0.25369999999999998</v>
      </c>
      <c r="E153" s="33">
        <v>50</v>
      </c>
    </row>
    <row r="154" spans="1:5" x14ac:dyDescent="0.3">
      <c r="A154" s="33">
        <v>0.2</v>
      </c>
      <c r="B154" s="33">
        <v>0.21210000000000001</v>
      </c>
      <c r="C154" s="33">
        <v>0.37</v>
      </c>
      <c r="D154" s="33">
        <v>0.16420000000000001</v>
      </c>
      <c r="E154" s="33">
        <v>72</v>
      </c>
    </row>
    <row r="155" spans="1:5" x14ac:dyDescent="0.3">
      <c r="A155" s="33">
        <v>0.2</v>
      </c>
      <c r="B155" s="33">
        <v>0.21210000000000001</v>
      </c>
      <c r="C155" s="33">
        <v>0.37</v>
      </c>
      <c r="D155" s="33">
        <v>0.16420000000000001</v>
      </c>
      <c r="E155" s="33">
        <v>87</v>
      </c>
    </row>
    <row r="156" spans="1:5" x14ac:dyDescent="0.3">
      <c r="A156" s="33">
        <v>0.2</v>
      </c>
      <c r="B156" s="33">
        <v>0.2576</v>
      </c>
      <c r="C156" s="33">
        <v>0.37</v>
      </c>
      <c r="D156" s="33">
        <v>0</v>
      </c>
      <c r="E156" s="33">
        <v>187</v>
      </c>
    </row>
    <row r="157" spans="1:5" x14ac:dyDescent="0.3">
      <c r="A157" s="33">
        <v>0.2</v>
      </c>
      <c r="B157" s="33">
        <v>0.2273</v>
      </c>
      <c r="C157" s="33">
        <v>0.4</v>
      </c>
      <c r="D157" s="33">
        <v>8.9599999999999999E-2</v>
      </c>
      <c r="E157" s="33">
        <v>123</v>
      </c>
    </row>
    <row r="158" spans="1:5" x14ac:dyDescent="0.3">
      <c r="A158" s="33">
        <v>0.16</v>
      </c>
      <c r="B158" s="33">
        <v>0.19700000000000001</v>
      </c>
      <c r="C158" s="33">
        <v>0.55000000000000004</v>
      </c>
      <c r="D158" s="33">
        <v>8.9599999999999999E-2</v>
      </c>
      <c r="E158" s="33">
        <v>95</v>
      </c>
    </row>
    <row r="159" spans="1:5" x14ac:dyDescent="0.3">
      <c r="A159" s="33">
        <v>0.18</v>
      </c>
      <c r="B159" s="33">
        <v>0.21210000000000001</v>
      </c>
      <c r="C159" s="33">
        <v>0.47</v>
      </c>
      <c r="D159" s="33">
        <v>0.1045</v>
      </c>
      <c r="E159" s="33">
        <v>51</v>
      </c>
    </row>
    <row r="160" spans="1:5" x14ac:dyDescent="0.3">
      <c r="A160" s="33">
        <v>0.18</v>
      </c>
      <c r="B160" s="33">
        <v>0.19700000000000001</v>
      </c>
      <c r="C160" s="33">
        <v>0.47</v>
      </c>
      <c r="D160" s="33">
        <v>0.1343</v>
      </c>
      <c r="E160" s="33">
        <v>39</v>
      </c>
    </row>
    <row r="161" spans="1:5" x14ac:dyDescent="0.3">
      <c r="A161" s="33">
        <v>0.18</v>
      </c>
      <c r="B161" s="33">
        <v>0.19700000000000001</v>
      </c>
      <c r="C161" s="33">
        <v>0.43</v>
      </c>
      <c r="D161" s="33">
        <v>0.16420000000000001</v>
      </c>
      <c r="E161" s="33">
        <v>36</v>
      </c>
    </row>
    <row r="162" spans="1:5" x14ac:dyDescent="0.3">
      <c r="A162" s="33">
        <v>0.18</v>
      </c>
      <c r="B162" s="33">
        <v>0.19700000000000001</v>
      </c>
      <c r="C162" s="33">
        <v>0.51</v>
      </c>
      <c r="D162" s="33">
        <v>0.16420000000000001</v>
      </c>
      <c r="E162" s="33">
        <v>15</v>
      </c>
    </row>
    <row r="163" spans="1:5" x14ac:dyDescent="0.3">
      <c r="A163" s="33">
        <v>0.18</v>
      </c>
      <c r="B163" s="33">
        <v>0.19700000000000001</v>
      </c>
      <c r="C163" s="33">
        <v>0.51</v>
      </c>
      <c r="D163" s="33">
        <v>0.16420000000000001</v>
      </c>
      <c r="E163" s="33">
        <v>25</v>
      </c>
    </row>
    <row r="164" spans="1:5" x14ac:dyDescent="0.3">
      <c r="A164" s="33">
        <v>0.18</v>
      </c>
      <c r="B164" s="33">
        <v>0.21210000000000001</v>
      </c>
      <c r="C164" s="33">
        <v>0.55000000000000004</v>
      </c>
      <c r="D164" s="33">
        <v>8.9599999999999999E-2</v>
      </c>
      <c r="E164" s="33">
        <v>16</v>
      </c>
    </row>
    <row r="165" spans="1:5" x14ac:dyDescent="0.3">
      <c r="A165" s="33">
        <v>0.18</v>
      </c>
      <c r="B165" s="33">
        <v>0.2424</v>
      </c>
      <c r="C165" s="33">
        <v>0.55000000000000004</v>
      </c>
      <c r="D165" s="33">
        <v>0</v>
      </c>
      <c r="E165" s="33">
        <v>16</v>
      </c>
    </row>
    <row r="166" spans="1:5" x14ac:dyDescent="0.3">
      <c r="A166" s="33">
        <v>0.18</v>
      </c>
      <c r="B166" s="33">
        <v>0.19700000000000001</v>
      </c>
      <c r="C166" s="33">
        <v>0.55000000000000004</v>
      </c>
      <c r="D166" s="33">
        <v>0.16420000000000001</v>
      </c>
      <c r="E166" s="33">
        <v>7</v>
      </c>
    </row>
    <row r="167" spans="1:5" x14ac:dyDescent="0.3">
      <c r="A167" s="33">
        <v>0.18</v>
      </c>
      <c r="B167" s="33">
        <v>0.19700000000000001</v>
      </c>
      <c r="C167" s="33">
        <v>0.55000000000000004</v>
      </c>
      <c r="D167" s="33">
        <v>0.16420000000000001</v>
      </c>
      <c r="E167" s="33">
        <v>1</v>
      </c>
    </row>
    <row r="168" spans="1:5" x14ac:dyDescent="0.3">
      <c r="A168" s="33">
        <v>0.16</v>
      </c>
      <c r="B168" s="33">
        <v>0.16669999999999999</v>
      </c>
      <c r="C168" s="33">
        <v>0.74</v>
      </c>
      <c r="D168" s="33">
        <v>0.16420000000000001</v>
      </c>
      <c r="E168" s="33">
        <v>5</v>
      </c>
    </row>
    <row r="169" spans="1:5" x14ac:dyDescent="0.3">
      <c r="A169" s="33">
        <v>0.16</v>
      </c>
      <c r="B169" s="33">
        <v>0.16669999999999999</v>
      </c>
      <c r="C169" s="33">
        <v>0.74</v>
      </c>
      <c r="D169" s="33">
        <v>0.16420000000000001</v>
      </c>
      <c r="E169" s="33">
        <v>2</v>
      </c>
    </row>
    <row r="170" spans="1:5" x14ac:dyDescent="0.3">
      <c r="A170" s="33">
        <v>0.16</v>
      </c>
      <c r="B170" s="33">
        <v>0.18179999999999999</v>
      </c>
      <c r="C170" s="33">
        <v>0.74</v>
      </c>
      <c r="D170" s="33">
        <v>0.1045</v>
      </c>
      <c r="E170" s="33">
        <v>9</v>
      </c>
    </row>
    <row r="171" spans="1:5" x14ac:dyDescent="0.3">
      <c r="A171" s="33">
        <v>0.16</v>
      </c>
      <c r="B171" s="33">
        <v>0.18179999999999999</v>
      </c>
      <c r="C171" s="33">
        <v>0.93</v>
      </c>
      <c r="D171" s="33">
        <v>0.1045</v>
      </c>
      <c r="E171" s="33">
        <v>15</v>
      </c>
    </row>
    <row r="172" spans="1:5" x14ac:dyDescent="0.3">
      <c r="A172" s="33">
        <v>0.16</v>
      </c>
      <c r="B172" s="33">
        <v>0.18179999999999999</v>
      </c>
      <c r="C172" s="33">
        <v>0.93</v>
      </c>
      <c r="D172" s="33">
        <v>0.1045</v>
      </c>
      <c r="E172" s="33">
        <v>20</v>
      </c>
    </row>
    <row r="173" spans="1:5" x14ac:dyDescent="0.3">
      <c r="A173" s="33">
        <v>0.18</v>
      </c>
      <c r="B173" s="33">
        <v>0.19700000000000001</v>
      </c>
      <c r="C173" s="33">
        <v>0.8</v>
      </c>
      <c r="D173" s="33">
        <v>0.16420000000000001</v>
      </c>
      <c r="E173" s="33">
        <v>61</v>
      </c>
    </row>
    <row r="174" spans="1:5" x14ac:dyDescent="0.3">
      <c r="A174" s="33">
        <v>0.2</v>
      </c>
      <c r="B174" s="33">
        <v>0.18179999999999999</v>
      </c>
      <c r="C174" s="33">
        <v>0.69</v>
      </c>
      <c r="D174" s="33">
        <v>0.3881</v>
      </c>
      <c r="E174" s="33">
        <v>62</v>
      </c>
    </row>
    <row r="175" spans="1:5" x14ac:dyDescent="0.3">
      <c r="A175" s="33">
        <v>0.2</v>
      </c>
      <c r="B175" s="33">
        <v>0.18179999999999999</v>
      </c>
      <c r="C175" s="33">
        <v>0.59</v>
      </c>
      <c r="D175" s="33">
        <v>0.35820000000000002</v>
      </c>
      <c r="E175" s="33">
        <v>98</v>
      </c>
    </row>
    <row r="176" spans="1:5" x14ac:dyDescent="0.3">
      <c r="A176" s="33">
        <v>0.2</v>
      </c>
      <c r="B176" s="33">
        <v>0.18179999999999999</v>
      </c>
      <c r="C176" s="33">
        <v>0.44</v>
      </c>
      <c r="D176" s="33">
        <v>0.32840000000000003</v>
      </c>
      <c r="E176" s="33">
        <v>102</v>
      </c>
    </row>
    <row r="177" spans="1:5" x14ac:dyDescent="0.3">
      <c r="A177" s="33">
        <v>0.2</v>
      </c>
      <c r="B177" s="33">
        <v>0.16669999999999999</v>
      </c>
      <c r="C177" s="33">
        <v>0.32</v>
      </c>
      <c r="D177" s="33">
        <v>0.49249999999999999</v>
      </c>
      <c r="E177" s="33">
        <v>95</v>
      </c>
    </row>
    <row r="178" spans="1:5" x14ac:dyDescent="0.3">
      <c r="A178" s="33">
        <v>0.2</v>
      </c>
      <c r="B178" s="33">
        <v>0.16669999999999999</v>
      </c>
      <c r="C178" s="33">
        <v>0.32</v>
      </c>
      <c r="D178" s="33">
        <v>0.44779999999999998</v>
      </c>
      <c r="E178" s="33">
        <v>74</v>
      </c>
    </row>
    <row r="179" spans="1:5" x14ac:dyDescent="0.3">
      <c r="A179" s="33">
        <v>0.18</v>
      </c>
      <c r="B179" s="33">
        <v>0.13639999999999999</v>
      </c>
      <c r="C179" s="33">
        <v>0.28999999999999998</v>
      </c>
      <c r="D179" s="33">
        <v>0.44779999999999998</v>
      </c>
      <c r="E179" s="33">
        <v>76</v>
      </c>
    </row>
    <row r="180" spans="1:5" x14ac:dyDescent="0.3">
      <c r="A180" s="33">
        <v>0.16</v>
      </c>
      <c r="B180" s="33">
        <v>0.1212</v>
      </c>
      <c r="C180" s="33">
        <v>0.37</v>
      </c>
      <c r="D180" s="33">
        <v>0.55220000000000002</v>
      </c>
      <c r="E180" s="33">
        <v>69</v>
      </c>
    </row>
    <row r="181" spans="1:5" x14ac:dyDescent="0.3">
      <c r="A181" s="33">
        <v>0.14000000000000001</v>
      </c>
      <c r="B181" s="33">
        <v>0.1212</v>
      </c>
      <c r="C181" s="33">
        <v>0.39</v>
      </c>
      <c r="D181" s="33">
        <v>0.29849999999999999</v>
      </c>
      <c r="E181" s="33">
        <v>55</v>
      </c>
    </row>
    <row r="182" spans="1:5" x14ac:dyDescent="0.3">
      <c r="A182" s="33">
        <v>0.14000000000000001</v>
      </c>
      <c r="B182" s="33">
        <v>0.1212</v>
      </c>
      <c r="C182" s="33">
        <v>0.36</v>
      </c>
      <c r="D182" s="33">
        <v>0.25369999999999998</v>
      </c>
      <c r="E182" s="33">
        <v>30</v>
      </c>
    </row>
    <row r="183" spans="1:5" x14ac:dyDescent="0.3">
      <c r="A183" s="33">
        <v>0.12</v>
      </c>
      <c r="B183" s="33">
        <v>0.1212</v>
      </c>
      <c r="C183" s="33">
        <v>0.36</v>
      </c>
      <c r="D183" s="33">
        <v>0.25369999999999998</v>
      </c>
      <c r="E183" s="33">
        <v>28</v>
      </c>
    </row>
    <row r="184" spans="1:5" x14ac:dyDescent="0.3">
      <c r="A184" s="33">
        <v>0.12</v>
      </c>
      <c r="B184" s="33">
        <v>0.1061</v>
      </c>
      <c r="C184" s="33">
        <v>0.39</v>
      </c>
      <c r="D184" s="33">
        <v>0.35820000000000002</v>
      </c>
      <c r="E184" s="33">
        <v>37</v>
      </c>
    </row>
    <row r="185" spans="1:5" x14ac:dyDescent="0.3">
      <c r="A185" s="33">
        <v>0.12</v>
      </c>
      <c r="B185" s="33">
        <v>0.1061</v>
      </c>
      <c r="C185" s="33">
        <v>0.36</v>
      </c>
      <c r="D185" s="33">
        <v>0.3881</v>
      </c>
      <c r="E185" s="33">
        <v>34</v>
      </c>
    </row>
    <row r="186" spans="1:5" x14ac:dyDescent="0.3">
      <c r="A186" s="33">
        <v>0.1</v>
      </c>
      <c r="B186" s="33">
        <v>6.0600000000000001E-2</v>
      </c>
      <c r="C186" s="33">
        <v>0.39</v>
      </c>
      <c r="D186" s="33">
        <v>0.44779999999999998</v>
      </c>
      <c r="E186" s="33">
        <v>22</v>
      </c>
    </row>
    <row r="187" spans="1:5" x14ac:dyDescent="0.3">
      <c r="A187" s="33">
        <v>0.1</v>
      </c>
      <c r="B187" s="33">
        <v>7.5800000000000006E-2</v>
      </c>
      <c r="C187" s="33">
        <v>0.42</v>
      </c>
      <c r="D187" s="33">
        <v>0.3881</v>
      </c>
      <c r="E187" s="33">
        <v>25</v>
      </c>
    </row>
    <row r="188" spans="1:5" x14ac:dyDescent="0.3">
      <c r="A188" s="33">
        <v>0.1</v>
      </c>
      <c r="B188" s="33">
        <v>6.0600000000000001E-2</v>
      </c>
      <c r="C188" s="33">
        <v>0.42</v>
      </c>
      <c r="D188" s="33">
        <v>0.4627</v>
      </c>
      <c r="E188" s="33">
        <v>12</v>
      </c>
    </row>
    <row r="189" spans="1:5" x14ac:dyDescent="0.3">
      <c r="A189" s="33">
        <v>0.1</v>
      </c>
      <c r="B189" s="33">
        <v>6.0600000000000001E-2</v>
      </c>
      <c r="C189" s="33">
        <v>0.46</v>
      </c>
      <c r="D189" s="33">
        <v>0.4627</v>
      </c>
      <c r="E189" s="33">
        <v>11</v>
      </c>
    </row>
    <row r="190" spans="1:5" x14ac:dyDescent="0.3">
      <c r="A190" s="33">
        <v>0.1</v>
      </c>
      <c r="B190" s="33">
        <v>7.5800000000000006E-2</v>
      </c>
      <c r="C190" s="33">
        <v>0.46</v>
      </c>
      <c r="D190" s="33">
        <v>0.41789999999999999</v>
      </c>
      <c r="E190" s="33">
        <v>4</v>
      </c>
    </row>
    <row r="191" spans="1:5" x14ac:dyDescent="0.3">
      <c r="A191" s="33">
        <v>0.08</v>
      </c>
      <c r="B191" s="33">
        <v>9.0899999999999995E-2</v>
      </c>
      <c r="C191" s="33">
        <v>0.53</v>
      </c>
      <c r="D191" s="33">
        <v>0.19400000000000001</v>
      </c>
      <c r="E191" s="33">
        <v>1</v>
      </c>
    </row>
    <row r="192" spans="1:5" x14ac:dyDescent="0.3">
      <c r="A192" s="33">
        <v>0.08</v>
      </c>
      <c r="B192" s="33">
        <v>9.0899999999999995E-2</v>
      </c>
      <c r="C192" s="33">
        <v>0.53</v>
      </c>
      <c r="D192" s="33">
        <v>0.19400000000000001</v>
      </c>
      <c r="E192" s="33">
        <v>1</v>
      </c>
    </row>
    <row r="193" spans="1:5" x14ac:dyDescent="0.3">
      <c r="A193" s="33">
        <v>0.1</v>
      </c>
      <c r="B193" s="33">
        <v>9.0899999999999995E-2</v>
      </c>
      <c r="C193" s="33">
        <v>0.49</v>
      </c>
      <c r="D193" s="33">
        <v>0.28360000000000002</v>
      </c>
      <c r="E193" s="33">
        <v>1</v>
      </c>
    </row>
    <row r="194" spans="1:5" x14ac:dyDescent="0.3">
      <c r="A194" s="33">
        <v>0.08</v>
      </c>
      <c r="B194" s="33">
        <v>9.0899999999999995E-2</v>
      </c>
      <c r="C194" s="33">
        <v>0.53</v>
      </c>
      <c r="D194" s="33">
        <v>0.19400000000000001</v>
      </c>
      <c r="E194" s="33">
        <v>6</v>
      </c>
    </row>
    <row r="195" spans="1:5" x14ac:dyDescent="0.3">
      <c r="A195" s="33">
        <v>0.1</v>
      </c>
      <c r="B195" s="33">
        <v>9.0899999999999995E-2</v>
      </c>
      <c r="C195" s="33">
        <v>0.49</v>
      </c>
      <c r="D195" s="33">
        <v>0.28360000000000002</v>
      </c>
      <c r="E195" s="33">
        <v>10</v>
      </c>
    </row>
    <row r="196" spans="1:5" x14ac:dyDescent="0.3">
      <c r="A196" s="33">
        <v>0.12</v>
      </c>
      <c r="B196" s="33">
        <v>7.5800000000000006E-2</v>
      </c>
      <c r="C196" s="33">
        <v>0.46</v>
      </c>
      <c r="D196" s="33">
        <v>0.52239999999999998</v>
      </c>
      <c r="E196" s="33">
        <v>19</v>
      </c>
    </row>
    <row r="197" spans="1:5" x14ac:dyDescent="0.3">
      <c r="A197" s="33">
        <v>0.14000000000000001</v>
      </c>
      <c r="B197" s="33">
        <v>0.1061</v>
      </c>
      <c r="C197" s="33">
        <v>0.43</v>
      </c>
      <c r="D197" s="33">
        <v>0.3881</v>
      </c>
      <c r="E197" s="33">
        <v>49</v>
      </c>
    </row>
    <row r="198" spans="1:5" x14ac:dyDescent="0.3">
      <c r="A198" s="33">
        <v>0.16</v>
      </c>
      <c r="B198" s="33">
        <v>0.1212</v>
      </c>
      <c r="C198" s="33">
        <v>0.4</v>
      </c>
      <c r="D198" s="33">
        <v>0.52239999999999998</v>
      </c>
      <c r="E198" s="33">
        <v>49</v>
      </c>
    </row>
    <row r="199" spans="1:5" x14ac:dyDescent="0.3">
      <c r="A199" s="33">
        <v>0.18</v>
      </c>
      <c r="B199" s="33">
        <v>0.13639999999999999</v>
      </c>
      <c r="C199" s="33">
        <v>0.37</v>
      </c>
      <c r="D199" s="33">
        <v>0.44779999999999998</v>
      </c>
      <c r="E199" s="33">
        <v>83</v>
      </c>
    </row>
    <row r="200" spans="1:5" x14ac:dyDescent="0.3">
      <c r="A200" s="33">
        <v>0.2</v>
      </c>
      <c r="B200" s="33">
        <v>0.16669999999999999</v>
      </c>
      <c r="C200" s="33">
        <v>0.34</v>
      </c>
      <c r="D200" s="33">
        <v>0.44779999999999998</v>
      </c>
      <c r="E200" s="33">
        <v>75</v>
      </c>
    </row>
    <row r="201" spans="1:5" x14ac:dyDescent="0.3">
      <c r="A201" s="33">
        <v>0.22</v>
      </c>
      <c r="B201" s="33">
        <v>0.18179999999999999</v>
      </c>
      <c r="C201" s="33">
        <v>0.32</v>
      </c>
      <c r="D201" s="33">
        <v>0.4627</v>
      </c>
      <c r="E201" s="33">
        <v>72</v>
      </c>
    </row>
    <row r="202" spans="1:5" x14ac:dyDescent="0.3">
      <c r="A202" s="33">
        <v>0.22</v>
      </c>
      <c r="B202" s="33">
        <v>0.19700000000000001</v>
      </c>
      <c r="C202" s="33">
        <v>0.35</v>
      </c>
      <c r="D202" s="33">
        <v>0.35820000000000002</v>
      </c>
      <c r="E202" s="33">
        <v>82</v>
      </c>
    </row>
    <row r="203" spans="1:5" x14ac:dyDescent="0.3">
      <c r="A203" s="33">
        <v>0.2</v>
      </c>
      <c r="B203" s="33">
        <v>0.16669999999999999</v>
      </c>
      <c r="C203" s="33">
        <v>0.34</v>
      </c>
      <c r="D203" s="33">
        <v>0.44779999999999998</v>
      </c>
      <c r="E203" s="33">
        <v>92</v>
      </c>
    </row>
    <row r="204" spans="1:5" x14ac:dyDescent="0.3">
      <c r="A204" s="33">
        <v>0.18</v>
      </c>
      <c r="B204" s="33">
        <v>0.1515</v>
      </c>
      <c r="C204" s="33">
        <v>0.37</v>
      </c>
      <c r="D204" s="33">
        <v>0.3881</v>
      </c>
      <c r="E204" s="33">
        <v>62</v>
      </c>
    </row>
    <row r="205" spans="1:5" x14ac:dyDescent="0.3">
      <c r="A205" s="33">
        <v>0.16</v>
      </c>
      <c r="B205" s="33">
        <v>0.13639999999999999</v>
      </c>
      <c r="C205" s="33">
        <v>0.4</v>
      </c>
      <c r="D205" s="33">
        <v>0.32840000000000003</v>
      </c>
      <c r="E205" s="33">
        <v>48</v>
      </c>
    </row>
    <row r="206" spans="1:5" x14ac:dyDescent="0.3">
      <c r="A206" s="33">
        <v>0.16</v>
      </c>
      <c r="B206" s="33">
        <v>0.13639999999999999</v>
      </c>
      <c r="C206" s="33">
        <v>0.43</v>
      </c>
      <c r="D206" s="33">
        <v>0.32840000000000003</v>
      </c>
      <c r="E206" s="33">
        <v>41</v>
      </c>
    </row>
    <row r="207" spans="1:5" x14ac:dyDescent="0.3">
      <c r="A207" s="33">
        <v>0.14000000000000001</v>
      </c>
      <c r="B207" s="33">
        <v>0.1212</v>
      </c>
      <c r="C207" s="33">
        <v>0.46</v>
      </c>
      <c r="D207" s="33">
        <v>0.25369999999999998</v>
      </c>
      <c r="E207" s="33">
        <v>38</v>
      </c>
    </row>
    <row r="208" spans="1:5" x14ac:dyDescent="0.3">
      <c r="A208" s="33">
        <v>0.14000000000000001</v>
      </c>
      <c r="B208" s="33">
        <v>0.1061</v>
      </c>
      <c r="C208" s="33">
        <v>0.46</v>
      </c>
      <c r="D208" s="33">
        <v>0.41789999999999999</v>
      </c>
      <c r="E208" s="33">
        <v>20</v>
      </c>
    </row>
    <row r="209" spans="1:5" x14ac:dyDescent="0.3">
      <c r="A209" s="33">
        <v>0.14000000000000001</v>
      </c>
      <c r="B209" s="33">
        <v>0.1212</v>
      </c>
      <c r="C209" s="33">
        <v>0.46</v>
      </c>
      <c r="D209" s="33">
        <v>0.29849999999999999</v>
      </c>
      <c r="E209" s="33">
        <v>15</v>
      </c>
    </row>
    <row r="210" spans="1:5" x14ac:dyDescent="0.3">
      <c r="A210" s="33">
        <v>0.12</v>
      </c>
      <c r="B210" s="33">
        <v>0.13639999999999999</v>
      </c>
      <c r="C210" s="33">
        <v>0.5</v>
      </c>
      <c r="D210" s="33">
        <v>0.19400000000000001</v>
      </c>
      <c r="E210" s="33">
        <v>6</v>
      </c>
    </row>
    <row r="211" spans="1:5" x14ac:dyDescent="0.3">
      <c r="A211" s="33">
        <v>0.12</v>
      </c>
      <c r="B211" s="33">
        <v>0.1212</v>
      </c>
      <c r="C211" s="33">
        <v>0.5</v>
      </c>
      <c r="D211" s="33">
        <v>0.28360000000000002</v>
      </c>
      <c r="E211" s="33">
        <v>5</v>
      </c>
    </row>
    <row r="212" spans="1:5" x14ac:dyDescent="0.3">
      <c r="A212" s="33">
        <v>0.12</v>
      </c>
      <c r="B212" s="33">
        <v>0.1212</v>
      </c>
      <c r="C212" s="33">
        <v>0.5</v>
      </c>
      <c r="D212" s="33">
        <v>0.28360000000000002</v>
      </c>
      <c r="E212" s="33">
        <v>1</v>
      </c>
    </row>
    <row r="213" spans="1:5" x14ac:dyDescent="0.3">
      <c r="A213" s="33">
        <v>0.12</v>
      </c>
      <c r="B213" s="33">
        <v>0.1212</v>
      </c>
      <c r="C213" s="33">
        <v>0.5</v>
      </c>
      <c r="D213" s="33">
        <v>0.22389999999999999</v>
      </c>
      <c r="E213" s="33">
        <v>3</v>
      </c>
    </row>
    <row r="214" spans="1:5" x14ac:dyDescent="0.3">
      <c r="A214" s="33">
        <v>0.12</v>
      </c>
      <c r="B214" s="33">
        <v>0.1212</v>
      </c>
      <c r="C214" s="33">
        <v>0.5</v>
      </c>
      <c r="D214" s="33">
        <v>0.22389999999999999</v>
      </c>
      <c r="E214" s="33">
        <v>1</v>
      </c>
    </row>
    <row r="215" spans="1:5" x14ac:dyDescent="0.3">
      <c r="A215" s="33">
        <v>0.1</v>
      </c>
      <c r="B215" s="33">
        <v>0.1212</v>
      </c>
      <c r="C215" s="33">
        <v>0.54</v>
      </c>
      <c r="D215" s="33">
        <v>0.1343</v>
      </c>
      <c r="E215" s="33">
        <v>3</v>
      </c>
    </row>
    <row r="216" spans="1:5" x14ac:dyDescent="0.3">
      <c r="A216" s="33">
        <v>0.1</v>
      </c>
      <c r="B216" s="33">
        <v>0.1061</v>
      </c>
      <c r="C216" s="33">
        <v>0.54</v>
      </c>
      <c r="D216" s="33">
        <v>0.25369999999999998</v>
      </c>
      <c r="E216" s="33">
        <v>3</v>
      </c>
    </row>
    <row r="217" spans="1:5" x14ac:dyDescent="0.3">
      <c r="A217" s="33">
        <v>0.12</v>
      </c>
      <c r="B217" s="33">
        <v>0.1212</v>
      </c>
      <c r="C217" s="33">
        <v>0.5</v>
      </c>
      <c r="D217" s="33">
        <v>0.28360000000000002</v>
      </c>
      <c r="E217" s="33">
        <v>31</v>
      </c>
    </row>
    <row r="218" spans="1:5" x14ac:dyDescent="0.3">
      <c r="A218" s="33">
        <v>0.12</v>
      </c>
      <c r="B218" s="33">
        <v>0.1212</v>
      </c>
      <c r="C218" s="33">
        <v>0.5</v>
      </c>
      <c r="D218" s="33">
        <v>0.22389999999999999</v>
      </c>
      <c r="E218" s="33">
        <v>77</v>
      </c>
    </row>
    <row r="219" spans="1:5" x14ac:dyDescent="0.3">
      <c r="A219" s="33">
        <v>0.12</v>
      </c>
      <c r="B219" s="33">
        <v>0.1212</v>
      </c>
      <c r="C219" s="33">
        <v>0.5</v>
      </c>
      <c r="D219" s="33">
        <v>0.28360000000000002</v>
      </c>
      <c r="E219" s="33">
        <v>188</v>
      </c>
    </row>
    <row r="220" spans="1:5" x14ac:dyDescent="0.3">
      <c r="A220" s="33">
        <v>0.14000000000000001</v>
      </c>
      <c r="B220" s="33">
        <v>0.1212</v>
      </c>
      <c r="C220" s="33">
        <v>0.5</v>
      </c>
      <c r="D220" s="33">
        <v>0.25369999999999998</v>
      </c>
      <c r="E220" s="33">
        <v>94</v>
      </c>
    </row>
    <row r="221" spans="1:5" x14ac:dyDescent="0.3">
      <c r="A221" s="33">
        <v>0.14000000000000001</v>
      </c>
      <c r="B221" s="33">
        <v>0.1212</v>
      </c>
      <c r="C221" s="33">
        <v>0.5</v>
      </c>
      <c r="D221" s="33">
        <v>0.29849999999999999</v>
      </c>
      <c r="E221" s="33">
        <v>31</v>
      </c>
    </row>
    <row r="222" spans="1:5" x14ac:dyDescent="0.3">
      <c r="A222" s="33">
        <v>0.16</v>
      </c>
      <c r="B222" s="33">
        <v>0.13639999999999999</v>
      </c>
      <c r="C222" s="33">
        <v>0.47</v>
      </c>
      <c r="D222" s="33">
        <v>0.28360000000000002</v>
      </c>
      <c r="E222" s="33">
        <v>30</v>
      </c>
    </row>
    <row r="223" spans="1:5" x14ac:dyDescent="0.3">
      <c r="A223" s="33">
        <v>0.2</v>
      </c>
      <c r="B223" s="33">
        <v>0.18179999999999999</v>
      </c>
      <c r="C223" s="33">
        <v>0.4</v>
      </c>
      <c r="D223" s="33">
        <v>0.28360000000000002</v>
      </c>
      <c r="E223" s="33">
        <v>52</v>
      </c>
    </row>
    <row r="224" spans="1:5" x14ac:dyDescent="0.3">
      <c r="A224" s="33">
        <v>0.2</v>
      </c>
      <c r="B224" s="33">
        <v>0.18179999999999999</v>
      </c>
      <c r="C224" s="33">
        <v>0.4</v>
      </c>
      <c r="D224" s="33">
        <v>0.28360000000000002</v>
      </c>
      <c r="E224" s="33">
        <v>54</v>
      </c>
    </row>
    <row r="225" spans="1:5" x14ac:dyDescent="0.3">
      <c r="A225" s="33">
        <v>0.2</v>
      </c>
      <c r="B225" s="33">
        <v>0.19700000000000001</v>
      </c>
      <c r="C225" s="33">
        <v>0.4</v>
      </c>
      <c r="D225" s="33">
        <v>0.22389999999999999</v>
      </c>
      <c r="E225" s="33">
        <v>47</v>
      </c>
    </row>
    <row r="226" spans="1:5" x14ac:dyDescent="0.3">
      <c r="A226" s="33">
        <v>0.2</v>
      </c>
      <c r="B226" s="33">
        <v>0.19700000000000001</v>
      </c>
      <c r="C226" s="33">
        <v>0.4</v>
      </c>
      <c r="D226" s="33">
        <v>0.22389999999999999</v>
      </c>
      <c r="E226" s="33">
        <v>45</v>
      </c>
    </row>
    <row r="227" spans="1:5" x14ac:dyDescent="0.3">
      <c r="A227" s="33">
        <v>0.2</v>
      </c>
      <c r="B227" s="33">
        <v>0.21210000000000001</v>
      </c>
      <c r="C227" s="33">
        <v>0.4</v>
      </c>
      <c r="D227" s="33">
        <v>0.1343</v>
      </c>
      <c r="E227" s="33">
        <v>74</v>
      </c>
    </row>
    <row r="228" spans="1:5" x14ac:dyDescent="0.3">
      <c r="A228" s="33">
        <v>0.2</v>
      </c>
      <c r="B228" s="33">
        <v>0.2273</v>
      </c>
      <c r="C228" s="33">
        <v>0.4</v>
      </c>
      <c r="D228" s="33">
        <v>0.1045</v>
      </c>
      <c r="E228" s="33">
        <v>178</v>
      </c>
    </row>
    <row r="229" spans="1:5" x14ac:dyDescent="0.3">
      <c r="A229" s="33">
        <v>0.2</v>
      </c>
      <c r="B229" s="33">
        <v>0.19700000000000001</v>
      </c>
      <c r="C229" s="33">
        <v>0.4</v>
      </c>
      <c r="D229" s="33">
        <v>0.22389999999999999</v>
      </c>
      <c r="E229" s="33">
        <v>155</v>
      </c>
    </row>
    <row r="230" spans="1:5" x14ac:dyDescent="0.3">
      <c r="A230" s="33">
        <v>0.16</v>
      </c>
      <c r="B230" s="33">
        <v>0.16669999999999999</v>
      </c>
      <c r="C230" s="33">
        <v>0.47</v>
      </c>
      <c r="D230" s="33">
        <v>0.16420000000000001</v>
      </c>
      <c r="E230" s="33">
        <v>95</v>
      </c>
    </row>
    <row r="231" spans="1:5" x14ac:dyDescent="0.3">
      <c r="A231" s="33">
        <v>0.16</v>
      </c>
      <c r="B231" s="33">
        <v>0.16669999999999999</v>
      </c>
      <c r="C231" s="33">
        <v>0.5</v>
      </c>
      <c r="D231" s="33">
        <v>0.16420000000000001</v>
      </c>
      <c r="E231" s="33">
        <v>74</v>
      </c>
    </row>
    <row r="232" spans="1:5" x14ac:dyDescent="0.3">
      <c r="A232" s="33">
        <v>0.14000000000000001</v>
      </c>
      <c r="B232" s="33">
        <v>0.13639999999999999</v>
      </c>
      <c r="C232" s="33">
        <v>0.59</v>
      </c>
      <c r="D232" s="33">
        <v>0.19400000000000001</v>
      </c>
      <c r="E232" s="33">
        <v>38</v>
      </c>
    </row>
    <row r="233" spans="1:5" x14ac:dyDescent="0.3">
      <c r="A233" s="33">
        <v>0.14000000000000001</v>
      </c>
      <c r="B233" s="33">
        <v>0.1515</v>
      </c>
      <c r="C233" s="33">
        <v>0.59</v>
      </c>
      <c r="D233" s="33">
        <v>0.16420000000000001</v>
      </c>
      <c r="E233" s="33">
        <v>24</v>
      </c>
    </row>
    <row r="234" spans="1:5" x14ac:dyDescent="0.3">
      <c r="A234" s="33">
        <v>0.14000000000000001</v>
      </c>
      <c r="B234" s="33">
        <v>0.1515</v>
      </c>
      <c r="C234" s="33">
        <v>0.59</v>
      </c>
      <c r="D234" s="33">
        <v>0.16420000000000001</v>
      </c>
      <c r="E234" s="33">
        <v>18</v>
      </c>
    </row>
    <row r="235" spans="1:5" x14ac:dyDescent="0.3">
      <c r="A235" s="33">
        <v>0.14000000000000001</v>
      </c>
      <c r="B235" s="33">
        <v>0.16669999999999999</v>
      </c>
      <c r="C235" s="33">
        <v>0.59</v>
      </c>
      <c r="D235" s="33">
        <v>0.1045</v>
      </c>
      <c r="E235" s="33">
        <v>12</v>
      </c>
    </row>
    <row r="236" spans="1:5" x14ac:dyDescent="0.3">
      <c r="A236" s="33">
        <v>0.14000000000000001</v>
      </c>
      <c r="B236" s="33">
        <v>0.1515</v>
      </c>
      <c r="C236" s="33">
        <v>0.59</v>
      </c>
      <c r="D236" s="33">
        <v>0.16420000000000001</v>
      </c>
      <c r="E236" s="33">
        <v>3</v>
      </c>
    </row>
    <row r="237" spans="1:5" x14ac:dyDescent="0.3">
      <c r="A237" s="33">
        <v>0.16</v>
      </c>
      <c r="B237" s="33">
        <v>0.1515</v>
      </c>
      <c r="C237" s="33">
        <v>0.55000000000000004</v>
      </c>
      <c r="D237" s="33">
        <v>0.19400000000000001</v>
      </c>
      <c r="E237" s="33">
        <v>3</v>
      </c>
    </row>
    <row r="238" spans="1:5" x14ac:dyDescent="0.3">
      <c r="A238" s="33">
        <v>0.16</v>
      </c>
      <c r="B238" s="33">
        <v>0.18179999999999999</v>
      </c>
      <c r="C238" s="33">
        <v>0.55000000000000004</v>
      </c>
      <c r="D238" s="33">
        <v>0.1343</v>
      </c>
      <c r="E238" s="33">
        <v>6</v>
      </c>
    </row>
    <row r="239" spans="1:5" x14ac:dyDescent="0.3">
      <c r="A239" s="33">
        <v>0.16</v>
      </c>
      <c r="B239" s="33">
        <v>0.18179999999999999</v>
      </c>
      <c r="C239" s="33">
        <v>0.55000000000000004</v>
      </c>
      <c r="D239" s="33">
        <v>0.1343</v>
      </c>
      <c r="E239" s="33">
        <v>27</v>
      </c>
    </row>
    <row r="240" spans="1:5" x14ac:dyDescent="0.3">
      <c r="A240" s="33">
        <v>0.16</v>
      </c>
      <c r="B240" s="33">
        <v>0.2273</v>
      </c>
      <c r="C240" s="33">
        <v>0.55000000000000004</v>
      </c>
      <c r="D240" s="33">
        <v>0</v>
      </c>
      <c r="E240" s="33">
        <v>99</v>
      </c>
    </row>
    <row r="241" spans="1:5" x14ac:dyDescent="0.3">
      <c r="A241" s="33">
        <v>0.18</v>
      </c>
      <c r="B241" s="33">
        <v>0.21210000000000001</v>
      </c>
      <c r="C241" s="33">
        <v>0.51</v>
      </c>
      <c r="D241" s="33">
        <v>8.9599999999999999E-2</v>
      </c>
      <c r="E241" s="33">
        <v>217</v>
      </c>
    </row>
    <row r="242" spans="1:5" x14ac:dyDescent="0.3">
      <c r="A242" s="33">
        <v>0.18</v>
      </c>
      <c r="B242" s="33">
        <v>0.19700000000000001</v>
      </c>
      <c r="C242" s="33">
        <v>0.51</v>
      </c>
      <c r="D242" s="33">
        <v>0.16420000000000001</v>
      </c>
      <c r="E242" s="33">
        <v>130</v>
      </c>
    </row>
    <row r="243" spans="1:5" x14ac:dyDescent="0.3">
      <c r="A243" s="33">
        <v>0.2</v>
      </c>
      <c r="B243" s="33">
        <v>0.21210000000000001</v>
      </c>
      <c r="C243" s="33">
        <v>0.51</v>
      </c>
      <c r="D243" s="33">
        <v>0.16420000000000001</v>
      </c>
      <c r="E243" s="33">
        <v>54</v>
      </c>
    </row>
    <row r="244" spans="1:5" x14ac:dyDescent="0.3">
      <c r="A244" s="33">
        <v>0.2</v>
      </c>
      <c r="B244" s="33">
        <v>0.21210000000000001</v>
      </c>
      <c r="C244" s="33">
        <v>0.47</v>
      </c>
      <c r="D244" s="33">
        <v>0.1343</v>
      </c>
      <c r="E244" s="33">
        <v>35</v>
      </c>
    </row>
    <row r="245" spans="1:5" x14ac:dyDescent="0.3">
      <c r="A245" s="33">
        <v>0.2</v>
      </c>
      <c r="B245" s="33">
        <v>0.2273</v>
      </c>
      <c r="C245" s="33">
        <v>0.51</v>
      </c>
      <c r="D245" s="33">
        <v>0.1045</v>
      </c>
      <c r="E245" s="33">
        <v>57</v>
      </c>
    </row>
    <row r="246" spans="1:5" x14ac:dyDescent="0.3">
      <c r="A246" s="33">
        <v>0.2</v>
      </c>
      <c r="B246" s="33">
        <v>0.2273</v>
      </c>
      <c r="C246" s="33">
        <v>0.59</v>
      </c>
      <c r="D246" s="33">
        <v>8.9599999999999999E-2</v>
      </c>
      <c r="E246" s="33">
        <v>52</v>
      </c>
    </row>
    <row r="247" spans="1:5" x14ac:dyDescent="0.3">
      <c r="A247" s="33">
        <v>0.2</v>
      </c>
      <c r="B247" s="33">
        <v>0.2273</v>
      </c>
      <c r="C247" s="33">
        <v>0.59</v>
      </c>
      <c r="D247" s="33">
        <v>8.9599999999999999E-2</v>
      </c>
      <c r="E247" s="33">
        <v>63</v>
      </c>
    </row>
    <row r="248" spans="1:5" x14ac:dyDescent="0.3">
      <c r="A248" s="33">
        <v>0.16</v>
      </c>
      <c r="B248" s="33">
        <v>0.19700000000000001</v>
      </c>
      <c r="C248" s="33">
        <v>0.8</v>
      </c>
      <c r="D248" s="33">
        <v>8.9599999999999999E-2</v>
      </c>
      <c r="E248" s="33">
        <v>47</v>
      </c>
    </row>
    <row r="249" spans="1:5" x14ac:dyDescent="0.3">
      <c r="A249" s="33">
        <v>0.16</v>
      </c>
      <c r="B249" s="33">
        <v>0.1515</v>
      </c>
      <c r="C249" s="33">
        <v>0.86</v>
      </c>
      <c r="D249" s="33">
        <v>0.22389999999999999</v>
      </c>
      <c r="E249" s="33">
        <v>76</v>
      </c>
    </row>
    <row r="250" spans="1:5" x14ac:dyDescent="0.3">
      <c r="A250" s="33">
        <v>0.16</v>
      </c>
      <c r="B250" s="33">
        <v>0.1515</v>
      </c>
      <c r="C250" s="33">
        <v>0.86</v>
      </c>
      <c r="D250" s="33">
        <v>0.22389999999999999</v>
      </c>
      <c r="E250" s="33">
        <v>136</v>
      </c>
    </row>
    <row r="251" spans="1:5" x14ac:dyDescent="0.3">
      <c r="A251" s="33">
        <v>0.16</v>
      </c>
      <c r="B251" s="33">
        <v>0.18179999999999999</v>
      </c>
      <c r="C251" s="33">
        <v>0.93</v>
      </c>
      <c r="D251" s="33">
        <v>0.1045</v>
      </c>
      <c r="E251" s="33">
        <v>95</v>
      </c>
    </row>
    <row r="252" spans="1:5" x14ac:dyDescent="0.3">
      <c r="A252" s="33">
        <v>0.16</v>
      </c>
      <c r="B252" s="33">
        <v>0.2273</v>
      </c>
      <c r="C252" s="33">
        <v>0.93</v>
      </c>
      <c r="D252" s="33">
        <v>0</v>
      </c>
      <c r="E252" s="33">
        <v>51</v>
      </c>
    </row>
    <row r="253" spans="1:5" x14ac:dyDescent="0.3">
      <c r="A253" s="33">
        <v>0.16</v>
      </c>
      <c r="B253" s="33">
        <v>0.1515</v>
      </c>
      <c r="C253" s="33">
        <v>0.93</v>
      </c>
      <c r="D253" s="33">
        <v>0.19400000000000001</v>
      </c>
      <c r="E253" s="33">
        <v>32</v>
      </c>
    </row>
    <row r="254" spans="1:5" x14ac:dyDescent="0.3">
      <c r="A254" s="33">
        <v>0.16</v>
      </c>
      <c r="B254" s="33">
        <v>0.19700000000000001</v>
      </c>
      <c r="C254" s="33">
        <v>0.86</v>
      </c>
      <c r="D254" s="33">
        <v>8.9599999999999999E-2</v>
      </c>
      <c r="E254" s="33">
        <v>20</v>
      </c>
    </row>
    <row r="255" spans="1:5" x14ac:dyDescent="0.3">
      <c r="A255" s="33">
        <v>0.16</v>
      </c>
      <c r="B255" s="33">
        <v>0.18179999999999999</v>
      </c>
      <c r="C255" s="33">
        <v>0.93</v>
      </c>
      <c r="D255" s="33">
        <v>0.1045</v>
      </c>
      <c r="E255" s="33">
        <v>29</v>
      </c>
    </row>
    <row r="256" spans="1:5" x14ac:dyDescent="0.3">
      <c r="A256" s="33">
        <v>0.16</v>
      </c>
      <c r="B256" s="33">
        <v>0.19700000000000001</v>
      </c>
      <c r="C256" s="33">
        <v>0.93</v>
      </c>
      <c r="D256" s="33">
        <v>8.9599999999999999E-2</v>
      </c>
      <c r="E256" s="33">
        <v>19</v>
      </c>
    </row>
    <row r="257" spans="1:5" x14ac:dyDescent="0.3">
      <c r="A257" s="33">
        <v>0.16</v>
      </c>
      <c r="B257" s="33">
        <v>0.19700000000000001</v>
      </c>
      <c r="C257" s="33">
        <v>0.86</v>
      </c>
      <c r="D257" s="33">
        <v>8.9599999999999999E-2</v>
      </c>
      <c r="E257" s="33">
        <v>7</v>
      </c>
    </row>
    <row r="258" spans="1:5" x14ac:dyDescent="0.3">
      <c r="A258" s="33">
        <v>0.16</v>
      </c>
      <c r="B258" s="33">
        <v>0.18179999999999999</v>
      </c>
      <c r="C258" s="33">
        <v>0.86</v>
      </c>
      <c r="D258" s="33">
        <v>0.1045</v>
      </c>
      <c r="E258" s="33">
        <v>6</v>
      </c>
    </row>
    <row r="259" spans="1:5" x14ac:dyDescent="0.3">
      <c r="A259" s="33">
        <v>0.14000000000000001</v>
      </c>
      <c r="B259" s="33">
        <v>0.1515</v>
      </c>
      <c r="C259" s="33">
        <v>0.86</v>
      </c>
      <c r="D259" s="33">
        <v>0.1343</v>
      </c>
      <c r="E259" s="33">
        <v>1</v>
      </c>
    </row>
    <row r="260" spans="1:5" x14ac:dyDescent="0.3">
      <c r="A260" s="33">
        <v>0.14000000000000001</v>
      </c>
      <c r="B260" s="33">
        <v>0.1515</v>
      </c>
      <c r="C260" s="33">
        <v>0.86</v>
      </c>
      <c r="D260" s="33">
        <v>0.16420000000000001</v>
      </c>
      <c r="E260" s="33">
        <v>5</v>
      </c>
    </row>
    <row r="261" spans="1:5" x14ac:dyDescent="0.3">
      <c r="A261" s="33">
        <v>0.12</v>
      </c>
      <c r="B261" s="33">
        <v>0.1515</v>
      </c>
      <c r="C261" s="33">
        <v>0.93</v>
      </c>
      <c r="D261" s="33">
        <v>0.1343</v>
      </c>
      <c r="E261" s="33">
        <v>16</v>
      </c>
    </row>
    <row r="262" spans="1:5" x14ac:dyDescent="0.3">
      <c r="A262" s="33">
        <v>0.14000000000000001</v>
      </c>
      <c r="B262" s="33">
        <v>0.1515</v>
      </c>
      <c r="C262" s="33">
        <v>0.69</v>
      </c>
      <c r="D262" s="33">
        <v>0.1343</v>
      </c>
      <c r="E262" s="33">
        <v>54</v>
      </c>
    </row>
    <row r="263" spans="1:5" x14ac:dyDescent="0.3">
      <c r="A263" s="33">
        <v>0.16</v>
      </c>
      <c r="B263" s="33">
        <v>0.16669999999999999</v>
      </c>
      <c r="C263" s="33">
        <v>0.59</v>
      </c>
      <c r="D263" s="33">
        <v>0.16420000000000001</v>
      </c>
      <c r="E263" s="33">
        <v>128</v>
      </c>
    </row>
    <row r="264" spans="1:5" x14ac:dyDescent="0.3">
      <c r="A264" s="33">
        <v>0.16</v>
      </c>
      <c r="B264" s="33">
        <v>0.13639999999999999</v>
      </c>
      <c r="C264" s="33">
        <v>0.59</v>
      </c>
      <c r="D264" s="33">
        <v>0.32840000000000003</v>
      </c>
      <c r="E264" s="33">
        <v>81</v>
      </c>
    </row>
    <row r="265" spans="1:5" x14ac:dyDescent="0.3">
      <c r="A265" s="33">
        <v>0.18</v>
      </c>
      <c r="B265" s="33">
        <v>0.18179999999999999</v>
      </c>
      <c r="C265" s="33">
        <v>0.55000000000000004</v>
      </c>
      <c r="D265" s="33">
        <v>0.22389999999999999</v>
      </c>
      <c r="E265" s="33">
        <v>39</v>
      </c>
    </row>
    <row r="266" spans="1:5" x14ac:dyDescent="0.3">
      <c r="A266" s="33">
        <v>0.2</v>
      </c>
      <c r="B266" s="33">
        <v>0.18179999999999999</v>
      </c>
      <c r="C266" s="33">
        <v>0.51</v>
      </c>
      <c r="D266" s="33">
        <v>0.3881</v>
      </c>
      <c r="E266" s="33">
        <v>35</v>
      </c>
    </row>
    <row r="267" spans="1:5" x14ac:dyDescent="0.3">
      <c r="A267" s="33">
        <v>0.2</v>
      </c>
      <c r="B267" s="33">
        <v>0.1515</v>
      </c>
      <c r="C267" s="33">
        <v>0.47</v>
      </c>
      <c r="D267" s="33">
        <v>0.58209999999999995</v>
      </c>
      <c r="E267" s="33">
        <v>55</v>
      </c>
    </row>
    <row r="268" spans="1:5" x14ac:dyDescent="0.3">
      <c r="A268" s="33">
        <v>0.22</v>
      </c>
      <c r="B268" s="33">
        <v>0.19700000000000001</v>
      </c>
      <c r="C268" s="33">
        <v>0.44</v>
      </c>
      <c r="D268" s="33">
        <v>0.35820000000000002</v>
      </c>
      <c r="E268" s="33">
        <v>49</v>
      </c>
    </row>
    <row r="269" spans="1:5" x14ac:dyDescent="0.3">
      <c r="A269" s="33">
        <v>0.2</v>
      </c>
      <c r="B269" s="33">
        <v>0.18179999999999999</v>
      </c>
      <c r="C269" s="33">
        <v>0.47</v>
      </c>
      <c r="D269" s="33">
        <v>0.32840000000000003</v>
      </c>
      <c r="E269" s="33">
        <v>44</v>
      </c>
    </row>
    <row r="270" spans="1:5" x14ac:dyDescent="0.3">
      <c r="A270" s="33">
        <v>0.2</v>
      </c>
      <c r="B270" s="33">
        <v>0.16669999999999999</v>
      </c>
      <c r="C270" s="33">
        <v>0.47</v>
      </c>
      <c r="D270" s="33">
        <v>0.41789999999999999</v>
      </c>
      <c r="E270" s="33">
        <v>49</v>
      </c>
    </row>
    <row r="271" spans="1:5" x14ac:dyDescent="0.3">
      <c r="A271" s="33">
        <v>0.22</v>
      </c>
      <c r="B271" s="33">
        <v>0.19700000000000001</v>
      </c>
      <c r="C271" s="33">
        <v>0.44</v>
      </c>
      <c r="D271" s="33">
        <v>0.32840000000000003</v>
      </c>
      <c r="E271" s="33">
        <v>68</v>
      </c>
    </row>
    <row r="272" spans="1:5" x14ac:dyDescent="0.3">
      <c r="A272" s="33">
        <v>0.2</v>
      </c>
      <c r="B272" s="33">
        <v>0.18179999999999999</v>
      </c>
      <c r="C272" s="33">
        <v>0.47</v>
      </c>
      <c r="D272" s="33">
        <v>0.35820000000000002</v>
      </c>
      <c r="E272" s="33">
        <v>139</v>
      </c>
    </row>
    <row r="273" spans="1:5" x14ac:dyDescent="0.3">
      <c r="A273" s="33">
        <v>0.2</v>
      </c>
      <c r="B273" s="33">
        <v>0.1515</v>
      </c>
      <c r="C273" s="33">
        <v>0.47</v>
      </c>
      <c r="D273" s="33">
        <v>0.52239999999999998</v>
      </c>
      <c r="E273" s="33">
        <v>137</v>
      </c>
    </row>
    <row r="274" spans="1:5" x14ac:dyDescent="0.3">
      <c r="A274" s="33">
        <v>0.18</v>
      </c>
      <c r="B274" s="33">
        <v>0.1515</v>
      </c>
      <c r="C274" s="33">
        <v>0.47</v>
      </c>
      <c r="D274" s="33">
        <v>0.41789999999999999</v>
      </c>
      <c r="E274" s="33">
        <v>83</v>
      </c>
    </row>
    <row r="275" spans="1:5" x14ac:dyDescent="0.3">
      <c r="A275" s="33">
        <v>0.16</v>
      </c>
      <c r="B275" s="33">
        <v>0.13639999999999999</v>
      </c>
      <c r="C275" s="33">
        <v>0.5</v>
      </c>
      <c r="D275" s="33">
        <v>0.32840000000000003</v>
      </c>
      <c r="E275" s="33">
        <v>56</v>
      </c>
    </row>
    <row r="276" spans="1:5" x14ac:dyDescent="0.3">
      <c r="A276" s="33">
        <v>0.16</v>
      </c>
      <c r="B276" s="33">
        <v>0.13639999999999999</v>
      </c>
      <c r="C276" s="33">
        <v>0.55000000000000004</v>
      </c>
      <c r="D276" s="33">
        <v>0.32840000000000003</v>
      </c>
      <c r="E276" s="33">
        <v>57</v>
      </c>
    </row>
    <row r="277" spans="1:5" x14ac:dyDescent="0.3">
      <c r="A277" s="33">
        <v>0.16</v>
      </c>
      <c r="B277" s="33">
        <v>0.1212</v>
      </c>
      <c r="C277" s="33">
        <v>0.55000000000000004</v>
      </c>
      <c r="D277" s="33">
        <v>0.44779999999999998</v>
      </c>
      <c r="E277" s="33">
        <v>33</v>
      </c>
    </row>
    <row r="278" spans="1:5" x14ac:dyDescent="0.3">
      <c r="A278" s="33">
        <v>0.14000000000000001</v>
      </c>
      <c r="B278" s="33">
        <v>0.1061</v>
      </c>
      <c r="C278" s="33">
        <v>0.59</v>
      </c>
      <c r="D278" s="33">
        <v>0.41789999999999999</v>
      </c>
      <c r="E278" s="33">
        <v>20</v>
      </c>
    </row>
    <row r="279" spans="1:5" x14ac:dyDescent="0.3">
      <c r="A279" s="33">
        <v>0.14000000000000001</v>
      </c>
      <c r="B279" s="33">
        <v>0.1212</v>
      </c>
      <c r="C279" s="33">
        <v>0.59</v>
      </c>
      <c r="D279" s="33">
        <v>0.28360000000000002</v>
      </c>
      <c r="E279" s="33">
        <v>7</v>
      </c>
    </row>
    <row r="280" spans="1:5" x14ac:dyDescent="0.3">
      <c r="A280" s="33">
        <v>0.14000000000000001</v>
      </c>
      <c r="B280" s="33">
        <v>0.1212</v>
      </c>
      <c r="C280" s="33">
        <v>0.5</v>
      </c>
      <c r="D280" s="33">
        <v>0.28360000000000002</v>
      </c>
      <c r="E280" s="33">
        <v>2</v>
      </c>
    </row>
    <row r="281" spans="1:5" x14ac:dyDescent="0.3">
      <c r="A281" s="33">
        <v>0.14000000000000001</v>
      </c>
      <c r="B281" s="33">
        <v>0.1212</v>
      </c>
      <c r="C281" s="33">
        <v>0.5</v>
      </c>
      <c r="D281" s="33">
        <v>0.35820000000000002</v>
      </c>
      <c r="E281" s="33">
        <v>2</v>
      </c>
    </row>
    <row r="282" spans="1:5" x14ac:dyDescent="0.3">
      <c r="A282" s="33">
        <v>0.14000000000000001</v>
      </c>
      <c r="B282" s="33">
        <v>0.1212</v>
      </c>
      <c r="C282" s="33">
        <v>0.5</v>
      </c>
      <c r="D282" s="33">
        <v>0.32840000000000003</v>
      </c>
      <c r="E282" s="33">
        <v>3</v>
      </c>
    </row>
    <row r="283" spans="1:5" x14ac:dyDescent="0.3">
      <c r="A283" s="33">
        <v>0.14000000000000001</v>
      </c>
      <c r="B283" s="33">
        <v>0.1212</v>
      </c>
      <c r="C283" s="33">
        <v>0.5</v>
      </c>
      <c r="D283" s="33">
        <v>0.25369999999999998</v>
      </c>
      <c r="E283" s="33">
        <v>4</v>
      </c>
    </row>
    <row r="284" spans="1:5" x14ac:dyDescent="0.3">
      <c r="A284" s="33">
        <v>0.14000000000000001</v>
      </c>
      <c r="B284" s="33">
        <v>0.1212</v>
      </c>
      <c r="C284" s="33">
        <v>0.5</v>
      </c>
      <c r="D284" s="33">
        <v>0.29849999999999999</v>
      </c>
      <c r="E284" s="33">
        <v>3</v>
      </c>
    </row>
    <row r="285" spans="1:5" x14ac:dyDescent="0.3">
      <c r="A285" s="33">
        <v>0.12</v>
      </c>
      <c r="B285" s="33">
        <v>0.1515</v>
      </c>
      <c r="C285" s="33">
        <v>0.54</v>
      </c>
      <c r="D285" s="33">
        <v>0.1343</v>
      </c>
      <c r="E285" s="33">
        <v>28</v>
      </c>
    </row>
    <row r="286" spans="1:5" x14ac:dyDescent="0.3">
      <c r="A286" s="33">
        <v>0.12</v>
      </c>
      <c r="B286" s="33">
        <v>0.1515</v>
      </c>
      <c r="C286" s="33">
        <v>0.54</v>
      </c>
      <c r="D286" s="33">
        <v>0.1343</v>
      </c>
      <c r="E286" s="33">
        <v>72</v>
      </c>
    </row>
    <row r="287" spans="1:5" x14ac:dyDescent="0.3">
      <c r="A287" s="33">
        <v>0.14000000000000001</v>
      </c>
      <c r="B287" s="33">
        <v>0.13639999999999999</v>
      </c>
      <c r="C287" s="33">
        <v>0.5</v>
      </c>
      <c r="D287" s="33">
        <v>0.19400000000000001</v>
      </c>
      <c r="E287" s="33">
        <v>202</v>
      </c>
    </row>
    <row r="288" spans="1:5" x14ac:dyDescent="0.3">
      <c r="A288" s="33">
        <v>0.14000000000000001</v>
      </c>
      <c r="B288" s="33">
        <v>0.1212</v>
      </c>
      <c r="C288" s="33">
        <v>0.5</v>
      </c>
      <c r="D288" s="33">
        <v>0.32840000000000003</v>
      </c>
      <c r="E288" s="33">
        <v>139</v>
      </c>
    </row>
    <row r="289" spans="1:5" x14ac:dyDescent="0.3">
      <c r="A289" s="33">
        <v>0.16</v>
      </c>
      <c r="B289" s="33">
        <v>0.13639999999999999</v>
      </c>
      <c r="C289" s="33">
        <v>0.5</v>
      </c>
      <c r="D289" s="33">
        <v>0.35820000000000002</v>
      </c>
      <c r="E289" s="33">
        <v>38</v>
      </c>
    </row>
    <row r="290" spans="1:5" x14ac:dyDescent="0.3">
      <c r="A290" s="33">
        <v>0.2</v>
      </c>
      <c r="B290" s="33">
        <v>0.16669999999999999</v>
      </c>
      <c r="C290" s="33">
        <v>0.44</v>
      </c>
      <c r="D290" s="33">
        <v>0.44779999999999998</v>
      </c>
      <c r="E290" s="33">
        <v>37</v>
      </c>
    </row>
    <row r="291" spans="1:5" x14ac:dyDescent="0.3">
      <c r="A291" s="33">
        <v>0.2</v>
      </c>
      <c r="B291" s="33">
        <v>0.16669999999999999</v>
      </c>
      <c r="C291" s="33">
        <v>0.44</v>
      </c>
      <c r="D291" s="33">
        <v>0.41789999999999999</v>
      </c>
      <c r="E291" s="33">
        <v>52</v>
      </c>
    </row>
    <row r="292" spans="1:5" x14ac:dyDescent="0.3">
      <c r="A292" s="33">
        <v>0.22</v>
      </c>
      <c r="B292" s="33">
        <v>0.19700000000000001</v>
      </c>
      <c r="C292" s="33">
        <v>0.41</v>
      </c>
      <c r="D292" s="33">
        <v>0.44779999999999998</v>
      </c>
      <c r="E292" s="33">
        <v>83</v>
      </c>
    </row>
    <row r="293" spans="1:5" x14ac:dyDescent="0.3">
      <c r="A293" s="33">
        <v>0.22</v>
      </c>
      <c r="B293" s="33">
        <v>0.19700000000000001</v>
      </c>
      <c r="C293" s="33">
        <v>0.41</v>
      </c>
      <c r="D293" s="33">
        <v>0.3881</v>
      </c>
      <c r="E293" s="33">
        <v>42</v>
      </c>
    </row>
    <row r="294" spans="1:5" x14ac:dyDescent="0.3">
      <c r="A294" s="33">
        <v>0.24</v>
      </c>
      <c r="B294" s="33">
        <v>0.21210000000000001</v>
      </c>
      <c r="C294" s="33">
        <v>0.38</v>
      </c>
      <c r="D294" s="33">
        <v>0.29849999999999999</v>
      </c>
      <c r="E294" s="33">
        <v>60</v>
      </c>
    </row>
    <row r="295" spans="1:5" x14ac:dyDescent="0.3">
      <c r="A295" s="33">
        <v>0.24</v>
      </c>
      <c r="B295" s="33">
        <v>0.21210000000000001</v>
      </c>
      <c r="C295" s="33">
        <v>0.38</v>
      </c>
      <c r="D295" s="33">
        <v>0.35820000000000002</v>
      </c>
      <c r="E295" s="33">
        <v>78</v>
      </c>
    </row>
    <row r="296" spans="1:5" x14ac:dyDescent="0.3">
      <c r="A296" s="33">
        <v>0.2</v>
      </c>
      <c r="B296" s="33">
        <v>0.18179999999999999</v>
      </c>
      <c r="C296" s="33">
        <v>0.4</v>
      </c>
      <c r="D296" s="33">
        <v>0.28360000000000002</v>
      </c>
      <c r="E296" s="33">
        <v>162</v>
      </c>
    </row>
    <row r="297" spans="1:5" x14ac:dyDescent="0.3">
      <c r="A297" s="33">
        <v>0.2</v>
      </c>
      <c r="B297" s="33">
        <v>0.18179999999999999</v>
      </c>
      <c r="C297" s="33">
        <v>0.4</v>
      </c>
      <c r="D297" s="33">
        <v>0.32840000000000003</v>
      </c>
      <c r="E297" s="33">
        <v>144</v>
      </c>
    </row>
    <row r="298" spans="1:5" x14ac:dyDescent="0.3">
      <c r="A298" s="33">
        <v>0.16</v>
      </c>
      <c r="B298" s="33">
        <v>0.1515</v>
      </c>
      <c r="C298" s="33">
        <v>0.47</v>
      </c>
      <c r="D298" s="33">
        <v>0.25369999999999998</v>
      </c>
      <c r="E298" s="33">
        <v>99</v>
      </c>
    </row>
    <row r="299" spans="1:5" x14ac:dyDescent="0.3">
      <c r="A299" s="33">
        <v>0.16</v>
      </c>
      <c r="B299" s="33">
        <v>0.1515</v>
      </c>
      <c r="C299" s="33">
        <v>0.47</v>
      </c>
      <c r="D299" s="33">
        <v>0.22389999999999999</v>
      </c>
      <c r="E299" s="33">
        <v>64</v>
      </c>
    </row>
    <row r="300" spans="1:5" x14ac:dyDescent="0.3">
      <c r="A300" s="33">
        <v>0.14000000000000001</v>
      </c>
      <c r="B300" s="33">
        <v>0.1212</v>
      </c>
      <c r="C300" s="33">
        <v>0.46</v>
      </c>
      <c r="D300" s="33">
        <v>0.29849999999999999</v>
      </c>
      <c r="E300" s="33">
        <v>40</v>
      </c>
    </row>
    <row r="301" spans="1:5" x14ac:dyDescent="0.3">
      <c r="A301" s="33">
        <v>0.14000000000000001</v>
      </c>
      <c r="B301" s="33">
        <v>0.1212</v>
      </c>
      <c r="C301" s="33">
        <v>0.46</v>
      </c>
      <c r="D301" s="33">
        <v>0.32840000000000003</v>
      </c>
      <c r="E301" s="33">
        <v>30</v>
      </c>
    </row>
    <row r="302" spans="1:5" x14ac:dyDescent="0.3">
      <c r="A302" s="33">
        <v>0.12</v>
      </c>
      <c r="B302" s="33">
        <v>0.13639999999999999</v>
      </c>
      <c r="C302" s="33">
        <v>0.5</v>
      </c>
      <c r="D302" s="33">
        <v>0.19400000000000001</v>
      </c>
      <c r="E302" s="33">
        <v>15</v>
      </c>
    </row>
    <row r="303" spans="1:5" x14ac:dyDescent="0.3">
      <c r="A303" s="33">
        <v>0.12</v>
      </c>
      <c r="B303" s="33">
        <v>0.13639999999999999</v>
      </c>
      <c r="C303" s="33">
        <v>0.5</v>
      </c>
      <c r="D303" s="33">
        <v>0.19400000000000001</v>
      </c>
      <c r="E303" s="33">
        <v>14</v>
      </c>
    </row>
    <row r="304" spans="1:5" x14ac:dyDescent="0.3">
      <c r="A304" s="33">
        <v>0.1</v>
      </c>
      <c r="B304" s="33">
        <v>0.1212</v>
      </c>
      <c r="C304" s="33">
        <v>0.54</v>
      </c>
      <c r="D304" s="33">
        <v>0.16420000000000001</v>
      </c>
      <c r="E304" s="33">
        <v>5</v>
      </c>
    </row>
    <row r="305" spans="1:5" x14ac:dyDescent="0.3">
      <c r="A305" s="33">
        <v>0.1</v>
      </c>
      <c r="B305" s="33">
        <v>0.1212</v>
      </c>
      <c r="C305" s="33">
        <v>0.54</v>
      </c>
      <c r="D305" s="33">
        <v>0.1343</v>
      </c>
      <c r="E305" s="33">
        <v>1</v>
      </c>
    </row>
    <row r="306" spans="1:5" x14ac:dyDescent="0.3">
      <c r="A306" s="33">
        <v>0.1</v>
      </c>
      <c r="B306" s="33">
        <v>0.13639999999999999</v>
      </c>
      <c r="C306" s="33">
        <v>0.54</v>
      </c>
      <c r="D306" s="33">
        <v>0.1045</v>
      </c>
      <c r="E306" s="33">
        <v>1</v>
      </c>
    </row>
    <row r="307" spans="1:5" x14ac:dyDescent="0.3">
      <c r="A307" s="33">
        <v>0.1</v>
      </c>
      <c r="B307" s="33">
        <v>0.13639999999999999</v>
      </c>
      <c r="C307" s="33">
        <v>0.54</v>
      </c>
      <c r="D307" s="33">
        <v>8.9599999999999999E-2</v>
      </c>
      <c r="E307" s="33">
        <v>8</v>
      </c>
    </row>
    <row r="308" spans="1:5" x14ac:dyDescent="0.3">
      <c r="A308" s="33">
        <v>0.1</v>
      </c>
      <c r="B308" s="33">
        <v>0.18179999999999999</v>
      </c>
      <c r="C308" s="33">
        <v>0.54</v>
      </c>
      <c r="D308" s="33">
        <v>0</v>
      </c>
      <c r="E308" s="33">
        <v>17</v>
      </c>
    </row>
    <row r="309" spans="1:5" x14ac:dyDescent="0.3">
      <c r="A309" s="33">
        <v>0.1</v>
      </c>
      <c r="B309" s="33">
        <v>0.1212</v>
      </c>
      <c r="C309" s="33">
        <v>0.74</v>
      </c>
      <c r="D309" s="33">
        <v>0.16420000000000001</v>
      </c>
      <c r="E309" s="33">
        <v>70</v>
      </c>
    </row>
    <row r="310" spans="1:5" x14ac:dyDescent="0.3">
      <c r="A310" s="33">
        <v>0.12</v>
      </c>
      <c r="B310" s="33">
        <v>0.16669999999999999</v>
      </c>
      <c r="C310" s="33">
        <v>0.68</v>
      </c>
      <c r="D310" s="33">
        <v>0</v>
      </c>
      <c r="E310" s="33">
        <v>158</v>
      </c>
    </row>
    <row r="311" spans="1:5" x14ac:dyDescent="0.3">
      <c r="A311" s="33">
        <v>0.14000000000000001</v>
      </c>
      <c r="B311" s="33">
        <v>0.1515</v>
      </c>
      <c r="C311" s="33">
        <v>0.69</v>
      </c>
      <c r="D311" s="33">
        <v>0.1343</v>
      </c>
      <c r="E311" s="33">
        <v>117</v>
      </c>
    </row>
    <row r="312" spans="1:5" x14ac:dyDescent="0.3">
      <c r="A312" s="33">
        <v>0.18</v>
      </c>
      <c r="B312" s="33">
        <v>0.18179999999999999</v>
      </c>
      <c r="C312" s="33">
        <v>0.55000000000000004</v>
      </c>
      <c r="D312" s="33">
        <v>0.19400000000000001</v>
      </c>
      <c r="E312" s="33">
        <v>44</v>
      </c>
    </row>
    <row r="313" spans="1:5" x14ac:dyDescent="0.3">
      <c r="A313" s="33">
        <v>0.18</v>
      </c>
      <c r="B313" s="33">
        <v>0.16669999999999999</v>
      </c>
      <c r="C313" s="33">
        <v>0.51</v>
      </c>
      <c r="D313" s="33">
        <v>0.28360000000000002</v>
      </c>
      <c r="E313" s="33">
        <v>53</v>
      </c>
    </row>
    <row r="314" spans="1:5" x14ac:dyDescent="0.3">
      <c r="A314" s="33">
        <v>0.2</v>
      </c>
      <c r="B314" s="33">
        <v>0.19700000000000001</v>
      </c>
      <c r="C314" s="33">
        <v>0.44</v>
      </c>
      <c r="D314" s="33">
        <v>0.25369999999999998</v>
      </c>
      <c r="E314" s="33">
        <v>61</v>
      </c>
    </row>
    <row r="315" spans="1:5" x14ac:dyDescent="0.3">
      <c r="A315" s="33">
        <v>0.22</v>
      </c>
      <c r="B315" s="33">
        <v>0.19700000000000001</v>
      </c>
      <c r="C315" s="33">
        <v>0.37</v>
      </c>
      <c r="D315" s="33">
        <v>0.3881</v>
      </c>
      <c r="E315" s="33">
        <v>77</v>
      </c>
    </row>
    <row r="316" spans="1:5" x14ac:dyDescent="0.3">
      <c r="A316" s="33">
        <v>0.22</v>
      </c>
      <c r="B316" s="33">
        <v>0.21210000000000001</v>
      </c>
      <c r="C316" s="33">
        <v>0.41</v>
      </c>
      <c r="D316" s="33">
        <v>0.28360000000000002</v>
      </c>
      <c r="E316" s="33">
        <v>64</v>
      </c>
    </row>
    <row r="317" spans="1:5" x14ac:dyDescent="0.3">
      <c r="A317" s="33">
        <v>0.24</v>
      </c>
      <c r="B317" s="33">
        <v>0.2424</v>
      </c>
      <c r="C317" s="33">
        <v>0.38</v>
      </c>
      <c r="D317" s="33">
        <v>0.16420000000000001</v>
      </c>
      <c r="E317" s="33">
        <v>68</v>
      </c>
    </row>
    <row r="318" spans="1:5" x14ac:dyDescent="0.3">
      <c r="A318" s="33">
        <v>0.22</v>
      </c>
      <c r="B318" s="33">
        <v>0.2424</v>
      </c>
      <c r="C318" s="33">
        <v>0.41</v>
      </c>
      <c r="D318" s="33">
        <v>0.1045</v>
      </c>
      <c r="E318" s="33">
        <v>90</v>
      </c>
    </row>
    <row r="319" spans="1:5" x14ac:dyDescent="0.3">
      <c r="A319" s="33">
        <v>0.22</v>
      </c>
      <c r="B319" s="33">
        <v>0.2273</v>
      </c>
      <c r="C319" s="33">
        <v>0.41</v>
      </c>
      <c r="D319" s="33">
        <v>0.16420000000000001</v>
      </c>
      <c r="E319" s="33">
        <v>159</v>
      </c>
    </row>
    <row r="320" spans="1:5" x14ac:dyDescent="0.3">
      <c r="A320" s="33">
        <v>0.2</v>
      </c>
      <c r="B320" s="33">
        <v>0.2576</v>
      </c>
      <c r="C320" s="33">
        <v>0.47</v>
      </c>
      <c r="D320" s="33">
        <v>0</v>
      </c>
      <c r="E320" s="33">
        <v>139</v>
      </c>
    </row>
    <row r="321" spans="1:5" x14ac:dyDescent="0.3">
      <c r="A321" s="33">
        <v>0.16</v>
      </c>
      <c r="B321" s="33">
        <v>0.19700000000000001</v>
      </c>
      <c r="C321" s="33">
        <v>0.59</v>
      </c>
      <c r="D321" s="33">
        <v>8.9599999999999999E-2</v>
      </c>
      <c r="E321" s="33">
        <v>92</v>
      </c>
    </row>
    <row r="322" spans="1:5" x14ac:dyDescent="0.3">
      <c r="A322" s="33">
        <v>0.18</v>
      </c>
      <c r="B322" s="33">
        <v>0.2424</v>
      </c>
      <c r="C322" s="33">
        <v>0.59</v>
      </c>
      <c r="D322" s="33">
        <v>0</v>
      </c>
      <c r="E322" s="33">
        <v>68</v>
      </c>
    </row>
    <row r="323" spans="1:5" x14ac:dyDescent="0.3">
      <c r="A323" s="33">
        <v>0.16</v>
      </c>
      <c r="B323" s="33">
        <v>0.2273</v>
      </c>
      <c r="C323" s="33">
        <v>0.69</v>
      </c>
      <c r="D323" s="33">
        <v>0</v>
      </c>
      <c r="E323" s="33">
        <v>52</v>
      </c>
    </row>
    <row r="324" spans="1:5" x14ac:dyDescent="0.3">
      <c r="A324" s="33">
        <v>0.16</v>
      </c>
      <c r="B324" s="33">
        <v>0.2273</v>
      </c>
      <c r="C324" s="33">
        <v>0.69</v>
      </c>
      <c r="D324" s="33">
        <v>0</v>
      </c>
      <c r="E324" s="33">
        <v>36</v>
      </c>
    </row>
    <row r="325" spans="1:5" x14ac:dyDescent="0.3">
      <c r="A325" s="33">
        <v>0.18</v>
      </c>
      <c r="B325" s="33">
        <v>0.2424</v>
      </c>
      <c r="C325" s="33">
        <v>0.55000000000000004</v>
      </c>
      <c r="D325" s="33">
        <v>0</v>
      </c>
      <c r="E325" s="33">
        <v>27</v>
      </c>
    </row>
    <row r="326" spans="1:5" x14ac:dyDescent="0.3">
      <c r="A326" s="33">
        <v>0.18</v>
      </c>
      <c r="B326" s="33">
        <v>0.2424</v>
      </c>
      <c r="C326" s="33">
        <v>0.55000000000000004</v>
      </c>
      <c r="D326" s="33">
        <v>0</v>
      </c>
      <c r="E326" s="33">
        <v>28</v>
      </c>
    </row>
    <row r="327" spans="1:5" x14ac:dyDescent="0.3">
      <c r="A327" s="33">
        <v>0.16</v>
      </c>
      <c r="B327" s="33">
        <v>0.19700000000000001</v>
      </c>
      <c r="C327" s="33">
        <v>0.59</v>
      </c>
      <c r="D327" s="33">
        <v>8.9599999999999999E-2</v>
      </c>
      <c r="E327" s="33">
        <v>20</v>
      </c>
    </row>
    <row r="328" spans="1:5" x14ac:dyDescent="0.3">
      <c r="A328" s="33">
        <v>0.16</v>
      </c>
      <c r="B328" s="33">
        <v>0.19700000000000001</v>
      </c>
      <c r="C328" s="33">
        <v>0.59</v>
      </c>
      <c r="D328" s="33">
        <v>8.9599999999999999E-2</v>
      </c>
      <c r="E328" s="33">
        <v>12</v>
      </c>
    </row>
    <row r="329" spans="1:5" x14ac:dyDescent="0.3">
      <c r="A329" s="33">
        <v>0.16</v>
      </c>
      <c r="B329" s="33">
        <v>0.2273</v>
      </c>
      <c r="C329" s="33">
        <v>0.59</v>
      </c>
      <c r="D329" s="33">
        <v>0</v>
      </c>
      <c r="E329" s="33">
        <v>8</v>
      </c>
    </row>
    <row r="330" spans="1:5" x14ac:dyDescent="0.3">
      <c r="A330" s="33">
        <v>0.16</v>
      </c>
      <c r="B330" s="33">
        <v>0.2273</v>
      </c>
      <c r="C330" s="33">
        <v>0.59</v>
      </c>
      <c r="D330" s="33">
        <v>0</v>
      </c>
      <c r="E330" s="33">
        <v>5</v>
      </c>
    </row>
    <row r="331" spans="1:5" x14ac:dyDescent="0.3">
      <c r="A331" s="33">
        <v>0.16</v>
      </c>
      <c r="B331" s="33">
        <v>0.2273</v>
      </c>
      <c r="C331" s="33">
        <v>0.59</v>
      </c>
      <c r="D331" s="33">
        <v>0</v>
      </c>
      <c r="E331" s="33">
        <v>1</v>
      </c>
    </row>
    <row r="332" spans="1:5" x14ac:dyDescent="0.3">
      <c r="A332" s="33">
        <v>0.14000000000000001</v>
      </c>
      <c r="B332" s="33">
        <v>0.16669999999999999</v>
      </c>
      <c r="C332" s="33">
        <v>0.63</v>
      </c>
      <c r="D332" s="33">
        <v>0.1045</v>
      </c>
      <c r="E332" s="33">
        <v>3</v>
      </c>
    </row>
    <row r="333" spans="1:5" x14ac:dyDescent="0.3">
      <c r="A333" s="33">
        <v>0.14000000000000001</v>
      </c>
      <c r="B333" s="33">
        <v>0.21210000000000001</v>
      </c>
      <c r="C333" s="33">
        <v>0.63</v>
      </c>
      <c r="D333" s="33">
        <v>0</v>
      </c>
      <c r="E333" s="33">
        <v>10</v>
      </c>
    </row>
    <row r="334" spans="1:5" x14ac:dyDescent="0.3">
      <c r="A334" s="33">
        <v>0.14000000000000001</v>
      </c>
      <c r="B334" s="33">
        <v>0.1515</v>
      </c>
      <c r="C334" s="33">
        <v>0.63</v>
      </c>
      <c r="D334" s="33">
        <v>0.1343</v>
      </c>
      <c r="E334" s="33">
        <v>23</v>
      </c>
    </row>
    <row r="335" spans="1:5" x14ac:dyDescent="0.3">
      <c r="A335" s="33">
        <v>0.16</v>
      </c>
      <c r="B335" s="33">
        <v>0.18179999999999999</v>
      </c>
      <c r="C335" s="33">
        <v>0.64</v>
      </c>
      <c r="D335" s="33">
        <v>0.1343</v>
      </c>
      <c r="E335" s="33">
        <v>33</v>
      </c>
    </row>
    <row r="336" spans="1:5" x14ac:dyDescent="0.3">
      <c r="A336" s="33">
        <v>0.18</v>
      </c>
      <c r="B336" s="33">
        <v>0.19700000000000001</v>
      </c>
      <c r="C336" s="33">
        <v>0.59</v>
      </c>
      <c r="D336" s="33">
        <v>0.16420000000000001</v>
      </c>
      <c r="E336" s="33">
        <v>59</v>
      </c>
    </row>
    <row r="337" spans="1:5" x14ac:dyDescent="0.3">
      <c r="A337" s="33">
        <v>0.2</v>
      </c>
      <c r="B337" s="33">
        <v>0.19700000000000001</v>
      </c>
      <c r="C337" s="33">
        <v>0.55000000000000004</v>
      </c>
      <c r="D337" s="33">
        <v>0.22389999999999999</v>
      </c>
      <c r="E337" s="33">
        <v>72</v>
      </c>
    </row>
    <row r="338" spans="1:5" x14ac:dyDescent="0.3">
      <c r="A338" s="33">
        <v>0.24</v>
      </c>
      <c r="B338" s="33">
        <v>0.2273</v>
      </c>
      <c r="C338" s="33">
        <v>0.48</v>
      </c>
      <c r="D338" s="33">
        <v>0.22389999999999999</v>
      </c>
      <c r="E338" s="33">
        <v>89</v>
      </c>
    </row>
    <row r="339" spans="1:5" x14ac:dyDescent="0.3">
      <c r="A339" s="33">
        <v>0.28000000000000003</v>
      </c>
      <c r="B339" s="33">
        <v>0.2576</v>
      </c>
      <c r="C339" s="33">
        <v>0.38</v>
      </c>
      <c r="D339" s="33">
        <v>0.29849999999999999</v>
      </c>
      <c r="E339" s="33">
        <v>101</v>
      </c>
    </row>
    <row r="340" spans="1:5" x14ac:dyDescent="0.3">
      <c r="A340" s="33">
        <v>0.3</v>
      </c>
      <c r="B340" s="33">
        <v>0.28789999999999999</v>
      </c>
      <c r="C340" s="33">
        <v>0.39</v>
      </c>
      <c r="D340" s="33">
        <v>0.28360000000000002</v>
      </c>
      <c r="E340" s="33">
        <v>118</v>
      </c>
    </row>
    <row r="341" spans="1:5" x14ac:dyDescent="0.3">
      <c r="A341" s="33">
        <v>0.32</v>
      </c>
      <c r="B341" s="33">
        <v>0.31819999999999998</v>
      </c>
      <c r="C341" s="33">
        <v>0.36</v>
      </c>
      <c r="D341" s="33">
        <v>0.19400000000000001</v>
      </c>
      <c r="E341" s="33">
        <v>129</v>
      </c>
    </row>
    <row r="342" spans="1:5" x14ac:dyDescent="0.3">
      <c r="A342" s="33">
        <v>0.34</v>
      </c>
      <c r="B342" s="33">
        <v>0.33329999999999999</v>
      </c>
      <c r="C342" s="33">
        <v>0.34</v>
      </c>
      <c r="D342" s="33">
        <v>0.19400000000000001</v>
      </c>
      <c r="E342" s="33">
        <v>128</v>
      </c>
    </row>
    <row r="343" spans="1:5" x14ac:dyDescent="0.3">
      <c r="A343" s="33">
        <v>0.32</v>
      </c>
      <c r="B343" s="33">
        <v>0.30299999999999999</v>
      </c>
      <c r="C343" s="33">
        <v>0.36</v>
      </c>
      <c r="D343" s="33">
        <v>0.28360000000000002</v>
      </c>
      <c r="E343" s="33">
        <v>83</v>
      </c>
    </row>
    <row r="344" spans="1:5" x14ac:dyDescent="0.3">
      <c r="A344" s="33">
        <v>0.3</v>
      </c>
      <c r="B344" s="33">
        <v>0.28789999999999999</v>
      </c>
      <c r="C344" s="33">
        <v>0.45</v>
      </c>
      <c r="D344" s="33">
        <v>0.25369999999999998</v>
      </c>
      <c r="E344" s="33">
        <v>84</v>
      </c>
    </row>
    <row r="345" spans="1:5" x14ac:dyDescent="0.3">
      <c r="A345" s="33">
        <v>0.32</v>
      </c>
      <c r="B345" s="33">
        <v>0.30299999999999999</v>
      </c>
      <c r="C345" s="33">
        <v>0.39</v>
      </c>
      <c r="D345" s="33">
        <v>0.25369999999999998</v>
      </c>
      <c r="E345" s="33">
        <v>74</v>
      </c>
    </row>
    <row r="346" spans="1:5" x14ac:dyDescent="0.3">
      <c r="A346" s="33">
        <v>0.32</v>
      </c>
      <c r="B346" s="33">
        <v>0.30299999999999999</v>
      </c>
      <c r="C346" s="33">
        <v>0.39</v>
      </c>
      <c r="D346" s="33">
        <v>0.25369999999999998</v>
      </c>
      <c r="E346" s="33">
        <v>41</v>
      </c>
    </row>
    <row r="347" spans="1:5" x14ac:dyDescent="0.3">
      <c r="A347" s="33">
        <v>0.32</v>
      </c>
      <c r="B347" s="33">
        <v>0.30299999999999999</v>
      </c>
      <c r="C347" s="33">
        <v>0.39</v>
      </c>
      <c r="D347" s="33">
        <v>0.22389999999999999</v>
      </c>
      <c r="E347" s="33">
        <v>57</v>
      </c>
    </row>
    <row r="348" spans="1:5" x14ac:dyDescent="0.3">
      <c r="A348" s="33">
        <v>0.3</v>
      </c>
      <c r="B348" s="33">
        <v>0.31819999999999998</v>
      </c>
      <c r="C348" s="33">
        <v>0.42</v>
      </c>
      <c r="D348" s="33">
        <v>0.1045</v>
      </c>
      <c r="E348" s="33">
        <v>26</v>
      </c>
    </row>
    <row r="349" spans="1:5" x14ac:dyDescent="0.3">
      <c r="A349" s="33">
        <v>0.3</v>
      </c>
      <c r="B349" s="33">
        <v>0.28789999999999999</v>
      </c>
      <c r="C349" s="33">
        <v>0.45</v>
      </c>
      <c r="D349" s="33">
        <v>0.28360000000000002</v>
      </c>
      <c r="E349" s="33">
        <v>44</v>
      </c>
    </row>
    <row r="350" spans="1:5" x14ac:dyDescent="0.3">
      <c r="A350" s="33">
        <v>0.26</v>
      </c>
      <c r="B350" s="33">
        <v>0.30299999999999999</v>
      </c>
      <c r="C350" s="33">
        <v>0.56000000000000005</v>
      </c>
      <c r="D350" s="33">
        <v>0</v>
      </c>
      <c r="E350" s="33">
        <v>39</v>
      </c>
    </row>
    <row r="351" spans="1:5" x14ac:dyDescent="0.3">
      <c r="A351" s="33">
        <v>0.26</v>
      </c>
      <c r="B351" s="33">
        <v>0.2727</v>
      </c>
      <c r="C351" s="33">
        <v>0.56000000000000005</v>
      </c>
      <c r="D351" s="33">
        <v>0.1343</v>
      </c>
      <c r="E351" s="33">
        <v>23</v>
      </c>
    </row>
    <row r="352" spans="1:5" x14ac:dyDescent="0.3">
      <c r="A352" s="33">
        <v>0.26</v>
      </c>
      <c r="B352" s="33">
        <v>0.28789999999999999</v>
      </c>
      <c r="C352" s="33">
        <v>0.56000000000000005</v>
      </c>
      <c r="D352" s="33">
        <v>8.9599999999999999E-2</v>
      </c>
      <c r="E352" s="33">
        <v>16</v>
      </c>
    </row>
    <row r="353" spans="1:5" x14ac:dyDescent="0.3">
      <c r="A353" s="33">
        <v>0.22</v>
      </c>
      <c r="B353" s="33">
        <v>0.2727</v>
      </c>
      <c r="C353" s="33">
        <v>0.69</v>
      </c>
      <c r="D353" s="33">
        <v>0</v>
      </c>
      <c r="E353" s="33">
        <v>15</v>
      </c>
    </row>
    <row r="354" spans="1:5" x14ac:dyDescent="0.3">
      <c r="A354" s="33">
        <v>0.26</v>
      </c>
      <c r="B354" s="33">
        <v>0.2576</v>
      </c>
      <c r="C354" s="33">
        <v>0.56000000000000005</v>
      </c>
      <c r="D354" s="33">
        <v>0.16420000000000001</v>
      </c>
      <c r="E354" s="33">
        <v>1</v>
      </c>
    </row>
    <row r="355" spans="1:5" x14ac:dyDescent="0.3">
      <c r="A355" s="33">
        <v>0.26</v>
      </c>
      <c r="B355" s="33">
        <v>0.2576</v>
      </c>
      <c r="C355" s="33">
        <v>0.56000000000000005</v>
      </c>
      <c r="D355" s="33">
        <v>0.16420000000000001</v>
      </c>
      <c r="E355" s="33">
        <v>2</v>
      </c>
    </row>
    <row r="356" spans="1:5" x14ac:dyDescent="0.3">
      <c r="A356" s="33">
        <v>0.26</v>
      </c>
      <c r="B356" s="33">
        <v>0.2576</v>
      </c>
      <c r="C356" s="33">
        <v>0.56000000000000005</v>
      </c>
      <c r="D356" s="33">
        <v>0.16420000000000001</v>
      </c>
      <c r="E356" s="33">
        <v>1</v>
      </c>
    </row>
    <row r="357" spans="1:5" x14ac:dyDescent="0.3">
      <c r="A357" s="33">
        <v>0.24</v>
      </c>
      <c r="B357" s="33">
        <v>0.21210000000000001</v>
      </c>
      <c r="C357" s="33">
        <v>0.56000000000000005</v>
      </c>
      <c r="D357" s="33">
        <v>0.29849999999999999</v>
      </c>
      <c r="E357" s="33">
        <v>3</v>
      </c>
    </row>
    <row r="358" spans="1:5" x14ac:dyDescent="0.3">
      <c r="A358" s="33">
        <v>0.22</v>
      </c>
      <c r="B358" s="33">
        <v>0.21210000000000001</v>
      </c>
      <c r="C358" s="33">
        <v>0.55000000000000004</v>
      </c>
      <c r="D358" s="33">
        <v>0.28360000000000002</v>
      </c>
      <c r="E358" s="33">
        <v>18</v>
      </c>
    </row>
    <row r="359" spans="1:5" x14ac:dyDescent="0.3">
      <c r="A359" s="33">
        <v>0.22</v>
      </c>
      <c r="B359" s="33">
        <v>0.21210000000000001</v>
      </c>
      <c r="C359" s="33">
        <v>0.51</v>
      </c>
      <c r="D359" s="33">
        <v>0.25369999999999998</v>
      </c>
      <c r="E359" s="33">
        <v>32</v>
      </c>
    </row>
    <row r="360" spans="1:5" x14ac:dyDescent="0.3">
      <c r="A360" s="33">
        <v>0.22</v>
      </c>
      <c r="B360" s="33">
        <v>0.21210000000000001</v>
      </c>
      <c r="C360" s="33">
        <v>0.51</v>
      </c>
      <c r="D360" s="33">
        <v>0.28360000000000002</v>
      </c>
      <c r="E360" s="33">
        <v>79</v>
      </c>
    </row>
    <row r="361" spans="1:5" x14ac:dyDescent="0.3">
      <c r="A361" s="33">
        <v>0.24</v>
      </c>
      <c r="B361" s="33">
        <v>0.2273</v>
      </c>
      <c r="C361" s="33">
        <v>0.44</v>
      </c>
      <c r="D361" s="33">
        <v>0.25369999999999998</v>
      </c>
      <c r="E361" s="33">
        <v>93</v>
      </c>
    </row>
    <row r="362" spans="1:5" x14ac:dyDescent="0.3">
      <c r="A362" s="33">
        <v>0.24</v>
      </c>
      <c r="B362" s="33">
        <v>0.21210000000000001</v>
      </c>
      <c r="C362" s="33">
        <v>0.41</v>
      </c>
      <c r="D362" s="33">
        <v>0.28360000000000002</v>
      </c>
      <c r="E362" s="33">
        <v>104</v>
      </c>
    </row>
    <row r="363" spans="1:5" x14ac:dyDescent="0.3">
      <c r="A363" s="33">
        <v>0.26</v>
      </c>
      <c r="B363" s="33">
        <v>0.2273</v>
      </c>
      <c r="C363" s="33">
        <v>0.35</v>
      </c>
      <c r="D363" s="33">
        <v>0.29849999999999999</v>
      </c>
      <c r="E363" s="33">
        <v>118</v>
      </c>
    </row>
    <row r="364" spans="1:5" x14ac:dyDescent="0.3">
      <c r="A364" s="33">
        <v>0.28000000000000003</v>
      </c>
      <c r="B364" s="33">
        <v>0.2727</v>
      </c>
      <c r="C364" s="33">
        <v>0.36</v>
      </c>
      <c r="D364" s="33">
        <v>0.25369999999999998</v>
      </c>
      <c r="E364" s="33">
        <v>91</v>
      </c>
    </row>
    <row r="365" spans="1:5" x14ac:dyDescent="0.3">
      <c r="A365" s="33">
        <v>0.26</v>
      </c>
      <c r="B365" s="33">
        <v>0.2424</v>
      </c>
      <c r="C365" s="33">
        <v>0.38</v>
      </c>
      <c r="D365" s="33">
        <v>0.25369999999999998</v>
      </c>
      <c r="E365" s="33">
        <v>113</v>
      </c>
    </row>
    <row r="366" spans="1:5" x14ac:dyDescent="0.3">
      <c r="A366" s="33">
        <v>0.24</v>
      </c>
      <c r="B366" s="33">
        <v>0.2273</v>
      </c>
      <c r="C366" s="33">
        <v>0.38</v>
      </c>
      <c r="D366" s="33">
        <v>0.22389999999999999</v>
      </c>
      <c r="E366" s="33">
        <v>99</v>
      </c>
    </row>
    <row r="367" spans="1:5" x14ac:dyDescent="0.3">
      <c r="A367" s="33">
        <v>0.22</v>
      </c>
      <c r="B367" s="33">
        <v>0.21210000000000001</v>
      </c>
      <c r="C367" s="33">
        <v>0.37</v>
      </c>
      <c r="D367" s="33">
        <v>0.25369999999999998</v>
      </c>
      <c r="E367" s="33">
        <v>105</v>
      </c>
    </row>
    <row r="368" spans="1:5" x14ac:dyDescent="0.3">
      <c r="A368" s="33">
        <v>0.2</v>
      </c>
      <c r="B368" s="33">
        <v>0.21210000000000001</v>
      </c>
      <c r="C368" s="33">
        <v>0.4</v>
      </c>
      <c r="D368" s="33">
        <v>0.16420000000000001</v>
      </c>
      <c r="E368" s="33">
        <v>67</v>
      </c>
    </row>
    <row r="369" spans="1:5" x14ac:dyDescent="0.3">
      <c r="A369" s="33">
        <v>0.18</v>
      </c>
      <c r="B369" s="33">
        <v>0.19700000000000001</v>
      </c>
      <c r="C369" s="33">
        <v>0.47</v>
      </c>
      <c r="D369" s="33">
        <v>0.1343</v>
      </c>
      <c r="E369" s="33">
        <v>61</v>
      </c>
    </row>
    <row r="370" spans="1:5" x14ac:dyDescent="0.3">
      <c r="A370" s="33">
        <v>0.18</v>
      </c>
      <c r="B370" s="33">
        <v>0.19700000000000001</v>
      </c>
      <c r="C370" s="33">
        <v>0.47</v>
      </c>
      <c r="D370" s="33">
        <v>0.16420000000000001</v>
      </c>
      <c r="E370" s="33">
        <v>57</v>
      </c>
    </row>
    <row r="371" spans="1:5" x14ac:dyDescent="0.3">
      <c r="A371" s="33">
        <v>0.18</v>
      </c>
      <c r="B371" s="33">
        <v>0.19700000000000001</v>
      </c>
      <c r="C371" s="33">
        <v>0.51</v>
      </c>
      <c r="D371" s="33">
        <v>0.16420000000000001</v>
      </c>
      <c r="E371" s="33">
        <v>28</v>
      </c>
    </row>
    <row r="372" spans="1:5" x14ac:dyDescent="0.3">
      <c r="A372" s="33">
        <v>0.2</v>
      </c>
      <c r="B372" s="33">
        <v>0.21210000000000001</v>
      </c>
      <c r="C372" s="33">
        <v>0.49</v>
      </c>
      <c r="D372" s="33">
        <v>0.1343</v>
      </c>
      <c r="E372" s="33">
        <v>21</v>
      </c>
    </row>
    <row r="373" spans="1:5" x14ac:dyDescent="0.3">
      <c r="A373" s="33">
        <v>0.2</v>
      </c>
      <c r="B373" s="33">
        <v>0.2273</v>
      </c>
      <c r="C373" s="33">
        <v>0.4</v>
      </c>
      <c r="D373" s="33">
        <v>0.1045</v>
      </c>
      <c r="E373" s="33">
        <v>18</v>
      </c>
    </row>
    <row r="374" spans="1:5" x14ac:dyDescent="0.3">
      <c r="A374" s="33">
        <v>0.2</v>
      </c>
      <c r="B374" s="33">
        <v>0.19700000000000001</v>
      </c>
      <c r="C374" s="33">
        <v>0.47</v>
      </c>
      <c r="D374" s="33">
        <v>0.22389999999999999</v>
      </c>
      <c r="E374" s="33">
        <v>17</v>
      </c>
    </row>
    <row r="375" spans="1:5" x14ac:dyDescent="0.3">
      <c r="A375" s="33">
        <v>0.2</v>
      </c>
      <c r="B375" s="33">
        <v>0.19700000000000001</v>
      </c>
      <c r="C375" s="33">
        <v>0.44</v>
      </c>
      <c r="D375" s="33">
        <v>0.19400000000000001</v>
      </c>
      <c r="E375" s="33">
        <v>16</v>
      </c>
    </row>
    <row r="376" spans="1:5" x14ac:dyDescent="0.3">
      <c r="A376" s="33">
        <v>0.18</v>
      </c>
      <c r="B376" s="33">
        <v>0.16669999999999999</v>
      </c>
      <c r="C376" s="33">
        <v>0.43</v>
      </c>
      <c r="D376" s="33">
        <v>0.25369999999999998</v>
      </c>
      <c r="E376" s="33">
        <v>8</v>
      </c>
    </row>
    <row r="377" spans="1:5" x14ac:dyDescent="0.3">
      <c r="A377" s="33">
        <v>0.18</v>
      </c>
      <c r="B377" s="33">
        <v>0.18179999999999999</v>
      </c>
      <c r="C377" s="33">
        <v>0.43</v>
      </c>
      <c r="D377" s="33">
        <v>0.19400000000000001</v>
      </c>
      <c r="E377" s="33">
        <v>2</v>
      </c>
    </row>
    <row r="378" spans="1:5" x14ac:dyDescent="0.3">
      <c r="A378" s="33">
        <v>0.18</v>
      </c>
      <c r="B378" s="33">
        <v>0.19700000000000001</v>
      </c>
      <c r="C378" s="33">
        <v>0.43</v>
      </c>
      <c r="D378" s="33">
        <v>0.1343</v>
      </c>
      <c r="E378" s="33">
        <v>3</v>
      </c>
    </row>
    <row r="379" spans="1:5" x14ac:dyDescent="0.3">
      <c r="A379" s="33">
        <v>0.18</v>
      </c>
      <c r="B379" s="33">
        <v>0.19700000000000001</v>
      </c>
      <c r="C379" s="33">
        <v>0.43</v>
      </c>
      <c r="D379" s="33">
        <v>0.16420000000000001</v>
      </c>
      <c r="E379" s="33">
        <v>1</v>
      </c>
    </row>
    <row r="380" spans="1:5" x14ac:dyDescent="0.3">
      <c r="A380" s="33">
        <v>0.18</v>
      </c>
      <c r="B380" s="33">
        <v>0.18179999999999999</v>
      </c>
      <c r="C380" s="33">
        <v>0.43</v>
      </c>
      <c r="D380" s="33">
        <v>0.19400000000000001</v>
      </c>
      <c r="E380" s="33">
        <v>5</v>
      </c>
    </row>
    <row r="381" spans="1:5" x14ac:dyDescent="0.3">
      <c r="A381" s="33">
        <v>0.16</v>
      </c>
      <c r="B381" s="33">
        <v>0.18179999999999999</v>
      </c>
      <c r="C381" s="33">
        <v>0.5</v>
      </c>
      <c r="D381" s="33">
        <v>0.1343</v>
      </c>
      <c r="E381" s="33">
        <v>13</v>
      </c>
    </row>
    <row r="382" spans="1:5" x14ac:dyDescent="0.3">
      <c r="A382" s="33">
        <v>0.16</v>
      </c>
      <c r="B382" s="33">
        <v>0.1515</v>
      </c>
      <c r="C382" s="33">
        <v>0.47</v>
      </c>
      <c r="D382" s="33">
        <v>0.22389999999999999</v>
      </c>
      <c r="E382" s="33">
        <v>33</v>
      </c>
    </row>
    <row r="383" spans="1:5" x14ac:dyDescent="0.3">
      <c r="A383" s="33">
        <v>0.16</v>
      </c>
      <c r="B383" s="33">
        <v>0.1515</v>
      </c>
      <c r="C383" s="33">
        <v>0.47</v>
      </c>
      <c r="D383" s="33">
        <v>0.22389999999999999</v>
      </c>
      <c r="E383" s="33">
        <v>47</v>
      </c>
    </row>
    <row r="384" spans="1:5" x14ac:dyDescent="0.3">
      <c r="A384" s="33">
        <v>0.16</v>
      </c>
      <c r="B384" s="33">
        <v>0.1515</v>
      </c>
      <c r="C384" s="33">
        <v>0.5</v>
      </c>
      <c r="D384" s="33">
        <v>0.25369999999999998</v>
      </c>
      <c r="E384" s="33">
        <v>57</v>
      </c>
    </row>
    <row r="385" spans="1:5" x14ac:dyDescent="0.3">
      <c r="A385" s="33">
        <v>0.16</v>
      </c>
      <c r="B385" s="33">
        <v>0.1515</v>
      </c>
      <c r="C385" s="33">
        <v>0.55000000000000004</v>
      </c>
      <c r="D385" s="33">
        <v>0.19400000000000001</v>
      </c>
      <c r="E385" s="33">
        <v>64</v>
      </c>
    </row>
    <row r="386" spans="1:5" x14ac:dyDescent="0.3">
      <c r="A386" s="33">
        <v>0.18</v>
      </c>
      <c r="B386" s="33">
        <v>0.19700000000000001</v>
      </c>
      <c r="C386" s="33">
        <v>0.47</v>
      </c>
      <c r="D386" s="33">
        <v>0.1343</v>
      </c>
      <c r="E386" s="33">
        <v>80</v>
      </c>
    </row>
    <row r="387" spans="1:5" x14ac:dyDescent="0.3">
      <c r="A387" s="33">
        <v>0.18</v>
      </c>
      <c r="B387" s="33">
        <v>0.19700000000000001</v>
      </c>
      <c r="C387" s="33">
        <v>0.47</v>
      </c>
      <c r="D387" s="33">
        <v>0.1343</v>
      </c>
      <c r="E387" s="33">
        <v>93</v>
      </c>
    </row>
    <row r="388" spans="1:5" x14ac:dyDescent="0.3">
      <c r="A388" s="33">
        <v>0.18</v>
      </c>
      <c r="B388" s="33">
        <v>0.21210000000000001</v>
      </c>
      <c r="C388" s="33">
        <v>0.43</v>
      </c>
      <c r="D388" s="33">
        <v>0.1045</v>
      </c>
      <c r="E388" s="33">
        <v>86</v>
      </c>
    </row>
    <row r="389" spans="1:5" x14ac:dyDescent="0.3">
      <c r="A389" s="33">
        <v>0.2</v>
      </c>
      <c r="B389" s="33">
        <v>0.21210000000000001</v>
      </c>
      <c r="C389" s="33">
        <v>0.47</v>
      </c>
      <c r="D389" s="33">
        <v>0.16420000000000001</v>
      </c>
      <c r="E389" s="33">
        <v>93</v>
      </c>
    </row>
    <row r="390" spans="1:5" x14ac:dyDescent="0.3">
      <c r="A390" s="33">
        <v>0.2</v>
      </c>
      <c r="B390" s="33">
        <v>0.21210000000000001</v>
      </c>
      <c r="C390" s="33">
        <v>0.47</v>
      </c>
      <c r="D390" s="33">
        <v>0.16420000000000001</v>
      </c>
      <c r="E390" s="33">
        <v>82</v>
      </c>
    </row>
    <row r="391" spans="1:5" x14ac:dyDescent="0.3">
      <c r="A391" s="33">
        <v>0.2</v>
      </c>
      <c r="B391" s="33">
        <v>0.19700000000000001</v>
      </c>
      <c r="C391" s="33">
        <v>0.51</v>
      </c>
      <c r="D391" s="33">
        <v>0.19400000000000001</v>
      </c>
      <c r="E391" s="33">
        <v>71</v>
      </c>
    </row>
    <row r="392" spans="1:5" x14ac:dyDescent="0.3">
      <c r="A392" s="33">
        <v>0.18</v>
      </c>
      <c r="B392" s="33">
        <v>0.16669999999999999</v>
      </c>
      <c r="C392" s="33">
        <v>0.55000000000000004</v>
      </c>
      <c r="D392" s="33">
        <v>0.25369999999999998</v>
      </c>
      <c r="E392" s="33">
        <v>92</v>
      </c>
    </row>
    <row r="393" spans="1:5" x14ac:dyDescent="0.3">
      <c r="A393" s="33">
        <v>0.18</v>
      </c>
      <c r="B393" s="33">
        <v>0.18179999999999999</v>
      </c>
      <c r="C393" s="33">
        <v>0.59</v>
      </c>
      <c r="D393" s="33">
        <v>0.19400000000000001</v>
      </c>
      <c r="E393" s="33">
        <v>60</v>
      </c>
    </row>
    <row r="394" spans="1:5" x14ac:dyDescent="0.3">
      <c r="A394" s="33">
        <v>0.16</v>
      </c>
      <c r="B394" s="33">
        <v>0.1515</v>
      </c>
      <c r="C394" s="33">
        <v>0.8</v>
      </c>
      <c r="D394" s="33">
        <v>0.19400000000000001</v>
      </c>
      <c r="E394" s="33">
        <v>33</v>
      </c>
    </row>
    <row r="395" spans="1:5" x14ac:dyDescent="0.3">
      <c r="A395" s="33">
        <v>0.16</v>
      </c>
      <c r="B395" s="33">
        <v>0.1515</v>
      </c>
      <c r="C395" s="33">
        <v>0.8</v>
      </c>
      <c r="D395" s="33">
        <v>0.19400000000000001</v>
      </c>
      <c r="E395" s="33">
        <v>27</v>
      </c>
    </row>
    <row r="396" spans="1:5" x14ac:dyDescent="0.3">
      <c r="A396" s="33">
        <v>0.14000000000000001</v>
      </c>
      <c r="B396" s="33">
        <v>0.1212</v>
      </c>
      <c r="C396" s="33">
        <v>0.93</v>
      </c>
      <c r="D396" s="33">
        <v>0.25369999999999998</v>
      </c>
      <c r="E396" s="33">
        <v>13</v>
      </c>
    </row>
    <row r="397" spans="1:5" x14ac:dyDescent="0.3">
      <c r="A397" s="33">
        <v>0.16</v>
      </c>
      <c r="B397" s="33">
        <v>0.13639999999999999</v>
      </c>
      <c r="C397" s="33">
        <v>0.86</v>
      </c>
      <c r="D397" s="33">
        <v>0.28360000000000002</v>
      </c>
      <c r="E397" s="33">
        <v>4</v>
      </c>
    </row>
    <row r="398" spans="1:5" x14ac:dyDescent="0.3">
      <c r="A398" s="33">
        <v>0.2</v>
      </c>
      <c r="B398" s="33">
        <v>0.18179999999999999</v>
      </c>
      <c r="C398" s="33">
        <v>0.86</v>
      </c>
      <c r="D398" s="33">
        <v>0.32840000000000003</v>
      </c>
      <c r="E398" s="33">
        <v>3</v>
      </c>
    </row>
    <row r="399" spans="1:5" x14ac:dyDescent="0.3">
      <c r="A399" s="33">
        <v>0.2</v>
      </c>
      <c r="B399" s="33">
        <v>0.19700000000000001</v>
      </c>
      <c r="C399" s="33">
        <v>0.86</v>
      </c>
      <c r="D399" s="33">
        <v>0.22389999999999999</v>
      </c>
      <c r="E399" s="33">
        <v>22</v>
      </c>
    </row>
    <row r="400" spans="1:5" x14ac:dyDescent="0.3">
      <c r="A400" s="33">
        <v>0.22</v>
      </c>
      <c r="B400" s="33">
        <v>0.2273</v>
      </c>
      <c r="C400" s="33">
        <v>0.8</v>
      </c>
      <c r="D400" s="33">
        <v>0.16420000000000001</v>
      </c>
      <c r="E400" s="33">
        <v>28</v>
      </c>
    </row>
    <row r="401" spans="1:5" x14ac:dyDescent="0.3">
      <c r="A401" s="33">
        <v>0.22</v>
      </c>
      <c r="B401" s="33">
        <v>0.2273</v>
      </c>
      <c r="C401" s="33">
        <v>0.87</v>
      </c>
      <c r="D401" s="33">
        <v>0.16420000000000001</v>
      </c>
      <c r="E401" s="33">
        <v>35</v>
      </c>
    </row>
    <row r="402" spans="1:5" x14ac:dyDescent="0.3">
      <c r="A402" s="33">
        <v>0.22</v>
      </c>
      <c r="B402" s="33">
        <v>0.2273</v>
      </c>
      <c r="C402" s="33">
        <v>0.87</v>
      </c>
      <c r="D402" s="33">
        <v>0.19400000000000001</v>
      </c>
      <c r="E402" s="33">
        <v>61</v>
      </c>
    </row>
    <row r="403" spans="1:5" x14ac:dyDescent="0.3">
      <c r="A403" s="33">
        <v>0.22</v>
      </c>
      <c r="B403" s="33">
        <v>0.2273</v>
      </c>
      <c r="C403" s="33">
        <v>0.82</v>
      </c>
      <c r="D403" s="33">
        <v>0.19400000000000001</v>
      </c>
      <c r="E403" s="33">
        <v>125</v>
      </c>
    </row>
    <row r="404" spans="1:5" x14ac:dyDescent="0.3">
      <c r="A404" s="33">
        <v>0.22</v>
      </c>
      <c r="B404" s="33">
        <v>0.2273</v>
      </c>
      <c r="C404" s="33">
        <v>0.8</v>
      </c>
      <c r="D404" s="33">
        <v>0.16420000000000001</v>
      </c>
      <c r="E404" s="33">
        <v>133</v>
      </c>
    </row>
    <row r="405" spans="1:5" x14ac:dyDescent="0.3">
      <c r="A405" s="33">
        <v>0.22</v>
      </c>
      <c r="B405" s="33">
        <v>0.2273</v>
      </c>
      <c r="C405" s="33">
        <v>0.8</v>
      </c>
      <c r="D405" s="33">
        <v>0.1343</v>
      </c>
      <c r="E405" s="33">
        <v>99</v>
      </c>
    </row>
    <row r="406" spans="1:5" x14ac:dyDescent="0.3">
      <c r="A406" s="33">
        <v>0.22</v>
      </c>
      <c r="B406" s="33">
        <v>0.2727</v>
      </c>
      <c r="C406" s="33">
        <v>0.87</v>
      </c>
      <c r="D406" s="33">
        <v>0</v>
      </c>
      <c r="E406" s="33">
        <v>83</v>
      </c>
    </row>
    <row r="407" spans="1:5" x14ac:dyDescent="0.3">
      <c r="A407" s="33">
        <v>0.22</v>
      </c>
      <c r="B407" s="33">
        <v>0.2424</v>
      </c>
      <c r="C407" s="33">
        <v>0.93</v>
      </c>
      <c r="D407" s="33">
        <v>0.1045</v>
      </c>
      <c r="E407" s="33">
        <v>41</v>
      </c>
    </row>
    <row r="408" spans="1:5" x14ac:dyDescent="0.3">
      <c r="A408" s="33">
        <v>0.22</v>
      </c>
      <c r="B408" s="33">
        <v>0.2576</v>
      </c>
      <c r="C408" s="33">
        <v>0.93</v>
      </c>
      <c r="D408" s="33">
        <v>8.9599999999999999E-2</v>
      </c>
      <c r="E408" s="33">
        <v>33</v>
      </c>
    </row>
    <row r="409" spans="1:5" x14ac:dyDescent="0.3">
      <c r="A409" s="33">
        <v>0.22</v>
      </c>
      <c r="B409" s="33">
        <v>0.2727</v>
      </c>
      <c r="C409" s="33">
        <v>0.93</v>
      </c>
      <c r="D409" s="33">
        <v>0</v>
      </c>
      <c r="E409" s="33">
        <v>20</v>
      </c>
    </row>
    <row r="410" spans="1:5" x14ac:dyDescent="0.3">
      <c r="A410" s="33">
        <v>0.22</v>
      </c>
      <c r="B410" s="33">
        <v>0.2727</v>
      </c>
      <c r="C410" s="33">
        <v>0.93</v>
      </c>
      <c r="D410" s="33">
        <v>0</v>
      </c>
      <c r="E410" s="33">
        <v>3</v>
      </c>
    </row>
    <row r="411" spans="1:5" x14ac:dyDescent="0.3">
      <c r="A411" s="33">
        <v>0.22</v>
      </c>
      <c r="B411" s="33">
        <v>0.2273</v>
      </c>
      <c r="C411" s="33">
        <v>0.93</v>
      </c>
      <c r="D411" s="33">
        <v>0.1343</v>
      </c>
      <c r="E411" s="33">
        <v>7</v>
      </c>
    </row>
    <row r="412" spans="1:5" x14ac:dyDescent="0.3">
      <c r="A412" s="33">
        <v>0.22</v>
      </c>
      <c r="B412" s="33">
        <v>0.2273</v>
      </c>
      <c r="C412" s="33">
        <v>0.93</v>
      </c>
      <c r="D412" s="33">
        <v>0.1343</v>
      </c>
      <c r="E412" s="33">
        <v>3</v>
      </c>
    </row>
    <row r="413" spans="1:5" x14ac:dyDescent="0.3">
      <c r="A413" s="33">
        <v>0.22</v>
      </c>
      <c r="B413" s="33">
        <v>0.2273</v>
      </c>
      <c r="C413" s="33">
        <v>0.93</v>
      </c>
      <c r="D413" s="33">
        <v>0.1343</v>
      </c>
      <c r="E413" s="33">
        <v>2</v>
      </c>
    </row>
    <row r="414" spans="1:5" x14ac:dyDescent="0.3">
      <c r="A414" s="33">
        <v>0.22</v>
      </c>
      <c r="B414" s="33">
        <v>0.2576</v>
      </c>
      <c r="C414" s="33">
        <v>0.93</v>
      </c>
      <c r="D414" s="33">
        <v>8.9599999999999999E-2</v>
      </c>
      <c r="E414" s="33">
        <v>7</v>
      </c>
    </row>
    <row r="415" spans="1:5" x14ac:dyDescent="0.3">
      <c r="A415" s="33">
        <v>0.22</v>
      </c>
      <c r="B415" s="33">
        <v>0.2576</v>
      </c>
      <c r="C415" s="33">
        <v>0.93</v>
      </c>
      <c r="D415" s="33">
        <v>8.9599999999999999E-2</v>
      </c>
      <c r="E415" s="33">
        <v>32</v>
      </c>
    </row>
    <row r="416" spans="1:5" x14ac:dyDescent="0.3">
      <c r="A416" s="33">
        <v>0.24</v>
      </c>
      <c r="B416" s="33">
        <v>0.2576</v>
      </c>
      <c r="C416" s="33">
        <v>0.92</v>
      </c>
      <c r="D416" s="33">
        <v>0.1045</v>
      </c>
      <c r="E416" s="33">
        <v>90</v>
      </c>
    </row>
    <row r="417" spans="1:5" x14ac:dyDescent="0.3">
      <c r="A417" s="33">
        <v>0.24</v>
      </c>
      <c r="B417" s="33">
        <v>0.2576</v>
      </c>
      <c r="C417" s="33">
        <v>0.93</v>
      </c>
      <c r="D417" s="33">
        <v>0.1045</v>
      </c>
      <c r="E417" s="33">
        <v>197</v>
      </c>
    </row>
    <row r="418" spans="1:5" x14ac:dyDescent="0.3">
      <c r="A418" s="33">
        <v>0.24</v>
      </c>
      <c r="B418" s="33">
        <v>0.2576</v>
      </c>
      <c r="C418" s="33">
        <v>0.93</v>
      </c>
      <c r="D418" s="33">
        <v>0.1045</v>
      </c>
      <c r="E418" s="33">
        <v>109</v>
      </c>
    </row>
    <row r="419" spans="1:5" x14ac:dyDescent="0.3">
      <c r="A419" s="33">
        <v>0.26</v>
      </c>
      <c r="B419" s="33">
        <v>0.2727</v>
      </c>
      <c r="C419" s="33">
        <v>0.93</v>
      </c>
      <c r="D419" s="33">
        <v>0.1343</v>
      </c>
      <c r="E419" s="33">
        <v>47</v>
      </c>
    </row>
    <row r="420" spans="1:5" x14ac:dyDescent="0.3">
      <c r="A420" s="33">
        <v>0.28000000000000003</v>
      </c>
      <c r="B420" s="33">
        <v>0.30299999999999999</v>
      </c>
      <c r="C420" s="33">
        <v>0.87</v>
      </c>
      <c r="D420" s="33">
        <v>8.9599999999999999E-2</v>
      </c>
      <c r="E420" s="33">
        <v>52</v>
      </c>
    </row>
    <row r="421" spans="1:5" x14ac:dyDescent="0.3">
      <c r="A421" s="33">
        <v>0.3</v>
      </c>
      <c r="B421" s="33">
        <v>0.31819999999999998</v>
      </c>
      <c r="C421" s="33">
        <v>0.81</v>
      </c>
      <c r="D421" s="33">
        <v>8.9599999999999999E-2</v>
      </c>
      <c r="E421" s="33">
        <v>70</v>
      </c>
    </row>
    <row r="422" spans="1:5" x14ac:dyDescent="0.3">
      <c r="A422" s="33">
        <v>0.4</v>
      </c>
      <c r="B422" s="33">
        <v>0.40910000000000002</v>
      </c>
      <c r="C422" s="33">
        <v>0.62</v>
      </c>
      <c r="D422" s="33">
        <v>0.28360000000000002</v>
      </c>
      <c r="E422" s="33">
        <v>78</v>
      </c>
    </row>
    <row r="423" spans="1:5" x14ac:dyDescent="0.3">
      <c r="A423" s="33">
        <v>0.4</v>
      </c>
      <c r="B423" s="33">
        <v>0.40910000000000002</v>
      </c>
      <c r="C423" s="33">
        <v>0.57999999999999996</v>
      </c>
      <c r="D423" s="33">
        <v>0.25369999999999998</v>
      </c>
      <c r="E423" s="33">
        <v>75</v>
      </c>
    </row>
    <row r="424" spans="1:5" x14ac:dyDescent="0.3">
      <c r="A424" s="33">
        <v>0.4</v>
      </c>
      <c r="B424" s="33">
        <v>0.40910000000000002</v>
      </c>
      <c r="C424" s="33">
        <v>0.54</v>
      </c>
      <c r="D424" s="33">
        <v>0.28360000000000002</v>
      </c>
      <c r="E424" s="33">
        <v>82</v>
      </c>
    </row>
    <row r="425" spans="1:5" x14ac:dyDescent="0.3">
      <c r="A425" s="33">
        <v>0.38</v>
      </c>
      <c r="B425" s="33">
        <v>0.39389999999999997</v>
      </c>
      <c r="C425" s="33">
        <v>0.57999999999999996</v>
      </c>
      <c r="D425" s="33">
        <v>0.3881</v>
      </c>
      <c r="E425" s="33">
        <v>104</v>
      </c>
    </row>
    <row r="426" spans="1:5" x14ac:dyDescent="0.3">
      <c r="A426" s="33">
        <v>0.36</v>
      </c>
      <c r="B426" s="33">
        <v>0.33329999999999999</v>
      </c>
      <c r="C426" s="33">
        <v>0.56999999999999995</v>
      </c>
      <c r="D426" s="33">
        <v>0.32840000000000003</v>
      </c>
      <c r="E426" s="33">
        <v>197</v>
      </c>
    </row>
    <row r="427" spans="1:5" x14ac:dyDescent="0.3">
      <c r="A427" s="33">
        <v>0.34</v>
      </c>
      <c r="B427" s="33">
        <v>0.31819999999999998</v>
      </c>
      <c r="C427" s="33">
        <v>0.61</v>
      </c>
      <c r="D427" s="33">
        <v>0.28360000000000002</v>
      </c>
      <c r="E427" s="33">
        <v>161</v>
      </c>
    </row>
    <row r="428" spans="1:5" x14ac:dyDescent="0.3">
      <c r="A428" s="33">
        <v>0.32</v>
      </c>
      <c r="B428" s="33">
        <v>0.28789999999999999</v>
      </c>
      <c r="C428" s="33">
        <v>0.56999999999999995</v>
      </c>
      <c r="D428" s="33">
        <v>0.41789999999999999</v>
      </c>
      <c r="E428" s="33">
        <v>112</v>
      </c>
    </row>
    <row r="429" spans="1:5" x14ac:dyDescent="0.3">
      <c r="A429" s="33">
        <v>0.32</v>
      </c>
      <c r="B429" s="33">
        <v>0.30299999999999999</v>
      </c>
      <c r="C429" s="33">
        <v>0.49</v>
      </c>
      <c r="D429" s="33">
        <v>0.29849999999999999</v>
      </c>
      <c r="E429" s="33">
        <v>76</v>
      </c>
    </row>
    <row r="430" spans="1:5" x14ac:dyDescent="0.3">
      <c r="A430" s="33">
        <v>0.32</v>
      </c>
      <c r="B430" s="33">
        <v>0.28789999999999999</v>
      </c>
      <c r="C430" s="33">
        <v>0.49</v>
      </c>
      <c r="D430" s="33">
        <v>0.41789999999999999</v>
      </c>
      <c r="E430" s="33">
        <v>59</v>
      </c>
    </row>
    <row r="431" spans="1:5" x14ac:dyDescent="0.3">
      <c r="A431" s="33">
        <v>0.3</v>
      </c>
      <c r="B431" s="33">
        <v>0.30299999999999999</v>
      </c>
      <c r="C431" s="33">
        <v>0.52</v>
      </c>
      <c r="D431" s="33">
        <v>0.16420000000000001</v>
      </c>
      <c r="E431" s="33">
        <v>59</v>
      </c>
    </row>
    <row r="432" spans="1:5" x14ac:dyDescent="0.3">
      <c r="A432" s="33">
        <v>0.3</v>
      </c>
      <c r="B432" s="33">
        <v>0.2727</v>
      </c>
      <c r="C432" s="33">
        <v>0.52</v>
      </c>
      <c r="D432" s="33">
        <v>0.4627</v>
      </c>
      <c r="E432" s="33">
        <v>28</v>
      </c>
    </row>
    <row r="433" spans="1:5" x14ac:dyDescent="0.3">
      <c r="A433" s="33">
        <v>0.26</v>
      </c>
      <c r="B433" s="33">
        <v>0.2273</v>
      </c>
      <c r="C433" s="33">
        <v>0.56000000000000005</v>
      </c>
      <c r="D433" s="33">
        <v>0.3881</v>
      </c>
      <c r="E433" s="33">
        <v>13</v>
      </c>
    </row>
    <row r="434" spans="1:5" x14ac:dyDescent="0.3">
      <c r="A434" s="33">
        <v>0.26</v>
      </c>
      <c r="B434" s="33">
        <v>0.2727</v>
      </c>
      <c r="C434" s="33">
        <v>0.56000000000000005</v>
      </c>
      <c r="D434" s="33">
        <v>0</v>
      </c>
      <c r="E434" s="33">
        <v>5</v>
      </c>
    </row>
    <row r="435" spans="1:5" x14ac:dyDescent="0.3">
      <c r="A435" s="33">
        <v>0.26</v>
      </c>
      <c r="B435" s="33">
        <v>0.2727</v>
      </c>
      <c r="C435" s="33">
        <v>0.56000000000000005</v>
      </c>
      <c r="D435" s="33">
        <v>0</v>
      </c>
      <c r="E435" s="33">
        <v>2</v>
      </c>
    </row>
    <row r="436" spans="1:5" x14ac:dyDescent="0.3">
      <c r="A436" s="33">
        <v>0.26</v>
      </c>
      <c r="B436" s="33">
        <v>0.2576</v>
      </c>
      <c r="C436" s="33">
        <v>0.56000000000000005</v>
      </c>
      <c r="D436" s="33">
        <v>0.16420000000000001</v>
      </c>
      <c r="E436" s="33">
        <v>1</v>
      </c>
    </row>
    <row r="437" spans="1:5" x14ac:dyDescent="0.3">
      <c r="A437" s="33">
        <v>0.26</v>
      </c>
      <c r="B437" s="33">
        <v>0.2576</v>
      </c>
      <c r="C437" s="33">
        <v>0.56000000000000005</v>
      </c>
      <c r="D437" s="33">
        <v>0.16420000000000001</v>
      </c>
      <c r="E437" s="33">
        <v>1</v>
      </c>
    </row>
    <row r="438" spans="1:5" x14ac:dyDescent="0.3">
      <c r="A438" s="33">
        <v>0.24</v>
      </c>
      <c r="B438" s="33">
        <v>0.2273</v>
      </c>
      <c r="C438" s="33">
        <v>0.6</v>
      </c>
      <c r="D438" s="33">
        <v>0.22389999999999999</v>
      </c>
      <c r="E438" s="33">
        <v>6</v>
      </c>
    </row>
    <row r="439" spans="1:5" x14ac:dyDescent="0.3">
      <c r="A439" s="33">
        <v>0.22</v>
      </c>
      <c r="B439" s="33">
        <v>0.21210000000000001</v>
      </c>
      <c r="C439" s="33">
        <v>0.6</v>
      </c>
      <c r="D439" s="33">
        <v>0.22389999999999999</v>
      </c>
      <c r="E439" s="33">
        <v>35</v>
      </c>
    </row>
    <row r="440" spans="1:5" x14ac:dyDescent="0.3">
      <c r="A440" s="33">
        <v>0.22</v>
      </c>
      <c r="B440" s="33">
        <v>0.21210000000000001</v>
      </c>
      <c r="C440" s="33">
        <v>0.55000000000000004</v>
      </c>
      <c r="D440" s="33">
        <v>0.22389999999999999</v>
      </c>
      <c r="E440" s="33">
        <v>101</v>
      </c>
    </row>
    <row r="441" spans="1:5" x14ac:dyDescent="0.3">
      <c r="A441" s="33">
        <v>0.22</v>
      </c>
      <c r="B441" s="33">
        <v>0.21210000000000001</v>
      </c>
      <c r="C441" s="33">
        <v>0.55000000000000004</v>
      </c>
      <c r="D441" s="33">
        <v>0.28360000000000002</v>
      </c>
      <c r="E441" s="33">
        <v>249</v>
      </c>
    </row>
    <row r="442" spans="1:5" x14ac:dyDescent="0.3">
      <c r="A442" s="33">
        <v>0.24</v>
      </c>
      <c r="B442" s="33">
        <v>0.2273</v>
      </c>
      <c r="C442" s="33">
        <v>0.52</v>
      </c>
      <c r="D442" s="33">
        <v>0.22389999999999999</v>
      </c>
      <c r="E442" s="33">
        <v>143</v>
      </c>
    </row>
    <row r="443" spans="1:5" x14ac:dyDescent="0.3">
      <c r="A443" s="33">
        <v>0.26</v>
      </c>
      <c r="B443" s="33">
        <v>0.2273</v>
      </c>
      <c r="C443" s="33">
        <v>0.48</v>
      </c>
      <c r="D443" s="33">
        <v>0.29849999999999999</v>
      </c>
      <c r="E443" s="33">
        <v>57</v>
      </c>
    </row>
    <row r="444" spans="1:5" x14ac:dyDescent="0.3">
      <c r="A444" s="33">
        <v>0.28000000000000003</v>
      </c>
      <c r="B444" s="33">
        <v>0.2727</v>
      </c>
      <c r="C444" s="33">
        <v>0.45</v>
      </c>
      <c r="D444" s="33">
        <v>0.16420000000000001</v>
      </c>
      <c r="E444" s="33">
        <v>68</v>
      </c>
    </row>
    <row r="445" spans="1:5" x14ac:dyDescent="0.3">
      <c r="A445" s="33">
        <v>0.3</v>
      </c>
      <c r="B445" s="33">
        <v>0.33329999999999999</v>
      </c>
      <c r="C445" s="33">
        <v>0.42</v>
      </c>
      <c r="D445" s="33">
        <v>0</v>
      </c>
      <c r="E445" s="33">
        <v>84</v>
      </c>
    </row>
    <row r="446" spans="1:5" x14ac:dyDescent="0.3">
      <c r="A446" s="33">
        <v>0.28000000000000003</v>
      </c>
      <c r="B446" s="33">
        <v>0.28789999999999999</v>
      </c>
      <c r="C446" s="33">
        <v>0.45</v>
      </c>
      <c r="D446" s="33">
        <v>0.1045</v>
      </c>
      <c r="E446" s="33">
        <v>98</v>
      </c>
    </row>
    <row r="447" spans="1:5" x14ac:dyDescent="0.3">
      <c r="A447" s="33">
        <v>0.3</v>
      </c>
      <c r="B447" s="33">
        <v>0.30299999999999999</v>
      </c>
      <c r="C447" s="33">
        <v>0.45</v>
      </c>
      <c r="D447" s="33">
        <v>0.1343</v>
      </c>
      <c r="E447" s="33">
        <v>81</v>
      </c>
    </row>
    <row r="448" spans="1:5" x14ac:dyDescent="0.3">
      <c r="A448" s="33">
        <v>0.32</v>
      </c>
      <c r="B448" s="33">
        <v>0.31819999999999998</v>
      </c>
      <c r="C448" s="33">
        <v>0.45</v>
      </c>
      <c r="D448" s="33">
        <v>0.19400000000000001</v>
      </c>
      <c r="E448" s="33">
        <v>70</v>
      </c>
    </row>
    <row r="449" spans="1:5" x14ac:dyDescent="0.3">
      <c r="A449" s="33">
        <v>0.3</v>
      </c>
      <c r="B449" s="33">
        <v>0.30299999999999999</v>
      </c>
      <c r="C449" s="33">
        <v>0.49</v>
      </c>
      <c r="D449" s="33">
        <v>0.1343</v>
      </c>
      <c r="E449" s="33">
        <v>91</v>
      </c>
    </row>
    <row r="450" spans="1:5" x14ac:dyDescent="0.3">
      <c r="A450" s="33">
        <v>0.3</v>
      </c>
      <c r="B450" s="33">
        <v>0.31819999999999998</v>
      </c>
      <c r="C450" s="33">
        <v>0.49</v>
      </c>
      <c r="D450" s="33">
        <v>0.1045</v>
      </c>
      <c r="E450" s="33">
        <v>215</v>
      </c>
    </row>
    <row r="451" spans="1:5" x14ac:dyDescent="0.3">
      <c r="A451" s="33">
        <v>0.26</v>
      </c>
      <c r="B451" s="33">
        <v>0.2576</v>
      </c>
      <c r="C451" s="33">
        <v>0.56000000000000005</v>
      </c>
      <c r="D451" s="33">
        <v>0.19400000000000001</v>
      </c>
      <c r="E451" s="33">
        <v>185</v>
      </c>
    </row>
    <row r="452" spans="1:5" x14ac:dyDescent="0.3">
      <c r="A452" s="33">
        <v>0.26</v>
      </c>
      <c r="B452" s="33">
        <v>0.2273</v>
      </c>
      <c r="C452" s="33">
        <v>0.56000000000000005</v>
      </c>
      <c r="D452" s="33">
        <v>0.32840000000000003</v>
      </c>
      <c r="E452" s="33">
        <v>152</v>
      </c>
    </row>
    <row r="453" spans="1:5" x14ac:dyDescent="0.3">
      <c r="A453" s="33">
        <v>0.26</v>
      </c>
      <c r="B453" s="33">
        <v>0.2424</v>
      </c>
      <c r="C453" s="33">
        <v>0.6</v>
      </c>
      <c r="D453" s="33">
        <v>0.28360000000000002</v>
      </c>
      <c r="E453" s="33">
        <v>126</v>
      </c>
    </row>
    <row r="454" spans="1:5" x14ac:dyDescent="0.3">
      <c r="A454" s="33">
        <v>0.24</v>
      </c>
      <c r="B454" s="33">
        <v>0.2273</v>
      </c>
      <c r="C454" s="33">
        <v>0.6</v>
      </c>
      <c r="D454" s="33">
        <v>0.25369999999999998</v>
      </c>
      <c r="E454" s="33">
        <v>57</v>
      </c>
    </row>
    <row r="455" spans="1:5" x14ac:dyDescent="0.3">
      <c r="A455" s="33">
        <v>0.24</v>
      </c>
      <c r="B455" s="33">
        <v>0.21210000000000001</v>
      </c>
      <c r="C455" s="33">
        <v>0.65</v>
      </c>
      <c r="D455" s="33">
        <v>0.28360000000000002</v>
      </c>
      <c r="E455" s="33">
        <v>56</v>
      </c>
    </row>
    <row r="456" spans="1:5" x14ac:dyDescent="0.3">
      <c r="A456" s="33">
        <v>0.24</v>
      </c>
      <c r="B456" s="33">
        <v>0.21210000000000001</v>
      </c>
      <c r="C456" s="33">
        <v>0.65</v>
      </c>
      <c r="D456" s="33">
        <v>0.32840000000000003</v>
      </c>
      <c r="E456" s="33">
        <v>31</v>
      </c>
    </row>
    <row r="457" spans="1:5" x14ac:dyDescent="0.3">
      <c r="A457" s="33">
        <v>0.24</v>
      </c>
      <c r="B457" s="33">
        <v>0.2273</v>
      </c>
      <c r="C457" s="33">
        <v>0.7</v>
      </c>
      <c r="D457" s="33">
        <v>0.25369999999999998</v>
      </c>
      <c r="E457" s="33">
        <v>21</v>
      </c>
    </row>
    <row r="458" spans="1:5" x14ac:dyDescent="0.3">
      <c r="A458" s="33">
        <v>0.24</v>
      </c>
      <c r="B458" s="33">
        <v>0.2273</v>
      </c>
      <c r="C458" s="33">
        <v>0.7</v>
      </c>
      <c r="D458" s="33">
        <v>0.25369999999999998</v>
      </c>
      <c r="E458" s="33">
        <v>6</v>
      </c>
    </row>
    <row r="459" spans="1:5" x14ac:dyDescent="0.3">
      <c r="A459" s="33">
        <v>0.24</v>
      </c>
      <c r="B459" s="33">
        <v>0.2424</v>
      </c>
      <c r="C459" s="33">
        <v>0.75</v>
      </c>
      <c r="D459" s="33">
        <v>0.16420000000000001</v>
      </c>
      <c r="E459" s="33">
        <v>2</v>
      </c>
    </row>
    <row r="460" spans="1:5" x14ac:dyDescent="0.3">
      <c r="A460" s="33">
        <v>0.22</v>
      </c>
      <c r="B460" s="33">
        <v>0.21210000000000001</v>
      </c>
      <c r="C460" s="33">
        <v>0.8</v>
      </c>
      <c r="D460" s="33">
        <v>0.29849999999999999</v>
      </c>
      <c r="E460" s="33">
        <v>1</v>
      </c>
    </row>
    <row r="461" spans="1:5" x14ac:dyDescent="0.3">
      <c r="A461" s="33">
        <v>0.22</v>
      </c>
      <c r="B461" s="33">
        <v>0.2576</v>
      </c>
      <c r="C461" s="33">
        <v>0.87</v>
      </c>
      <c r="D461" s="33">
        <v>8.9599999999999999E-2</v>
      </c>
      <c r="E461" s="33">
        <v>1</v>
      </c>
    </row>
    <row r="462" spans="1:5" x14ac:dyDescent="0.3">
      <c r="A462" s="33">
        <v>0.24</v>
      </c>
      <c r="B462" s="33">
        <v>0.19700000000000001</v>
      </c>
      <c r="C462" s="33">
        <v>0.6</v>
      </c>
      <c r="D462" s="33">
        <v>0.41789999999999999</v>
      </c>
      <c r="E462" s="33">
        <v>5</v>
      </c>
    </row>
    <row r="463" spans="1:5" x14ac:dyDescent="0.3">
      <c r="A463" s="33">
        <v>0.22</v>
      </c>
      <c r="B463" s="33">
        <v>0.21210000000000001</v>
      </c>
      <c r="C463" s="33">
        <v>0.55000000000000004</v>
      </c>
      <c r="D463" s="33">
        <v>0.25369999999999998</v>
      </c>
      <c r="E463" s="33">
        <v>27</v>
      </c>
    </row>
    <row r="464" spans="1:5" x14ac:dyDescent="0.3">
      <c r="A464" s="33">
        <v>0.2</v>
      </c>
      <c r="B464" s="33">
        <v>0.18179999999999999</v>
      </c>
      <c r="C464" s="33">
        <v>0.51</v>
      </c>
      <c r="D464" s="33">
        <v>0.28360000000000002</v>
      </c>
      <c r="E464" s="33">
        <v>68</v>
      </c>
    </row>
    <row r="465" spans="1:5" x14ac:dyDescent="0.3">
      <c r="A465" s="33">
        <v>0.2</v>
      </c>
      <c r="B465" s="33">
        <v>0.18179999999999999</v>
      </c>
      <c r="C465" s="33">
        <v>0.47</v>
      </c>
      <c r="D465" s="33">
        <v>0.32840000000000003</v>
      </c>
      <c r="E465" s="33">
        <v>217</v>
      </c>
    </row>
    <row r="466" spans="1:5" x14ac:dyDescent="0.3">
      <c r="A466" s="33">
        <v>0.2</v>
      </c>
      <c r="B466" s="33">
        <v>0.18179999999999999</v>
      </c>
      <c r="C466" s="33">
        <v>0.51</v>
      </c>
      <c r="D466" s="33">
        <v>0.35820000000000002</v>
      </c>
      <c r="E466" s="33">
        <v>166</v>
      </c>
    </row>
    <row r="467" spans="1:5" x14ac:dyDescent="0.3">
      <c r="A467" s="33">
        <v>0.2</v>
      </c>
      <c r="B467" s="33">
        <v>0.16669999999999999</v>
      </c>
      <c r="C467" s="33">
        <v>0.47</v>
      </c>
      <c r="D467" s="33">
        <v>0.4627</v>
      </c>
      <c r="E467" s="33">
        <v>63</v>
      </c>
    </row>
    <row r="468" spans="1:5" x14ac:dyDescent="0.3">
      <c r="A468" s="33">
        <v>0.22</v>
      </c>
      <c r="B468" s="33">
        <v>0.18179999999999999</v>
      </c>
      <c r="C468" s="33">
        <v>0.41</v>
      </c>
      <c r="D468" s="33">
        <v>0.4627</v>
      </c>
      <c r="E468" s="33">
        <v>59</v>
      </c>
    </row>
    <row r="469" spans="1:5" x14ac:dyDescent="0.3">
      <c r="A469" s="33">
        <v>0.22</v>
      </c>
      <c r="B469" s="33">
        <v>0.18179999999999999</v>
      </c>
      <c r="C469" s="33">
        <v>0.27</v>
      </c>
      <c r="D469" s="33">
        <v>0.58209999999999995</v>
      </c>
      <c r="E469" s="33">
        <v>78</v>
      </c>
    </row>
    <row r="470" spans="1:5" x14ac:dyDescent="0.3">
      <c r="A470" s="33">
        <v>0.2</v>
      </c>
      <c r="B470" s="33">
        <v>0.1515</v>
      </c>
      <c r="C470" s="33">
        <v>0.21</v>
      </c>
      <c r="D470" s="33">
        <v>0.58209999999999995</v>
      </c>
      <c r="E470" s="33">
        <v>73</v>
      </c>
    </row>
    <row r="471" spans="1:5" x14ac:dyDescent="0.3">
      <c r="A471" s="33">
        <v>0.2</v>
      </c>
      <c r="B471" s="33">
        <v>0.1515</v>
      </c>
      <c r="C471" s="33">
        <v>0.25</v>
      </c>
      <c r="D471" s="33">
        <v>0.52239999999999998</v>
      </c>
      <c r="E471" s="33">
        <v>62</v>
      </c>
    </row>
    <row r="472" spans="1:5" x14ac:dyDescent="0.3">
      <c r="A472" s="33">
        <v>0.16</v>
      </c>
      <c r="B472" s="33">
        <v>0.1212</v>
      </c>
      <c r="C472" s="33">
        <v>0.26</v>
      </c>
      <c r="D472" s="33">
        <v>0.44779999999999998</v>
      </c>
      <c r="E472" s="33">
        <v>65</v>
      </c>
    </row>
    <row r="473" spans="1:5" x14ac:dyDescent="0.3">
      <c r="A473" s="33">
        <v>0.16</v>
      </c>
      <c r="B473" s="33">
        <v>0.13639999999999999</v>
      </c>
      <c r="C473" s="33">
        <v>0.26</v>
      </c>
      <c r="D473" s="33">
        <v>0.35820000000000002</v>
      </c>
      <c r="E473" s="33">
        <v>97</v>
      </c>
    </row>
    <row r="474" spans="1:5" x14ac:dyDescent="0.3">
      <c r="A474" s="33">
        <v>0.14000000000000001</v>
      </c>
      <c r="B474" s="33">
        <v>0.1212</v>
      </c>
      <c r="C474" s="33">
        <v>0.28000000000000003</v>
      </c>
      <c r="D474" s="33">
        <v>0.35820000000000002</v>
      </c>
      <c r="E474" s="33">
        <v>161</v>
      </c>
    </row>
    <row r="475" spans="1:5" x14ac:dyDescent="0.3">
      <c r="A475" s="33">
        <v>0.12</v>
      </c>
      <c r="B475" s="33">
        <v>0.1212</v>
      </c>
      <c r="C475" s="33">
        <v>0.3</v>
      </c>
      <c r="D475" s="33">
        <v>0.25369999999999998</v>
      </c>
      <c r="E475" s="33">
        <v>120</v>
      </c>
    </row>
    <row r="476" spans="1:5" x14ac:dyDescent="0.3">
      <c r="A476" s="33">
        <v>0.12</v>
      </c>
      <c r="B476" s="33">
        <v>0.1061</v>
      </c>
      <c r="C476" s="33">
        <v>0.3</v>
      </c>
      <c r="D476" s="33">
        <v>0.32840000000000003</v>
      </c>
      <c r="E476" s="33">
        <v>96</v>
      </c>
    </row>
    <row r="477" spans="1:5" x14ac:dyDescent="0.3">
      <c r="A477" s="33">
        <v>0.1</v>
      </c>
      <c r="B477" s="33">
        <v>7.5800000000000006E-2</v>
      </c>
      <c r="C477" s="33">
        <v>0.33</v>
      </c>
      <c r="D477" s="33">
        <v>0.41789999999999999</v>
      </c>
      <c r="E477" s="33">
        <v>53</v>
      </c>
    </row>
    <row r="478" spans="1:5" x14ac:dyDescent="0.3">
      <c r="A478" s="33">
        <v>0.08</v>
      </c>
      <c r="B478" s="33">
        <v>7.5800000000000006E-2</v>
      </c>
      <c r="C478" s="33">
        <v>0.38</v>
      </c>
      <c r="D478" s="33">
        <v>0.28360000000000002</v>
      </c>
      <c r="E478" s="33">
        <v>41</v>
      </c>
    </row>
    <row r="479" spans="1:5" x14ac:dyDescent="0.3">
      <c r="A479" s="33">
        <v>0.06</v>
      </c>
      <c r="B479" s="33">
        <v>3.0300000000000001E-2</v>
      </c>
      <c r="C479" s="33">
        <v>0.41</v>
      </c>
      <c r="D479" s="33">
        <v>0.3881</v>
      </c>
      <c r="E479" s="33">
        <v>34</v>
      </c>
    </row>
    <row r="480" spans="1:5" x14ac:dyDescent="0.3">
      <c r="A480" s="33">
        <v>0.06</v>
      </c>
      <c r="B480" s="33">
        <v>4.5499999999999999E-2</v>
      </c>
      <c r="C480" s="33">
        <v>0.38</v>
      </c>
      <c r="D480" s="33">
        <v>0.32840000000000003</v>
      </c>
      <c r="E480" s="33">
        <v>27</v>
      </c>
    </row>
    <row r="481" spans="1:5" x14ac:dyDescent="0.3">
      <c r="A481" s="33">
        <v>0.04</v>
      </c>
      <c r="B481" s="33">
        <v>3.0300000000000001E-2</v>
      </c>
      <c r="C481" s="33">
        <v>0.45</v>
      </c>
      <c r="D481" s="33">
        <v>0.25369999999999998</v>
      </c>
      <c r="E481" s="33">
        <v>13</v>
      </c>
    </row>
    <row r="482" spans="1:5" x14ac:dyDescent="0.3">
      <c r="A482" s="33">
        <v>0.04</v>
      </c>
      <c r="B482" s="33">
        <v>0</v>
      </c>
      <c r="C482" s="33">
        <v>0.41</v>
      </c>
      <c r="D482" s="33">
        <v>0.3881</v>
      </c>
      <c r="E482" s="33">
        <v>12</v>
      </c>
    </row>
    <row r="483" spans="1:5" x14ac:dyDescent="0.3">
      <c r="A483" s="33">
        <v>0.04</v>
      </c>
      <c r="B483" s="33">
        <v>3.0300000000000001E-2</v>
      </c>
      <c r="C483" s="33">
        <v>0.41</v>
      </c>
      <c r="D483" s="33">
        <v>0.25369999999999998</v>
      </c>
      <c r="E483" s="33">
        <v>11</v>
      </c>
    </row>
    <row r="484" spans="1:5" x14ac:dyDescent="0.3">
      <c r="A484" s="33">
        <v>0.04</v>
      </c>
      <c r="B484" s="33">
        <v>3.0300000000000001E-2</v>
      </c>
      <c r="C484" s="33">
        <v>0.41</v>
      </c>
      <c r="D484" s="33">
        <v>0.28360000000000002</v>
      </c>
      <c r="E484" s="33">
        <v>7</v>
      </c>
    </row>
    <row r="485" spans="1:5" x14ac:dyDescent="0.3">
      <c r="A485" s="33">
        <v>0.02</v>
      </c>
      <c r="B485" s="33">
        <v>1.52E-2</v>
      </c>
      <c r="C485" s="33">
        <v>0.48</v>
      </c>
      <c r="D485" s="33">
        <v>0.29849999999999999</v>
      </c>
      <c r="E485" s="33">
        <v>3</v>
      </c>
    </row>
    <row r="486" spans="1:5" x14ac:dyDescent="0.3">
      <c r="A486" s="33">
        <v>0.02</v>
      </c>
      <c r="B486" s="33">
        <v>3.0300000000000001E-2</v>
      </c>
      <c r="C486" s="33">
        <v>0.44</v>
      </c>
      <c r="D486" s="33">
        <v>0.22389999999999999</v>
      </c>
      <c r="E486" s="33">
        <v>2</v>
      </c>
    </row>
    <row r="487" spans="1:5" x14ac:dyDescent="0.3">
      <c r="A487" s="33">
        <v>0.02</v>
      </c>
      <c r="B487" s="33">
        <v>1.52E-2</v>
      </c>
      <c r="C487" s="33">
        <v>0.44</v>
      </c>
      <c r="D487" s="33">
        <v>0.28360000000000002</v>
      </c>
      <c r="E487" s="33">
        <v>8</v>
      </c>
    </row>
    <row r="488" spans="1:5" x14ac:dyDescent="0.3">
      <c r="A488" s="33">
        <v>0.02</v>
      </c>
      <c r="B488" s="33">
        <v>0</v>
      </c>
      <c r="C488" s="33">
        <v>0.44</v>
      </c>
      <c r="D488" s="33">
        <v>0.32840000000000003</v>
      </c>
      <c r="E488" s="33">
        <v>27</v>
      </c>
    </row>
    <row r="489" spans="1:5" x14ac:dyDescent="0.3">
      <c r="A489" s="33">
        <v>0.04</v>
      </c>
      <c r="B489" s="33">
        <v>3.0300000000000001E-2</v>
      </c>
      <c r="C489" s="33">
        <v>0.41</v>
      </c>
      <c r="D489" s="33">
        <v>0.25369999999999998</v>
      </c>
      <c r="E489" s="33">
        <v>40</v>
      </c>
    </row>
    <row r="490" spans="1:5" x14ac:dyDescent="0.3">
      <c r="A490" s="33">
        <v>0.04</v>
      </c>
      <c r="B490" s="33">
        <v>6.0600000000000001E-2</v>
      </c>
      <c r="C490" s="33">
        <v>0.41</v>
      </c>
      <c r="D490" s="33">
        <v>0.16420000000000001</v>
      </c>
      <c r="E490" s="33">
        <v>53</v>
      </c>
    </row>
    <row r="491" spans="1:5" x14ac:dyDescent="0.3">
      <c r="A491" s="33">
        <v>0.06</v>
      </c>
      <c r="B491" s="33">
        <v>7.5800000000000006E-2</v>
      </c>
      <c r="C491" s="33">
        <v>0.38</v>
      </c>
      <c r="D491" s="33">
        <v>0.1343</v>
      </c>
      <c r="E491" s="33">
        <v>63</v>
      </c>
    </row>
    <row r="492" spans="1:5" x14ac:dyDescent="0.3">
      <c r="A492" s="33">
        <v>0.06</v>
      </c>
      <c r="B492" s="33">
        <v>0.1061</v>
      </c>
      <c r="C492" s="33">
        <v>0.38</v>
      </c>
      <c r="D492" s="33">
        <v>0.1045</v>
      </c>
      <c r="E492" s="33">
        <v>70</v>
      </c>
    </row>
    <row r="493" spans="1:5" x14ac:dyDescent="0.3">
      <c r="A493" s="33">
        <v>0.08</v>
      </c>
      <c r="B493" s="33">
        <v>0.16669999999999999</v>
      </c>
      <c r="C493" s="33">
        <v>0.35</v>
      </c>
      <c r="D493" s="33">
        <v>0</v>
      </c>
      <c r="E493" s="33">
        <v>84</v>
      </c>
    </row>
    <row r="494" spans="1:5" x14ac:dyDescent="0.3">
      <c r="A494" s="33">
        <v>0.1</v>
      </c>
      <c r="B494" s="33">
        <v>0.13639999999999999</v>
      </c>
      <c r="C494" s="33">
        <v>0.33</v>
      </c>
      <c r="D494" s="33">
        <v>0.1045</v>
      </c>
      <c r="E494" s="33">
        <v>75</v>
      </c>
    </row>
    <row r="495" spans="1:5" x14ac:dyDescent="0.3">
      <c r="A495" s="33">
        <v>0.12</v>
      </c>
      <c r="B495" s="33">
        <v>0.1515</v>
      </c>
      <c r="C495" s="33">
        <v>0.28000000000000003</v>
      </c>
      <c r="D495" s="33">
        <v>0</v>
      </c>
      <c r="E495" s="33">
        <v>103</v>
      </c>
    </row>
    <row r="496" spans="1:5" x14ac:dyDescent="0.3">
      <c r="A496" s="33">
        <v>0.12</v>
      </c>
      <c r="B496" s="33">
        <v>0.13639999999999999</v>
      </c>
      <c r="C496" s="33">
        <v>0.28000000000000003</v>
      </c>
      <c r="D496" s="33">
        <v>0.19400000000000001</v>
      </c>
      <c r="E496" s="33">
        <v>83</v>
      </c>
    </row>
    <row r="497" spans="1:5" x14ac:dyDescent="0.3">
      <c r="A497" s="33">
        <v>0.12</v>
      </c>
      <c r="B497" s="33">
        <v>0.19700000000000001</v>
      </c>
      <c r="C497" s="33">
        <v>0.28000000000000003</v>
      </c>
      <c r="D497" s="33">
        <v>0</v>
      </c>
      <c r="E497" s="33">
        <v>67</v>
      </c>
    </row>
    <row r="498" spans="1:5" x14ac:dyDescent="0.3">
      <c r="A498" s="33">
        <v>0.08</v>
      </c>
      <c r="B498" s="33">
        <v>9.0899999999999995E-2</v>
      </c>
      <c r="C498" s="33">
        <v>0.35</v>
      </c>
      <c r="D498" s="33">
        <v>0.19400000000000001</v>
      </c>
      <c r="E498" s="33">
        <v>54</v>
      </c>
    </row>
    <row r="499" spans="1:5" x14ac:dyDescent="0.3">
      <c r="A499" s="33">
        <v>0.08</v>
      </c>
      <c r="B499" s="33">
        <v>0.1061</v>
      </c>
      <c r="C499" s="33">
        <v>0.35</v>
      </c>
      <c r="D499" s="33">
        <v>0.1343</v>
      </c>
      <c r="E499" s="33">
        <v>59</v>
      </c>
    </row>
    <row r="500" spans="1:5" x14ac:dyDescent="0.3">
      <c r="A500" s="33">
        <v>0.06</v>
      </c>
      <c r="B500" s="33">
        <v>7.5800000000000006E-2</v>
      </c>
      <c r="C500" s="33">
        <v>0.45</v>
      </c>
      <c r="D500" s="33">
        <v>0.16420000000000001</v>
      </c>
      <c r="E500" s="33">
        <v>45</v>
      </c>
    </row>
    <row r="501" spans="1:5" x14ac:dyDescent="0.3">
      <c r="A501" s="33">
        <v>0.06</v>
      </c>
      <c r="B501" s="33">
        <v>0.1061</v>
      </c>
      <c r="C501" s="33">
        <v>0.41</v>
      </c>
      <c r="D501" s="33">
        <v>8.9599999999999999E-2</v>
      </c>
      <c r="E501" s="33">
        <v>39</v>
      </c>
    </row>
    <row r="502" spans="1:5" x14ac:dyDescent="0.3">
      <c r="A502" s="33">
        <v>0.06</v>
      </c>
      <c r="B502" s="33">
        <v>0.1515</v>
      </c>
      <c r="C502" s="33">
        <v>0.49</v>
      </c>
      <c r="D502" s="33">
        <v>0</v>
      </c>
      <c r="E502" s="33">
        <v>30</v>
      </c>
    </row>
    <row r="503" spans="1:5" x14ac:dyDescent="0.3">
      <c r="A503" s="33">
        <v>0.04</v>
      </c>
      <c r="B503" s="33">
        <v>7.5800000000000006E-2</v>
      </c>
      <c r="C503" s="33">
        <v>0.56999999999999995</v>
      </c>
      <c r="D503" s="33">
        <v>0.1045</v>
      </c>
      <c r="E503" s="33">
        <v>33</v>
      </c>
    </row>
    <row r="504" spans="1:5" x14ac:dyDescent="0.3">
      <c r="A504" s="33">
        <v>0.04</v>
      </c>
      <c r="B504" s="33">
        <v>7.5800000000000006E-2</v>
      </c>
      <c r="C504" s="33">
        <v>0.56999999999999995</v>
      </c>
      <c r="D504" s="33">
        <v>0.1045</v>
      </c>
      <c r="E504" s="33">
        <v>22</v>
      </c>
    </row>
    <row r="505" spans="1:5" x14ac:dyDescent="0.3">
      <c r="A505" s="33">
        <v>0.04</v>
      </c>
      <c r="B505" s="33">
        <v>7.5800000000000006E-2</v>
      </c>
      <c r="C505" s="33">
        <v>0.56999999999999995</v>
      </c>
      <c r="D505" s="33">
        <v>0.1045</v>
      </c>
      <c r="E505" s="33">
        <v>13</v>
      </c>
    </row>
    <row r="506" spans="1:5" x14ac:dyDescent="0.3">
      <c r="A506" s="33">
        <v>0.02</v>
      </c>
      <c r="B506" s="33">
        <v>6.0600000000000001E-2</v>
      </c>
      <c r="C506" s="33">
        <v>0.62</v>
      </c>
      <c r="D506" s="33">
        <v>0.1343</v>
      </c>
      <c r="E506" s="33">
        <v>18</v>
      </c>
    </row>
    <row r="507" spans="1:5" x14ac:dyDescent="0.3">
      <c r="A507" s="33">
        <v>0.02</v>
      </c>
      <c r="B507" s="33">
        <v>6.0600000000000001E-2</v>
      </c>
      <c r="C507" s="33">
        <v>0.62</v>
      </c>
      <c r="D507" s="33">
        <v>0.1343</v>
      </c>
      <c r="E507" s="33">
        <v>5</v>
      </c>
    </row>
    <row r="508" spans="1:5" x14ac:dyDescent="0.3">
      <c r="A508" s="33">
        <v>0.04</v>
      </c>
      <c r="B508" s="33">
        <v>7.5800000000000006E-2</v>
      </c>
      <c r="C508" s="33">
        <v>0.56999999999999995</v>
      </c>
      <c r="D508" s="33">
        <v>0.1045</v>
      </c>
      <c r="E508" s="33">
        <v>3</v>
      </c>
    </row>
    <row r="509" spans="1:5" x14ac:dyDescent="0.3">
      <c r="A509" s="33">
        <v>0.04</v>
      </c>
      <c r="B509" s="33">
        <v>7.5800000000000006E-2</v>
      </c>
      <c r="C509" s="33">
        <v>0.56999999999999995</v>
      </c>
      <c r="D509" s="33">
        <v>0.1045</v>
      </c>
      <c r="E509" s="33">
        <v>1</v>
      </c>
    </row>
    <row r="510" spans="1:5" x14ac:dyDescent="0.3">
      <c r="A510" s="33">
        <v>0.08</v>
      </c>
      <c r="B510" s="33">
        <v>0.1061</v>
      </c>
      <c r="C510" s="33">
        <v>0.57999999999999996</v>
      </c>
      <c r="D510" s="33">
        <v>0.16420000000000001</v>
      </c>
      <c r="E510" s="33">
        <v>2</v>
      </c>
    </row>
    <row r="511" spans="1:5" x14ac:dyDescent="0.3">
      <c r="A511" s="33">
        <v>0.06</v>
      </c>
      <c r="B511" s="33">
        <v>7.5800000000000006E-2</v>
      </c>
      <c r="C511" s="33">
        <v>0.62</v>
      </c>
      <c r="D511" s="33">
        <v>0.16420000000000001</v>
      </c>
      <c r="E511" s="33">
        <v>19</v>
      </c>
    </row>
    <row r="512" spans="1:5" x14ac:dyDescent="0.3">
      <c r="A512" s="33">
        <v>0.1</v>
      </c>
      <c r="B512" s="33">
        <v>7.5800000000000006E-2</v>
      </c>
      <c r="C512" s="33">
        <v>0.54</v>
      </c>
      <c r="D512" s="33">
        <v>0.35820000000000002</v>
      </c>
      <c r="E512" s="33">
        <v>28</v>
      </c>
    </row>
    <row r="513" spans="1:5" x14ac:dyDescent="0.3">
      <c r="A513" s="33">
        <v>0.14000000000000001</v>
      </c>
      <c r="B513" s="33">
        <v>0.1061</v>
      </c>
      <c r="C513" s="33">
        <v>0.46</v>
      </c>
      <c r="D513" s="33">
        <v>0.3881</v>
      </c>
      <c r="E513" s="33">
        <v>58</v>
      </c>
    </row>
    <row r="514" spans="1:5" x14ac:dyDescent="0.3">
      <c r="A514" s="33">
        <v>0.14000000000000001</v>
      </c>
      <c r="B514" s="33">
        <v>0.13639999999999999</v>
      </c>
      <c r="C514" s="33">
        <v>0.43</v>
      </c>
      <c r="D514" s="33">
        <v>0.22389999999999999</v>
      </c>
      <c r="E514" s="33">
        <v>99</v>
      </c>
    </row>
    <row r="515" spans="1:5" x14ac:dyDescent="0.3">
      <c r="A515" s="33">
        <v>0.16</v>
      </c>
      <c r="B515" s="33">
        <v>0.1212</v>
      </c>
      <c r="C515" s="33">
        <v>0.37</v>
      </c>
      <c r="D515" s="33">
        <v>0.4627</v>
      </c>
      <c r="E515" s="33">
        <v>116</v>
      </c>
    </row>
    <row r="516" spans="1:5" x14ac:dyDescent="0.3">
      <c r="A516" s="33">
        <v>0.14000000000000001</v>
      </c>
      <c r="B516" s="33">
        <v>0.1061</v>
      </c>
      <c r="C516" s="33">
        <v>0.33</v>
      </c>
      <c r="D516" s="33">
        <v>0.3881</v>
      </c>
      <c r="E516" s="33">
        <v>87</v>
      </c>
    </row>
    <row r="517" spans="1:5" x14ac:dyDescent="0.3">
      <c r="A517" s="33">
        <v>0.16</v>
      </c>
      <c r="B517" s="33">
        <v>0.13639999999999999</v>
      </c>
      <c r="C517" s="33">
        <v>0.28000000000000003</v>
      </c>
      <c r="D517" s="33">
        <v>0.35820000000000002</v>
      </c>
      <c r="E517" s="33">
        <v>110</v>
      </c>
    </row>
    <row r="518" spans="1:5" x14ac:dyDescent="0.3">
      <c r="A518" s="33">
        <v>0.16</v>
      </c>
      <c r="B518" s="33">
        <v>0.13639999999999999</v>
      </c>
      <c r="C518" s="33">
        <v>0.28000000000000003</v>
      </c>
      <c r="D518" s="33">
        <v>0.35820000000000002</v>
      </c>
      <c r="E518" s="33">
        <v>77</v>
      </c>
    </row>
    <row r="519" spans="1:5" x14ac:dyDescent="0.3">
      <c r="A519" s="33">
        <v>0.16</v>
      </c>
      <c r="B519" s="33">
        <v>0.13639999999999999</v>
      </c>
      <c r="C519" s="33">
        <v>0.26</v>
      </c>
      <c r="D519" s="33">
        <v>0.32840000000000003</v>
      </c>
      <c r="E519" s="33">
        <v>65</v>
      </c>
    </row>
    <row r="520" spans="1:5" x14ac:dyDescent="0.3">
      <c r="A520" s="33">
        <v>0.14000000000000001</v>
      </c>
      <c r="B520" s="33">
        <v>0.1061</v>
      </c>
      <c r="C520" s="33">
        <v>0.26</v>
      </c>
      <c r="D520" s="33">
        <v>0.3881</v>
      </c>
      <c r="E520" s="33">
        <v>55</v>
      </c>
    </row>
    <row r="521" spans="1:5" x14ac:dyDescent="0.3">
      <c r="A521" s="33">
        <v>0.12</v>
      </c>
      <c r="B521" s="33">
        <v>0.1212</v>
      </c>
      <c r="C521" s="33">
        <v>0.3</v>
      </c>
      <c r="D521" s="33">
        <v>0.25369999999999998</v>
      </c>
      <c r="E521" s="33">
        <v>49</v>
      </c>
    </row>
    <row r="522" spans="1:5" x14ac:dyDescent="0.3">
      <c r="A522" s="33">
        <v>0.12</v>
      </c>
      <c r="B522" s="33">
        <v>0.1212</v>
      </c>
      <c r="C522" s="33">
        <v>0.3</v>
      </c>
      <c r="D522" s="33">
        <v>0.28360000000000002</v>
      </c>
      <c r="E522" s="33">
        <v>50</v>
      </c>
    </row>
    <row r="523" spans="1:5" x14ac:dyDescent="0.3">
      <c r="A523" s="33">
        <v>0.1</v>
      </c>
      <c r="B523" s="33">
        <v>0.1061</v>
      </c>
      <c r="C523" s="33">
        <v>0.36</v>
      </c>
      <c r="D523" s="33">
        <v>0.25369999999999998</v>
      </c>
      <c r="E523" s="33">
        <v>35</v>
      </c>
    </row>
    <row r="524" spans="1:5" x14ac:dyDescent="0.3">
      <c r="A524" s="33">
        <v>0.1</v>
      </c>
      <c r="B524" s="33">
        <v>0.1061</v>
      </c>
      <c r="C524" s="33">
        <v>0.36</v>
      </c>
      <c r="D524" s="33">
        <v>0.19400000000000001</v>
      </c>
      <c r="E524" s="33">
        <v>25</v>
      </c>
    </row>
    <row r="525" spans="1:5" x14ac:dyDescent="0.3">
      <c r="A525" s="33">
        <v>0.08</v>
      </c>
      <c r="B525" s="33">
        <v>9.0899999999999995E-2</v>
      </c>
      <c r="C525" s="33">
        <v>0.38</v>
      </c>
      <c r="D525" s="33">
        <v>0.19400000000000001</v>
      </c>
      <c r="E525" s="33">
        <v>28</v>
      </c>
    </row>
    <row r="526" spans="1:5" x14ac:dyDescent="0.3">
      <c r="A526" s="33">
        <v>0.06</v>
      </c>
      <c r="B526" s="33">
        <v>6.0600000000000001E-2</v>
      </c>
      <c r="C526" s="33">
        <v>0.41</v>
      </c>
      <c r="D526" s="33">
        <v>0.22389999999999999</v>
      </c>
      <c r="E526" s="33">
        <v>21</v>
      </c>
    </row>
    <row r="527" spans="1:5" x14ac:dyDescent="0.3">
      <c r="A527" s="33">
        <v>0.06</v>
      </c>
      <c r="B527" s="33">
        <v>6.0600000000000001E-2</v>
      </c>
      <c r="C527" s="33">
        <v>0.41</v>
      </c>
      <c r="D527" s="33">
        <v>0.19400000000000001</v>
      </c>
      <c r="E527" s="33">
        <v>7</v>
      </c>
    </row>
    <row r="528" spans="1:5" x14ac:dyDescent="0.3">
      <c r="A528" s="33">
        <v>0.04</v>
      </c>
      <c r="B528" s="33">
        <v>4.5499999999999999E-2</v>
      </c>
      <c r="C528" s="33">
        <v>0.45</v>
      </c>
      <c r="D528" s="33">
        <v>0.19400000000000001</v>
      </c>
      <c r="E528" s="33">
        <v>1</v>
      </c>
    </row>
    <row r="529" spans="1:5" x14ac:dyDescent="0.3">
      <c r="A529" s="33">
        <v>0.04</v>
      </c>
      <c r="B529" s="33">
        <v>3.0300000000000001E-2</v>
      </c>
      <c r="C529" s="33">
        <v>0.45</v>
      </c>
      <c r="D529" s="33">
        <v>0.25369999999999998</v>
      </c>
      <c r="E529" s="33">
        <v>1</v>
      </c>
    </row>
    <row r="530" spans="1:5" x14ac:dyDescent="0.3">
      <c r="A530" s="33">
        <v>0.02</v>
      </c>
      <c r="B530" s="33">
        <v>6.0600000000000001E-2</v>
      </c>
      <c r="C530" s="33">
        <v>0.48</v>
      </c>
      <c r="D530" s="33">
        <v>0.1343</v>
      </c>
      <c r="E530" s="33">
        <v>1</v>
      </c>
    </row>
    <row r="531" spans="1:5" x14ac:dyDescent="0.3">
      <c r="A531" s="33">
        <v>0.02</v>
      </c>
      <c r="B531" s="33">
        <v>6.0600000000000001E-2</v>
      </c>
      <c r="C531" s="33">
        <v>0.48</v>
      </c>
      <c r="D531" s="33">
        <v>0.1343</v>
      </c>
      <c r="E531" s="33">
        <v>5</v>
      </c>
    </row>
    <row r="532" spans="1:5" x14ac:dyDescent="0.3">
      <c r="A532" s="33">
        <v>0.02</v>
      </c>
      <c r="B532" s="33">
        <v>7.5800000000000006E-2</v>
      </c>
      <c r="C532" s="33">
        <v>0.48</v>
      </c>
      <c r="D532" s="33">
        <v>8.9599999999999999E-2</v>
      </c>
      <c r="E532" s="33">
        <v>15</v>
      </c>
    </row>
    <row r="533" spans="1:5" x14ac:dyDescent="0.3">
      <c r="A533" s="33">
        <v>0.02</v>
      </c>
      <c r="B533" s="33">
        <v>0.1212</v>
      </c>
      <c r="C533" s="33">
        <v>0.48</v>
      </c>
      <c r="D533" s="33">
        <v>0</v>
      </c>
      <c r="E533" s="33">
        <v>84</v>
      </c>
    </row>
    <row r="534" spans="1:5" x14ac:dyDescent="0.3">
      <c r="A534" s="33">
        <v>0.04</v>
      </c>
      <c r="B534" s="33">
        <v>0.13639999999999999</v>
      </c>
      <c r="C534" s="33">
        <v>0.49</v>
      </c>
      <c r="D534" s="33">
        <v>0</v>
      </c>
      <c r="E534" s="33">
        <v>177</v>
      </c>
    </row>
    <row r="535" spans="1:5" x14ac:dyDescent="0.3">
      <c r="A535" s="33">
        <v>0.06</v>
      </c>
      <c r="B535" s="33">
        <v>0.1515</v>
      </c>
      <c r="C535" s="33">
        <v>0.41</v>
      </c>
      <c r="D535" s="33">
        <v>0</v>
      </c>
      <c r="E535" s="33">
        <v>102</v>
      </c>
    </row>
    <row r="536" spans="1:5" x14ac:dyDescent="0.3">
      <c r="A536" s="33">
        <v>0.1</v>
      </c>
      <c r="B536" s="33">
        <v>0.13639999999999999</v>
      </c>
      <c r="C536" s="33">
        <v>0.42</v>
      </c>
      <c r="D536" s="33">
        <v>0</v>
      </c>
      <c r="E536" s="33">
        <v>40</v>
      </c>
    </row>
    <row r="537" spans="1:5" x14ac:dyDescent="0.3">
      <c r="A537" s="33">
        <v>0.1</v>
      </c>
      <c r="B537" s="33">
        <v>0.1212</v>
      </c>
      <c r="C537" s="33">
        <v>0.46</v>
      </c>
      <c r="D537" s="33">
        <v>0.1343</v>
      </c>
      <c r="E537" s="33">
        <v>46</v>
      </c>
    </row>
    <row r="538" spans="1:5" x14ac:dyDescent="0.3">
      <c r="A538" s="33">
        <v>0.12</v>
      </c>
      <c r="B538" s="33">
        <v>0.13639999999999999</v>
      </c>
      <c r="C538" s="33">
        <v>0.42</v>
      </c>
      <c r="D538" s="33">
        <v>0.19400000000000001</v>
      </c>
      <c r="E538" s="33">
        <v>63</v>
      </c>
    </row>
    <row r="539" spans="1:5" x14ac:dyDescent="0.3">
      <c r="A539" s="33">
        <v>0.14000000000000001</v>
      </c>
      <c r="B539" s="33">
        <v>0.13639999999999999</v>
      </c>
      <c r="C539" s="33">
        <v>0.43</v>
      </c>
      <c r="D539" s="33">
        <v>0.22389999999999999</v>
      </c>
      <c r="E539" s="33">
        <v>60</v>
      </c>
    </row>
    <row r="540" spans="1:5" x14ac:dyDescent="0.3">
      <c r="A540" s="33">
        <v>0.14000000000000001</v>
      </c>
      <c r="B540" s="33">
        <v>0.13639999999999999</v>
      </c>
      <c r="C540" s="33">
        <v>0.46</v>
      </c>
      <c r="D540" s="33">
        <v>0.22389999999999999</v>
      </c>
      <c r="E540" s="33">
        <v>45</v>
      </c>
    </row>
    <row r="541" spans="1:5" x14ac:dyDescent="0.3">
      <c r="A541" s="33">
        <v>0.16</v>
      </c>
      <c r="B541" s="33">
        <v>0.16669999999999999</v>
      </c>
      <c r="C541" s="33">
        <v>0.4</v>
      </c>
      <c r="D541" s="33">
        <v>0.16420000000000001</v>
      </c>
      <c r="E541" s="33">
        <v>57</v>
      </c>
    </row>
    <row r="542" spans="1:5" x14ac:dyDescent="0.3">
      <c r="A542" s="33">
        <v>0.16</v>
      </c>
      <c r="B542" s="33">
        <v>0.1515</v>
      </c>
      <c r="C542" s="33">
        <v>0.47</v>
      </c>
      <c r="D542" s="33">
        <v>0.25369999999999998</v>
      </c>
      <c r="E542" s="33">
        <v>70</v>
      </c>
    </row>
    <row r="543" spans="1:5" x14ac:dyDescent="0.3">
      <c r="A543" s="33">
        <v>0.14000000000000001</v>
      </c>
      <c r="B543" s="33">
        <v>0.1212</v>
      </c>
      <c r="C543" s="33">
        <v>0.5</v>
      </c>
      <c r="D543" s="33">
        <v>0.25369999999999998</v>
      </c>
      <c r="E543" s="33">
        <v>184</v>
      </c>
    </row>
    <row r="544" spans="1:5" x14ac:dyDescent="0.3">
      <c r="A544" s="33">
        <v>0.14000000000000001</v>
      </c>
      <c r="B544" s="33">
        <v>0.13639999999999999</v>
      </c>
      <c r="C544" s="33">
        <v>0.59</v>
      </c>
      <c r="D544" s="33">
        <v>0.19400000000000001</v>
      </c>
      <c r="E544" s="33">
        <v>153</v>
      </c>
    </row>
    <row r="545" spans="1:5" x14ac:dyDescent="0.3">
      <c r="A545" s="33">
        <v>0.14000000000000001</v>
      </c>
      <c r="B545" s="33">
        <v>0.1515</v>
      </c>
      <c r="C545" s="33">
        <v>0.54</v>
      </c>
      <c r="D545" s="33">
        <v>0.16420000000000001</v>
      </c>
      <c r="E545" s="33">
        <v>106</v>
      </c>
    </row>
    <row r="546" spans="1:5" x14ac:dyDescent="0.3">
      <c r="A546" s="33">
        <v>0.14000000000000001</v>
      </c>
      <c r="B546" s="33">
        <v>0.13639999999999999</v>
      </c>
      <c r="C546" s="33">
        <v>0.59</v>
      </c>
      <c r="D546" s="33">
        <v>0.19400000000000001</v>
      </c>
      <c r="E546" s="33">
        <v>81</v>
      </c>
    </row>
    <row r="547" spans="1:5" x14ac:dyDescent="0.3">
      <c r="A547" s="33">
        <v>0.14000000000000001</v>
      </c>
      <c r="B547" s="33">
        <v>0.1515</v>
      </c>
      <c r="C547" s="33">
        <v>0.63</v>
      </c>
      <c r="D547" s="33">
        <v>0.16420000000000001</v>
      </c>
      <c r="E547" s="33">
        <v>59</v>
      </c>
    </row>
    <row r="548" spans="1:5" x14ac:dyDescent="0.3">
      <c r="A548" s="33">
        <v>0.14000000000000001</v>
      </c>
      <c r="B548" s="33">
        <v>0.13639999999999999</v>
      </c>
      <c r="C548" s="33">
        <v>0.63</v>
      </c>
      <c r="D548" s="33">
        <v>0.22389999999999999</v>
      </c>
      <c r="E548" s="33">
        <v>35</v>
      </c>
    </row>
    <row r="549" spans="1:5" x14ac:dyDescent="0.3">
      <c r="A549" s="33">
        <v>0.16</v>
      </c>
      <c r="B549" s="33">
        <v>0.1515</v>
      </c>
      <c r="C549" s="33">
        <v>0.64</v>
      </c>
      <c r="D549" s="33">
        <v>0.25369999999999998</v>
      </c>
      <c r="E549" s="33">
        <v>24</v>
      </c>
    </row>
    <row r="550" spans="1:5" x14ac:dyDescent="0.3">
      <c r="A550" s="33">
        <v>0.16</v>
      </c>
      <c r="B550" s="33">
        <v>0.13639999999999999</v>
      </c>
      <c r="C550" s="33">
        <v>0.69</v>
      </c>
      <c r="D550" s="33">
        <v>0.28360000000000002</v>
      </c>
      <c r="E550" s="33">
        <v>9</v>
      </c>
    </row>
    <row r="551" spans="1:5" x14ac:dyDescent="0.3">
      <c r="A551" s="33">
        <v>0.16</v>
      </c>
      <c r="B551" s="33">
        <v>0.16669999999999999</v>
      </c>
      <c r="C551" s="33">
        <v>0.69</v>
      </c>
      <c r="D551" s="33">
        <v>0.16420000000000001</v>
      </c>
      <c r="E551" s="33">
        <v>5</v>
      </c>
    </row>
    <row r="552" spans="1:5" x14ac:dyDescent="0.3">
      <c r="A552" s="33">
        <v>0.16</v>
      </c>
      <c r="B552" s="33">
        <v>0.1515</v>
      </c>
      <c r="C552" s="33">
        <v>0.69</v>
      </c>
      <c r="D552" s="33">
        <v>0.22389999999999999</v>
      </c>
      <c r="E552" s="33">
        <v>2</v>
      </c>
    </row>
    <row r="553" spans="1:5" x14ac:dyDescent="0.3">
      <c r="A553" s="33">
        <v>0.14000000000000001</v>
      </c>
      <c r="B553" s="33">
        <v>0.16669999999999999</v>
      </c>
      <c r="C553" s="33">
        <v>0.74</v>
      </c>
      <c r="D553" s="33">
        <v>0.1045</v>
      </c>
      <c r="E553" s="33">
        <v>1</v>
      </c>
    </row>
    <row r="554" spans="1:5" x14ac:dyDescent="0.3">
      <c r="A554" s="33">
        <v>0.14000000000000001</v>
      </c>
      <c r="B554" s="33">
        <v>0.13639999999999999</v>
      </c>
      <c r="C554" s="33">
        <v>0.74</v>
      </c>
      <c r="D554" s="33">
        <v>0.22389999999999999</v>
      </c>
      <c r="E554" s="33">
        <v>9</v>
      </c>
    </row>
    <row r="555" spans="1:5" x14ac:dyDescent="0.3">
      <c r="A555" s="33">
        <v>0.16</v>
      </c>
      <c r="B555" s="33">
        <v>0.18179999999999999</v>
      </c>
      <c r="C555" s="33">
        <v>0.74</v>
      </c>
      <c r="D555" s="33">
        <v>0.1045</v>
      </c>
      <c r="E555" s="33">
        <v>36</v>
      </c>
    </row>
    <row r="556" spans="1:5" x14ac:dyDescent="0.3">
      <c r="A556" s="33">
        <v>0.16</v>
      </c>
      <c r="B556" s="33">
        <v>0.1515</v>
      </c>
      <c r="C556" s="33">
        <v>0.74</v>
      </c>
      <c r="D556" s="33">
        <v>0.22389999999999999</v>
      </c>
      <c r="E556" s="33">
        <v>108</v>
      </c>
    </row>
    <row r="557" spans="1:5" x14ac:dyDescent="0.3">
      <c r="A557" s="33">
        <v>0.16</v>
      </c>
      <c r="B557" s="33">
        <v>0.18179999999999999</v>
      </c>
      <c r="C557" s="33">
        <v>0.74</v>
      </c>
      <c r="D557" s="33">
        <v>0.1343</v>
      </c>
      <c r="E557" s="33">
        <v>238</v>
      </c>
    </row>
    <row r="558" spans="1:5" x14ac:dyDescent="0.3">
      <c r="A558" s="33">
        <v>0.2</v>
      </c>
      <c r="B558" s="33">
        <v>0.2273</v>
      </c>
      <c r="C558" s="33">
        <v>0.64</v>
      </c>
      <c r="D558" s="33">
        <v>8.9599999999999999E-2</v>
      </c>
      <c r="E558" s="33">
        <v>144</v>
      </c>
    </row>
    <row r="559" spans="1:5" x14ac:dyDescent="0.3">
      <c r="A559" s="33">
        <v>0.22</v>
      </c>
      <c r="B559" s="33">
        <v>0.2424</v>
      </c>
      <c r="C559" s="33">
        <v>0.6</v>
      </c>
      <c r="D559" s="33">
        <v>0.1045</v>
      </c>
      <c r="E559" s="33">
        <v>55</v>
      </c>
    </row>
    <row r="560" spans="1:5" x14ac:dyDescent="0.3">
      <c r="A560" s="33">
        <v>0.24</v>
      </c>
      <c r="B560" s="33">
        <v>0.2424</v>
      </c>
      <c r="C560" s="33">
        <v>0.6</v>
      </c>
      <c r="D560" s="33">
        <v>0.1343</v>
      </c>
      <c r="E560" s="33">
        <v>61</v>
      </c>
    </row>
    <row r="561" spans="1:5" x14ac:dyDescent="0.3">
      <c r="A561" s="33">
        <v>0.26</v>
      </c>
      <c r="B561" s="33">
        <v>0.28789999999999999</v>
      </c>
      <c r="C561" s="33">
        <v>0.56000000000000005</v>
      </c>
      <c r="D561" s="33">
        <v>8.9599999999999999E-2</v>
      </c>
      <c r="E561" s="33">
        <v>106</v>
      </c>
    </row>
    <row r="562" spans="1:5" x14ac:dyDescent="0.3">
      <c r="A562" s="33">
        <v>0.26</v>
      </c>
      <c r="B562" s="33">
        <v>0.2727</v>
      </c>
      <c r="C562" s="33">
        <v>0.56000000000000005</v>
      </c>
      <c r="D562" s="33">
        <v>0.1343</v>
      </c>
      <c r="E562" s="33">
        <v>93</v>
      </c>
    </row>
    <row r="563" spans="1:5" x14ac:dyDescent="0.3">
      <c r="A563" s="33">
        <v>0.3</v>
      </c>
      <c r="B563" s="33">
        <v>0.33329999999999999</v>
      </c>
      <c r="C563" s="33">
        <v>0.45</v>
      </c>
      <c r="D563" s="33">
        <v>0</v>
      </c>
      <c r="E563" s="33">
        <v>68</v>
      </c>
    </row>
    <row r="564" spans="1:5" x14ac:dyDescent="0.3">
      <c r="A564" s="33">
        <v>0.32</v>
      </c>
      <c r="B564" s="33">
        <v>0.34849999999999998</v>
      </c>
      <c r="C564" s="33">
        <v>0.42</v>
      </c>
      <c r="D564" s="33">
        <v>0</v>
      </c>
      <c r="E564" s="33">
        <v>84</v>
      </c>
    </row>
    <row r="565" spans="1:5" x14ac:dyDescent="0.3">
      <c r="A565" s="33">
        <v>0.32</v>
      </c>
      <c r="B565" s="33">
        <v>0.34849999999999998</v>
      </c>
      <c r="C565" s="33">
        <v>0.42</v>
      </c>
      <c r="D565" s="33">
        <v>0</v>
      </c>
      <c r="E565" s="33">
        <v>116</v>
      </c>
    </row>
    <row r="566" spans="1:5" x14ac:dyDescent="0.3">
      <c r="A566" s="33">
        <v>0.3</v>
      </c>
      <c r="B566" s="33">
        <v>0.33329999999999999</v>
      </c>
      <c r="C566" s="33">
        <v>0.45</v>
      </c>
      <c r="D566" s="33">
        <v>0</v>
      </c>
      <c r="E566" s="33">
        <v>222</v>
      </c>
    </row>
    <row r="567" spans="1:5" x14ac:dyDescent="0.3">
      <c r="A567" s="33">
        <v>0.3</v>
      </c>
      <c r="B567" s="33">
        <v>0.31819999999999998</v>
      </c>
      <c r="C567" s="33">
        <v>0.49</v>
      </c>
      <c r="D567" s="33">
        <v>8.9599999999999999E-2</v>
      </c>
      <c r="E567" s="33">
        <v>225</v>
      </c>
    </row>
    <row r="568" spans="1:5" x14ac:dyDescent="0.3">
      <c r="A568" s="33">
        <v>0.26</v>
      </c>
      <c r="B568" s="33">
        <v>0.2576</v>
      </c>
      <c r="C568" s="33">
        <v>0.65</v>
      </c>
      <c r="D568" s="33">
        <v>0.16420000000000001</v>
      </c>
      <c r="E568" s="33">
        <v>146</v>
      </c>
    </row>
    <row r="569" spans="1:5" x14ac:dyDescent="0.3">
      <c r="A569" s="33">
        <v>0.24</v>
      </c>
      <c r="B569" s="33">
        <v>0.2273</v>
      </c>
      <c r="C569" s="33">
        <v>0.65</v>
      </c>
      <c r="D569" s="33">
        <v>0.19400000000000001</v>
      </c>
      <c r="E569" s="33">
        <v>119</v>
      </c>
    </row>
    <row r="570" spans="1:5" x14ac:dyDescent="0.3">
      <c r="A570" s="33">
        <v>0.24</v>
      </c>
      <c r="B570" s="33">
        <v>0.2273</v>
      </c>
      <c r="C570" s="33">
        <v>0.65</v>
      </c>
      <c r="D570" s="33">
        <v>0.19400000000000001</v>
      </c>
      <c r="E570" s="33">
        <v>45</v>
      </c>
    </row>
    <row r="571" spans="1:5" x14ac:dyDescent="0.3">
      <c r="A571" s="33">
        <v>0.22</v>
      </c>
      <c r="B571" s="33">
        <v>0.2273</v>
      </c>
      <c r="C571" s="33">
        <v>0.64</v>
      </c>
      <c r="D571" s="33">
        <v>0.16420000000000001</v>
      </c>
      <c r="E571" s="33">
        <v>53</v>
      </c>
    </row>
    <row r="572" spans="1:5" x14ac:dyDescent="0.3">
      <c r="A572" s="33">
        <v>0.22</v>
      </c>
      <c r="B572" s="33">
        <v>0.2273</v>
      </c>
      <c r="C572" s="33">
        <v>0.64</v>
      </c>
      <c r="D572" s="33">
        <v>0.16420000000000001</v>
      </c>
      <c r="E572" s="33">
        <v>40</v>
      </c>
    </row>
    <row r="573" spans="1:5" x14ac:dyDescent="0.3">
      <c r="A573" s="33">
        <v>0.22</v>
      </c>
      <c r="B573" s="33">
        <v>0.2273</v>
      </c>
      <c r="C573" s="33">
        <v>0.69</v>
      </c>
      <c r="D573" s="33">
        <v>0.1343</v>
      </c>
      <c r="E573" s="33">
        <v>17</v>
      </c>
    </row>
    <row r="574" spans="1:5" x14ac:dyDescent="0.3">
      <c r="A574" s="33">
        <v>0.24</v>
      </c>
      <c r="B574" s="33">
        <v>0.2424</v>
      </c>
      <c r="C574" s="33">
        <v>0.65</v>
      </c>
      <c r="D574" s="33">
        <v>0.1343</v>
      </c>
      <c r="E574" s="33">
        <v>5</v>
      </c>
    </row>
    <row r="575" spans="1:5" x14ac:dyDescent="0.3">
      <c r="A575" s="33">
        <v>0.22</v>
      </c>
      <c r="B575" s="33">
        <v>0.2273</v>
      </c>
      <c r="C575" s="33">
        <v>0.69</v>
      </c>
      <c r="D575" s="33">
        <v>0.19400000000000001</v>
      </c>
      <c r="E575" s="33">
        <v>10</v>
      </c>
    </row>
    <row r="576" spans="1:5" x14ac:dyDescent="0.3">
      <c r="A576" s="33">
        <v>0.2</v>
      </c>
      <c r="B576" s="33">
        <v>0.18179999999999999</v>
      </c>
      <c r="C576" s="33">
        <v>0.86</v>
      </c>
      <c r="D576" s="33">
        <v>0.28360000000000002</v>
      </c>
      <c r="E576" s="33">
        <v>1</v>
      </c>
    </row>
    <row r="577" spans="1:5" x14ac:dyDescent="0.3">
      <c r="A577" s="33">
        <v>0.2</v>
      </c>
      <c r="B577" s="33">
        <v>0.18179999999999999</v>
      </c>
      <c r="C577" s="33">
        <v>0.86</v>
      </c>
      <c r="D577" s="33">
        <v>0.28360000000000002</v>
      </c>
      <c r="E577" s="33">
        <v>8</v>
      </c>
    </row>
    <row r="578" spans="1:5" x14ac:dyDescent="0.3">
      <c r="A578" s="33">
        <v>0.22</v>
      </c>
      <c r="B578" s="33">
        <v>0.21210000000000001</v>
      </c>
      <c r="C578" s="33">
        <v>0.87</v>
      </c>
      <c r="D578" s="33">
        <v>0.29849999999999999</v>
      </c>
      <c r="E578" s="33">
        <v>30</v>
      </c>
    </row>
    <row r="579" spans="1:5" x14ac:dyDescent="0.3">
      <c r="A579" s="33">
        <v>0.22</v>
      </c>
      <c r="B579" s="33">
        <v>0.21210000000000001</v>
      </c>
      <c r="C579" s="33">
        <v>0.87</v>
      </c>
      <c r="D579" s="33">
        <v>0.29849999999999999</v>
      </c>
      <c r="E579" s="33">
        <v>72</v>
      </c>
    </row>
    <row r="580" spans="1:5" x14ac:dyDescent="0.3">
      <c r="A580" s="33">
        <v>0.22</v>
      </c>
      <c r="B580" s="33">
        <v>0.21210000000000001</v>
      </c>
      <c r="C580" s="33">
        <v>0.87</v>
      </c>
      <c r="D580" s="33">
        <v>0.29849999999999999</v>
      </c>
      <c r="E580" s="33">
        <v>58</v>
      </c>
    </row>
    <row r="581" spans="1:5" x14ac:dyDescent="0.3">
      <c r="A581" s="33">
        <v>0.22</v>
      </c>
      <c r="B581" s="33">
        <v>0.21210000000000001</v>
      </c>
      <c r="C581" s="33">
        <v>0.93</v>
      </c>
      <c r="D581" s="33">
        <v>0.28360000000000002</v>
      </c>
      <c r="E581" s="33">
        <v>28</v>
      </c>
    </row>
    <row r="582" spans="1:5" x14ac:dyDescent="0.3">
      <c r="A582" s="33">
        <v>0.22</v>
      </c>
      <c r="B582" s="33">
        <v>0.19700000000000001</v>
      </c>
      <c r="C582" s="33">
        <v>0.93</v>
      </c>
      <c r="D582" s="33">
        <v>0.32840000000000003</v>
      </c>
      <c r="E582" s="33">
        <v>41</v>
      </c>
    </row>
    <row r="583" spans="1:5" x14ac:dyDescent="0.3">
      <c r="A583" s="33">
        <v>0.22</v>
      </c>
      <c r="B583" s="33">
        <v>0.19700000000000001</v>
      </c>
      <c r="C583" s="33">
        <v>0.93</v>
      </c>
      <c r="D583" s="33">
        <v>0.32840000000000003</v>
      </c>
      <c r="E583" s="33">
        <v>48</v>
      </c>
    </row>
    <row r="584" spans="1:5" x14ac:dyDescent="0.3">
      <c r="A584" s="33">
        <v>0.22</v>
      </c>
      <c r="B584" s="33">
        <v>0.19700000000000001</v>
      </c>
      <c r="C584" s="33">
        <v>0.93</v>
      </c>
      <c r="D584" s="33">
        <v>0.32840000000000003</v>
      </c>
      <c r="E584" s="33">
        <v>47</v>
      </c>
    </row>
    <row r="585" spans="1:5" x14ac:dyDescent="0.3">
      <c r="A585" s="33">
        <v>0.22</v>
      </c>
      <c r="B585" s="33">
        <v>0.19700000000000001</v>
      </c>
      <c r="C585" s="33">
        <v>0.93</v>
      </c>
      <c r="D585" s="33">
        <v>0.35820000000000002</v>
      </c>
      <c r="E585" s="33">
        <v>36</v>
      </c>
    </row>
    <row r="586" spans="1:5" x14ac:dyDescent="0.3">
      <c r="A586" s="33">
        <v>0.22</v>
      </c>
      <c r="B586" s="33">
        <v>0.18179999999999999</v>
      </c>
      <c r="C586" s="33">
        <v>0.93</v>
      </c>
      <c r="D586" s="33">
        <v>0.4627</v>
      </c>
      <c r="E586" s="33">
        <v>43</v>
      </c>
    </row>
    <row r="587" spans="1:5" x14ac:dyDescent="0.3">
      <c r="A587" s="33">
        <v>0.22</v>
      </c>
      <c r="B587" s="33">
        <v>0.19700000000000001</v>
      </c>
      <c r="C587" s="33">
        <v>0.93</v>
      </c>
      <c r="D587" s="33">
        <v>0.32840000000000003</v>
      </c>
      <c r="E587" s="33">
        <v>36</v>
      </c>
    </row>
    <row r="588" spans="1:5" x14ac:dyDescent="0.3">
      <c r="A588" s="33">
        <v>0.2</v>
      </c>
      <c r="B588" s="33">
        <v>0.18179999999999999</v>
      </c>
      <c r="C588" s="33">
        <v>0.93</v>
      </c>
      <c r="D588" s="33">
        <v>0.35820000000000002</v>
      </c>
      <c r="E588" s="33">
        <v>26</v>
      </c>
    </row>
    <row r="589" spans="1:5" x14ac:dyDescent="0.3">
      <c r="A589" s="33">
        <v>0.22</v>
      </c>
      <c r="B589" s="33">
        <v>0.2273</v>
      </c>
      <c r="C589" s="33">
        <v>0.55000000000000004</v>
      </c>
      <c r="D589" s="33">
        <v>0.19400000000000001</v>
      </c>
      <c r="E589" s="33">
        <v>24</v>
      </c>
    </row>
    <row r="590" spans="1:5" x14ac:dyDescent="0.3">
      <c r="A590" s="33">
        <v>0.22</v>
      </c>
      <c r="B590" s="33">
        <v>0.2424</v>
      </c>
      <c r="C590" s="33">
        <v>0.55000000000000004</v>
      </c>
      <c r="D590" s="33">
        <v>0.1045</v>
      </c>
      <c r="E590" s="33">
        <v>84</v>
      </c>
    </row>
    <row r="591" spans="1:5" x14ac:dyDescent="0.3">
      <c r="A591" s="33">
        <v>0.2</v>
      </c>
      <c r="B591" s="33">
        <v>0.2273</v>
      </c>
      <c r="C591" s="33">
        <v>0.69</v>
      </c>
      <c r="D591" s="33">
        <v>8.9599999999999999E-2</v>
      </c>
      <c r="E591" s="33">
        <v>104</v>
      </c>
    </row>
    <row r="592" spans="1:5" x14ac:dyDescent="0.3">
      <c r="A592" s="33">
        <v>0.2</v>
      </c>
      <c r="B592" s="33">
        <v>0.2273</v>
      </c>
      <c r="C592" s="33">
        <v>0.69</v>
      </c>
      <c r="D592" s="33">
        <v>8.9599999999999999E-2</v>
      </c>
      <c r="E592" s="33">
        <v>79</v>
      </c>
    </row>
    <row r="593" spans="1:5" x14ac:dyDescent="0.3">
      <c r="A593" s="33">
        <v>0.18</v>
      </c>
      <c r="B593" s="33">
        <v>0.21210000000000001</v>
      </c>
      <c r="C593" s="33">
        <v>0.74</v>
      </c>
      <c r="D593" s="33">
        <v>8.9599999999999999E-2</v>
      </c>
      <c r="E593" s="33">
        <v>59</v>
      </c>
    </row>
    <row r="594" spans="1:5" x14ac:dyDescent="0.3">
      <c r="A594" s="33">
        <v>0.18</v>
      </c>
      <c r="B594" s="33">
        <v>0.21210000000000001</v>
      </c>
      <c r="C594" s="33">
        <v>0.74</v>
      </c>
      <c r="D594" s="33">
        <v>8.9599999999999999E-2</v>
      </c>
      <c r="E594" s="33">
        <v>38</v>
      </c>
    </row>
    <row r="595" spans="1:5" x14ac:dyDescent="0.3">
      <c r="A595" s="33">
        <v>0.18</v>
      </c>
      <c r="B595" s="33">
        <v>0.21210000000000001</v>
      </c>
      <c r="C595" s="33">
        <v>0.74</v>
      </c>
      <c r="D595" s="33">
        <v>8.9599999999999999E-2</v>
      </c>
      <c r="E595" s="33">
        <v>27</v>
      </c>
    </row>
    <row r="596" spans="1:5" x14ac:dyDescent="0.3">
      <c r="A596" s="33">
        <v>0.18</v>
      </c>
      <c r="B596" s="33">
        <v>0.19700000000000001</v>
      </c>
      <c r="C596" s="33">
        <v>0.8</v>
      </c>
      <c r="D596" s="33">
        <v>0.16420000000000001</v>
      </c>
      <c r="E596" s="33">
        <v>16</v>
      </c>
    </row>
    <row r="597" spans="1:5" x14ac:dyDescent="0.3">
      <c r="A597" s="33">
        <v>0.2</v>
      </c>
      <c r="B597" s="33">
        <v>0.21210000000000001</v>
      </c>
      <c r="C597" s="33">
        <v>0.75</v>
      </c>
      <c r="D597" s="33">
        <v>0.1343</v>
      </c>
      <c r="E597" s="33">
        <v>9</v>
      </c>
    </row>
    <row r="598" spans="1:5" x14ac:dyDescent="0.3">
      <c r="A598" s="33">
        <v>0.2</v>
      </c>
      <c r="B598" s="33">
        <v>0.21210000000000001</v>
      </c>
      <c r="C598" s="33">
        <v>0.75</v>
      </c>
      <c r="D598" s="33">
        <v>0.1343</v>
      </c>
      <c r="E598" s="33">
        <v>3</v>
      </c>
    </row>
    <row r="599" spans="1:5" x14ac:dyDescent="0.3">
      <c r="A599" s="33">
        <v>0.2</v>
      </c>
      <c r="B599" s="33">
        <v>0.21210000000000001</v>
      </c>
      <c r="C599" s="33">
        <v>0.75</v>
      </c>
      <c r="D599" s="33">
        <v>0.16420000000000001</v>
      </c>
      <c r="E599" s="33">
        <v>2</v>
      </c>
    </row>
    <row r="600" spans="1:5" x14ac:dyDescent="0.3">
      <c r="A600" s="33">
        <v>0.2</v>
      </c>
      <c r="B600" s="33">
        <v>0.2273</v>
      </c>
      <c r="C600" s="33">
        <v>0.75</v>
      </c>
      <c r="D600" s="33">
        <v>0.1045</v>
      </c>
      <c r="E600" s="33">
        <v>1</v>
      </c>
    </row>
    <row r="601" spans="1:5" x14ac:dyDescent="0.3">
      <c r="A601" s="33">
        <v>0.18</v>
      </c>
      <c r="B601" s="33">
        <v>0.21210000000000001</v>
      </c>
      <c r="C601" s="33">
        <v>0.8</v>
      </c>
      <c r="D601" s="33">
        <v>0.1045</v>
      </c>
      <c r="E601" s="33">
        <v>4</v>
      </c>
    </row>
    <row r="602" spans="1:5" x14ac:dyDescent="0.3">
      <c r="A602" s="33">
        <v>0.18</v>
      </c>
      <c r="B602" s="33">
        <v>0.19700000000000001</v>
      </c>
      <c r="C602" s="33">
        <v>0.8</v>
      </c>
      <c r="D602" s="33">
        <v>0.1343</v>
      </c>
      <c r="E602" s="33">
        <v>16</v>
      </c>
    </row>
    <row r="603" spans="1:5" x14ac:dyDescent="0.3">
      <c r="A603" s="33">
        <v>0.16</v>
      </c>
      <c r="B603" s="33">
        <v>0.19700000000000001</v>
      </c>
      <c r="C603" s="33">
        <v>0.86</v>
      </c>
      <c r="D603" s="33">
        <v>8.9599999999999999E-2</v>
      </c>
      <c r="E603" s="33">
        <v>60</v>
      </c>
    </row>
    <row r="604" spans="1:5" x14ac:dyDescent="0.3">
      <c r="A604" s="33">
        <v>0.16</v>
      </c>
      <c r="B604" s="33">
        <v>0.19700000000000001</v>
      </c>
      <c r="C604" s="33">
        <v>0.86</v>
      </c>
      <c r="D604" s="33">
        <v>8.9599999999999999E-2</v>
      </c>
      <c r="E604" s="33">
        <v>157</v>
      </c>
    </row>
    <row r="605" spans="1:5" x14ac:dyDescent="0.3">
      <c r="A605" s="33">
        <v>0.18</v>
      </c>
      <c r="B605" s="33">
        <v>0.21210000000000001</v>
      </c>
      <c r="C605" s="33">
        <v>0.86</v>
      </c>
      <c r="D605" s="33">
        <v>8.9599999999999999E-2</v>
      </c>
      <c r="E605" s="33">
        <v>101</v>
      </c>
    </row>
    <row r="606" spans="1:5" x14ac:dyDescent="0.3">
      <c r="A606" s="33">
        <v>0.18</v>
      </c>
      <c r="B606" s="33">
        <v>0.21210000000000001</v>
      </c>
      <c r="C606" s="33">
        <v>0.86</v>
      </c>
      <c r="D606" s="33">
        <v>0.1045</v>
      </c>
      <c r="E606" s="33">
        <v>49</v>
      </c>
    </row>
    <row r="607" spans="1:5" x14ac:dyDescent="0.3">
      <c r="A607" s="33">
        <v>0.18</v>
      </c>
      <c r="B607" s="33">
        <v>0.21210000000000001</v>
      </c>
      <c r="C607" s="33">
        <v>0.93</v>
      </c>
      <c r="D607" s="33">
        <v>0.1045</v>
      </c>
      <c r="E607" s="33">
        <v>30</v>
      </c>
    </row>
    <row r="608" spans="1:5" x14ac:dyDescent="0.3">
      <c r="A608" s="33">
        <v>0.18</v>
      </c>
      <c r="B608" s="33">
        <v>0.21210000000000001</v>
      </c>
      <c r="C608" s="33">
        <v>0.93</v>
      </c>
      <c r="D608" s="33">
        <v>0.1045</v>
      </c>
      <c r="E608" s="33">
        <v>29</v>
      </c>
    </row>
    <row r="609" spans="1:5" x14ac:dyDescent="0.3">
      <c r="A609" s="33">
        <v>0.18</v>
      </c>
      <c r="B609" s="33">
        <v>0.21210000000000001</v>
      </c>
      <c r="C609" s="33">
        <v>0.93</v>
      </c>
      <c r="D609" s="33">
        <v>0.1045</v>
      </c>
      <c r="E609" s="33">
        <v>31</v>
      </c>
    </row>
    <row r="610" spans="1:5" x14ac:dyDescent="0.3">
      <c r="A610" s="33">
        <v>0.22</v>
      </c>
      <c r="B610" s="33">
        <v>0.2727</v>
      </c>
      <c r="C610" s="33">
        <v>0.8</v>
      </c>
      <c r="D610" s="33">
        <v>0</v>
      </c>
      <c r="E610" s="33">
        <v>38</v>
      </c>
    </row>
    <row r="611" spans="1:5" x14ac:dyDescent="0.3">
      <c r="A611" s="33">
        <v>0.2</v>
      </c>
      <c r="B611" s="33">
        <v>0.2576</v>
      </c>
      <c r="C611" s="33">
        <v>0.86</v>
      </c>
      <c r="D611" s="33">
        <v>0</v>
      </c>
      <c r="E611" s="33">
        <v>41</v>
      </c>
    </row>
    <row r="612" spans="1:5" x14ac:dyDescent="0.3">
      <c r="A612" s="33">
        <v>0.22</v>
      </c>
      <c r="B612" s="33">
        <v>0.2727</v>
      </c>
      <c r="C612" s="33">
        <v>0.8</v>
      </c>
      <c r="D612" s="33">
        <v>0</v>
      </c>
      <c r="E612" s="33">
        <v>80</v>
      </c>
    </row>
    <row r="613" spans="1:5" x14ac:dyDescent="0.3">
      <c r="A613" s="33">
        <v>0.24</v>
      </c>
      <c r="B613" s="33">
        <v>0.2424</v>
      </c>
      <c r="C613" s="33">
        <v>0.75</v>
      </c>
      <c r="D613" s="33">
        <v>0.1343</v>
      </c>
      <c r="E613" s="33">
        <v>149</v>
      </c>
    </row>
    <row r="614" spans="1:5" x14ac:dyDescent="0.3">
      <c r="A614" s="33">
        <v>0.24</v>
      </c>
      <c r="B614" s="33">
        <v>0.2273</v>
      </c>
      <c r="C614" s="33">
        <v>0.75</v>
      </c>
      <c r="D614" s="33">
        <v>0.19400000000000001</v>
      </c>
      <c r="E614" s="33">
        <v>109</v>
      </c>
    </row>
    <row r="615" spans="1:5" x14ac:dyDescent="0.3">
      <c r="A615" s="33">
        <v>0.24</v>
      </c>
      <c r="B615" s="33">
        <v>0.2424</v>
      </c>
      <c r="C615" s="33">
        <v>0.75</v>
      </c>
      <c r="D615" s="33">
        <v>0.1343</v>
      </c>
      <c r="E615" s="33">
        <v>89</v>
      </c>
    </row>
    <row r="616" spans="1:5" x14ac:dyDescent="0.3">
      <c r="A616" s="33">
        <v>0.24</v>
      </c>
      <c r="B616" s="33">
        <v>0.2273</v>
      </c>
      <c r="C616" s="33">
        <v>0.7</v>
      </c>
      <c r="D616" s="33">
        <v>0.19400000000000001</v>
      </c>
      <c r="E616" s="33">
        <v>62</v>
      </c>
    </row>
    <row r="617" spans="1:5" x14ac:dyDescent="0.3">
      <c r="A617" s="33">
        <v>0.22</v>
      </c>
      <c r="B617" s="33">
        <v>0.2273</v>
      </c>
      <c r="C617" s="33">
        <v>0.75</v>
      </c>
      <c r="D617" s="33">
        <v>0.1343</v>
      </c>
      <c r="E617" s="33">
        <v>58</v>
      </c>
    </row>
    <row r="618" spans="1:5" x14ac:dyDescent="0.3">
      <c r="A618" s="33">
        <v>0.24</v>
      </c>
      <c r="B618" s="33">
        <v>0.21210000000000001</v>
      </c>
      <c r="C618" s="33">
        <v>0.65</v>
      </c>
      <c r="D618" s="33">
        <v>0.35820000000000002</v>
      </c>
      <c r="E618" s="33">
        <v>26</v>
      </c>
    </row>
    <row r="619" spans="1:5" x14ac:dyDescent="0.3">
      <c r="A619" s="33">
        <v>0.24</v>
      </c>
      <c r="B619" s="33">
        <v>0.2273</v>
      </c>
      <c r="C619" s="33">
        <v>0.6</v>
      </c>
      <c r="D619" s="33">
        <v>0.22389999999999999</v>
      </c>
      <c r="E619" s="33">
        <v>23</v>
      </c>
    </row>
    <row r="620" spans="1:5" x14ac:dyDescent="0.3">
      <c r="A620" s="33">
        <v>0.22</v>
      </c>
      <c r="B620" s="33">
        <v>0.19700000000000001</v>
      </c>
      <c r="C620" s="33">
        <v>0.64</v>
      </c>
      <c r="D620" s="33">
        <v>0.35820000000000002</v>
      </c>
      <c r="E620" s="33">
        <v>28</v>
      </c>
    </row>
    <row r="621" spans="1:5" x14ac:dyDescent="0.3">
      <c r="A621" s="33">
        <v>0.22</v>
      </c>
      <c r="B621" s="33">
        <v>0.2273</v>
      </c>
      <c r="C621" s="33">
        <v>0.64</v>
      </c>
      <c r="D621" s="33">
        <v>0.19400000000000001</v>
      </c>
      <c r="E621" s="33">
        <v>20</v>
      </c>
    </row>
    <row r="622" spans="1:5" x14ac:dyDescent="0.3">
      <c r="A622" s="33">
        <v>0.22</v>
      </c>
      <c r="B622" s="33">
        <v>0.2273</v>
      </c>
      <c r="C622" s="33">
        <v>0.64</v>
      </c>
      <c r="D622" s="33">
        <v>0.16420000000000001</v>
      </c>
      <c r="E622" s="33">
        <v>15</v>
      </c>
    </row>
    <row r="623" spans="1:5" x14ac:dyDescent="0.3">
      <c r="A623" s="33">
        <v>0.2</v>
      </c>
      <c r="B623" s="33">
        <v>0.21210000000000001</v>
      </c>
      <c r="C623" s="33">
        <v>0.64</v>
      </c>
      <c r="D623" s="33">
        <v>0.1343</v>
      </c>
      <c r="E623" s="33">
        <v>8</v>
      </c>
    </row>
    <row r="624" spans="1:5" x14ac:dyDescent="0.3">
      <c r="A624" s="33">
        <v>0.16</v>
      </c>
      <c r="B624" s="33">
        <v>0.18179999999999999</v>
      </c>
      <c r="C624" s="33">
        <v>0.69</v>
      </c>
      <c r="D624" s="33">
        <v>0.1045</v>
      </c>
      <c r="E624" s="33">
        <v>3</v>
      </c>
    </row>
    <row r="625" spans="1:5" x14ac:dyDescent="0.3">
      <c r="A625" s="33">
        <v>0.16</v>
      </c>
      <c r="B625" s="33">
        <v>0.18179999999999999</v>
      </c>
      <c r="C625" s="33">
        <v>0.64</v>
      </c>
      <c r="D625" s="33">
        <v>0.1343</v>
      </c>
      <c r="E625" s="33">
        <v>2</v>
      </c>
    </row>
    <row r="626" spans="1:5" x14ac:dyDescent="0.3">
      <c r="A626" s="33">
        <v>0.16</v>
      </c>
      <c r="B626" s="33">
        <v>0.18179999999999999</v>
      </c>
      <c r="C626" s="33">
        <v>0.59</v>
      </c>
      <c r="D626" s="33">
        <v>0.1045</v>
      </c>
      <c r="E626" s="33">
        <v>5</v>
      </c>
    </row>
    <row r="627" spans="1:5" x14ac:dyDescent="0.3">
      <c r="A627" s="33">
        <v>0.18</v>
      </c>
      <c r="B627" s="33">
        <v>0.19700000000000001</v>
      </c>
      <c r="C627" s="33">
        <v>0.55000000000000004</v>
      </c>
      <c r="D627" s="33">
        <v>0.16420000000000001</v>
      </c>
      <c r="E627" s="33">
        <v>34</v>
      </c>
    </row>
    <row r="628" spans="1:5" x14ac:dyDescent="0.3">
      <c r="A628" s="33">
        <v>0.18</v>
      </c>
      <c r="B628" s="33">
        <v>0.21210000000000001</v>
      </c>
      <c r="C628" s="33">
        <v>0.59</v>
      </c>
      <c r="D628" s="33">
        <v>8.9599999999999999E-2</v>
      </c>
      <c r="E628" s="33">
        <v>34</v>
      </c>
    </row>
    <row r="629" spans="1:5" x14ac:dyDescent="0.3">
      <c r="A629" s="33">
        <v>0.18</v>
      </c>
      <c r="B629" s="33">
        <v>0.21210000000000001</v>
      </c>
      <c r="C629" s="33">
        <v>0.64</v>
      </c>
      <c r="D629" s="33">
        <v>0.1045</v>
      </c>
      <c r="E629" s="33">
        <v>55</v>
      </c>
    </row>
    <row r="630" spans="1:5" x14ac:dyDescent="0.3">
      <c r="A630" s="33">
        <v>0.18</v>
      </c>
      <c r="B630" s="33">
        <v>0.19700000000000001</v>
      </c>
      <c r="C630" s="33">
        <v>0.64</v>
      </c>
      <c r="D630" s="33">
        <v>0.1343</v>
      </c>
      <c r="E630" s="33">
        <v>64</v>
      </c>
    </row>
    <row r="631" spans="1:5" x14ac:dyDescent="0.3">
      <c r="A631" s="33">
        <v>0.2</v>
      </c>
      <c r="B631" s="33">
        <v>0.19700000000000001</v>
      </c>
      <c r="C631" s="33">
        <v>0.59</v>
      </c>
      <c r="D631" s="33">
        <v>0.19400000000000001</v>
      </c>
      <c r="E631" s="33">
        <v>78</v>
      </c>
    </row>
    <row r="632" spans="1:5" x14ac:dyDescent="0.3">
      <c r="A632" s="33">
        <v>0.22</v>
      </c>
      <c r="B632" s="33">
        <v>0.2273</v>
      </c>
      <c r="C632" s="33">
        <v>0.55000000000000004</v>
      </c>
      <c r="D632" s="33">
        <v>0.16420000000000001</v>
      </c>
      <c r="E632" s="33">
        <v>65</v>
      </c>
    </row>
    <row r="633" spans="1:5" x14ac:dyDescent="0.3">
      <c r="A633" s="33">
        <v>0.22</v>
      </c>
      <c r="B633" s="33">
        <v>0.2273</v>
      </c>
      <c r="C633" s="33">
        <v>0.6</v>
      </c>
      <c r="D633" s="33">
        <v>0.1343</v>
      </c>
      <c r="E633" s="33">
        <v>99</v>
      </c>
    </row>
    <row r="634" spans="1:5" x14ac:dyDescent="0.3">
      <c r="A634" s="33">
        <v>0.22</v>
      </c>
      <c r="B634" s="33">
        <v>0.21210000000000001</v>
      </c>
      <c r="C634" s="33">
        <v>0.69</v>
      </c>
      <c r="D634" s="33">
        <v>0.25369999999999998</v>
      </c>
      <c r="E634" s="33">
        <v>120</v>
      </c>
    </row>
    <row r="635" spans="1:5" x14ac:dyDescent="0.3">
      <c r="A635" s="33">
        <v>0.24</v>
      </c>
      <c r="B635" s="33">
        <v>0.2424</v>
      </c>
      <c r="C635" s="33">
        <v>0.6</v>
      </c>
      <c r="D635" s="33">
        <v>0.16420000000000001</v>
      </c>
      <c r="E635" s="33">
        <v>107</v>
      </c>
    </row>
    <row r="636" spans="1:5" x14ac:dyDescent="0.3">
      <c r="A636" s="33">
        <v>0.24</v>
      </c>
      <c r="B636" s="33">
        <v>0.28789999999999999</v>
      </c>
      <c r="C636" s="33">
        <v>0.6</v>
      </c>
      <c r="D636" s="33">
        <v>0</v>
      </c>
      <c r="E636" s="33">
        <v>91</v>
      </c>
    </row>
    <row r="637" spans="1:5" x14ac:dyDescent="0.3">
      <c r="A637" s="33">
        <v>0.22</v>
      </c>
      <c r="B637" s="33">
        <v>0.2273</v>
      </c>
      <c r="C637" s="33">
        <v>0.69</v>
      </c>
      <c r="D637" s="33">
        <v>0.1343</v>
      </c>
      <c r="E637" s="33">
        <v>68</v>
      </c>
    </row>
    <row r="638" spans="1:5" x14ac:dyDescent="0.3">
      <c r="A638" s="33">
        <v>0.22</v>
      </c>
      <c r="B638" s="33">
        <v>0.21210000000000001</v>
      </c>
      <c r="C638" s="33">
        <v>0.69</v>
      </c>
      <c r="D638" s="33">
        <v>0.25369999999999998</v>
      </c>
      <c r="E638" s="33">
        <v>58</v>
      </c>
    </row>
    <row r="639" spans="1:5" x14ac:dyDescent="0.3">
      <c r="A639" s="33">
        <v>0.18</v>
      </c>
      <c r="B639" s="33">
        <v>0.21210000000000001</v>
      </c>
      <c r="C639" s="33">
        <v>0.74</v>
      </c>
      <c r="D639" s="33">
        <v>8.9599999999999999E-2</v>
      </c>
      <c r="E639" s="33">
        <v>43</v>
      </c>
    </row>
    <row r="640" spans="1:5" x14ac:dyDescent="0.3">
      <c r="A640" s="33">
        <v>0.18</v>
      </c>
      <c r="B640" s="33">
        <v>0.21210000000000001</v>
      </c>
      <c r="C640" s="33">
        <v>0.74</v>
      </c>
      <c r="D640" s="33">
        <v>8.9599999999999999E-2</v>
      </c>
      <c r="E640" s="33">
        <v>36</v>
      </c>
    </row>
    <row r="641" spans="1:5" x14ac:dyDescent="0.3">
      <c r="A641" s="33">
        <v>0.16</v>
      </c>
      <c r="B641" s="33">
        <v>0.19700000000000001</v>
      </c>
      <c r="C641" s="33">
        <v>0.8</v>
      </c>
      <c r="D641" s="33">
        <v>8.9599999999999999E-2</v>
      </c>
      <c r="E641" s="33">
        <v>32</v>
      </c>
    </row>
    <row r="642" spans="1:5" x14ac:dyDescent="0.3">
      <c r="A642" s="33">
        <v>0.16</v>
      </c>
      <c r="B642" s="33">
        <v>0.19700000000000001</v>
      </c>
      <c r="C642" s="33">
        <v>0.8</v>
      </c>
      <c r="D642" s="33">
        <v>8.9599999999999999E-2</v>
      </c>
      <c r="E642" s="33">
        <v>33</v>
      </c>
    </row>
    <row r="643" spans="1:5" x14ac:dyDescent="0.3">
      <c r="A643" s="33">
        <v>0.16</v>
      </c>
      <c r="B643" s="33">
        <v>0.18179999999999999</v>
      </c>
      <c r="C643" s="33">
        <v>0.8</v>
      </c>
      <c r="D643" s="33">
        <v>0.1045</v>
      </c>
      <c r="E643" s="33">
        <v>33</v>
      </c>
    </row>
    <row r="644" spans="1:5" x14ac:dyDescent="0.3">
      <c r="A644" s="33">
        <v>0.14000000000000001</v>
      </c>
      <c r="B644" s="33">
        <v>0.21210000000000001</v>
      </c>
      <c r="C644" s="33">
        <v>0.8</v>
      </c>
      <c r="D644" s="33">
        <v>0</v>
      </c>
      <c r="E644" s="33">
        <v>29</v>
      </c>
    </row>
    <row r="645" spans="1:5" x14ac:dyDescent="0.3">
      <c r="A645" s="33">
        <v>0.16</v>
      </c>
      <c r="B645" s="33">
        <v>0.2273</v>
      </c>
      <c r="C645" s="33">
        <v>0.8</v>
      </c>
      <c r="D645" s="33">
        <v>0</v>
      </c>
      <c r="E645" s="33">
        <v>11</v>
      </c>
    </row>
    <row r="646" spans="1:5" x14ac:dyDescent="0.3">
      <c r="A646" s="33">
        <v>0.14000000000000001</v>
      </c>
      <c r="B646" s="33">
        <v>0.21210000000000001</v>
      </c>
      <c r="C646" s="33">
        <v>0.93</v>
      </c>
      <c r="D646" s="33">
        <v>0</v>
      </c>
      <c r="E646" s="33">
        <v>8</v>
      </c>
    </row>
    <row r="647" spans="1:5" x14ac:dyDescent="0.3">
      <c r="A647" s="33">
        <v>0.14000000000000001</v>
      </c>
      <c r="B647" s="33">
        <v>0.21210000000000001</v>
      </c>
      <c r="C647" s="33">
        <v>0.93</v>
      </c>
      <c r="D647" s="33">
        <v>0</v>
      </c>
      <c r="E647" s="33">
        <v>1</v>
      </c>
    </row>
    <row r="648" spans="1:5" x14ac:dyDescent="0.3">
      <c r="A648" s="33">
        <v>0.14000000000000001</v>
      </c>
      <c r="B648" s="33">
        <v>0.21210000000000001</v>
      </c>
      <c r="C648" s="33">
        <v>0.86</v>
      </c>
      <c r="D648" s="33">
        <v>0</v>
      </c>
      <c r="E648" s="33">
        <v>3</v>
      </c>
    </row>
    <row r="649" spans="1:5" x14ac:dyDescent="0.3">
      <c r="A649" s="33">
        <v>0.14000000000000001</v>
      </c>
      <c r="B649" s="33">
        <v>0.21210000000000001</v>
      </c>
      <c r="C649" s="33">
        <v>0.86</v>
      </c>
      <c r="D649" s="33">
        <v>0</v>
      </c>
      <c r="E649" s="33">
        <v>3</v>
      </c>
    </row>
    <row r="650" spans="1:5" x14ac:dyDescent="0.3">
      <c r="A650" s="33">
        <v>0.14000000000000001</v>
      </c>
      <c r="B650" s="33">
        <v>0.21210000000000001</v>
      </c>
      <c r="C650" s="33">
        <v>0.86</v>
      </c>
      <c r="D650" s="33">
        <v>0</v>
      </c>
      <c r="E650" s="33">
        <v>12</v>
      </c>
    </row>
    <row r="651" spans="1:5" x14ac:dyDescent="0.3">
      <c r="A651" s="33">
        <v>0.16</v>
      </c>
      <c r="B651" s="33">
        <v>0.2273</v>
      </c>
      <c r="C651" s="33">
        <v>0.8</v>
      </c>
      <c r="D651" s="33">
        <v>0</v>
      </c>
      <c r="E651" s="33">
        <v>38</v>
      </c>
    </row>
    <row r="652" spans="1:5" x14ac:dyDescent="0.3">
      <c r="A652" s="33">
        <v>0.18</v>
      </c>
      <c r="B652" s="33">
        <v>0.2424</v>
      </c>
      <c r="C652" s="33">
        <v>0.8</v>
      </c>
      <c r="D652" s="33">
        <v>0</v>
      </c>
      <c r="E652" s="33">
        <v>64</v>
      </c>
    </row>
    <row r="653" spans="1:5" x14ac:dyDescent="0.3">
      <c r="A653" s="33">
        <v>0.22</v>
      </c>
      <c r="B653" s="33">
        <v>0.2727</v>
      </c>
      <c r="C653" s="33">
        <v>0.75</v>
      </c>
      <c r="D653" s="33">
        <v>0</v>
      </c>
      <c r="E653" s="33">
        <v>59</v>
      </c>
    </row>
    <row r="654" spans="1:5" x14ac:dyDescent="0.3">
      <c r="A654" s="33">
        <v>0.3</v>
      </c>
      <c r="B654" s="33">
        <v>0.31819999999999998</v>
      </c>
      <c r="C654" s="33">
        <v>0.52</v>
      </c>
      <c r="D654" s="33">
        <v>0.1045</v>
      </c>
      <c r="E654" s="33">
        <v>97</v>
      </c>
    </row>
    <row r="655" spans="1:5" x14ac:dyDescent="0.3">
      <c r="A655" s="33">
        <v>0.28000000000000003</v>
      </c>
      <c r="B655" s="33">
        <v>0.28789999999999999</v>
      </c>
      <c r="C655" s="33">
        <v>0.61</v>
      </c>
      <c r="D655" s="33">
        <v>0.1045</v>
      </c>
      <c r="E655" s="33">
        <v>84</v>
      </c>
    </row>
    <row r="656" spans="1:5" x14ac:dyDescent="0.3">
      <c r="A656" s="33">
        <v>0.28000000000000003</v>
      </c>
      <c r="B656" s="33">
        <v>0.30299999999999999</v>
      </c>
      <c r="C656" s="33">
        <v>0.61</v>
      </c>
      <c r="D656" s="33">
        <v>8.9599999999999999E-2</v>
      </c>
      <c r="E656" s="33">
        <v>122</v>
      </c>
    </row>
    <row r="657" spans="1:5" x14ac:dyDescent="0.3">
      <c r="A657" s="33">
        <v>0.3</v>
      </c>
      <c r="B657" s="33">
        <v>0.33329999999999999</v>
      </c>
      <c r="C657" s="33">
        <v>0.56000000000000005</v>
      </c>
      <c r="D657" s="33">
        <v>0</v>
      </c>
      <c r="E657" s="33">
        <v>109</v>
      </c>
    </row>
    <row r="658" spans="1:5" x14ac:dyDescent="0.3">
      <c r="A658" s="33">
        <v>0.3</v>
      </c>
      <c r="B658" s="33">
        <v>0.33329999999999999</v>
      </c>
      <c r="C658" s="33">
        <v>0.56000000000000005</v>
      </c>
      <c r="D658" s="33">
        <v>0</v>
      </c>
      <c r="E658" s="33">
        <v>123</v>
      </c>
    </row>
    <row r="659" spans="1:5" x14ac:dyDescent="0.3">
      <c r="A659" s="33">
        <v>0.3</v>
      </c>
      <c r="B659" s="33">
        <v>0.28789999999999999</v>
      </c>
      <c r="C659" s="33">
        <v>0.56000000000000005</v>
      </c>
      <c r="D659" s="33">
        <v>0.19400000000000001</v>
      </c>
      <c r="E659" s="33">
        <v>77</v>
      </c>
    </row>
    <row r="660" spans="1:5" x14ac:dyDescent="0.3">
      <c r="A660" s="33">
        <v>0.26</v>
      </c>
      <c r="B660" s="33">
        <v>0.2576</v>
      </c>
      <c r="C660" s="33">
        <v>0.65</v>
      </c>
      <c r="D660" s="33">
        <v>0.16420000000000001</v>
      </c>
      <c r="E660" s="33">
        <v>65</v>
      </c>
    </row>
    <row r="661" spans="1:5" x14ac:dyDescent="0.3">
      <c r="A661" s="33">
        <v>0.26</v>
      </c>
      <c r="B661" s="33">
        <v>0.2576</v>
      </c>
      <c r="C661" s="33">
        <v>0.65</v>
      </c>
      <c r="D661" s="33">
        <v>0.19400000000000001</v>
      </c>
      <c r="E661" s="33">
        <v>55</v>
      </c>
    </row>
    <row r="662" spans="1:5" x14ac:dyDescent="0.3">
      <c r="A662" s="33">
        <v>0.26</v>
      </c>
      <c r="B662" s="33">
        <v>0.2727</v>
      </c>
      <c r="C662" s="33">
        <v>0.65</v>
      </c>
      <c r="D662" s="33">
        <v>0.1045</v>
      </c>
      <c r="E662" s="33">
        <v>33</v>
      </c>
    </row>
    <row r="663" spans="1:5" x14ac:dyDescent="0.3">
      <c r="A663" s="33">
        <v>0.24</v>
      </c>
      <c r="B663" s="33">
        <v>0.2424</v>
      </c>
      <c r="C663" s="33">
        <v>0.7</v>
      </c>
      <c r="D663" s="33">
        <v>0.16420000000000001</v>
      </c>
      <c r="E663" s="33">
        <v>28</v>
      </c>
    </row>
    <row r="664" spans="1:5" x14ac:dyDescent="0.3">
      <c r="A664" s="33">
        <v>0.24</v>
      </c>
      <c r="B664" s="33">
        <v>0.2273</v>
      </c>
      <c r="C664" s="33">
        <v>0.7</v>
      </c>
      <c r="D664" s="33">
        <v>0.19400000000000001</v>
      </c>
      <c r="E664" s="33">
        <v>21</v>
      </c>
    </row>
    <row r="665" spans="1:5" x14ac:dyDescent="0.3">
      <c r="A665" s="33">
        <v>0.24</v>
      </c>
      <c r="B665" s="33">
        <v>0.21210000000000001</v>
      </c>
      <c r="C665" s="33">
        <v>0.65</v>
      </c>
      <c r="D665" s="33">
        <v>0.28360000000000002</v>
      </c>
      <c r="E665" s="33">
        <v>21</v>
      </c>
    </row>
    <row r="666" spans="1:5" x14ac:dyDescent="0.3">
      <c r="A666" s="33">
        <v>0.24</v>
      </c>
      <c r="B666" s="33">
        <v>0.2273</v>
      </c>
      <c r="C666" s="33">
        <v>0.65</v>
      </c>
      <c r="D666" s="33">
        <v>0.22389999999999999</v>
      </c>
      <c r="E666" s="33">
        <v>7</v>
      </c>
    </row>
    <row r="667" spans="1:5" x14ac:dyDescent="0.3">
      <c r="A667" s="33">
        <v>0.22</v>
      </c>
      <c r="B667" s="33">
        <v>0.21210000000000001</v>
      </c>
      <c r="C667" s="33">
        <v>0.64</v>
      </c>
      <c r="D667" s="33">
        <v>0.25369999999999998</v>
      </c>
      <c r="E667" s="33">
        <v>7</v>
      </c>
    </row>
    <row r="668" spans="1:5" x14ac:dyDescent="0.3">
      <c r="A668" s="33">
        <v>0.22</v>
      </c>
      <c r="B668" s="33">
        <v>0.2273</v>
      </c>
      <c r="C668" s="33">
        <v>0.64</v>
      </c>
      <c r="D668" s="33">
        <v>0.19400000000000001</v>
      </c>
      <c r="E668" s="33">
        <v>1</v>
      </c>
    </row>
    <row r="669" spans="1:5" x14ac:dyDescent="0.3">
      <c r="A669" s="33">
        <v>0.22</v>
      </c>
      <c r="B669" s="33">
        <v>0.2273</v>
      </c>
      <c r="C669" s="33">
        <v>0.64</v>
      </c>
      <c r="D669" s="33">
        <v>0.19400000000000001</v>
      </c>
      <c r="E669" s="33">
        <v>2</v>
      </c>
    </row>
    <row r="670" spans="1:5" x14ac:dyDescent="0.3">
      <c r="A670" s="33">
        <v>0.2</v>
      </c>
      <c r="B670" s="33">
        <v>0.19700000000000001</v>
      </c>
      <c r="C670" s="33">
        <v>0.59</v>
      </c>
      <c r="D670" s="33">
        <v>0.22389999999999999</v>
      </c>
      <c r="E670" s="33">
        <v>2</v>
      </c>
    </row>
    <row r="671" spans="1:5" x14ac:dyDescent="0.3">
      <c r="A671" s="33">
        <v>0.18</v>
      </c>
      <c r="B671" s="33">
        <v>0.16669999999999999</v>
      </c>
      <c r="C671" s="33">
        <v>0.64</v>
      </c>
      <c r="D671" s="33">
        <v>0.28360000000000002</v>
      </c>
      <c r="E671" s="33">
        <v>8</v>
      </c>
    </row>
    <row r="672" spans="1:5" x14ac:dyDescent="0.3">
      <c r="A672" s="33">
        <v>0.16</v>
      </c>
      <c r="B672" s="33">
        <v>0.13639999999999999</v>
      </c>
      <c r="C672" s="33">
        <v>0.69</v>
      </c>
      <c r="D672" s="33">
        <v>0.32840000000000003</v>
      </c>
      <c r="E672" s="33">
        <v>37</v>
      </c>
    </row>
    <row r="673" spans="1:5" x14ac:dyDescent="0.3">
      <c r="A673" s="33">
        <v>0.16</v>
      </c>
      <c r="B673" s="33">
        <v>0.13639999999999999</v>
      </c>
      <c r="C673" s="33">
        <v>0.64</v>
      </c>
      <c r="D673" s="33">
        <v>0.28360000000000002</v>
      </c>
      <c r="E673" s="33">
        <v>72</v>
      </c>
    </row>
    <row r="674" spans="1:5" x14ac:dyDescent="0.3">
      <c r="A674" s="33">
        <v>0.16</v>
      </c>
      <c r="B674" s="33">
        <v>0.13639999999999999</v>
      </c>
      <c r="C674" s="33">
        <v>0.59</v>
      </c>
      <c r="D674" s="33">
        <v>0.28360000000000002</v>
      </c>
      <c r="E674" s="33">
        <v>185</v>
      </c>
    </row>
    <row r="675" spans="1:5" x14ac:dyDescent="0.3">
      <c r="A675" s="33">
        <v>0.16</v>
      </c>
      <c r="B675" s="33">
        <v>0.13639999999999999</v>
      </c>
      <c r="C675" s="33">
        <v>0.59</v>
      </c>
      <c r="D675" s="33">
        <v>0.29849999999999999</v>
      </c>
      <c r="E675" s="33">
        <v>112</v>
      </c>
    </row>
    <row r="676" spans="1:5" x14ac:dyDescent="0.3">
      <c r="A676" s="33">
        <v>0.16</v>
      </c>
      <c r="B676" s="33">
        <v>0.1515</v>
      </c>
      <c r="C676" s="33">
        <v>0.59</v>
      </c>
      <c r="D676" s="33">
        <v>0.19400000000000001</v>
      </c>
      <c r="E676" s="33">
        <v>69</v>
      </c>
    </row>
    <row r="677" spans="1:5" x14ac:dyDescent="0.3">
      <c r="A677" s="33">
        <v>0.16</v>
      </c>
      <c r="B677" s="33">
        <v>0.1515</v>
      </c>
      <c r="C677" s="33">
        <v>0.59</v>
      </c>
      <c r="D677" s="33">
        <v>0.19400000000000001</v>
      </c>
      <c r="E677" s="33">
        <v>48</v>
      </c>
    </row>
    <row r="678" spans="1:5" x14ac:dyDescent="0.3">
      <c r="A678" s="33">
        <v>0.18</v>
      </c>
      <c r="B678" s="33">
        <v>0.21210000000000001</v>
      </c>
      <c r="C678" s="33">
        <v>0.55000000000000004</v>
      </c>
      <c r="D678" s="33">
        <v>0.1045</v>
      </c>
      <c r="E678" s="33">
        <v>68</v>
      </c>
    </row>
    <row r="679" spans="1:5" x14ac:dyDescent="0.3">
      <c r="A679" s="33">
        <v>0.16</v>
      </c>
      <c r="B679" s="33">
        <v>0.2273</v>
      </c>
      <c r="C679" s="33">
        <v>0.59</v>
      </c>
      <c r="D679" s="33">
        <v>0</v>
      </c>
      <c r="E679" s="33">
        <v>54</v>
      </c>
    </row>
    <row r="680" spans="1:5" x14ac:dyDescent="0.3">
      <c r="A680" s="33">
        <v>0.18</v>
      </c>
      <c r="B680" s="33">
        <v>0.19700000000000001</v>
      </c>
      <c r="C680" s="33">
        <v>0.55000000000000004</v>
      </c>
      <c r="D680" s="33">
        <v>0.1343</v>
      </c>
      <c r="E680" s="33">
        <v>86</v>
      </c>
    </row>
    <row r="681" spans="1:5" x14ac:dyDescent="0.3">
      <c r="A681" s="33">
        <v>0.16</v>
      </c>
      <c r="B681" s="33">
        <v>0.18179999999999999</v>
      </c>
      <c r="C681" s="33">
        <v>0.59</v>
      </c>
      <c r="D681" s="33">
        <v>0.1343</v>
      </c>
      <c r="E681" s="33">
        <v>44</v>
      </c>
    </row>
    <row r="682" spans="1:5" x14ac:dyDescent="0.3">
      <c r="A682" s="33">
        <v>0.16</v>
      </c>
      <c r="B682" s="33">
        <v>0.18179999999999999</v>
      </c>
      <c r="C682" s="33">
        <v>0.56000000000000005</v>
      </c>
      <c r="D682" s="33">
        <v>0.19400000000000001</v>
      </c>
      <c r="E682" s="33">
        <v>86</v>
      </c>
    </row>
    <row r="683" spans="1:5" x14ac:dyDescent="0.3">
      <c r="A683" s="33">
        <v>0.16</v>
      </c>
      <c r="B683" s="33">
        <v>0.1515</v>
      </c>
      <c r="C683" s="33">
        <v>0.59</v>
      </c>
      <c r="D683" s="33">
        <v>0.19400000000000001</v>
      </c>
      <c r="E683" s="33">
        <v>161</v>
      </c>
    </row>
    <row r="684" spans="1:5" x14ac:dyDescent="0.3">
      <c r="A684" s="33">
        <v>0.16</v>
      </c>
      <c r="B684" s="33">
        <v>0.1515</v>
      </c>
      <c r="C684" s="33">
        <v>0.55000000000000004</v>
      </c>
      <c r="D684" s="33">
        <v>0.22389999999999999</v>
      </c>
      <c r="E684" s="33">
        <v>156</v>
      </c>
    </row>
    <row r="685" spans="1:5" x14ac:dyDescent="0.3">
      <c r="A685" s="33">
        <v>0.3</v>
      </c>
      <c r="B685" s="33">
        <v>0.31819999999999998</v>
      </c>
      <c r="C685" s="33">
        <v>0.61</v>
      </c>
      <c r="D685" s="33">
        <v>0.1045</v>
      </c>
      <c r="E685" s="33">
        <v>111</v>
      </c>
    </row>
    <row r="686" spans="1:5" x14ac:dyDescent="0.3">
      <c r="A686" s="33">
        <v>0.16</v>
      </c>
      <c r="B686" s="33">
        <v>0.16669999999999999</v>
      </c>
      <c r="C686" s="33">
        <v>0.59</v>
      </c>
      <c r="D686" s="33">
        <v>0.16420000000000001</v>
      </c>
      <c r="E686" s="33">
        <v>78</v>
      </c>
    </row>
    <row r="687" spans="1:5" x14ac:dyDescent="0.3">
      <c r="A687" s="33">
        <v>0.16</v>
      </c>
      <c r="B687" s="33">
        <v>0.19700000000000001</v>
      </c>
      <c r="C687" s="33">
        <v>0.59</v>
      </c>
      <c r="D687" s="33">
        <v>8.9599999999999999E-2</v>
      </c>
      <c r="E687" s="33">
        <v>56</v>
      </c>
    </row>
    <row r="688" spans="1:5" x14ac:dyDescent="0.3">
      <c r="A688" s="33">
        <v>0.16</v>
      </c>
      <c r="B688" s="33">
        <v>0.18179999999999999</v>
      </c>
      <c r="C688" s="33">
        <v>0.59</v>
      </c>
      <c r="D688" s="33">
        <v>0.1045</v>
      </c>
      <c r="E688" s="33">
        <v>34</v>
      </c>
    </row>
    <row r="689" spans="1:5" x14ac:dyDescent="0.3">
      <c r="A689" s="33">
        <v>0.16</v>
      </c>
      <c r="B689" s="33">
        <v>0.19700000000000001</v>
      </c>
      <c r="C689" s="33">
        <v>0.64</v>
      </c>
      <c r="D689" s="33">
        <v>8.9599999999999999E-2</v>
      </c>
      <c r="E689" s="33">
        <v>17</v>
      </c>
    </row>
    <row r="690" spans="1:5" x14ac:dyDescent="0.3">
      <c r="A690" s="33">
        <v>0.16</v>
      </c>
      <c r="B690" s="33">
        <v>0.18179999999999999</v>
      </c>
      <c r="C690" s="33">
        <v>0.64</v>
      </c>
      <c r="D690" s="33">
        <v>0.1045</v>
      </c>
      <c r="E690" s="33">
        <v>8</v>
      </c>
    </row>
    <row r="691" spans="1:5" x14ac:dyDescent="0.3">
      <c r="A691" s="33">
        <v>0.16</v>
      </c>
      <c r="B691" s="33">
        <v>0.18179999999999999</v>
      </c>
      <c r="C691" s="33">
        <v>0.69</v>
      </c>
      <c r="D691" s="33">
        <v>0.1045</v>
      </c>
      <c r="E691" s="33">
        <v>3</v>
      </c>
    </row>
    <row r="692" spans="1:5" x14ac:dyDescent="0.3">
      <c r="A692" s="33">
        <v>0.16</v>
      </c>
      <c r="B692" s="33">
        <v>0.2273</v>
      </c>
      <c r="C692" s="33">
        <v>0.69</v>
      </c>
      <c r="D692" s="33">
        <v>0</v>
      </c>
      <c r="E692" s="33">
        <v>2</v>
      </c>
    </row>
    <row r="693" spans="1:5" x14ac:dyDescent="0.3">
      <c r="A693" s="33">
        <v>0.16</v>
      </c>
      <c r="B693" s="33">
        <v>0.2273</v>
      </c>
      <c r="C693" s="33">
        <v>0.69</v>
      </c>
      <c r="D693" s="33">
        <v>0</v>
      </c>
      <c r="E693" s="33">
        <v>2</v>
      </c>
    </row>
    <row r="694" spans="1:5" x14ac:dyDescent="0.3">
      <c r="A694" s="33">
        <v>0.14000000000000001</v>
      </c>
      <c r="B694" s="33">
        <v>0.21210000000000001</v>
      </c>
      <c r="C694" s="33">
        <v>0.93</v>
      </c>
      <c r="D694" s="33">
        <v>0</v>
      </c>
      <c r="E694" s="33">
        <v>3</v>
      </c>
    </row>
    <row r="695" spans="1:5" x14ac:dyDescent="0.3">
      <c r="A695" s="33">
        <v>0.14000000000000001</v>
      </c>
      <c r="B695" s="33">
        <v>0.21210000000000001</v>
      </c>
      <c r="C695" s="33">
        <v>0.93</v>
      </c>
      <c r="D695" s="33">
        <v>0</v>
      </c>
      <c r="E695" s="33">
        <v>22</v>
      </c>
    </row>
    <row r="696" spans="1:5" x14ac:dyDescent="0.3">
      <c r="A696" s="33">
        <v>0.16</v>
      </c>
      <c r="B696" s="33">
        <v>0.2273</v>
      </c>
      <c r="C696" s="33">
        <v>0.93</v>
      </c>
      <c r="D696" s="33">
        <v>0</v>
      </c>
      <c r="E696" s="33">
        <v>52</v>
      </c>
    </row>
    <row r="697" spans="1:5" x14ac:dyDescent="0.3">
      <c r="A697" s="33">
        <v>0.16</v>
      </c>
      <c r="B697" s="33">
        <v>0.2273</v>
      </c>
      <c r="C697" s="33">
        <v>0.93</v>
      </c>
      <c r="D697" s="33">
        <v>0</v>
      </c>
      <c r="E697" s="33">
        <v>135</v>
      </c>
    </row>
    <row r="698" spans="1:5" x14ac:dyDescent="0.3">
      <c r="A698" s="33">
        <v>0.16</v>
      </c>
      <c r="B698" s="33">
        <v>0.2273</v>
      </c>
      <c r="C698" s="33">
        <v>0.93</v>
      </c>
      <c r="D698" s="33">
        <v>0</v>
      </c>
      <c r="E698" s="33">
        <v>116</v>
      </c>
    </row>
    <row r="699" spans="1:5" x14ac:dyDescent="0.3">
      <c r="A699" s="33">
        <v>0.16</v>
      </c>
      <c r="B699" s="33">
        <v>0.2273</v>
      </c>
      <c r="C699" s="33">
        <v>0.93</v>
      </c>
      <c r="D699" s="33">
        <v>0</v>
      </c>
      <c r="E699" s="33">
        <v>47</v>
      </c>
    </row>
    <row r="700" spans="1:5" x14ac:dyDescent="0.3">
      <c r="A700" s="33">
        <v>0.18</v>
      </c>
      <c r="B700" s="33">
        <v>0.2424</v>
      </c>
      <c r="C700" s="33">
        <v>0.86</v>
      </c>
      <c r="D700" s="33">
        <v>0</v>
      </c>
      <c r="E700" s="33">
        <v>51</v>
      </c>
    </row>
    <row r="701" spans="1:5" x14ac:dyDescent="0.3">
      <c r="A701" s="33">
        <v>0.2</v>
      </c>
      <c r="B701" s="33">
        <v>0.2576</v>
      </c>
      <c r="C701" s="33">
        <v>0.86</v>
      </c>
      <c r="D701" s="33">
        <v>0</v>
      </c>
      <c r="E701" s="33">
        <v>55</v>
      </c>
    </row>
    <row r="702" spans="1:5" x14ac:dyDescent="0.3">
      <c r="A702" s="33">
        <v>0.2</v>
      </c>
      <c r="B702" s="33">
        <v>0.2576</v>
      </c>
      <c r="C702" s="33">
        <v>0.86</v>
      </c>
      <c r="D702" s="33">
        <v>0</v>
      </c>
      <c r="E702" s="33">
        <v>52</v>
      </c>
    </row>
    <row r="703" spans="1:5" x14ac:dyDescent="0.3">
      <c r="A703" s="33">
        <v>0.22</v>
      </c>
      <c r="B703" s="33">
        <v>0.2576</v>
      </c>
      <c r="C703" s="33">
        <v>0.8</v>
      </c>
      <c r="D703" s="33">
        <v>8.9599999999999999E-2</v>
      </c>
      <c r="E703" s="33">
        <v>54</v>
      </c>
    </row>
    <row r="704" spans="1:5" x14ac:dyDescent="0.3">
      <c r="A704" s="33">
        <v>0.24</v>
      </c>
      <c r="B704" s="33">
        <v>0.28789999999999999</v>
      </c>
      <c r="C704" s="33">
        <v>0.75</v>
      </c>
      <c r="D704" s="33">
        <v>0</v>
      </c>
      <c r="E704" s="33">
        <v>52</v>
      </c>
    </row>
    <row r="705" spans="1:5" x14ac:dyDescent="0.3">
      <c r="A705" s="33">
        <v>0.24</v>
      </c>
      <c r="B705" s="33">
        <v>0.2424</v>
      </c>
      <c r="C705" s="33">
        <v>0.75</v>
      </c>
      <c r="D705" s="33">
        <v>0.1343</v>
      </c>
      <c r="E705" s="33">
        <v>64</v>
      </c>
    </row>
    <row r="706" spans="1:5" x14ac:dyDescent="0.3">
      <c r="A706" s="33">
        <v>0.24</v>
      </c>
      <c r="B706" s="33">
        <v>0.28789999999999999</v>
      </c>
      <c r="C706" s="33">
        <v>0.75</v>
      </c>
      <c r="D706" s="33">
        <v>0</v>
      </c>
      <c r="E706" s="33">
        <v>176</v>
      </c>
    </row>
    <row r="707" spans="1:5" x14ac:dyDescent="0.3">
      <c r="A707" s="33">
        <v>0.24</v>
      </c>
      <c r="B707" s="33">
        <v>0.2576</v>
      </c>
      <c r="C707" s="33">
        <v>0.81</v>
      </c>
      <c r="D707" s="33">
        <v>0.1045</v>
      </c>
      <c r="E707" s="33">
        <v>168</v>
      </c>
    </row>
    <row r="708" spans="1:5" x14ac:dyDescent="0.3">
      <c r="A708" s="33">
        <v>0.24</v>
      </c>
      <c r="B708" s="33">
        <v>0.2424</v>
      </c>
      <c r="C708" s="33">
        <v>0.81</v>
      </c>
      <c r="D708" s="33">
        <v>0.1343</v>
      </c>
      <c r="E708" s="33">
        <v>108</v>
      </c>
    </row>
    <row r="709" spans="1:5" x14ac:dyDescent="0.3">
      <c r="A709" s="33">
        <v>0.22</v>
      </c>
      <c r="B709" s="33">
        <v>0.2273</v>
      </c>
      <c r="C709" s="33">
        <v>0.87</v>
      </c>
      <c r="D709" s="33">
        <v>0.1343</v>
      </c>
      <c r="E709" s="33">
        <v>74</v>
      </c>
    </row>
    <row r="710" spans="1:5" x14ac:dyDescent="0.3">
      <c r="A710" s="33">
        <v>0.22</v>
      </c>
      <c r="B710" s="33">
        <v>0.2273</v>
      </c>
      <c r="C710" s="33">
        <v>0.87</v>
      </c>
      <c r="D710" s="33">
        <v>0.1343</v>
      </c>
      <c r="E710" s="33">
        <v>64</v>
      </c>
    </row>
    <row r="711" spans="1:5" x14ac:dyDescent="0.3">
      <c r="A711" s="33">
        <v>0.22</v>
      </c>
      <c r="B711" s="33">
        <v>0.2576</v>
      </c>
      <c r="C711" s="33">
        <v>0.87</v>
      </c>
      <c r="D711" s="33">
        <v>8.9599999999999999E-2</v>
      </c>
      <c r="E711" s="33">
        <v>36</v>
      </c>
    </row>
    <row r="712" spans="1:5" x14ac:dyDescent="0.3">
      <c r="A712" s="33">
        <v>0.2</v>
      </c>
      <c r="B712" s="33">
        <v>0.19700000000000001</v>
      </c>
      <c r="C712" s="33">
        <v>0.93</v>
      </c>
      <c r="D712" s="33">
        <v>0.19400000000000001</v>
      </c>
      <c r="E712" s="33">
        <v>16</v>
      </c>
    </row>
    <row r="713" spans="1:5" x14ac:dyDescent="0.3">
      <c r="A713" s="33">
        <v>0.22</v>
      </c>
      <c r="B713" s="33">
        <v>0.2424</v>
      </c>
      <c r="C713" s="33">
        <v>0.93</v>
      </c>
      <c r="D713" s="33">
        <v>0.1045</v>
      </c>
      <c r="E713" s="33">
        <v>2</v>
      </c>
    </row>
    <row r="714" spans="1:5" x14ac:dyDescent="0.3">
      <c r="A714" s="33">
        <v>0.22</v>
      </c>
      <c r="B714" s="33">
        <v>0.2273</v>
      </c>
      <c r="C714" s="33">
        <v>0.93</v>
      </c>
      <c r="D714" s="33">
        <v>0.19400000000000001</v>
      </c>
      <c r="E714" s="33">
        <v>3</v>
      </c>
    </row>
    <row r="715" spans="1:5" x14ac:dyDescent="0.3">
      <c r="A715" s="33">
        <v>0.22</v>
      </c>
      <c r="B715" s="33">
        <v>0.2273</v>
      </c>
      <c r="C715" s="33">
        <v>0.93</v>
      </c>
      <c r="D715" s="33">
        <v>0.1343</v>
      </c>
      <c r="E715" s="33">
        <v>4</v>
      </c>
    </row>
    <row r="716" spans="1:5" x14ac:dyDescent="0.3">
      <c r="A716" s="33">
        <v>0.22</v>
      </c>
      <c r="B716" s="33">
        <v>0.2273</v>
      </c>
      <c r="C716" s="33">
        <v>0.93</v>
      </c>
      <c r="D716" s="33">
        <v>0.1343</v>
      </c>
      <c r="E716" s="33">
        <v>1</v>
      </c>
    </row>
    <row r="717" spans="1:5" x14ac:dyDescent="0.3">
      <c r="A717" s="33">
        <v>0.22</v>
      </c>
      <c r="B717" s="33">
        <v>0.21210000000000001</v>
      </c>
      <c r="C717" s="33">
        <v>0.93</v>
      </c>
      <c r="D717" s="33">
        <v>0.28360000000000002</v>
      </c>
      <c r="E717" s="33">
        <v>1</v>
      </c>
    </row>
    <row r="718" spans="1:5" x14ac:dyDescent="0.3">
      <c r="A718" s="33">
        <v>0.22</v>
      </c>
      <c r="B718" s="33">
        <v>0.2424</v>
      </c>
      <c r="C718" s="33">
        <v>0.93</v>
      </c>
      <c r="D718" s="33">
        <v>0.1045</v>
      </c>
      <c r="E718" s="33">
        <v>3</v>
      </c>
    </row>
    <row r="719" spans="1:5" x14ac:dyDescent="0.3">
      <c r="A719" s="33">
        <v>0.22</v>
      </c>
      <c r="B719" s="33">
        <v>0.2424</v>
      </c>
      <c r="C719" s="33">
        <v>0.93</v>
      </c>
      <c r="D719" s="33">
        <v>0.1045</v>
      </c>
      <c r="E719" s="33">
        <v>18</v>
      </c>
    </row>
    <row r="720" spans="1:5" x14ac:dyDescent="0.3">
      <c r="A720" s="33">
        <v>0.22</v>
      </c>
      <c r="B720" s="33">
        <v>0.21210000000000001</v>
      </c>
      <c r="C720" s="33">
        <v>0.93</v>
      </c>
      <c r="D720" s="33">
        <v>0.22389999999999999</v>
      </c>
      <c r="E720" s="33">
        <v>49</v>
      </c>
    </row>
    <row r="721" spans="1:5" x14ac:dyDescent="0.3">
      <c r="A721" s="33">
        <v>0.22</v>
      </c>
      <c r="B721" s="33">
        <v>0.21210000000000001</v>
      </c>
      <c r="C721" s="33">
        <v>0.93</v>
      </c>
      <c r="D721" s="33">
        <v>0.22389999999999999</v>
      </c>
      <c r="E721" s="33">
        <v>155</v>
      </c>
    </row>
    <row r="722" spans="1:5" x14ac:dyDescent="0.3">
      <c r="A722" s="33">
        <v>0.24</v>
      </c>
      <c r="B722" s="33">
        <v>0.2576</v>
      </c>
      <c r="C722" s="33">
        <v>0.93</v>
      </c>
      <c r="D722" s="33">
        <v>8.9599999999999999E-2</v>
      </c>
      <c r="E722" s="33">
        <v>123</v>
      </c>
    </row>
    <row r="723" spans="1:5" x14ac:dyDescent="0.3">
      <c r="A723" s="33">
        <v>0.22</v>
      </c>
      <c r="B723" s="33">
        <v>0.2727</v>
      </c>
      <c r="C723" s="33">
        <v>1</v>
      </c>
      <c r="D723" s="33">
        <v>0</v>
      </c>
      <c r="E723" s="33">
        <v>61</v>
      </c>
    </row>
    <row r="724" spans="1:5" x14ac:dyDescent="0.3">
      <c r="A724" s="33">
        <v>0.24</v>
      </c>
      <c r="B724" s="33">
        <v>0.2273</v>
      </c>
      <c r="C724" s="33">
        <v>0.93</v>
      </c>
      <c r="D724" s="33">
        <v>0.19400000000000001</v>
      </c>
      <c r="E724" s="33">
        <v>52</v>
      </c>
    </row>
    <row r="725" spans="1:5" x14ac:dyDescent="0.3">
      <c r="A725" s="33">
        <v>0.24</v>
      </c>
      <c r="B725" s="33">
        <v>0.2273</v>
      </c>
      <c r="C725" s="33">
        <v>0.93</v>
      </c>
      <c r="D725" s="33">
        <v>0.22389999999999999</v>
      </c>
      <c r="E725" s="33">
        <v>64</v>
      </c>
    </row>
    <row r="726" spans="1:5" x14ac:dyDescent="0.3">
      <c r="A726" s="33">
        <v>0.34</v>
      </c>
      <c r="B726" s="33">
        <v>0.33329999999999999</v>
      </c>
      <c r="C726" s="33">
        <v>0.93</v>
      </c>
      <c r="D726" s="33">
        <v>0.16420000000000001</v>
      </c>
      <c r="E726" s="33">
        <v>75</v>
      </c>
    </row>
    <row r="727" spans="1:5" x14ac:dyDescent="0.3">
      <c r="A727" s="33">
        <v>0.38</v>
      </c>
      <c r="B727" s="33">
        <v>0.39389999999999997</v>
      </c>
      <c r="C727" s="33">
        <v>0.82</v>
      </c>
      <c r="D727" s="33">
        <v>0.3881</v>
      </c>
      <c r="E727" s="33">
        <v>63</v>
      </c>
    </row>
    <row r="728" spans="1:5" x14ac:dyDescent="0.3">
      <c r="A728" s="33">
        <v>0.38</v>
      </c>
      <c r="B728" s="33">
        <v>0.39389999999999997</v>
      </c>
      <c r="C728" s="33">
        <v>0.76</v>
      </c>
      <c r="D728" s="33">
        <v>0.32840000000000003</v>
      </c>
      <c r="E728" s="33">
        <v>76</v>
      </c>
    </row>
    <row r="729" spans="1:5" x14ac:dyDescent="0.3">
      <c r="A729" s="33">
        <v>0.36</v>
      </c>
      <c r="B729" s="33">
        <v>0.33329999999999999</v>
      </c>
      <c r="C729" s="33">
        <v>0.71</v>
      </c>
      <c r="D729" s="33">
        <v>0.29849999999999999</v>
      </c>
      <c r="E729" s="33">
        <v>103</v>
      </c>
    </row>
    <row r="730" spans="1:5" x14ac:dyDescent="0.3">
      <c r="A730" s="33">
        <v>0.36</v>
      </c>
      <c r="B730" s="33">
        <v>0.31819999999999998</v>
      </c>
      <c r="C730" s="33">
        <v>0.53</v>
      </c>
      <c r="D730" s="33">
        <v>0.52239999999999998</v>
      </c>
      <c r="E730" s="33">
        <v>190</v>
      </c>
    </row>
    <row r="731" spans="1:5" x14ac:dyDescent="0.3">
      <c r="A731" s="33">
        <v>0.34</v>
      </c>
      <c r="B731" s="33">
        <v>0.28789999999999999</v>
      </c>
      <c r="C731" s="33">
        <v>0.42</v>
      </c>
      <c r="D731" s="33">
        <v>0.55220000000000002</v>
      </c>
      <c r="E731" s="33">
        <v>182</v>
      </c>
    </row>
    <row r="732" spans="1:5" x14ac:dyDescent="0.3">
      <c r="A732" s="33">
        <v>0.28000000000000003</v>
      </c>
      <c r="B732" s="33">
        <v>0.2424</v>
      </c>
      <c r="C732" s="33">
        <v>0.45</v>
      </c>
      <c r="D732" s="33">
        <v>0.49249999999999999</v>
      </c>
      <c r="E732" s="33">
        <v>91</v>
      </c>
    </row>
    <row r="733" spans="1:5" x14ac:dyDescent="0.3">
      <c r="A733" s="33">
        <v>0.24</v>
      </c>
      <c r="B733" s="33">
        <v>0.19700000000000001</v>
      </c>
      <c r="C733" s="33">
        <v>0.48</v>
      </c>
      <c r="D733" s="33">
        <v>0.55220000000000002</v>
      </c>
      <c r="E733" s="33">
        <v>75</v>
      </c>
    </row>
    <row r="734" spans="1:5" x14ac:dyDescent="0.3">
      <c r="A734" s="33">
        <v>0.22</v>
      </c>
      <c r="B734" s="33">
        <v>0.19700000000000001</v>
      </c>
      <c r="C734" s="33">
        <v>0.47</v>
      </c>
      <c r="D734" s="33">
        <v>0.32840000000000003</v>
      </c>
      <c r="E734" s="33">
        <v>63</v>
      </c>
    </row>
    <row r="735" spans="1:5" x14ac:dyDescent="0.3">
      <c r="A735" s="33">
        <v>0.22</v>
      </c>
      <c r="B735" s="33">
        <v>0.21210000000000001</v>
      </c>
      <c r="C735" s="33">
        <v>0.44</v>
      </c>
      <c r="D735" s="33">
        <v>0.25369999999999998</v>
      </c>
      <c r="E735" s="33">
        <v>40</v>
      </c>
    </row>
    <row r="736" spans="1:5" x14ac:dyDescent="0.3">
      <c r="A736" s="33">
        <v>0.2</v>
      </c>
      <c r="B736" s="33">
        <v>0.16669999999999999</v>
      </c>
      <c r="C736" s="33">
        <v>0.44</v>
      </c>
      <c r="D736" s="33">
        <v>0.44779999999999998</v>
      </c>
      <c r="E736" s="33">
        <v>32</v>
      </c>
    </row>
    <row r="737" spans="1:5" x14ac:dyDescent="0.3">
      <c r="A737" s="33">
        <v>0.2</v>
      </c>
      <c r="B737" s="33">
        <v>0.16669999999999999</v>
      </c>
      <c r="C737" s="33">
        <v>0.4</v>
      </c>
      <c r="D737" s="33">
        <v>0.44779999999999998</v>
      </c>
      <c r="E737" s="33">
        <v>12</v>
      </c>
    </row>
    <row r="738" spans="1:5" x14ac:dyDescent="0.3">
      <c r="A738" s="33">
        <v>0.2</v>
      </c>
      <c r="B738" s="33">
        <v>0.1515</v>
      </c>
      <c r="C738" s="33">
        <v>0.44</v>
      </c>
      <c r="D738" s="33">
        <v>0.52239999999999998</v>
      </c>
      <c r="E738" s="33">
        <v>5</v>
      </c>
    </row>
    <row r="739" spans="1:5" x14ac:dyDescent="0.3">
      <c r="A739" s="33">
        <v>0.18</v>
      </c>
      <c r="B739" s="33">
        <v>0.16669999999999999</v>
      </c>
      <c r="C739" s="33">
        <v>0.43</v>
      </c>
      <c r="D739" s="33">
        <v>0.25369999999999998</v>
      </c>
      <c r="E739" s="33">
        <v>2</v>
      </c>
    </row>
    <row r="740" spans="1:5" x14ac:dyDescent="0.3">
      <c r="A740" s="33">
        <v>0.18</v>
      </c>
      <c r="B740" s="33">
        <v>0.16669999999999999</v>
      </c>
      <c r="C740" s="33">
        <v>0.43</v>
      </c>
      <c r="D740" s="33">
        <v>0.25369999999999998</v>
      </c>
      <c r="E740" s="33">
        <v>1</v>
      </c>
    </row>
    <row r="741" spans="1:5" x14ac:dyDescent="0.3">
      <c r="A741" s="33">
        <v>0.16</v>
      </c>
      <c r="B741" s="33">
        <v>0.13639999999999999</v>
      </c>
      <c r="C741" s="33">
        <v>0.5</v>
      </c>
      <c r="D741" s="33">
        <v>0.29849999999999999</v>
      </c>
      <c r="E741" s="33">
        <v>2</v>
      </c>
    </row>
    <row r="742" spans="1:5" x14ac:dyDescent="0.3">
      <c r="A742" s="33">
        <v>0.16</v>
      </c>
      <c r="B742" s="33">
        <v>0.13639999999999999</v>
      </c>
      <c r="C742" s="33">
        <v>0.43</v>
      </c>
      <c r="D742" s="33">
        <v>0.35820000000000002</v>
      </c>
      <c r="E742" s="33">
        <v>39</v>
      </c>
    </row>
    <row r="743" spans="1:5" x14ac:dyDescent="0.3">
      <c r="A743" s="33">
        <v>0.14000000000000001</v>
      </c>
      <c r="B743" s="33">
        <v>0.1212</v>
      </c>
      <c r="C743" s="33">
        <v>0.5</v>
      </c>
      <c r="D743" s="33">
        <v>0.32840000000000003</v>
      </c>
      <c r="E743" s="33">
        <v>87</v>
      </c>
    </row>
    <row r="744" spans="1:5" x14ac:dyDescent="0.3">
      <c r="A744" s="33">
        <v>0.14000000000000001</v>
      </c>
      <c r="B744" s="33">
        <v>0.1212</v>
      </c>
      <c r="C744" s="33">
        <v>0.5</v>
      </c>
      <c r="D744" s="33">
        <v>0.35820000000000002</v>
      </c>
      <c r="E744" s="33">
        <v>188</v>
      </c>
    </row>
    <row r="745" spans="1:5" x14ac:dyDescent="0.3">
      <c r="A745" s="33">
        <v>0.16</v>
      </c>
      <c r="B745" s="33">
        <v>0.13639999999999999</v>
      </c>
      <c r="C745" s="33">
        <v>0.47</v>
      </c>
      <c r="D745" s="33">
        <v>0.29849999999999999</v>
      </c>
      <c r="E745" s="33">
        <v>133</v>
      </c>
    </row>
    <row r="746" spans="1:5" x14ac:dyDescent="0.3">
      <c r="A746" s="33">
        <v>0.18</v>
      </c>
      <c r="B746" s="33">
        <v>0.1515</v>
      </c>
      <c r="C746" s="33">
        <v>0.43</v>
      </c>
      <c r="D746" s="33">
        <v>0.32840000000000003</v>
      </c>
      <c r="E746" s="33">
        <v>52</v>
      </c>
    </row>
    <row r="747" spans="1:5" x14ac:dyDescent="0.3">
      <c r="A747" s="33">
        <v>0.18</v>
      </c>
      <c r="B747" s="33">
        <v>0.13639999999999999</v>
      </c>
      <c r="C747" s="33">
        <v>0.43</v>
      </c>
      <c r="D747" s="33">
        <v>0.44779999999999998</v>
      </c>
      <c r="E747" s="33">
        <v>64</v>
      </c>
    </row>
    <row r="748" spans="1:5" x14ac:dyDescent="0.3">
      <c r="A748" s="33">
        <v>0.2</v>
      </c>
      <c r="B748" s="33">
        <v>0.18179999999999999</v>
      </c>
      <c r="C748" s="33">
        <v>0.4</v>
      </c>
      <c r="D748" s="33">
        <v>0.35820000000000002</v>
      </c>
      <c r="E748" s="33">
        <v>69</v>
      </c>
    </row>
    <row r="749" spans="1:5" x14ac:dyDescent="0.3">
      <c r="A749" s="33">
        <v>0.2</v>
      </c>
      <c r="B749" s="33">
        <v>0.16669999999999999</v>
      </c>
      <c r="C749" s="33">
        <v>0.4</v>
      </c>
      <c r="D749" s="33">
        <v>0.41789999999999999</v>
      </c>
      <c r="E749" s="33">
        <v>51</v>
      </c>
    </row>
    <row r="750" spans="1:5" x14ac:dyDescent="0.3">
      <c r="A750" s="33">
        <v>0.22</v>
      </c>
      <c r="B750" s="33">
        <v>0.19700000000000001</v>
      </c>
      <c r="C750" s="33">
        <v>0.37</v>
      </c>
      <c r="D750" s="33">
        <v>0.3881</v>
      </c>
      <c r="E750" s="33">
        <v>47</v>
      </c>
    </row>
    <row r="751" spans="1:5" x14ac:dyDescent="0.3">
      <c r="A751" s="33">
        <v>0.22</v>
      </c>
      <c r="B751" s="33">
        <v>0.19700000000000001</v>
      </c>
      <c r="C751" s="33">
        <v>0.37</v>
      </c>
      <c r="D751" s="33">
        <v>0.32840000000000003</v>
      </c>
      <c r="E751" s="33">
        <v>60</v>
      </c>
    </row>
    <row r="752" spans="1:5" x14ac:dyDescent="0.3">
      <c r="A752" s="33">
        <v>0.22</v>
      </c>
      <c r="B752" s="33">
        <v>0.21210000000000001</v>
      </c>
      <c r="C752" s="33">
        <v>0.37</v>
      </c>
      <c r="D752" s="33">
        <v>0.25369999999999998</v>
      </c>
      <c r="E752" s="33">
        <v>78</v>
      </c>
    </row>
    <row r="753" spans="1:5" x14ac:dyDescent="0.3">
      <c r="A753" s="33">
        <v>0.2</v>
      </c>
      <c r="B753" s="33">
        <v>0.19700000000000001</v>
      </c>
      <c r="C753" s="33">
        <v>0.4</v>
      </c>
      <c r="D753" s="33">
        <v>0.19400000000000001</v>
      </c>
      <c r="E753" s="33">
        <v>175</v>
      </c>
    </row>
    <row r="754" spans="1:5" x14ac:dyDescent="0.3">
      <c r="A754" s="33">
        <v>0.2</v>
      </c>
      <c r="B754" s="33">
        <v>0.21210000000000001</v>
      </c>
      <c r="C754" s="33">
        <v>0.4</v>
      </c>
      <c r="D754" s="33">
        <v>0.16420000000000001</v>
      </c>
      <c r="E754" s="33">
        <v>147</v>
      </c>
    </row>
    <row r="755" spans="1:5" x14ac:dyDescent="0.3">
      <c r="A755" s="33">
        <v>0.2</v>
      </c>
      <c r="B755" s="33">
        <v>0.2576</v>
      </c>
      <c r="C755" s="33">
        <v>0.4</v>
      </c>
      <c r="D755" s="33">
        <v>0</v>
      </c>
      <c r="E755" s="33">
        <v>96</v>
      </c>
    </row>
    <row r="756" spans="1:5" x14ac:dyDescent="0.3">
      <c r="A756" s="33">
        <v>0.2</v>
      </c>
      <c r="B756" s="33">
        <v>0.2273</v>
      </c>
      <c r="C756" s="33">
        <v>0.47</v>
      </c>
      <c r="D756" s="33">
        <v>8.9599999999999999E-2</v>
      </c>
      <c r="E756" s="33">
        <v>109</v>
      </c>
    </row>
    <row r="757" spans="1:5" x14ac:dyDescent="0.3">
      <c r="A757" s="33">
        <v>0.18</v>
      </c>
      <c r="B757" s="33">
        <v>0.21210000000000001</v>
      </c>
      <c r="C757" s="33">
        <v>0.55000000000000004</v>
      </c>
      <c r="D757" s="33">
        <v>0.1045</v>
      </c>
      <c r="E757" s="33">
        <v>54</v>
      </c>
    </row>
    <row r="758" spans="1:5" x14ac:dyDescent="0.3">
      <c r="A758" s="33">
        <v>0.18</v>
      </c>
      <c r="B758" s="33">
        <v>0.21210000000000001</v>
      </c>
      <c r="C758" s="33">
        <v>0.51</v>
      </c>
      <c r="D758" s="33">
        <v>8.9599999999999999E-2</v>
      </c>
      <c r="E758" s="33">
        <v>41</v>
      </c>
    </row>
    <row r="759" spans="1:5" x14ac:dyDescent="0.3">
      <c r="A759" s="33">
        <v>0.2</v>
      </c>
      <c r="B759" s="33">
        <v>0.2273</v>
      </c>
      <c r="C759" s="33">
        <v>0.47</v>
      </c>
      <c r="D759" s="33">
        <v>0.1045</v>
      </c>
      <c r="E759" s="33">
        <v>38</v>
      </c>
    </row>
    <row r="760" spans="1:5" x14ac:dyDescent="0.3">
      <c r="A760" s="33">
        <v>0.2</v>
      </c>
      <c r="B760" s="33">
        <v>0.2576</v>
      </c>
      <c r="C760" s="33">
        <v>0.44</v>
      </c>
      <c r="D760" s="33">
        <v>0</v>
      </c>
      <c r="E760" s="33">
        <v>13</v>
      </c>
    </row>
    <row r="761" spans="1:5" x14ac:dyDescent="0.3">
      <c r="A761" s="33">
        <v>0.16</v>
      </c>
      <c r="B761" s="33">
        <v>0.2273</v>
      </c>
      <c r="C761" s="33">
        <v>0.59</v>
      </c>
      <c r="D761" s="33">
        <v>0</v>
      </c>
      <c r="E761" s="33">
        <v>7</v>
      </c>
    </row>
    <row r="762" spans="1:5" x14ac:dyDescent="0.3">
      <c r="A762" s="33">
        <v>0.14000000000000001</v>
      </c>
      <c r="B762" s="33">
        <v>0.16669999999999999</v>
      </c>
      <c r="C762" s="33">
        <v>0.63</v>
      </c>
      <c r="D762" s="33">
        <v>0.1045</v>
      </c>
      <c r="E762" s="33">
        <v>1</v>
      </c>
    </row>
    <row r="763" spans="1:5" x14ac:dyDescent="0.3">
      <c r="A763" s="33">
        <v>0.14000000000000001</v>
      </c>
      <c r="B763" s="33">
        <v>0.16669999999999999</v>
      </c>
      <c r="C763" s="33">
        <v>0.63</v>
      </c>
      <c r="D763" s="33">
        <v>0.1045</v>
      </c>
      <c r="E763" s="33">
        <v>1</v>
      </c>
    </row>
    <row r="764" spans="1:5" x14ac:dyDescent="0.3">
      <c r="A764" s="33">
        <v>0.14000000000000001</v>
      </c>
      <c r="B764" s="33">
        <v>0.1515</v>
      </c>
      <c r="C764" s="33">
        <v>0.63</v>
      </c>
      <c r="D764" s="33">
        <v>0.1343</v>
      </c>
      <c r="E764" s="33">
        <v>7</v>
      </c>
    </row>
    <row r="765" spans="1:5" x14ac:dyDescent="0.3">
      <c r="A765" s="33">
        <v>0.16</v>
      </c>
      <c r="B765" s="33">
        <v>0.2273</v>
      </c>
      <c r="C765" s="33">
        <v>0.55000000000000004</v>
      </c>
      <c r="D765" s="33">
        <v>0</v>
      </c>
      <c r="E765" s="33">
        <v>28</v>
      </c>
    </row>
    <row r="766" spans="1:5" x14ac:dyDescent="0.3">
      <c r="A766" s="33">
        <v>0.14000000000000001</v>
      </c>
      <c r="B766" s="33">
        <v>0.21210000000000001</v>
      </c>
      <c r="C766" s="33">
        <v>0.59</v>
      </c>
      <c r="D766" s="33">
        <v>0</v>
      </c>
      <c r="E766" s="33">
        <v>87</v>
      </c>
    </row>
    <row r="767" spans="1:5" x14ac:dyDescent="0.3">
      <c r="A767" s="33">
        <v>0.14000000000000001</v>
      </c>
      <c r="B767" s="33">
        <v>0.1515</v>
      </c>
      <c r="C767" s="33">
        <v>0.74</v>
      </c>
      <c r="D767" s="33">
        <v>0.1343</v>
      </c>
      <c r="E767" s="33">
        <v>220</v>
      </c>
    </row>
    <row r="768" spans="1:5" x14ac:dyDescent="0.3">
      <c r="A768" s="33">
        <v>0.16</v>
      </c>
      <c r="B768" s="33">
        <v>0.18179999999999999</v>
      </c>
      <c r="C768" s="33">
        <v>0.8</v>
      </c>
      <c r="D768" s="33">
        <v>0.1343</v>
      </c>
      <c r="E768" s="33">
        <v>127</v>
      </c>
    </row>
    <row r="769" spans="1:5" x14ac:dyDescent="0.3">
      <c r="A769" s="33">
        <v>0.2</v>
      </c>
      <c r="B769" s="33">
        <v>0.21210000000000001</v>
      </c>
      <c r="C769" s="33">
        <v>0.51</v>
      </c>
      <c r="D769" s="33">
        <v>0.1343</v>
      </c>
      <c r="E769" s="33">
        <v>51</v>
      </c>
    </row>
    <row r="770" spans="1:5" x14ac:dyDescent="0.3">
      <c r="A770" s="33">
        <v>0.22</v>
      </c>
      <c r="B770" s="33">
        <v>0.2273</v>
      </c>
      <c r="C770" s="33">
        <v>0.51</v>
      </c>
      <c r="D770" s="33">
        <v>0.16420000000000001</v>
      </c>
      <c r="E770" s="33">
        <v>64</v>
      </c>
    </row>
    <row r="771" spans="1:5" x14ac:dyDescent="0.3">
      <c r="A771" s="33">
        <v>0.24</v>
      </c>
      <c r="B771" s="33">
        <v>0.2424</v>
      </c>
      <c r="C771" s="33">
        <v>0.48</v>
      </c>
      <c r="D771" s="33">
        <v>0.16420000000000001</v>
      </c>
      <c r="E771" s="33">
        <v>86</v>
      </c>
    </row>
    <row r="772" spans="1:5" x14ac:dyDescent="0.3">
      <c r="A772" s="33">
        <v>0.26</v>
      </c>
      <c r="B772" s="33">
        <v>0.2576</v>
      </c>
      <c r="C772" s="33">
        <v>0.5</v>
      </c>
      <c r="D772" s="33">
        <v>0.22389999999999999</v>
      </c>
      <c r="E772" s="33">
        <v>82</v>
      </c>
    </row>
    <row r="773" spans="1:5" x14ac:dyDescent="0.3">
      <c r="A773" s="33">
        <v>0.28000000000000003</v>
      </c>
      <c r="B773" s="33">
        <v>0.2727</v>
      </c>
      <c r="C773" s="33">
        <v>0.45</v>
      </c>
      <c r="D773" s="33">
        <v>0.16420000000000001</v>
      </c>
      <c r="E773" s="33">
        <v>91</v>
      </c>
    </row>
    <row r="774" spans="1:5" x14ac:dyDescent="0.3">
      <c r="A774" s="33">
        <v>0.28000000000000003</v>
      </c>
      <c r="B774" s="33">
        <v>0.2727</v>
      </c>
      <c r="C774" s="33">
        <v>0.48</v>
      </c>
      <c r="D774" s="33">
        <v>0.25369999999999998</v>
      </c>
      <c r="E774" s="33">
        <v>90</v>
      </c>
    </row>
    <row r="775" spans="1:5" x14ac:dyDescent="0.3">
      <c r="A775" s="33">
        <v>0.3</v>
      </c>
      <c r="B775" s="33">
        <v>0.28789999999999999</v>
      </c>
      <c r="C775" s="33">
        <v>0.42</v>
      </c>
      <c r="D775" s="33">
        <v>0.22389999999999999</v>
      </c>
      <c r="E775" s="33">
        <v>99</v>
      </c>
    </row>
    <row r="776" spans="1:5" x14ac:dyDescent="0.3">
      <c r="A776" s="33">
        <v>0.26</v>
      </c>
      <c r="B776" s="33">
        <v>0.2727</v>
      </c>
      <c r="C776" s="33">
        <v>0.56000000000000005</v>
      </c>
      <c r="D776" s="33">
        <v>0.1343</v>
      </c>
      <c r="E776" s="33">
        <v>205</v>
      </c>
    </row>
    <row r="777" spans="1:5" x14ac:dyDescent="0.3">
      <c r="A777" s="33">
        <v>0.24</v>
      </c>
      <c r="B777" s="33">
        <v>0.2576</v>
      </c>
      <c r="C777" s="33">
        <v>0.6</v>
      </c>
      <c r="D777" s="33">
        <v>0.1045</v>
      </c>
      <c r="E777" s="33">
        <v>155</v>
      </c>
    </row>
    <row r="778" spans="1:5" x14ac:dyDescent="0.3">
      <c r="A778" s="33">
        <v>0.24</v>
      </c>
      <c r="B778" s="33">
        <v>0.2424</v>
      </c>
      <c r="C778" s="33">
        <v>0.65</v>
      </c>
      <c r="D778" s="33">
        <v>0.1343</v>
      </c>
      <c r="E778" s="33">
        <v>103</v>
      </c>
    </row>
    <row r="779" spans="1:5" x14ac:dyDescent="0.3">
      <c r="A779" s="33">
        <v>0.24</v>
      </c>
      <c r="B779" s="33">
        <v>0.2424</v>
      </c>
      <c r="C779" s="33">
        <v>0.65</v>
      </c>
      <c r="D779" s="33">
        <v>0.16420000000000001</v>
      </c>
      <c r="E779" s="33">
        <v>71</v>
      </c>
    </row>
    <row r="780" spans="1:5" x14ac:dyDescent="0.3">
      <c r="A780" s="33">
        <v>0.24</v>
      </c>
      <c r="B780" s="33">
        <v>0.2424</v>
      </c>
      <c r="C780" s="33">
        <v>0.7</v>
      </c>
      <c r="D780" s="33">
        <v>0.16420000000000001</v>
      </c>
      <c r="E780" s="33">
        <v>43</v>
      </c>
    </row>
    <row r="781" spans="1:5" x14ac:dyDescent="0.3">
      <c r="A781" s="33">
        <v>0.24</v>
      </c>
      <c r="B781" s="33">
        <v>0.2424</v>
      </c>
      <c r="C781" s="33">
        <v>0.65</v>
      </c>
      <c r="D781" s="33">
        <v>0.16420000000000001</v>
      </c>
      <c r="E781" s="33">
        <v>46</v>
      </c>
    </row>
    <row r="782" spans="1:5" x14ac:dyDescent="0.3">
      <c r="A782" s="33">
        <v>0.24</v>
      </c>
      <c r="B782" s="33">
        <v>0.2424</v>
      </c>
      <c r="C782" s="33">
        <v>0.7</v>
      </c>
      <c r="D782" s="33">
        <v>0.1343</v>
      </c>
      <c r="E782" s="33">
        <v>31</v>
      </c>
    </row>
    <row r="783" spans="1:5" x14ac:dyDescent="0.3">
      <c r="A783" s="33">
        <v>0.24</v>
      </c>
      <c r="B783" s="33">
        <v>0.2424</v>
      </c>
      <c r="C783" s="33">
        <v>0.7</v>
      </c>
      <c r="D783" s="33">
        <v>0.16420000000000001</v>
      </c>
      <c r="E783" s="33">
        <v>39</v>
      </c>
    </row>
    <row r="784" spans="1:5" x14ac:dyDescent="0.3">
      <c r="A784" s="33">
        <v>0.24</v>
      </c>
      <c r="B784" s="33">
        <v>0.2424</v>
      </c>
      <c r="C784" s="33">
        <v>0.65</v>
      </c>
      <c r="D784" s="33">
        <v>0.16420000000000001</v>
      </c>
      <c r="E784" s="33">
        <v>18</v>
      </c>
    </row>
    <row r="785" spans="1:5" x14ac:dyDescent="0.3">
      <c r="A785" s="33">
        <v>0.24</v>
      </c>
      <c r="B785" s="33">
        <v>0.2424</v>
      </c>
      <c r="C785" s="33">
        <v>0.75</v>
      </c>
      <c r="D785" s="33">
        <v>0.16420000000000001</v>
      </c>
      <c r="E785" s="33">
        <v>17</v>
      </c>
    </row>
    <row r="786" spans="1:5" x14ac:dyDescent="0.3">
      <c r="A786" s="33">
        <v>0.24</v>
      </c>
      <c r="B786" s="33">
        <v>0.2424</v>
      </c>
      <c r="C786" s="33">
        <v>0.75</v>
      </c>
      <c r="D786" s="33">
        <v>0.16420000000000001</v>
      </c>
      <c r="E786" s="33">
        <v>11</v>
      </c>
    </row>
    <row r="787" spans="1:5" x14ac:dyDescent="0.3">
      <c r="A787" s="33">
        <v>0.22</v>
      </c>
      <c r="B787" s="33">
        <v>0.2273</v>
      </c>
      <c r="C787" s="33">
        <v>0.93</v>
      </c>
      <c r="D787" s="33">
        <v>0.1343</v>
      </c>
      <c r="E787" s="33">
        <v>8</v>
      </c>
    </row>
    <row r="788" spans="1:5" x14ac:dyDescent="0.3">
      <c r="A788" s="33">
        <v>0.2</v>
      </c>
      <c r="B788" s="33">
        <v>0.2273</v>
      </c>
      <c r="C788" s="33">
        <v>1</v>
      </c>
      <c r="D788" s="33">
        <v>8.9599999999999999E-2</v>
      </c>
      <c r="E788" s="33">
        <v>9</v>
      </c>
    </row>
    <row r="789" spans="1:5" x14ac:dyDescent="0.3">
      <c r="A789" s="33">
        <v>0.2</v>
      </c>
      <c r="B789" s="33">
        <v>0.2576</v>
      </c>
      <c r="C789" s="33">
        <v>1</v>
      </c>
      <c r="D789" s="33">
        <v>0</v>
      </c>
      <c r="E789" s="33">
        <v>4</v>
      </c>
    </row>
    <row r="790" spans="1:5" x14ac:dyDescent="0.3">
      <c r="A790" s="33">
        <v>0.22</v>
      </c>
      <c r="B790" s="33">
        <v>0.2576</v>
      </c>
      <c r="C790" s="33">
        <v>0.93</v>
      </c>
      <c r="D790" s="33">
        <v>8.9599999999999999E-2</v>
      </c>
      <c r="E790" s="33">
        <v>4</v>
      </c>
    </row>
    <row r="791" spans="1:5" x14ac:dyDescent="0.3">
      <c r="A791" s="33">
        <v>0.2</v>
      </c>
      <c r="B791" s="33">
        <v>0.2273</v>
      </c>
      <c r="C791" s="33">
        <v>1</v>
      </c>
      <c r="D791" s="33">
        <v>8.9599999999999999E-2</v>
      </c>
      <c r="E791" s="33">
        <v>10</v>
      </c>
    </row>
    <row r="792" spans="1:5" x14ac:dyDescent="0.3">
      <c r="A792" s="33">
        <v>0.2</v>
      </c>
      <c r="B792" s="33">
        <v>0.2273</v>
      </c>
      <c r="C792" s="33">
        <v>1</v>
      </c>
      <c r="D792" s="33">
        <v>8.9599999999999999E-2</v>
      </c>
      <c r="E792" s="33">
        <v>20</v>
      </c>
    </row>
    <row r="793" spans="1:5" x14ac:dyDescent="0.3">
      <c r="A793" s="33">
        <v>0.2</v>
      </c>
      <c r="B793" s="33">
        <v>0.21210000000000001</v>
      </c>
      <c r="C793" s="33">
        <v>1</v>
      </c>
      <c r="D793" s="33">
        <v>0.1343</v>
      </c>
      <c r="E793" s="33">
        <v>34</v>
      </c>
    </row>
    <row r="794" spans="1:5" x14ac:dyDescent="0.3">
      <c r="A794" s="33">
        <v>0.22</v>
      </c>
      <c r="B794" s="33">
        <v>0.2273</v>
      </c>
      <c r="C794" s="33">
        <v>1</v>
      </c>
      <c r="D794" s="33">
        <v>0.1343</v>
      </c>
      <c r="E794" s="33">
        <v>47</v>
      </c>
    </row>
    <row r="795" spans="1:5" x14ac:dyDescent="0.3">
      <c r="A795" s="33">
        <v>0.22</v>
      </c>
      <c r="B795" s="33">
        <v>0.2273</v>
      </c>
      <c r="C795" s="33">
        <v>1</v>
      </c>
      <c r="D795" s="33">
        <v>0.16420000000000001</v>
      </c>
      <c r="E795" s="33">
        <v>52</v>
      </c>
    </row>
    <row r="796" spans="1:5" x14ac:dyDescent="0.3">
      <c r="A796" s="33">
        <v>0.22</v>
      </c>
      <c r="B796" s="33">
        <v>0.2273</v>
      </c>
      <c r="C796" s="33">
        <v>1</v>
      </c>
      <c r="D796" s="33">
        <v>0.16420000000000001</v>
      </c>
      <c r="E796" s="33">
        <v>72</v>
      </c>
    </row>
    <row r="797" spans="1:5" x14ac:dyDescent="0.3">
      <c r="A797" s="33">
        <v>0.22</v>
      </c>
      <c r="B797" s="33">
        <v>0.2727</v>
      </c>
      <c r="C797" s="33">
        <v>1</v>
      </c>
      <c r="D797" s="33">
        <v>0</v>
      </c>
      <c r="E797" s="33">
        <v>55</v>
      </c>
    </row>
    <row r="798" spans="1:5" x14ac:dyDescent="0.3">
      <c r="A798" s="33">
        <v>0.22</v>
      </c>
      <c r="B798" s="33">
        <v>0.2727</v>
      </c>
      <c r="C798" s="33">
        <v>1</v>
      </c>
      <c r="D798" s="33">
        <v>0</v>
      </c>
      <c r="E798" s="33">
        <v>60</v>
      </c>
    </row>
    <row r="799" spans="1:5" x14ac:dyDescent="0.3">
      <c r="A799" s="33">
        <v>0.22</v>
      </c>
      <c r="B799" s="33">
        <v>0.2273</v>
      </c>
      <c r="C799" s="33">
        <v>1</v>
      </c>
      <c r="D799" s="33">
        <v>0.1343</v>
      </c>
      <c r="E799" s="33">
        <v>71</v>
      </c>
    </row>
    <row r="800" spans="1:5" x14ac:dyDescent="0.3">
      <c r="A800" s="33">
        <v>0.24</v>
      </c>
      <c r="B800" s="33">
        <v>0.21210000000000001</v>
      </c>
      <c r="C800" s="33">
        <v>1</v>
      </c>
      <c r="D800" s="33">
        <v>0.28360000000000002</v>
      </c>
      <c r="E800" s="33">
        <v>78</v>
      </c>
    </row>
    <row r="801" spans="1:5" x14ac:dyDescent="0.3">
      <c r="A801" s="33">
        <v>0.28000000000000003</v>
      </c>
      <c r="B801" s="33">
        <v>0.2424</v>
      </c>
      <c r="C801" s="33">
        <v>0.93</v>
      </c>
      <c r="D801" s="33">
        <v>0.44779999999999998</v>
      </c>
      <c r="E801" s="33">
        <v>83</v>
      </c>
    </row>
    <row r="802" spans="1:5" x14ac:dyDescent="0.3">
      <c r="A802" s="33">
        <v>0.28000000000000003</v>
      </c>
      <c r="B802" s="33">
        <v>0.2424</v>
      </c>
      <c r="C802" s="33">
        <v>0.93</v>
      </c>
      <c r="D802" s="33">
        <v>0.44779999999999998</v>
      </c>
      <c r="E802" s="33">
        <v>84</v>
      </c>
    </row>
    <row r="803" spans="1:5" x14ac:dyDescent="0.3">
      <c r="A803" s="33">
        <v>0.3</v>
      </c>
      <c r="B803" s="33">
        <v>0.28789999999999999</v>
      </c>
      <c r="C803" s="33">
        <v>0.87</v>
      </c>
      <c r="D803" s="33">
        <v>0.25369999999999998</v>
      </c>
      <c r="E803" s="33">
        <v>69</v>
      </c>
    </row>
    <row r="804" spans="1:5" x14ac:dyDescent="0.3">
      <c r="A804" s="33">
        <v>0.26</v>
      </c>
      <c r="B804" s="33">
        <v>0.2576</v>
      </c>
      <c r="C804" s="33">
        <v>1</v>
      </c>
      <c r="D804" s="33">
        <v>0.19400000000000001</v>
      </c>
      <c r="E804" s="33">
        <v>56</v>
      </c>
    </row>
    <row r="805" spans="1:5" x14ac:dyDescent="0.3">
      <c r="A805" s="33">
        <v>0.26</v>
      </c>
      <c r="B805" s="33">
        <v>0.2727</v>
      </c>
      <c r="C805" s="33">
        <v>0.93</v>
      </c>
      <c r="D805" s="33">
        <v>0.1343</v>
      </c>
      <c r="E805" s="33">
        <v>45</v>
      </c>
    </row>
    <row r="806" spans="1:5" x14ac:dyDescent="0.3">
      <c r="A806" s="33">
        <v>0.26</v>
      </c>
      <c r="B806" s="33">
        <v>0.2576</v>
      </c>
      <c r="C806" s="33">
        <v>0.93</v>
      </c>
      <c r="D806" s="33">
        <v>0.22389999999999999</v>
      </c>
      <c r="E806" s="33">
        <v>59</v>
      </c>
    </row>
    <row r="807" spans="1:5" x14ac:dyDescent="0.3">
      <c r="A807" s="33">
        <v>0.26</v>
      </c>
      <c r="B807" s="33">
        <v>0.2576</v>
      </c>
      <c r="C807" s="33">
        <v>0.7</v>
      </c>
      <c r="D807" s="33">
        <v>0.19400000000000001</v>
      </c>
      <c r="E807" s="33">
        <v>39</v>
      </c>
    </row>
    <row r="808" spans="1:5" x14ac:dyDescent="0.3">
      <c r="A808" s="33">
        <v>0.26</v>
      </c>
      <c r="B808" s="33">
        <v>0.2273</v>
      </c>
      <c r="C808" s="33">
        <v>0.65</v>
      </c>
      <c r="D808" s="33">
        <v>0.41789999999999999</v>
      </c>
      <c r="E808" s="33">
        <v>44</v>
      </c>
    </row>
    <row r="809" spans="1:5" x14ac:dyDescent="0.3">
      <c r="A809" s="33">
        <v>0.26</v>
      </c>
      <c r="B809" s="33">
        <v>0.2273</v>
      </c>
      <c r="C809" s="33">
        <v>0.6</v>
      </c>
      <c r="D809" s="33">
        <v>0.32840000000000003</v>
      </c>
      <c r="E809" s="33">
        <v>20</v>
      </c>
    </row>
    <row r="810" spans="1:5" x14ac:dyDescent="0.3">
      <c r="A810" s="33">
        <v>0.26</v>
      </c>
      <c r="B810" s="33">
        <v>0.28789999999999999</v>
      </c>
      <c r="C810" s="33">
        <v>0.6</v>
      </c>
      <c r="D810" s="33">
        <v>8.9599999999999999E-2</v>
      </c>
      <c r="E810" s="33">
        <v>13</v>
      </c>
    </row>
    <row r="811" spans="1:5" x14ac:dyDescent="0.3">
      <c r="A811" s="33">
        <v>0.26</v>
      </c>
      <c r="B811" s="33">
        <v>0.2273</v>
      </c>
      <c r="C811" s="33">
        <v>0.6</v>
      </c>
      <c r="D811" s="33">
        <v>0.35820000000000002</v>
      </c>
      <c r="E811" s="33">
        <v>2</v>
      </c>
    </row>
    <row r="812" spans="1:5" x14ac:dyDescent="0.3">
      <c r="A812" s="33">
        <v>0.26</v>
      </c>
      <c r="B812" s="33">
        <v>0.2576</v>
      </c>
      <c r="C812" s="33">
        <v>0.6</v>
      </c>
      <c r="D812" s="33">
        <v>0.22389999999999999</v>
      </c>
      <c r="E812" s="33">
        <v>1</v>
      </c>
    </row>
    <row r="813" spans="1:5" x14ac:dyDescent="0.3">
      <c r="A813" s="33">
        <v>0.26</v>
      </c>
      <c r="B813" s="33">
        <v>0.2576</v>
      </c>
      <c r="C813" s="33">
        <v>0.6</v>
      </c>
      <c r="D813" s="33">
        <v>0.22389999999999999</v>
      </c>
      <c r="E813" s="33">
        <v>1</v>
      </c>
    </row>
    <row r="814" spans="1:5" x14ac:dyDescent="0.3">
      <c r="A814" s="33">
        <v>0.24</v>
      </c>
      <c r="B814" s="33">
        <v>0.2424</v>
      </c>
      <c r="C814" s="33">
        <v>0.65</v>
      </c>
      <c r="D814" s="33">
        <v>0.16420000000000001</v>
      </c>
      <c r="E814" s="33">
        <v>8</v>
      </c>
    </row>
    <row r="815" spans="1:5" x14ac:dyDescent="0.3">
      <c r="A815" s="33">
        <v>0.24</v>
      </c>
      <c r="B815" s="33">
        <v>0.2576</v>
      </c>
      <c r="C815" s="33">
        <v>0.65</v>
      </c>
      <c r="D815" s="33">
        <v>0.1045</v>
      </c>
      <c r="E815" s="33">
        <v>23</v>
      </c>
    </row>
    <row r="816" spans="1:5" x14ac:dyDescent="0.3">
      <c r="A816" s="33">
        <v>0.28000000000000003</v>
      </c>
      <c r="B816" s="33">
        <v>0.28789999999999999</v>
      </c>
      <c r="C816" s="33">
        <v>0.56000000000000005</v>
      </c>
      <c r="D816" s="33">
        <v>0.1045</v>
      </c>
      <c r="E816" s="33">
        <v>45</v>
      </c>
    </row>
    <row r="817" spans="1:5" x14ac:dyDescent="0.3">
      <c r="A817" s="33">
        <v>0.3</v>
      </c>
      <c r="B817" s="33">
        <v>0.28789999999999999</v>
      </c>
      <c r="C817" s="33">
        <v>0.52</v>
      </c>
      <c r="D817" s="33">
        <v>0.25369999999999998</v>
      </c>
      <c r="E817" s="33">
        <v>89</v>
      </c>
    </row>
    <row r="818" spans="1:5" x14ac:dyDescent="0.3">
      <c r="A818" s="33">
        <v>0.32</v>
      </c>
      <c r="B818" s="33">
        <v>0.30299999999999999</v>
      </c>
      <c r="C818" s="33">
        <v>0.49</v>
      </c>
      <c r="D818" s="33">
        <v>0.25369999999999998</v>
      </c>
      <c r="E818" s="33">
        <v>117</v>
      </c>
    </row>
    <row r="819" spans="1:5" x14ac:dyDescent="0.3">
      <c r="A819" s="33">
        <v>0.34</v>
      </c>
      <c r="B819" s="33">
        <v>0.33329999999999999</v>
      </c>
      <c r="C819" s="33">
        <v>0.46</v>
      </c>
      <c r="D819" s="33">
        <v>0</v>
      </c>
      <c r="E819" s="33">
        <v>174</v>
      </c>
    </row>
    <row r="820" spans="1:5" x14ac:dyDescent="0.3">
      <c r="A820" s="33">
        <v>0.34</v>
      </c>
      <c r="B820" s="33">
        <v>0.36359999999999998</v>
      </c>
      <c r="C820" s="33">
        <v>0.46</v>
      </c>
      <c r="D820" s="33">
        <v>0</v>
      </c>
      <c r="E820" s="33">
        <v>182</v>
      </c>
    </row>
    <row r="821" spans="1:5" x14ac:dyDescent="0.3">
      <c r="A821" s="33">
        <v>0.34</v>
      </c>
      <c r="B821" s="33">
        <v>0.34849999999999998</v>
      </c>
      <c r="C821" s="33">
        <v>0.46</v>
      </c>
      <c r="D821" s="33">
        <v>8.9599999999999999E-2</v>
      </c>
      <c r="E821" s="33">
        <v>161</v>
      </c>
    </row>
    <row r="822" spans="1:5" x14ac:dyDescent="0.3">
      <c r="A822" s="33">
        <v>0.34</v>
      </c>
      <c r="B822" s="33">
        <v>0.34849999999999998</v>
      </c>
      <c r="C822" s="33">
        <v>0.46</v>
      </c>
      <c r="D822" s="33">
        <v>8.9599999999999999E-2</v>
      </c>
      <c r="E822" s="33">
        <v>182</v>
      </c>
    </row>
    <row r="823" spans="1:5" x14ac:dyDescent="0.3">
      <c r="A823" s="33">
        <v>0.34</v>
      </c>
      <c r="B823" s="33">
        <v>0.34849999999999998</v>
      </c>
      <c r="C823" s="33">
        <v>0.49</v>
      </c>
      <c r="D823" s="33">
        <v>0.1045</v>
      </c>
      <c r="E823" s="33">
        <v>157</v>
      </c>
    </row>
    <row r="824" spans="1:5" x14ac:dyDescent="0.3">
      <c r="A824" s="33">
        <v>0.34</v>
      </c>
      <c r="B824" s="33">
        <v>0.36359999999999998</v>
      </c>
      <c r="C824" s="33">
        <v>0.46</v>
      </c>
      <c r="D824" s="33">
        <v>0</v>
      </c>
      <c r="E824" s="33">
        <v>121</v>
      </c>
    </row>
    <row r="825" spans="1:5" x14ac:dyDescent="0.3">
      <c r="A825" s="33">
        <v>0.3</v>
      </c>
      <c r="B825" s="33">
        <v>0.30299999999999999</v>
      </c>
      <c r="C825" s="33">
        <v>0.56000000000000005</v>
      </c>
      <c r="D825" s="33">
        <v>0.16420000000000001</v>
      </c>
      <c r="E825" s="33">
        <v>78</v>
      </c>
    </row>
    <row r="826" spans="1:5" x14ac:dyDescent="0.3">
      <c r="A826" s="33">
        <v>0.28000000000000003</v>
      </c>
      <c r="B826" s="33">
        <v>0.28789999999999999</v>
      </c>
      <c r="C826" s="33">
        <v>0.61</v>
      </c>
      <c r="D826" s="33">
        <v>0.1343</v>
      </c>
      <c r="E826" s="33">
        <v>21</v>
      </c>
    </row>
    <row r="827" spans="1:5" x14ac:dyDescent="0.3">
      <c r="A827" s="33">
        <v>0.28000000000000003</v>
      </c>
      <c r="B827" s="33">
        <v>0.28789999999999999</v>
      </c>
      <c r="C827" s="33">
        <v>0.61</v>
      </c>
      <c r="D827" s="33">
        <v>0.1045</v>
      </c>
      <c r="E827" s="33">
        <v>26</v>
      </c>
    </row>
    <row r="828" spans="1:5" x14ac:dyDescent="0.3">
      <c r="A828" s="33">
        <v>0.26</v>
      </c>
      <c r="B828" s="33">
        <v>0.30299999999999999</v>
      </c>
      <c r="C828" s="33">
        <v>0.6</v>
      </c>
      <c r="D828" s="33">
        <v>0</v>
      </c>
      <c r="E828" s="33">
        <v>27</v>
      </c>
    </row>
    <row r="829" spans="1:5" x14ac:dyDescent="0.3">
      <c r="A829" s="33">
        <v>0.26</v>
      </c>
      <c r="B829" s="33">
        <v>0.30299999999999999</v>
      </c>
      <c r="C829" s="33">
        <v>0.6</v>
      </c>
      <c r="D829" s="33">
        <v>0</v>
      </c>
      <c r="E829" s="33">
        <v>62</v>
      </c>
    </row>
    <row r="830" spans="1:5" x14ac:dyDescent="0.3">
      <c r="A830" s="33">
        <v>0.24</v>
      </c>
      <c r="B830" s="33">
        <v>0.28789999999999999</v>
      </c>
      <c r="C830" s="33">
        <v>0.65</v>
      </c>
      <c r="D830" s="33">
        <v>0</v>
      </c>
      <c r="E830" s="33">
        <v>30</v>
      </c>
    </row>
    <row r="831" spans="1:5" x14ac:dyDescent="0.3">
      <c r="A831" s="33">
        <v>0.24</v>
      </c>
      <c r="B831" s="33">
        <v>0.28789999999999999</v>
      </c>
      <c r="C831" s="33">
        <v>0.65</v>
      </c>
      <c r="D831" s="33">
        <v>0</v>
      </c>
      <c r="E831" s="33">
        <v>15</v>
      </c>
    </row>
    <row r="832" spans="1:5" x14ac:dyDescent="0.3">
      <c r="A832" s="33">
        <v>0.22</v>
      </c>
      <c r="B832" s="33">
        <v>0.2727</v>
      </c>
      <c r="C832" s="33">
        <v>0.75</v>
      </c>
      <c r="D832" s="33">
        <v>0</v>
      </c>
      <c r="E832" s="33">
        <v>5</v>
      </c>
    </row>
    <row r="833" spans="1:5" x14ac:dyDescent="0.3">
      <c r="A833" s="33">
        <v>0.2</v>
      </c>
      <c r="B833" s="33">
        <v>0.2576</v>
      </c>
      <c r="C833" s="33">
        <v>0.8</v>
      </c>
      <c r="D833" s="33">
        <v>0</v>
      </c>
      <c r="E833" s="33">
        <v>3</v>
      </c>
    </row>
    <row r="834" spans="1:5" x14ac:dyDescent="0.3">
      <c r="A834" s="33">
        <v>0.2</v>
      </c>
      <c r="B834" s="33">
        <v>0.2576</v>
      </c>
      <c r="C834" s="33">
        <v>0.86</v>
      </c>
      <c r="D834" s="33">
        <v>0</v>
      </c>
      <c r="E834" s="33">
        <v>1</v>
      </c>
    </row>
    <row r="835" spans="1:5" x14ac:dyDescent="0.3">
      <c r="A835" s="33">
        <v>0.2</v>
      </c>
      <c r="B835" s="33">
        <v>0.2576</v>
      </c>
      <c r="C835" s="33">
        <v>0.86</v>
      </c>
      <c r="D835" s="33">
        <v>0</v>
      </c>
      <c r="E835" s="33">
        <v>2</v>
      </c>
    </row>
    <row r="836" spans="1:5" x14ac:dyDescent="0.3">
      <c r="A836" s="33">
        <v>0.2</v>
      </c>
      <c r="B836" s="33">
        <v>0.2576</v>
      </c>
      <c r="C836" s="33">
        <v>0.86</v>
      </c>
      <c r="D836" s="33">
        <v>0</v>
      </c>
      <c r="E836" s="33">
        <v>10</v>
      </c>
    </row>
    <row r="837" spans="1:5" x14ac:dyDescent="0.3">
      <c r="A837" s="33">
        <v>0.18</v>
      </c>
      <c r="B837" s="33">
        <v>0.2424</v>
      </c>
      <c r="C837" s="33">
        <v>0.93</v>
      </c>
      <c r="D837" s="33">
        <v>0</v>
      </c>
      <c r="E837" s="33">
        <v>30</v>
      </c>
    </row>
    <row r="838" spans="1:5" x14ac:dyDescent="0.3">
      <c r="A838" s="33">
        <v>0.18</v>
      </c>
      <c r="B838" s="33">
        <v>0.2424</v>
      </c>
      <c r="C838" s="33">
        <v>0.86</v>
      </c>
      <c r="D838" s="33">
        <v>0</v>
      </c>
      <c r="E838" s="33">
        <v>95</v>
      </c>
    </row>
    <row r="839" spans="1:5" x14ac:dyDescent="0.3">
      <c r="A839" s="33">
        <v>0.16</v>
      </c>
      <c r="B839" s="33">
        <v>0.2273</v>
      </c>
      <c r="C839" s="33">
        <v>1</v>
      </c>
      <c r="D839" s="33">
        <v>0</v>
      </c>
      <c r="E839" s="33">
        <v>230</v>
      </c>
    </row>
    <row r="840" spans="1:5" x14ac:dyDescent="0.3">
      <c r="A840" s="33">
        <v>0.22</v>
      </c>
      <c r="B840" s="33">
        <v>0.2727</v>
      </c>
      <c r="C840" s="33">
        <v>0.8</v>
      </c>
      <c r="D840" s="33">
        <v>0</v>
      </c>
      <c r="E840" s="33">
        <v>118</v>
      </c>
    </row>
    <row r="841" spans="1:5" x14ac:dyDescent="0.3">
      <c r="A841" s="33">
        <v>0.24</v>
      </c>
      <c r="B841" s="33">
        <v>0.2576</v>
      </c>
      <c r="C841" s="33">
        <v>0.75</v>
      </c>
      <c r="D841" s="33">
        <v>0.1045</v>
      </c>
      <c r="E841" s="33">
        <v>55</v>
      </c>
    </row>
    <row r="842" spans="1:5" x14ac:dyDescent="0.3">
      <c r="A842" s="33">
        <v>0.3</v>
      </c>
      <c r="B842" s="33">
        <v>0.31819999999999998</v>
      </c>
      <c r="C842" s="33">
        <v>0.65</v>
      </c>
      <c r="D842" s="33">
        <v>8.9599999999999999E-2</v>
      </c>
      <c r="E842" s="33">
        <v>47</v>
      </c>
    </row>
    <row r="843" spans="1:5" x14ac:dyDescent="0.3">
      <c r="A843" s="33">
        <v>0.32</v>
      </c>
      <c r="B843" s="33">
        <v>0.34849999999999998</v>
      </c>
      <c r="C843" s="33">
        <v>0.62</v>
      </c>
      <c r="D843" s="33">
        <v>0</v>
      </c>
      <c r="E843" s="33">
        <v>66</v>
      </c>
    </row>
    <row r="844" spans="1:5" x14ac:dyDescent="0.3">
      <c r="A844" s="33">
        <v>0.36</v>
      </c>
      <c r="B844" s="33">
        <v>0.36359999999999998</v>
      </c>
      <c r="C844" s="33">
        <v>0.56999999999999995</v>
      </c>
      <c r="D844" s="33">
        <v>8.9599999999999999E-2</v>
      </c>
      <c r="E844" s="33">
        <v>64</v>
      </c>
    </row>
    <row r="845" spans="1:5" x14ac:dyDescent="0.3">
      <c r="A845" s="33">
        <v>0.36</v>
      </c>
      <c r="B845" s="33">
        <v>0.36359999999999998</v>
      </c>
      <c r="C845" s="33">
        <v>0.56999999999999995</v>
      </c>
      <c r="D845" s="33">
        <v>8.9599999999999999E-2</v>
      </c>
      <c r="E845" s="33">
        <v>60</v>
      </c>
    </row>
    <row r="846" spans="1:5" x14ac:dyDescent="0.3">
      <c r="A846" s="33">
        <v>0.38</v>
      </c>
      <c r="B846" s="33">
        <v>0.39389999999999997</v>
      </c>
      <c r="C846" s="33">
        <v>0.54</v>
      </c>
      <c r="D846" s="33">
        <v>8.9599999999999999E-2</v>
      </c>
      <c r="E846" s="33">
        <v>50</v>
      </c>
    </row>
    <row r="847" spans="1:5" x14ac:dyDescent="0.3">
      <c r="A847" s="33">
        <v>0.36</v>
      </c>
      <c r="B847" s="33">
        <v>0.34849999999999998</v>
      </c>
      <c r="C847" s="33">
        <v>0.56999999999999995</v>
      </c>
      <c r="D847" s="33">
        <v>0.1343</v>
      </c>
      <c r="E847" s="33">
        <v>114</v>
      </c>
    </row>
    <row r="848" spans="1:5" x14ac:dyDescent="0.3">
      <c r="A848" s="33">
        <v>0.32</v>
      </c>
      <c r="B848" s="33">
        <v>0.31819999999999998</v>
      </c>
      <c r="C848" s="33">
        <v>0.7</v>
      </c>
      <c r="D848" s="33">
        <v>0.16420000000000001</v>
      </c>
      <c r="E848" s="33">
        <v>216</v>
      </c>
    </row>
    <row r="849" spans="1:5" x14ac:dyDescent="0.3">
      <c r="A849" s="33">
        <v>0.34</v>
      </c>
      <c r="B849" s="33">
        <v>0.33329999999999999</v>
      </c>
      <c r="C849" s="33">
        <v>0.66</v>
      </c>
      <c r="D849" s="33">
        <v>0.1343</v>
      </c>
      <c r="E849" s="33">
        <v>175</v>
      </c>
    </row>
    <row r="850" spans="1:5" x14ac:dyDescent="0.3">
      <c r="A850" s="33">
        <v>0.32</v>
      </c>
      <c r="B850" s="33">
        <v>0.34849999999999998</v>
      </c>
      <c r="C850" s="33">
        <v>0.7</v>
      </c>
      <c r="D850" s="33">
        <v>0</v>
      </c>
      <c r="E850" s="33">
        <v>128</v>
      </c>
    </row>
    <row r="851" spans="1:5" x14ac:dyDescent="0.3">
      <c r="A851" s="33">
        <v>0.32</v>
      </c>
      <c r="B851" s="33">
        <v>0.33329999999999999</v>
      </c>
      <c r="C851" s="33">
        <v>0.7</v>
      </c>
      <c r="D851" s="33">
        <v>0.1045</v>
      </c>
      <c r="E851" s="33">
        <v>88</v>
      </c>
    </row>
    <row r="852" spans="1:5" x14ac:dyDescent="0.3">
      <c r="A852" s="33">
        <v>0.32</v>
      </c>
      <c r="B852" s="33">
        <v>0.34849999999999998</v>
      </c>
      <c r="C852" s="33">
        <v>0.7</v>
      </c>
      <c r="D852" s="33">
        <v>0</v>
      </c>
      <c r="E852" s="33">
        <v>78</v>
      </c>
    </row>
    <row r="853" spans="1:5" x14ac:dyDescent="0.3">
      <c r="A853" s="33">
        <v>0.28000000000000003</v>
      </c>
      <c r="B853" s="33">
        <v>0.30299999999999999</v>
      </c>
      <c r="C853" s="33">
        <v>0.81</v>
      </c>
      <c r="D853" s="33">
        <v>8.9599999999999999E-2</v>
      </c>
      <c r="E853" s="33">
        <v>37</v>
      </c>
    </row>
    <row r="854" spans="1:5" x14ac:dyDescent="0.3">
      <c r="A854" s="33">
        <v>0.3</v>
      </c>
      <c r="B854" s="33">
        <v>0.33329999999999999</v>
      </c>
      <c r="C854" s="33">
        <v>0.81</v>
      </c>
      <c r="D854" s="33">
        <v>0</v>
      </c>
      <c r="E854" s="33">
        <v>25</v>
      </c>
    </row>
    <row r="855" spans="1:5" x14ac:dyDescent="0.3">
      <c r="A855" s="33">
        <v>0.28000000000000003</v>
      </c>
      <c r="B855" s="33">
        <v>0.31819999999999998</v>
      </c>
      <c r="C855" s="33">
        <v>0.87</v>
      </c>
      <c r="D855" s="33">
        <v>0</v>
      </c>
      <c r="E855" s="33">
        <v>10</v>
      </c>
    </row>
    <row r="856" spans="1:5" x14ac:dyDescent="0.3">
      <c r="A856" s="33">
        <v>0.28000000000000003</v>
      </c>
      <c r="B856" s="33">
        <v>0.31819999999999998</v>
      </c>
      <c r="C856" s="33">
        <v>0.87</v>
      </c>
      <c r="D856" s="33">
        <v>0</v>
      </c>
      <c r="E856" s="33">
        <v>4</v>
      </c>
    </row>
    <row r="857" spans="1:5" x14ac:dyDescent="0.3">
      <c r="A857" s="33">
        <v>0.26</v>
      </c>
      <c r="B857" s="33">
        <v>0.2727</v>
      </c>
      <c r="C857" s="33">
        <v>0.93</v>
      </c>
      <c r="D857" s="33">
        <v>0.1045</v>
      </c>
      <c r="E857" s="33">
        <v>2</v>
      </c>
    </row>
    <row r="858" spans="1:5" x14ac:dyDescent="0.3">
      <c r="A858" s="33">
        <v>0.28000000000000003</v>
      </c>
      <c r="B858" s="33">
        <v>0.2727</v>
      </c>
      <c r="C858" s="33">
        <v>0.93</v>
      </c>
      <c r="D858" s="33">
        <v>0.16420000000000001</v>
      </c>
      <c r="E858" s="33">
        <v>1</v>
      </c>
    </row>
    <row r="859" spans="1:5" x14ac:dyDescent="0.3">
      <c r="A859" s="33">
        <v>0.26</v>
      </c>
      <c r="B859" s="33">
        <v>0.2576</v>
      </c>
      <c r="C859" s="33">
        <v>0.93</v>
      </c>
      <c r="D859" s="33">
        <v>0.16420000000000001</v>
      </c>
      <c r="E859" s="33">
        <v>3</v>
      </c>
    </row>
    <row r="860" spans="1:5" x14ac:dyDescent="0.3">
      <c r="A860" s="33">
        <v>0.26</v>
      </c>
      <c r="B860" s="33">
        <v>0.2273</v>
      </c>
      <c r="C860" s="33">
        <v>0.81</v>
      </c>
      <c r="D860" s="33">
        <v>0.32840000000000003</v>
      </c>
      <c r="E860" s="33">
        <v>2</v>
      </c>
    </row>
    <row r="861" spans="1:5" x14ac:dyDescent="0.3">
      <c r="A861" s="33">
        <v>0.26</v>
      </c>
      <c r="B861" s="33">
        <v>0.2273</v>
      </c>
      <c r="C861" s="33">
        <v>0.7</v>
      </c>
      <c r="D861" s="33">
        <v>0.32840000000000003</v>
      </c>
      <c r="E861" s="33">
        <v>39</v>
      </c>
    </row>
    <row r="862" spans="1:5" x14ac:dyDescent="0.3">
      <c r="A862" s="33">
        <v>0.24</v>
      </c>
      <c r="B862" s="33">
        <v>0.19700000000000001</v>
      </c>
      <c r="C862" s="33">
        <v>0.65</v>
      </c>
      <c r="D862" s="33">
        <v>0.41789999999999999</v>
      </c>
      <c r="E862" s="33">
        <v>100</v>
      </c>
    </row>
    <row r="863" spans="1:5" x14ac:dyDescent="0.3">
      <c r="A863" s="33">
        <v>0.24</v>
      </c>
      <c r="B863" s="33">
        <v>0.19700000000000001</v>
      </c>
      <c r="C863" s="33">
        <v>0.56000000000000005</v>
      </c>
      <c r="D863" s="33">
        <v>0.49249999999999999</v>
      </c>
      <c r="E863" s="33">
        <v>243</v>
      </c>
    </row>
    <row r="864" spans="1:5" x14ac:dyDescent="0.3">
      <c r="A864" s="33">
        <v>0.24</v>
      </c>
      <c r="B864" s="33">
        <v>0.19700000000000001</v>
      </c>
      <c r="C864" s="33">
        <v>0.52</v>
      </c>
      <c r="D864" s="33">
        <v>0.49249999999999999</v>
      </c>
      <c r="E864" s="33">
        <v>135</v>
      </c>
    </row>
    <row r="865" spans="1:5" x14ac:dyDescent="0.3">
      <c r="A865" s="33">
        <v>0.22</v>
      </c>
      <c r="B865" s="33">
        <v>0.18179999999999999</v>
      </c>
      <c r="C865" s="33">
        <v>0.47</v>
      </c>
      <c r="D865" s="33">
        <v>0.55220000000000002</v>
      </c>
      <c r="E865" s="33">
        <v>48</v>
      </c>
    </row>
    <row r="866" spans="1:5" x14ac:dyDescent="0.3">
      <c r="A866" s="33">
        <v>0.22</v>
      </c>
      <c r="B866" s="33">
        <v>0.18179999999999999</v>
      </c>
      <c r="C866" s="33">
        <v>0.47</v>
      </c>
      <c r="D866" s="33">
        <v>0.4627</v>
      </c>
      <c r="E866" s="33">
        <v>50</v>
      </c>
    </row>
    <row r="867" spans="1:5" x14ac:dyDescent="0.3">
      <c r="A867" s="33">
        <v>0.24</v>
      </c>
      <c r="B867" s="33">
        <v>0.19700000000000001</v>
      </c>
      <c r="C867" s="33">
        <v>0.38</v>
      </c>
      <c r="D867" s="33">
        <v>0.49249999999999999</v>
      </c>
      <c r="E867" s="33">
        <v>65</v>
      </c>
    </row>
    <row r="868" spans="1:5" x14ac:dyDescent="0.3">
      <c r="A868" s="33">
        <v>0.24</v>
      </c>
      <c r="B868" s="33">
        <v>0.19700000000000001</v>
      </c>
      <c r="C868" s="33">
        <v>0.32</v>
      </c>
      <c r="D868" s="33">
        <v>0.44779999999999998</v>
      </c>
      <c r="E868" s="33">
        <v>50</v>
      </c>
    </row>
    <row r="869" spans="1:5" x14ac:dyDescent="0.3">
      <c r="A869" s="33">
        <v>0.22</v>
      </c>
      <c r="B869" s="33">
        <v>0.19700000000000001</v>
      </c>
      <c r="C869" s="33">
        <v>0.37</v>
      </c>
      <c r="D869" s="33">
        <v>0.41789999999999999</v>
      </c>
      <c r="E869" s="33">
        <v>64</v>
      </c>
    </row>
    <row r="870" spans="1:5" x14ac:dyDescent="0.3">
      <c r="A870" s="33">
        <v>0.22</v>
      </c>
      <c r="B870" s="33">
        <v>0.19700000000000001</v>
      </c>
      <c r="C870" s="33">
        <v>0.35</v>
      </c>
      <c r="D870" s="33">
        <v>0.3881</v>
      </c>
      <c r="E870" s="33">
        <v>51</v>
      </c>
    </row>
    <row r="871" spans="1:5" x14ac:dyDescent="0.3">
      <c r="A871" s="33">
        <v>0.22</v>
      </c>
      <c r="B871" s="33">
        <v>0.18179999999999999</v>
      </c>
      <c r="C871" s="33">
        <v>0.35</v>
      </c>
      <c r="D871" s="33">
        <v>0.52239999999999998</v>
      </c>
      <c r="E871" s="33">
        <v>83</v>
      </c>
    </row>
    <row r="872" spans="1:5" x14ac:dyDescent="0.3">
      <c r="A872" s="33">
        <v>0.22</v>
      </c>
      <c r="B872" s="33">
        <v>0.18179999999999999</v>
      </c>
      <c r="C872" s="33">
        <v>0.32</v>
      </c>
      <c r="D872" s="33">
        <v>0.58209999999999995</v>
      </c>
      <c r="E872" s="33">
        <v>176</v>
      </c>
    </row>
    <row r="873" spans="1:5" x14ac:dyDescent="0.3">
      <c r="A873" s="33">
        <v>0.2</v>
      </c>
      <c r="B873" s="33">
        <v>0.18179999999999999</v>
      </c>
      <c r="C873" s="33">
        <v>0.32</v>
      </c>
      <c r="D873" s="33">
        <v>0.3881</v>
      </c>
      <c r="E873" s="33">
        <v>152</v>
      </c>
    </row>
    <row r="874" spans="1:5" x14ac:dyDescent="0.3">
      <c r="A874" s="33">
        <v>0.16</v>
      </c>
      <c r="B874" s="33">
        <v>0.1212</v>
      </c>
      <c r="C874" s="33">
        <v>0.4</v>
      </c>
      <c r="D874" s="33">
        <v>0.4627</v>
      </c>
      <c r="E874" s="33">
        <v>101</v>
      </c>
    </row>
    <row r="875" spans="1:5" x14ac:dyDescent="0.3">
      <c r="A875" s="33">
        <v>0.16</v>
      </c>
      <c r="B875" s="33">
        <v>0.13639999999999999</v>
      </c>
      <c r="C875" s="33">
        <v>0.4</v>
      </c>
      <c r="D875" s="33">
        <v>0.32840000000000003</v>
      </c>
      <c r="E875" s="33">
        <v>56</v>
      </c>
    </row>
    <row r="876" spans="1:5" x14ac:dyDescent="0.3">
      <c r="A876" s="33">
        <v>0.14000000000000001</v>
      </c>
      <c r="B876" s="33">
        <v>0.1061</v>
      </c>
      <c r="C876" s="33">
        <v>0.33</v>
      </c>
      <c r="D876" s="33">
        <v>0.4627</v>
      </c>
      <c r="E876" s="33">
        <v>54</v>
      </c>
    </row>
    <row r="877" spans="1:5" x14ac:dyDescent="0.3">
      <c r="A877" s="33">
        <v>0.12</v>
      </c>
      <c r="B877" s="33">
        <v>0.1061</v>
      </c>
      <c r="C877" s="33">
        <v>0.33</v>
      </c>
      <c r="D877" s="33">
        <v>0.35820000000000002</v>
      </c>
      <c r="E877" s="33">
        <v>29</v>
      </c>
    </row>
    <row r="878" spans="1:5" x14ac:dyDescent="0.3">
      <c r="A878" s="33">
        <v>0.12</v>
      </c>
      <c r="B878" s="33">
        <v>0.1061</v>
      </c>
      <c r="C878" s="33">
        <v>0.33</v>
      </c>
      <c r="D878" s="33">
        <v>0.32840000000000003</v>
      </c>
      <c r="E878" s="33">
        <v>12</v>
      </c>
    </row>
    <row r="879" spans="1:5" x14ac:dyDescent="0.3">
      <c r="A879" s="33">
        <v>0.1</v>
      </c>
      <c r="B879" s="33">
        <v>7.5800000000000006E-2</v>
      </c>
      <c r="C879" s="33">
        <v>0.36</v>
      </c>
      <c r="D879" s="33">
        <v>0.35820000000000002</v>
      </c>
      <c r="E879" s="33">
        <v>17</v>
      </c>
    </row>
    <row r="880" spans="1:5" x14ac:dyDescent="0.3">
      <c r="A880" s="33">
        <v>0.1</v>
      </c>
      <c r="B880" s="33">
        <v>0.1061</v>
      </c>
      <c r="C880" s="33">
        <v>0.36</v>
      </c>
      <c r="D880" s="33">
        <v>0.22389999999999999</v>
      </c>
      <c r="E880" s="33">
        <v>7</v>
      </c>
    </row>
    <row r="881" spans="1:5" x14ac:dyDescent="0.3">
      <c r="A881" s="33">
        <v>0.08</v>
      </c>
      <c r="B881" s="33">
        <v>7.5800000000000006E-2</v>
      </c>
      <c r="C881" s="33">
        <v>0.38</v>
      </c>
      <c r="D881" s="33">
        <v>0.28360000000000002</v>
      </c>
      <c r="E881" s="33">
        <v>3</v>
      </c>
    </row>
    <row r="882" spans="1:5" x14ac:dyDescent="0.3">
      <c r="A882" s="33">
        <v>0.06</v>
      </c>
      <c r="B882" s="33">
        <v>7.5800000000000006E-2</v>
      </c>
      <c r="C882" s="33">
        <v>0.45</v>
      </c>
      <c r="D882" s="33">
        <v>0.1343</v>
      </c>
      <c r="E882" s="33">
        <v>2</v>
      </c>
    </row>
    <row r="883" spans="1:5" x14ac:dyDescent="0.3">
      <c r="A883" s="33">
        <v>0.06</v>
      </c>
      <c r="B883" s="33">
        <v>0.1061</v>
      </c>
      <c r="C883" s="33">
        <v>0.45</v>
      </c>
      <c r="D883" s="33">
        <v>0.1045</v>
      </c>
      <c r="E883" s="33">
        <v>7</v>
      </c>
    </row>
    <row r="884" spans="1:5" x14ac:dyDescent="0.3">
      <c r="A884" s="33">
        <v>0.06</v>
      </c>
      <c r="B884" s="33">
        <v>0.1515</v>
      </c>
      <c r="C884" s="33">
        <v>0.45</v>
      </c>
      <c r="D884" s="33">
        <v>0</v>
      </c>
      <c r="E884" s="33">
        <v>43</v>
      </c>
    </row>
    <row r="885" spans="1:5" x14ac:dyDescent="0.3">
      <c r="A885" s="33">
        <v>0.06</v>
      </c>
      <c r="B885" s="33">
        <v>0.1061</v>
      </c>
      <c r="C885" s="33">
        <v>0.49</v>
      </c>
      <c r="D885" s="33">
        <v>0.1045</v>
      </c>
      <c r="E885" s="33">
        <v>99</v>
      </c>
    </row>
    <row r="886" spans="1:5" x14ac:dyDescent="0.3">
      <c r="A886" s="33">
        <v>0.1</v>
      </c>
      <c r="B886" s="33">
        <v>0.13639999999999999</v>
      </c>
      <c r="C886" s="33">
        <v>0.42</v>
      </c>
      <c r="D886" s="33">
        <v>0</v>
      </c>
      <c r="E886" s="33">
        <v>199</v>
      </c>
    </row>
    <row r="887" spans="1:5" x14ac:dyDescent="0.3">
      <c r="A887" s="33">
        <v>0.12</v>
      </c>
      <c r="B887" s="33">
        <v>0.13639999999999999</v>
      </c>
      <c r="C887" s="33">
        <v>0.39</v>
      </c>
      <c r="D887" s="33">
        <v>0.16420000000000001</v>
      </c>
      <c r="E887" s="33">
        <v>123</v>
      </c>
    </row>
    <row r="888" spans="1:5" x14ac:dyDescent="0.3">
      <c r="A888" s="33">
        <v>0.14000000000000001</v>
      </c>
      <c r="B888" s="33">
        <v>0.18179999999999999</v>
      </c>
      <c r="C888" s="33">
        <v>0.36</v>
      </c>
      <c r="D888" s="33">
        <v>0</v>
      </c>
      <c r="E888" s="33">
        <v>59</v>
      </c>
    </row>
    <row r="889" spans="1:5" x14ac:dyDescent="0.3">
      <c r="A889" s="33">
        <v>0.14000000000000001</v>
      </c>
      <c r="B889" s="33">
        <v>0.1515</v>
      </c>
      <c r="C889" s="33">
        <v>0.43</v>
      </c>
      <c r="D889" s="33">
        <v>0.16420000000000001</v>
      </c>
      <c r="E889" s="33">
        <v>41</v>
      </c>
    </row>
    <row r="890" spans="1:5" x14ac:dyDescent="0.3">
      <c r="A890" s="33">
        <v>0.18</v>
      </c>
      <c r="B890" s="33">
        <v>0.18179999999999999</v>
      </c>
      <c r="C890" s="33">
        <v>0.4</v>
      </c>
      <c r="D890" s="33">
        <v>0.22389999999999999</v>
      </c>
      <c r="E890" s="33">
        <v>61</v>
      </c>
    </row>
    <row r="891" spans="1:5" x14ac:dyDescent="0.3">
      <c r="A891" s="33">
        <v>0.18</v>
      </c>
      <c r="B891" s="33">
        <v>0.16669999999999999</v>
      </c>
      <c r="C891" s="33">
        <v>0.4</v>
      </c>
      <c r="D891" s="33">
        <v>0.25369999999999998</v>
      </c>
      <c r="E891" s="33">
        <v>69</v>
      </c>
    </row>
    <row r="892" spans="1:5" x14ac:dyDescent="0.3">
      <c r="A892" s="33">
        <v>0.2</v>
      </c>
      <c r="B892" s="33">
        <v>0.18179999999999999</v>
      </c>
      <c r="C892" s="33">
        <v>0.34</v>
      </c>
      <c r="D892" s="33">
        <v>0.29849999999999999</v>
      </c>
      <c r="E892" s="33">
        <v>58</v>
      </c>
    </row>
    <row r="893" spans="1:5" x14ac:dyDescent="0.3">
      <c r="A893" s="33">
        <v>0.2</v>
      </c>
      <c r="B893" s="33">
        <v>0.18179999999999999</v>
      </c>
      <c r="C893" s="33">
        <v>0.34</v>
      </c>
      <c r="D893" s="33">
        <v>0.28360000000000002</v>
      </c>
      <c r="E893" s="33">
        <v>64</v>
      </c>
    </row>
    <row r="894" spans="1:5" x14ac:dyDescent="0.3">
      <c r="A894" s="33">
        <v>0.2</v>
      </c>
      <c r="B894" s="33">
        <v>0.19700000000000001</v>
      </c>
      <c r="C894" s="33">
        <v>0.37</v>
      </c>
      <c r="D894" s="33">
        <v>0.25369999999999998</v>
      </c>
      <c r="E894" s="33">
        <v>79</v>
      </c>
    </row>
    <row r="895" spans="1:5" x14ac:dyDescent="0.3">
      <c r="A895" s="33">
        <v>0.2</v>
      </c>
      <c r="B895" s="33">
        <v>0.19700000000000001</v>
      </c>
      <c r="C895" s="33">
        <v>0.34</v>
      </c>
      <c r="D895" s="33">
        <v>0.25369999999999998</v>
      </c>
      <c r="E895" s="33">
        <v>166</v>
      </c>
    </row>
    <row r="896" spans="1:5" x14ac:dyDescent="0.3">
      <c r="A896" s="33">
        <v>0.18</v>
      </c>
      <c r="B896" s="33">
        <v>0.16669999999999999</v>
      </c>
      <c r="C896" s="33">
        <v>0.47</v>
      </c>
      <c r="D896" s="33">
        <v>0.29849999999999999</v>
      </c>
      <c r="E896" s="33">
        <v>170</v>
      </c>
    </row>
    <row r="897" spans="1:5" x14ac:dyDescent="0.3">
      <c r="A897" s="33">
        <v>0.14000000000000001</v>
      </c>
      <c r="B897" s="33">
        <v>0.1212</v>
      </c>
      <c r="C897" s="33">
        <v>0.86</v>
      </c>
      <c r="D897" s="33">
        <v>0.25369999999999998</v>
      </c>
      <c r="E897" s="33">
        <v>88</v>
      </c>
    </row>
    <row r="898" spans="1:5" x14ac:dyDescent="0.3">
      <c r="A898" s="33">
        <v>0.14000000000000001</v>
      </c>
      <c r="B898" s="33">
        <v>0.1515</v>
      </c>
      <c r="C898" s="33">
        <v>0.86</v>
      </c>
      <c r="D898" s="33">
        <v>0.16420000000000001</v>
      </c>
      <c r="E898" s="33">
        <v>84</v>
      </c>
    </row>
    <row r="899" spans="1:5" x14ac:dyDescent="0.3">
      <c r="A899" s="33">
        <v>0.14000000000000001</v>
      </c>
      <c r="B899" s="33">
        <v>0.1515</v>
      </c>
      <c r="C899" s="33">
        <v>0.86</v>
      </c>
      <c r="D899" s="33">
        <v>0.16420000000000001</v>
      </c>
      <c r="E899" s="33">
        <v>83</v>
      </c>
    </row>
    <row r="900" spans="1:5" x14ac:dyDescent="0.3">
      <c r="A900" s="33">
        <v>0.16</v>
      </c>
      <c r="B900" s="33">
        <v>0.16669999999999999</v>
      </c>
      <c r="C900" s="33">
        <v>0.8</v>
      </c>
      <c r="D900" s="33">
        <v>0.16420000000000001</v>
      </c>
      <c r="E900" s="33">
        <v>46</v>
      </c>
    </row>
    <row r="901" spans="1:5" x14ac:dyDescent="0.3">
      <c r="A901" s="33">
        <v>0.16</v>
      </c>
      <c r="B901" s="33">
        <v>0.1515</v>
      </c>
      <c r="C901" s="33">
        <v>0.8</v>
      </c>
      <c r="D901" s="33">
        <v>0.19400000000000001</v>
      </c>
      <c r="E901" s="33">
        <v>37</v>
      </c>
    </row>
    <row r="902" spans="1:5" x14ac:dyDescent="0.3">
      <c r="A902" s="33">
        <v>0.14000000000000001</v>
      </c>
      <c r="B902" s="33">
        <v>0.13639999999999999</v>
      </c>
      <c r="C902" s="33">
        <v>0.86</v>
      </c>
      <c r="D902" s="33">
        <v>0.19400000000000001</v>
      </c>
      <c r="E902" s="33">
        <v>16</v>
      </c>
    </row>
    <row r="903" spans="1:5" x14ac:dyDescent="0.3">
      <c r="A903" s="33">
        <v>0.14000000000000001</v>
      </c>
      <c r="B903" s="33">
        <v>0.1515</v>
      </c>
      <c r="C903" s="33">
        <v>0.8</v>
      </c>
      <c r="D903" s="33">
        <v>0.1343</v>
      </c>
      <c r="E903" s="33">
        <v>7</v>
      </c>
    </row>
    <row r="904" spans="1:5" x14ac:dyDescent="0.3">
      <c r="A904" s="33">
        <v>0.14000000000000001</v>
      </c>
      <c r="B904" s="33">
        <v>0.1515</v>
      </c>
      <c r="C904" s="33">
        <v>0.8</v>
      </c>
      <c r="D904" s="33">
        <v>0.1343</v>
      </c>
      <c r="E904" s="33">
        <v>3</v>
      </c>
    </row>
    <row r="905" spans="1:5" x14ac:dyDescent="0.3">
      <c r="A905" s="33">
        <v>0.14000000000000001</v>
      </c>
      <c r="B905" s="33">
        <v>0.13639999999999999</v>
      </c>
      <c r="C905" s="33">
        <v>0.59</v>
      </c>
      <c r="D905" s="33">
        <v>0.22389999999999999</v>
      </c>
      <c r="E905" s="33">
        <v>1</v>
      </c>
    </row>
    <row r="906" spans="1:5" x14ac:dyDescent="0.3">
      <c r="A906" s="33">
        <v>0.12</v>
      </c>
      <c r="B906" s="33">
        <v>0.1212</v>
      </c>
      <c r="C906" s="33">
        <v>0.5</v>
      </c>
      <c r="D906" s="33">
        <v>0.22389999999999999</v>
      </c>
      <c r="E906" s="33">
        <v>6</v>
      </c>
    </row>
    <row r="907" spans="1:5" x14ac:dyDescent="0.3">
      <c r="A907" s="33">
        <v>0.12</v>
      </c>
      <c r="B907" s="33">
        <v>0.1212</v>
      </c>
      <c r="C907" s="33">
        <v>0.54</v>
      </c>
      <c r="D907" s="33">
        <v>0.28360000000000002</v>
      </c>
      <c r="E907" s="33">
        <v>26</v>
      </c>
    </row>
    <row r="908" spans="1:5" x14ac:dyDescent="0.3">
      <c r="A908" s="33">
        <v>0.1</v>
      </c>
      <c r="B908" s="33">
        <v>7.5800000000000006E-2</v>
      </c>
      <c r="C908" s="33">
        <v>0.5</v>
      </c>
      <c r="D908" s="33">
        <v>0.41789999999999999</v>
      </c>
      <c r="E908" s="33">
        <v>99</v>
      </c>
    </row>
    <row r="909" spans="1:5" x14ac:dyDescent="0.3">
      <c r="A909" s="33">
        <v>0.1</v>
      </c>
      <c r="B909" s="33">
        <v>7.5800000000000006E-2</v>
      </c>
      <c r="C909" s="33">
        <v>0.49</v>
      </c>
      <c r="D909" s="33">
        <v>0.32840000000000003</v>
      </c>
      <c r="E909" s="33">
        <v>178</v>
      </c>
    </row>
    <row r="910" spans="1:5" x14ac:dyDescent="0.3">
      <c r="A910" s="33">
        <v>0.12</v>
      </c>
      <c r="B910" s="33">
        <v>0.1061</v>
      </c>
      <c r="C910" s="33">
        <v>0.42</v>
      </c>
      <c r="D910" s="33">
        <v>0.35820000000000002</v>
      </c>
      <c r="E910" s="33">
        <v>122</v>
      </c>
    </row>
    <row r="911" spans="1:5" x14ac:dyDescent="0.3">
      <c r="A911" s="33">
        <v>0.12</v>
      </c>
      <c r="B911" s="33">
        <v>0.1061</v>
      </c>
      <c r="C911" s="33">
        <v>0.42</v>
      </c>
      <c r="D911" s="33">
        <v>0.29849999999999999</v>
      </c>
      <c r="E911" s="33">
        <v>35</v>
      </c>
    </row>
    <row r="912" spans="1:5" x14ac:dyDescent="0.3">
      <c r="A912" s="33">
        <v>0.14000000000000001</v>
      </c>
      <c r="B912" s="33">
        <v>0.1212</v>
      </c>
      <c r="C912" s="33">
        <v>0.39</v>
      </c>
      <c r="D912" s="33">
        <v>0.35820000000000002</v>
      </c>
      <c r="E912" s="33">
        <v>45</v>
      </c>
    </row>
    <row r="913" spans="1:5" x14ac:dyDescent="0.3">
      <c r="A913" s="33">
        <v>0.16</v>
      </c>
      <c r="B913" s="33">
        <v>0.13639999999999999</v>
      </c>
      <c r="C913" s="33">
        <v>0.34</v>
      </c>
      <c r="D913" s="33">
        <v>0.3881</v>
      </c>
      <c r="E913" s="33">
        <v>69</v>
      </c>
    </row>
    <row r="914" spans="1:5" x14ac:dyDescent="0.3">
      <c r="A914" s="33">
        <v>0.18</v>
      </c>
      <c r="B914" s="33">
        <v>0.16669999999999999</v>
      </c>
      <c r="C914" s="33">
        <v>0.28999999999999998</v>
      </c>
      <c r="D914" s="33">
        <v>0.29849999999999999</v>
      </c>
      <c r="E914" s="33">
        <v>62</v>
      </c>
    </row>
    <row r="915" spans="1:5" x14ac:dyDescent="0.3">
      <c r="A915" s="33">
        <v>0.2</v>
      </c>
      <c r="B915" s="33">
        <v>0.18179999999999999</v>
      </c>
      <c r="C915" s="33">
        <v>0.27</v>
      </c>
      <c r="D915" s="33">
        <v>0.28360000000000002</v>
      </c>
      <c r="E915" s="33">
        <v>48</v>
      </c>
    </row>
    <row r="916" spans="1:5" x14ac:dyDescent="0.3">
      <c r="A916" s="33">
        <v>0.2</v>
      </c>
      <c r="B916" s="33">
        <v>0.19700000000000001</v>
      </c>
      <c r="C916" s="33">
        <v>0.25</v>
      </c>
      <c r="D916" s="33">
        <v>0.25369999999999998</v>
      </c>
      <c r="E916" s="33">
        <v>50</v>
      </c>
    </row>
    <row r="917" spans="1:5" x14ac:dyDescent="0.3">
      <c r="A917" s="33">
        <v>0.2</v>
      </c>
      <c r="B917" s="33">
        <v>0.18179999999999999</v>
      </c>
      <c r="C917" s="33">
        <v>0.27</v>
      </c>
      <c r="D917" s="33">
        <v>0.29849999999999999</v>
      </c>
      <c r="E917" s="33">
        <v>80</v>
      </c>
    </row>
    <row r="918" spans="1:5" x14ac:dyDescent="0.3">
      <c r="A918" s="33">
        <v>0.18</v>
      </c>
      <c r="B918" s="33">
        <v>0.18179999999999999</v>
      </c>
      <c r="C918" s="33">
        <v>0.26</v>
      </c>
      <c r="D918" s="33">
        <v>0.19400000000000001</v>
      </c>
      <c r="E918" s="33">
        <v>165</v>
      </c>
    </row>
    <row r="919" spans="1:5" x14ac:dyDescent="0.3">
      <c r="A919" s="33">
        <v>0.16</v>
      </c>
      <c r="B919" s="33">
        <v>0.18179999999999999</v>
      </c>
      <c r="C919" s="33">
        <v>0.28000000000000003</v>
      </c>
      <c r="D919" s="33">
        <v>0.1343</v>
      </c>
      <c r="E919" s="33">
        <v>160</v>
      </c>
    </row>
    <row r="920" spans="1:5" x14ac:dyDescent="0.3">
      <c r="A920" s="33">
        <v>0.14000000000000001</v>
      </c>
      <c r="B920" s="33">
        <v>0.16669999999999999</v>
      </c>
      <c r="C920" s="33">
        <v>0.28000000000000003</v>
      </c>
      <c r="D920" s="33">
        <v>0.1045</v>
      </c>
      <c r="E920" s="33">
        <v>112</v>
      </c>
    </row>
    <row r="921" spans="1:5" x14ac:dyDescent="0.3">
      <c r="A921" s="33">
        <v>0.14000000000000001</v>
      </c>
      <c r="B921" s="33">
        <v>0.18179999999999999</v>
      </c>
      <c r="C921" s="33">
        <v>0.31</v>
      </c>
      <c r="D921" s="33">
        <v>8.9599999999999999E-2</v>
      </c>
      <c r="E921" s="33">
        <v>97</v>
      </c>
    </row>
    <row r="922" spans="1:5" x14ac:dyDescent="0.3">
      <c r="A922" s="33">
        <v>0.14000000000000001</v>
      </c>
      <c r="B922" s="33">
        <v>0.21210000000000001</v>
      </c>
      <c r="C922" s="33">
        <v>0.39</v>
      </c>
      <c r="D922" s="33">
        <v>0</v>
      </c>
      <c r="E922" s="33">
        <v>72</v>
      </c>
    </row>
    <row r="923" spans="1:5" x14ac:dyDescent="0.3">
      <c r="A923" s="33">
        <v>0.12</v>
      </c>
      <c r="B923" s="33">
        <v>0.19700000000000001</v>
      </c>
      <c r="C923" s="33">
        <v>0.39</v>
      </c>
      <c r="D923" s="33">
        <v>0</v>
      </c>
      <c r="E923" s="33">
        <v>51</v>
      </c>
    </row>
    <row r="924" spans="1:5" x14ac:dyDescent="0.3">
      <c r="A924" s="33">
        <v>0.12</v>
      </c>
      <c r="B924" s="33">
        <v>0.1515</v>
      </c>
      <c r="C924" s="33">
        <v>0.42</v>
      </c>
      <c r="D924" s="33">
        <v>0.1045</v>
      </c>
      <c r="E924" s="33">
        <v>34</v>
      </c>
    </row>
    <row r="925" spans="1:5" x14ac:dyDescent="0.3">
      <c r="A925" s="33">
        <v>0.1</v>
      </c>
      <c r="B925" s="33">
        <v>0.13639999999999999</v>
      </c>
      <c r="C925" s="33">
        <v>0.49</v>
      </c>
      <c r="D925" s="33">
        <v>0.1045</v>
      </c>
      <c r="E925" s="33">
        <v>14</v>
      </c>
    </row>
    <row r="926" spans="1:5" x14ac:dyDescent="0.3">
      <c r="A926" s="33">
        <v>0.1</v>
      </c>
      <c r="B926" s="33">
        <v>0.13639999999999999</v>
      </c>
      <c r="C926" s="33">
        <v>0.54</v>
      </c>
      <c r="D926" s="33">
        <v>8.9599999999999999E-2</v>
      </c>
      <c r="E926" s="33">
        <v>7</v>
      </c>
    </row>
    <row r="927" spans="1:5" x14ac:dyDescent="0.3">
      <c r="A927" s="33">
        <v>0.1</v>
      </c>
      <c r="B927" s="33">
        <v>0.13639999999999999</v>
      </c>
      <c r="C927" s="33">
        <v>0.54</v>
      </c>
      <c r="D927" s="33">
        <v>8.9599999999999999E-2</v>
      </c>
      <c r="E927" s="33">
        <v>3</v>
      </c>
    </row>
    <row r="928" spans="1:5" x14ac:dyDescent="0.3">
      <c r="A928" s="33">
        <v>0.08</v>
      </c>
      <c r="B928" s="33">
        <v>0.1212</v>
      </c>
      <c r="C928" s="33">
        <v>0.63</v>
      </c>
      <c r="D928" s="33">
        <v>8.9599999999999999E-2</v>
      </c>
      <c r="E928" s="33">
        <v>4</v>
      </c>
    </row>
    <row r="929" spans="1:5" x14ac:dyDescent="0.3">
      <c r="A929" s="33">
        <v>0.1</v>
      </c>
      <c r="B929" s="33">
        <v>0.18179999999999999</v>
      </c>
      <c r="C929" s="33">
        <v>0.68</v>
      </c>
      <c r="D929" s="33">
        <v>0</v>
      </c>
      <c r="E929" s="33">
        <v>24</v>
      </c>
    </row>
    <row r="930" spans="1:5" x14ac:dyDescent="0.3">
      <c r="A930" s="33">
        <v>0.08</v>
      </c>
      <c r="B930" s="33">
        <v>0.16669999999999999</v>
      </c>
      <c r="C930" s="33">
        <v>0.73</v>
      </c>
      <c r="D930" s="33">
        <v>0</v>
      </c>
      <c r="E930" s="33">
        <v>74</v>
      </c>
    </row>
    <row r="931" spans="1:5" x14ac:dyDescent="0.3">
      <c r="A931" s="33">
        <v>0.1</v>
      </c>
      <c r="B931" s="33">
        <v>0.1212</v>
      </c>
      <c r="C931" s="33">
        <v>0.74</v>
      </c>
      <c r="D931" s="33">
        <v>0.16420000000000001</v>
      </c>
      <c r="E931" s="33">
        <v>216</v>
      </c>
    </row>
    <row r="932" spans="1:5" x14ac:dyDescent="0.3">
      <c r="A932" s="33">
        <v>0.12</v>
      </c>
      <c r="B932" s="33">
        <v>0.1212</v>
      </c>
      <c r="C932" s="33">
        <v>0.74</v>
      </c>
      <c r="D932" s="33">
        <v>0.22389999999999999</v>
      </c>
      <c r="E932" s="33">
        <v>140</v>
      </c>
    </row>
    <row r="933" spans="1:5" x14ac:dyDescent="0.3">
      <c r="A933" s="33">
        <v>0.14000000000000001</v>
      </c>
      <c r="B933" s="33">
        <v>0.13639999999999999</v>
      </c>
      <c r="C933" s="33">
        <v>0.69</v>
      </c>
      <c r="D933" s="33">
        <v>0.19400000000000001</v>
      </c>
      <c r="E933" s="33">
        <v>44</v>
      </c>
    </row>
    <row r="934" spans="1:5" x14ac:dyDescent="0.3">
      <c r="A934" s="33">
        <v>0.22</v>
      </c>
      <c r="B934" s="33">
        <v>0.2273</v>
      </c>
      <c r="C934" s="33">
        <v>0.47</v>
      </c>
      <c r="D934" s="33">
        <v>0.1343</v>
      </c>
      <c r="E934" s="33">
        <v>64</v>
      </c>
    </row>
    <row r="935" spans="1:5" x14ac:dyDescent="0.3">
      <c r="A935" s="33">
        <v>0.22</v>
      </c>
      <c r="B935" s="33">
        <v>0.2273</v>
      </c>
      <c r="C935" s="33">
        <v>0.47</v>
      </c>
      <c r="D935" s="33">
        <v>0.1343</v>
      </c>
      <c r="E935" s="33">
        <v>71</v>
      </c>
    </row>
    <row r="936" spans="1:5" x14ac:dyDescent="0.3">
      <c r="A936" s="33">
        <v>0.24</v>
      </c>
      <c r="B936" s="33">
        <v>0.2273</v>
      </c>
      <c r="C936" s="33">
        <v>0.35</v>
      </c>
      <c r="D936" s="33">
        <v>0.19400000000000001</v>
      </c>
      <c r="E936" s="33">
        <v>110</v>
      </c>
    </row>
    <row r="937" spans="1:5" x14ac:dyDescent="0.3">
      <c r="A937" s="33">
        <v>0.3</v>
      </c>
      <c r="B937" s="33">
        <v>0.28789999999999999</v>
      </c>
      <c r="C937" s="33">
        <v>0.26</v>
      </c>
      <c r="D937" s="33">
        <v>0.25369999999999998</v>
      </c>
      <c r="E937" s="33">
        <v>84</v>
      </c>
    </row>
    <row r="938" spans="1:5" x14ac:dyDescent="0.3">
      <c r="A938" s="33">
        <v>0.32</v>
      </c>
      <c r="B938" s="33">
        <v>0.31819999999999998</v>
      </c>
      <c r="C938" s="33">
        <v>0.21</v>
      </c>
      <c r="D938" s="33">
        <v>0.16420000000000001</v>
      </c>
      <c r="E938" s="33">
        <v>74</v>
      </c>
    </row>
    <row r="939" spans="1:5" x14ac:dyDescent="0.3">
      <c r="A939" s="33">
        <v>0.3</v>
      </c>
      <c r="B939" s="33">
        <v>0.28789999999999999</v>
      </c>
      <c r="C939" s="33">
        <v>0.28000000000000003</v>
      </c>
      <c r="D939" s="33">
        <v>0.19400000000000001</v>
      </c>
      <c r="E939" s="33">
        <v>125</v>
      </c>
    </row>
    <row r="940" spans="1:5" x14ac:dyDescent="0.3">
      <c r="A940" s="33">
        <v>0.3</v>
      </c>
      <c r="B940" s="33">
        <v>0.33329999999999999</v>
      </c>
      <c r="C940" s="33">
        <v>0.24</v>
      </c>
      <c r="D940" s="33">
        <v>0</v>
      </c>
      <c r="E940" s="33">
        <v>211</v>
      </c>
    </row>
    <row r="941" spans="1:5" x14ac:dyDescent="0.3">
      <c r="A941" s="33">
        <v>0.28000000000000003</v>
      </c>
      <c r="B941" s="33">
        <v>0.31819999999999998</v>
      </c>
      <c r="C941" s="33">
        <v>0.28000000000000003</v>
      </c>
      <c r="D941" s="33">
        <v>0</v>
      </c>
      <c r="E941" s="33">
        <v>174</v>
      </c>
    </row>
    <row r="942" spans="1:5" x14ac:dyDescent="0.3">
      <c r="A942" s="33">
        <v>0.26</v>
      </c>
      <c r="B942" s="33">
        <v>0.30299999999999999</v>
      </c>
      <c r="C942" s="33">
        <v>0.33</v>
      </c>
      <c r="D942" s="33">
        <v>0</v>
      </c>
      <c r="E942" s="33">
        <v>101</v>
      </c>
    </row>
    <row r="943" spans="1:5" x14ac:dyDescent="0.3">
      <c r="A943" s="33">
        <v>0.22</v>
      </c>
      <c r="B943" s="33">
        <v>0.2273</v>
      </c>
      <c r="C943" s="33">
        <v>0.55000000000000004</v>
      </c>
      <c r="D943" s="33">
        <v>0.1343</v>
      </c>
      <c r="E943" s="33">
        <v>63</v>
      </c>
    </row>
    <row r="944" spans="1:5" x14ac:dyDescent="0.3">
      <c r="A944" s="33">
        <v>0.2</v>
      </c>
      <c r="B944" s="33">
        <v>0.21210000000000001</v>
      </c>
      <c r="C944" s="33">
        <v>0.59</v>
      </c>
      <c r="D944" s="33">
        <v>0.1343</v>
      </c>
      <c r="E944" s="33">
        <v>47</v>
      </c>
    </row>
    <row r="945" spans="1:5" x14ac:dyDescent="0.3">
      <c r="A945" s="33">
        <v>0.2</v>
      </c>
      <c r="B945" s="33">
        <v>0.2273</v>
      </c>
      <c r="C945" s="33">
        <v>0.64</v>
      </c>
      <c r="D945" s="33">
        <v>8.9599999999999999E-2</v>
      </c>
      <c r="E945" s="33">
        <v>43</v>
      </c>
    </row>
    <row r="946" spans="1:5" x14ac:dyDescent="0.3">
      <c r="A946" s="33">
        <v>0.18</v>
      </c>
      <c r="B946" s="33">
        <v>0.2424</v>
      </c>
      <c r="C946" s="33">
        <v>0.69</v>
      </c>
      <c r="D946" s="33">
        <v>0</v>
      </c>
      <c r="E946" s="33">
        <v>53</v>
      </c>
    </row>
    <row r="947" spans="1:5" x14ac:dyDescent="0.3">
      <c r="A947" s="33">
        <v>0.16</v>
      </c>
      <c r="B947" s="33">
        <v>0.19700000000000001</v>
      </c>
      <c r="C947" s="33">
        <v>0.69</v>
      </c>
      <c r="D947" s="33">
        <v>8.9599999999999999E-2</v>
      </c>
      <c r="E947" s="33">
        <v>30</v>
      </c>
    </row>
    <row r="948" spans="1:5" x14ac:dyDescent="0.3">
      <c r="A948" s="33">
        <v>0.14000000000000001</v>
      </c>
      <c r="B948" s="33">
        <v>0.21210000000000001</v>
      </c>
      <c r="C948" s="33">
        <v>0.86</v>
      </c>
      <c r="D948" s="33">
        <v>0</v>
      </c>
      <c r="E948" s="33">
        <v>24</v>
      </c>
    </row>
    <row r="949" spans="1:5" x14ac:dyDescent="0.3">
      <c r="A949" s="33">
        <v>0.14000000000000001</v>
      </c>
      <c r="B949" s="33">
        <v>0.21210000000000001</v>
      </c>
      <c r="C949" s="33">
        <v>0.8</v>
      </c>
      <c r="D949" s="33">
        <v>0</v>
      </c>
      <c r="E949" s="33">
        <v>15</v>
      </c>
    </row>
    <row r="950" spans="1:5" x14ac:dyDescent="0.3">
      <c r="A950" s="33">
        <v>0.12</v>
      </c>
      <c r="B950" s="33">
        <v>0.19700000000000001</v>
      </c>
      <c r="C950" s="33">
        <v>0.8</v>
      </c>
      <c r="D950" s="33">
        <v>0</v>
      </c>
      <c r="E950" s="33">
        <v>10</v>
      </c>
    </row>
    <row r="951" spans="1:5" x14ac:dyDescent="0.3">
      <c r="A951" s="33">
        <v>0.12</v>
      </c>
      <c r="B951" s="33">
        <v>0.16669999999999999</v>
      </c>
      <c r="C951" s="33">
        <v>0.74</v>
      </c>
      <c r="D951" s="33">
        <v>8.9599999999999999E-2</v>
      </c>
      <c r="E951" s="33">
        <v>4</v>
      </c>
    </row>
    <row r="952" spans="1:5" x14ac:dyDescent="0.3">
      <c r="A952" s="33">
        <v>0.12</v>
      </c>
      <c r="B952" s="33">
        <v>0.16669999999999999</v>
      </c>
      <c r="C952" s="33">
        <v>0.74</v>
      </c>
      <c r="D952" s="33">
        <v>8.9599999999999999E-2</v>
      </c>
      <c r="E952" s="33">
        <v>1</v>
      </c>
    </row>
    <row r="953" spans="1:5" x14ac:dyDescent="0.3">
      <c r="A953" s="33">
        <v>0.12</v>
      </c>
      <c r="B953" s="33">
        <v>0.13639999999999999</v>
      </c>
      <c r="C953" s="33">
        <v>0.93</v>
      </c>
      <c r="D953" s="33">
        <v>0.19400000000000001</v>
      </c>
      <c r="E953" s="33">
        <v>2</v>
      </c>
    </row>
    <row r="954" spans="1:5" x14ac:dyDescent="0.3">
      <c r="A954" s="33">
        <v>0.12</v>
      </c>
      <c r="B954" s="33">
        <v>0.1515</v>
      </c>
      <c r="C954" s="33">
        <v>0.8</v>
      </c>
      <c r="D954" s="33">
        <v>0.1045</v>
      </c>
      <c r="E954" s="33">
        <v>11</v>
      </c>
    </row>
    <row r="955" spans="1:5" x14ac:dyDescent="0.3">
      <c r="A955" s="33">
        <v>0.14000000000000001</v>
      </c>
      <c r="B955" s="33">
        <v>0.1515</v>
      </c>
      <c r="C955" s="33">
        <v>0.86</v>
      </c>
      <c r="D955" s="33">
        <v>0.1343</v>
      </c>
      <c r="E955" s="33">
        <v>30</v>
      </c>
    </row>
    <row r="956" spans="1:5" x14ac:dyDescent="0.3">
      <c r="A956" s="33">
        <v>0.16</v>
      </c>
      <c r="B956" s="33">
        <v>0.18179999999999999</v>
      </c>
      <c r="C956" s="33">
        <v>0.64</v>
      </c>
      <c r="D956" s="33">
        <v>0.1343</v>
      </c>
      <c r="E956" s="33">
        <v>43</v>
      </c>
    </row>
    <row r="957" spans="1:5" x14ac:dyDescent="0.3">
      <c r="A957" s="33">
        <v>0.22</v>
      </c>
      <c r="B957" s="33">
        <v>0.21210000000000001</v>
      </c>
      <c r="C957" s="33">
        <v>0.41</v>
      </c>
      <c r="D957" s="33">
        <v>0.25369999999999998</v>
      </c>
      <c r="E957" s="33">
        <v>84</v>
      </c>
    </row>
    <row r="958" spans="1:5" x14ac:dyDescent="0.3">
      <c r="A958" s="33">
        <v>0.3</v>
      </c>
      <c r="B958" s="33">
        <v>0.2727</v>
      </c>
      <c r="C958" s="33">
        <v>0.28000000000000003</v>
      </c>
      <c r="D958" s="33">
        <v>0.32840000000000003</v>
      </c>
      <c r="E958" s="33">
        <v>114</v>
      </c>
    </row>
    <row r="959" spans="1:5" x14ac:dyDescent="0.3">
      <c r="A959" s="33">
        <v>0.3</v>
      </c>
      <c r="B959" s="33">
        <v>0.2727</v>
      </c>
      <c r="C959" s="33">
        <v>0.39</v>
      </c>
      <c r="D959" s="33">
        <v>0.4627</v>
      </c>
      <c r="E959" s="33">
        <v>120</v>
      </c>
    </row>
    <row r="960" spans="1:5" x14ac:dyDescent="0.3">
      <c r="A960" s="33">
        <v>0.3</v>
      </c>
      <c r="B960" s="33">
        <v>0.2727</v>
      </c>
      <c r="C960" s="33">
        <v>0.39</v>
      </c>
      <c r="D960" s="33">
        <v>0.41789999999999999</v>
      </c>
      <c r="E960" s="33">
        <v>135</v>
      </c>
    </row>
    <row r="961" spans="1:5" x14ac:dyDescent="0.3">
      <c r="A961" s="33">
        <v>0.34</v>
      </c>
      <c r="B961" s="33">
        <v>0.31819999999999998</v>
      </c>
      <c r="C961" s="33">
        <v>0.31</v>
      </c>
      <c r="D961" s="33">
        <v>0.28360000000000002</v>
      </c>
      <c r="E961" s="33">
        <v>120</v>
      </c>
    </row>
    <row r="962" spans="1:5" x14ac:dyDescent="0.3">
      <c r="A962" s="33">
        <v>0.34</v>
      </c>
      <c r="B962" s="33">
        <v>0.30299999999999999</v>
      </c>
      <c r="C962" s="33">
        <v>0.28999999999999998</v>
      </c>
      <c r="D962" s="33">
        <v>0.41789999999999999</v>
      </c>
      <c r="E962" s="33">
        <v>174</v>
      </c>
    </row>
    <row r="963" spans="1:5" x14ac:dyDescent="0.3">
      <c r="A963" s="33">
        <v>0.34</v>
      </c>
      <c r="B963" s="33">
        <v>0.30299999999999999</v>
      </c>
      <c r="C963" s="33">
        <v>0.28999999999999998</v>
      </c>
      <c r="D963" s="33">
        <v>0.41789999999999999</v>
      </c>
      <c r="E963" s="33">
        <v>145</v>
      </c>
    </row>
    <row r="964" spans="1:5" x14ac:dyDescent="0.3">
      <c r="A964" s="33">
        <v>0.32</v>
      </c>
      <c r="B964" s="33">
        <v>0.28789999999999999</v>
      </c>
      <c r="C964" s="33">
        <v>0.31</v>
      </c>
      <c r="D964" s="33">
        <v>0.52239999999999998</v>
      </c>
      <c r="E964" s="33">
        <v>137</v>
      </c>
    </row>
    <row r="965" spans="1:5" x14ac:dyDescent="0.3">
      <c r="A965" s="33">
        <v>0.28000000000000003</v>
      </c>
      <c r="B965" s="33">
        <v>0.2576</v>
      </c>
      <c r="C965" s="33">
        <v>0.38</v>
      </c>
      <c r="D965" s="33">
        <v>0.32840000000000003</v>
      </c>
      <c r="E965" s="33">
        <v>64</v>
      </c>
    </row>
    <row r="966" spans="1:5" x14ac:dyDescent="0.3">
      <c r="A966" s="33">
        <v>0.28000000000000003</v>
      </c>
      <c r="B966" s="33">
        <v>0.2727</v>
      </c>
      <c r="C966" s="33">
        <v>0.38</v>
      </c>
      <c r="D966" s="33">
        <v>0.16420000000000001</v>
      </c>
      <c r="E966" s="33">
        <v>41</v>
      </c>
    </row>
    <row r="967" spans="1:5" x14ac:dyDescent="0.3">
      <c r="A967" s="33">
        <v>0.26</v>
      </c>
      <c r="B967" s="33">
        <v>0.2576</v>
      </c>
      <c r="C967" s="33">
        <v>0.41</v>
      </c>
      <c r="D967" s="33">
        <v>0.22389999999999999</v>
      </c>
      <c r="E967" s="33">
        <v>40</v>
      </c>
    </row>
    <row r="968" spans="1:5" x14ac:dyDescent="0.3">
      <c r="A968" s="33">
        <v>0.26</v>
      </c>
      <c r="B968" s="33">
        <v>0.30299999999999999</v>
      </c>
      <c r="C968" s="33">
        <v>0.41</v>
      </c>
      <c r="D968" s="33">
        <v>0</v>
      </c>
      <c r="E968" s="33">
        <v>51</v>
      </c>
    </row>
    <row r="969" spans="1:5" x14ac:dyDescent="0.3">
      <c r="A969" s="33">
        <v>0.24</v>
      </c>
      <c r="B969" s="33">
        <v>0.2576</v>
      </c>
      <c r="C969" s="33">
        <v>0.44</v>
      </c>
      <c r="D969" s="33">
        <v>8.9599999999999999E-2</v>
      </c>
      <c r="E969" s="33">
        <v>45</v>
      </c>
    </row>
    <row r="970" spans="1:5" x14ac:dyDescent="0.3">
      <c r="A970" s="33">
        <v>0.22</v>
      </c>
      <c r="B970" s="33">
        <v>0.2273</v>
      </c>
      <c r="C970" s="33">
        <v>0.51</v>
      </c>
      <c r="D970" s="33">
        <v>0.1343</v>
      </c>
      <c r="E970" s="33">
        <v>32</v>
      </c>
    </row>
    <row r="971" spans="1:5" x14ac:dyDescent="0.3">
      <c r="A971" s="33">
        <v>0.2</v>
      </c>
      <c r="B971" s="33">
        <v>0.2273</v>
      </c>
      <c r="C971" s="33">
        <v>0.64</v>
      </c>
      <c r="D971" s="33">
        <v>0.1045</v>
      </c>
      <c r="E971" s="33">
        <v>39</v>
      </c>
    </row>
    <row r="972" spans="1:5" x14ac:dyDescent="0.3">
      <c r="A972" s="33">
        <v>0.2</v>
      </c>
      <c r="B972" s="33">
        <v>0.2273</v>
      </c>
      <c r="C972" s="33">
        <v>0.59</v>
      </c>
      <c r="D972" s="33">
        <v>8.9599999999999999E-2</v>
      </c>
      <c r="E972" s="33">
        <v>24</v>
      </c>
    </row>
    <row r="973" spans="1:5" x14ac:dyDescent="0.3">
      <c r="A973" s="33">
        <v>0.2</v>
      </c>
      <c r="B973" s="33">
        <v>0.2273</v>
      </c>
      <c r="C973" s="33">
        <v>0.75</v>
      </c>
      <c r="D973" s="33">
        <v>8.9599999999999999E-2</v>
      </c>
      <c r="E973" s="33">
        <v>20</v>
      </c>
    </row>
    <row r="974" spans="1:5" x14ac:dyDescent="0.3">
      <c r="A974" s="33">
        <v>0.2</v>
      </c>
      <c r="B974" s="33">
        <v>0.2273</v>
      </c>
      <c r="C974" s="33">
        <v>0.69</v>
      </c>
      <c r="D974" s="33">
        <v>0.1045</v>
      </c>
      <c r="E974" s="33">
        <v>12</v>
      </c>
    </row>
    <row r="975" spans="1:5" x14ac:dyDescent="0.3">
      <c r="A975" s="33">
        <v>0.2</v>
      </c>
      <c r="B975" s="33">
        <v>0.21210000000000001</v>
      </c>
      <c r="C975" s="33">
        <v>0.69</v>
      </c>
      <c r="D975" s="33">
        <v>0.16420000000000001</v>
      </c>
      <c r="E975" s="33">
        <v>2</v>
      </c>
    </row>
    <row r="976" spans="1:5" x14ac:dyDescent="0.3">
      <c r="A976" s="33">
        <v>0.2</v>
      </c>
      <c r="B976" s="33">
        <v>0.21210000000000001</v>
      </c>
      <c r="C976" s="33">
        <v>0.69</v>
      </c>
      <c r="D976" s="33">
        <v>0.1343</v>
      </c>
      <c r="E976" s="33">
        <v>5</v>
      </c>
    </row>
    <row r="977" spans="1:5" x14ac:dyDescent="0.3">
      <c r="A977" s="33">
        <v>0.22</v>
      </c>
      <c r="B977" s="33">
        <v>0.2727</v>
      </c>
      <c r="C977" s="33">
        <v>0.55000000000000004</v>
      </c>
      <c r="D977" s="33">
        <v>0</v>
      </c>
      <c r="E977" s="33">
        <v>3</v>
      </c>
    </row>
    <row r="978" spans="1:5" x14ac:dyDescent="0.3">
      <c r="A978" s="33">
        <v>0.22</v>
      </c>
      <c r="B978" s="33">
        <v>0.2273</v>
      </c>
      <c r="C978" s="33">
        <v>0.64</v>
      </c>
      <c r="D978" s="33">
        <v>0.19400000000000001</v>
      </c>
      <c r="E978" s="33">
        <v>12</v>
      </c>
    </row>
    <row r="979" spans="1:5" x14ac:dyDescent="0.3">
      <c r="A979" s="33">
        <v>0.24</v>
      </c>
      <c r="B979" s="33">
        <v>0.2273</v>
      </c>
      <c r="C979" s="33">
        <v>0.6</v>
      </c>
      <c r="D979" s="33">
        <v>0.22389999999999999</v>
      </c>
      <c r="E979" s="33">
        <v>47</v>
      </c>
    </row>
    <row r="980" spans="1:5" x14ac:dyDescent="0.3">
      <c r="A980" s="33">
        <v>0.3</v>
      </c>
      <c r="B980" s="33">
        <v>0.2727</v>
      </c>
      <c r="C980" s="33">
        <v>0.45</v>
      </c>
      <c r="D980" s="33">
        <v>0.32840000000000003</v>
      </c>
      <c r="E980" s="33">
        <v>105</v>
      </c>
    </row>
    <row r="981" spans="1:5" x14ac:dyDescent="0.3">
      <c r="A981" s="33">
        <v>0.32</v>
      </c>
      <c r="B981" s="33">
        <v>0.28789999999999999</v>
      </c>
      <c r="C981" s="33">
        <v>0.39</v>
      </c>
      <c r="D981" s="33">
        <v>0.44779999999999998</v>
      </c>
      <c r="E981" s="33">
        <v>112</v>
      </c>
    </row>
    <row r="982" spans="1:5" x14ac:dyDescent="0.3">
      <c r="A982" s="33">
        <v>0.36</v>
      </c>
      <c r="B982" s="33">
        <v>0.31819999999999998</v>
      </c>
      <c r="C982" s="33">
        <v>0.32</v>
      </c>
      <c r="D982" s="33">
        <v>0.4627</v>
      </c>
      <c r="E982" s="33">
        <v>152</v>
      </c>
    </row>
    <row r="983" spans="1:5" x14ac:dyDescent="0.3">
      <c r="A983" s="33">
        <v>0.38</v>
      </c>
      <c r="B983" s="33">
        <v>0.39389999999999997</v>
      </c>
      <c r="C983" s="33">
        <v>0.28999999999999998</v>
      </c>
      <c r="D983" s="33">
        <v>0.35820000000000002</v>
      </c>
      <c r="E983" s="33">
        <v>154</v>
      </c>
    </row>
    <row r="984" spans="1:5" x14ac:dyDescent="0.3">
      <c r="A984" s="33">
        <v>0.4</v>
      </c>
      <c r="B984" s="33">
        <v>0.40910000000000002</v>
      </c>
      <c r="C984" s="33">
        <v>0.3</v>
      </c>
      <c r="D984" s="33">
        <v>0.41789999999999999</v>
      </c>
      <c r="E984" s="33">
        <v>161</v>
      </c>
    </row>
    <row r="985" spans="1:5" x14ac:dyDescent="0.3">
      <c r="A985" s="33">
        <v>0.4</v>
      </c>
      <c r="B985" s="33">
        <v>0.40910000000000002</v>
      </c>
      <c r="C985" s="33">
        <v>0.3</v>
      </c>
      <c r="D985" s="33">
        <v>0.29849999999999999</v>
      </c>
      <c r="E985" s="33">
        <v>162</v>
      </c>
    </row>
    <row r="986" spans="1:5" x14ac:dyDescent="0.3">
      <c r="A986" s="33">
        <v>0.42</v>
      </c>
      <c r="B986" s="33">
        <v>0.42420000000000002</v>
      </c>
      <c r="C986" s="33">
        <v>0.28000000000000003</v>
      </c>
      <c r="D986" s="33">
        <v>0.32840000000000003</v>
      </c>
      <c r="E986" s="33">
        <v>134</v>
      </c>
    </row>
    <row r="987" spans="1:5" x14ac:dyDescent="0.3">
      <c r="A987" s="33">
        <v>0.42</v>
      </c>
      <c r="B987" s="33">
        <v>0.42420000000000002</v>
      </c>
      <c r="C987" s="33">
        <v>0.28000000000000003</v>
      </c>
      <c r="D987" s="33">
        <v>0.32840000000000003</v>
      </c>
      <c r="E987" s="33">
        <v>125</v>
      </c>
    </row>
    <row r="988" spans="1:5" x14ac:dyDescent="0.3">
      <c r="A988" s="33">
        <v>0.4</v>
      </c>
      <c r="B988" s="33">
        <v>0.40910000000000002</v>
      </c>
      <c r="C988" s="33">
        <v>0.32</v>
      </c>
      <c r="D988" s="33">
        <v>0.29849999999999999</v>
      </c>
      <c r="E988" s="33">
        <v>95</v>
      </c>
    </row>
    <row r="989" spans="1:5" x14ac:dyDescent="0.3">
      <c r="A989" s="33">
        <v>0.4</v>
      </c>
      <c r="B989" s="33">
        <v>0.40910000000000002</v>
      </c>
      <c r="C989" s="33">
        <v>0.35</v>
      </c>
      <c r="D989" s="33">
        <v>0.28360000000000002</v>
      </c>
      <c r="E989" s="33">
        <v>61</v>
      </c>
    </row>
    <row r="990" spans="1:5" x14ac:dyDescent="0.3">
      <c r="A990" s="33">
        <v>0.4</v>
      </c>
      <c r="B990" s="33">
        <v>0.40910000000000002</v>
      </c>
      <c r="C990" s="33">
        <v>0.35</v>
      </c>
      <c r="D990" s="33">
        <v>0.32840000000000003</v>
      </c>
      <c r="E990" s="33">
        <v>47</v>
      </c>
    </row>
    <row r="991" spans="1:5" x14ac:dyDescent="0.3">
      <c r="A991" s="33">
        <v>0.4</v>
      </c>
      <c r="B991" s="33">
        <v>0.40910000000000002</v>
      </c>
      <c r="C991" s="33">
        <v>0.35</v>
      </c>
      <c r="D991" s="33">
        <v>0.35820000000000002</v>
      </c>
      <c r="E991" s="33">
        <v>51</v>
      </c>
    </row>
    <row r="992" spans="1:5" x14ac:dyDescent="0.3">
      <c r="A992" s="33">
        <v>0.4</v>
      </c>
      <c r="B992" s="33">
        <v>0.40910000000000002</v>
      </c>
      <c r="C992" s="33">
        <v>0.35</v>
      </c>
      <c r="D992" s="33">
        <v>0.29849999999999999</v>
      </c>
      <c r="E992" s="33">
        <v>36</v>
      </c>
    </row>
    <row r="993" spans="1:5" x14ac:dyDescent="0.3">
      <c r="A993" s="33">
        <v>0.4</v>
      </c>
      <c r="B993" s="33">
        <v>0.40910000000000002</v>
      </c>
      <c r="C993" s="33">
        <v>0.35</v>
      </c>
      <c r="D993" s="33">
        <v>0.35820000000000002</v>
      </c>
      <c r="E993" s="33">
        <v>30</v>
      </c>
    </row>
    <row r="994" spans="1:5" x14ac:dyDescent="0.3">
      <c r="A994" s="33">
        <v>0.38</v>
      </c>
      <c r="B994" s="33">
        <v>0.39389999999999997</v>
      </c>
      <c r="C994" s="33">
        <v>0.37</v>
      </c>
      <c r="D994" s="33">
        <v>0.35820000000000002</v>
      </c>
      <c r="E994" s="33">
        <v>11</v>
      </c>
    </row>
    <row r="995" spans="1:5" x14ac:dyDescent="0.3">
      <c r="A995" s="33">
        <v>0.38</v>
      </c>
      <c r="B995" s="33">
        <v>0.39389999999999997</v>
      </c>
      <c r="C995" s="33">
        <v>0.37</v>
      </c>
      <c r="D995" s="33">
        <v>0.35820000000000002</v>
      </c>
      <c r="E995" s="33">
        <v>7</v>
      </c>
    </row>
    <row r="996" spans="1:5" x14ac:dyDescent="0.3">
      <c r="A996" s="33">
        <v>0.36</v>
      </c>
      <c r="B996" s="33">
        <v>0.33329999999999999</v>
      </c>
      <c r="C996" s="33">
        <v>0.4</v>
      </c>
      <c r="D996" s="33">
        <v>0.29849999999999999</v>
      </c>
      <c r="E996" s="33">
        <v>2</v>
      </c>
    </row>
    <row r="997" spans="1:5" x14ac:dyDescent="0.3">
      <c r="A997" s="33">
        <v>0.34</v>
      </c>
      <c r="B997" s="33">
        <v>0.31819999999999998</v>
      </c>
      <c r="C997" s="33">
        <v>0.46</v>
      </c>
      <c r="D997" s="33">
        <v>0.22389999999999999</v>
      </c>
      <c r="E997" s="33">
        <v>2</v>
      </c>
    </row>
    <row r="998" spans="1:5" x14ac:dyDescent="0.3">
      <c r="A998" s="33">
        <v>0.32</v>
      </c>
      <c r="B998" s="33">
        <v>0.30299999999999999</v>
      </c>
      <c r="C998" s="33">
        <v>0.53</v>
      </c>
      <c r="D998" s="33">
        <v>0.28360000000000002</v>
      </c>
      <c r="E998" s="33">
        <v>2</v>
      </c>
    </row>
    <row r="999" spans="1:5" x14ac:dyDescent="0.3">
      <c r="A999" s="33">
        <v>0.32</v>
      </c>
      <c r="B999" s="33">
        <v>0.30299999999999999</v>
      </c>
      <c r="C999" s="33">
        <v>0.53</v>
      </c>
      <c r="D999" s="33">
        <v>0.28360000000000002</v>
      </c>
      <c r="E999" s="33">
        <v>3</v>
      </c>
    </row>
    <row r="1000" spans="1:5" x14ac:dyDescent="0.3">
      <c r="A1000" s="33">
        <v>0.34</v>
      </c>
      <c r="B1000" s="33">
        <v>0.30299999999999999</v>
      </c>
      <c r="C1000" s="33">
        <v>0.46</v>
      </c>
      <c r="D1000" s="33">
        <v>0.29849999999999999</v>
      </c>
      <c r="E1000" s="33">
        <v>26</v>
      </c>
    </row>
    <row r="1001" spans="1:5" x14ac:dyDescent="0.3">
      <c r="A1001" s="33">
        <v>0.34</v>
      </c>
      <c r="B1001" s="33">
        <v>0.30299999999999999</v>
      </c>
      <c r="C1001" s="33">
        <v>0.46</v>
      </c>
      <c r="D1001" s="33">
        <v>0.29849999999999999</v>
      </c>
      <c r="E1001" s="33">
        <v>98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C06C7-7BE6-4D0B-AB20-E27938A53A25}">
  <dimension ref="A1:F6"/>
  <sheetViews>
    <sheetView workbookViewId="0">
      <selection activeCell="I16" sqref="I16"/>
    </sheetView>
  </sheetViews>
  <sheetFormatPr defaultRowHeight="14.4" x14ac:dyDescent="0.3"/>
  <cols>
    <col min="1" max="1" width="12.21875" bestFit="1" customWidth="1"/>
    <col min="2" max="2" width="12" bestFit="1" customWidth="1"/>
    <col min="3" max="4" width="12.6640625" bestFit="1" customWidth="1"/>
    <col min="5" max="5" width="11" bestFit="1" customWidth="1"/>
    <col min="6" max="6" width="12.77734375" bestFit="1" customWidth="1"/>
  </cols>
  <sheetData>
    <row r="1" spans="1:6" x14ac:dyDescent="0.3">
      <c r="A1" s="118"/>
      <c r="B1" s="126" t="s">
        <v>37</v>
      </c>
      <c r="C1" s="126" t="s">
        <v>38</v>
      </c>
      <c r="D1" s="126" t="s">
        <v>39</v>
      </c>
      <c r="E1" s="126" t="s">
        <v>40</v>
      </c>
      <c r="F1" s="127" t="s">
        <v>43</v>
      </c>
    </row>
    <row r="2" spans="1:6" x14ac:dyDescent="0.3">
      <c r="A2" s="124" t="s">
        <v>37</v>
      </c>
      <c r="B2" s="119">
        <v>1</v>
      </c>
      <c r="C2" s="119"/>
      <c r="D2" s="119"/>
      <c r="E2" s="119"/>
      <c r="F2" s="120"/>
    </row>
    <row r="3" spans="1:6" x14ac:dyDescent="0.3">
      <c r="A3" s="124" t="s">
        <v>38</v>
      </c>
      <c r="B3" s="121">
        <v>0.90993244583929844</v>
      </c>
      <c r="C3" s="119">
        <v>1</v>
      </c>
      <c r="D3" s="119"/>
      <c r="E3" s="119"/>
      <c r="F3" s="120"/>
    </row>
    <row r="4" spans="1:6" x14ac:dyDescent="0.3">
      <c r="A4" s="124" t="s">
        <v>39</v>
      </c>
      <c r="B4" s="121">
        <v>8.0720147162812214E-2</v>
      </c>
      <c r="C4" s="121">
        <v>0.19243844823274819</v>
      </c>
      <c r="D4" s="119">
        <v>1</v>
      </c>
      <c r="E4" s="119"/>
      <c r="F4" s="120"/>
    </row>
    <row r="5" spans="1:6" x14ac:dyDescent="0.3">
      <c r="A5" s="124" t="s">
        <v>40</v>
      </c>
      <c r="B5" s="121">
        <v>0.12262532562998485</v>
      </c>
      <c r="C5" s="121">
        <v>-0.21211986877109543</v>
      </c>
      <c r="D5" s="121">
        <v>-0.38555034700358864</v>
      </c>
      <c r="E5" s="119">
        <v>1</v>
      </c>
      <c r="F5" s="120"/>
    </row>
    <row r="6" spans="1:6" ht="15" thickBot="1" x14ac:dyDescent="0.35">
      <c r="A6" s="125" t="s">
        <v>43</v>
      </c>
      <c r="B6" s="122">
        <v>0.22929155386993369</v>
      </c>
      <c r="C6" s="122">
        <v>0.19335175353560444</v>
      </c>
      <c r="D6" s="122">
        <v>-0.25435329828790432</v>
      </c>
      <c r="E6" s="122">
        <v>0.10399668008577614</v>
      </c>
      <c r="F6" s="123">
        <v>1</v>
      </c>
    </row>
  </sheetData>
  <conditionalFormatting sqref="A1:F6">
    <cfRule type="colorScale" priority="1">
      <colorScale>
        <cfvo type="num" val="-1"/>
        <cfvo type="num" val="0"/>
        <cfvo type="num" val="1"/>
        <color rgb="FFF8696B"/>
        <color rgb="FFFCFCFF"/>
        <color rgb="FF5A8AC6"/>
      </colorScale>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90916-3AEF-47A2-8DAA-A26293AC28BA}">
  <dimension ref="A1:G1001"/>
  <sheetViews>
    <sheetView workbookViewId="0">
      <selection activeCell="I11" sqref="I11"/>
    </sheetView>
  </sheetViews>
  <sheetFormatPr defaultRowHeight="14.4" x14ac:dyDescent="0.3"/>
  <cols>
    <col min="1" max="1" width="5.77734375" bestFit="1" customWidth="1"/>
    <col min="2" max="2" width="7" bestFit="1" customWidth="1"/>
    <col min="3" max="3" width="8.6640625" bestFit="1" customWidth="1"/>
    <col min="4" max="4" width="10.6640625" bestFit="1" customWidth="1"/>
    <col min="5" max="5" width="7.21875" bestFit="1" customWidth="1"/>
    <col min="6" max="6" width="9.77734375" bestFit="1" customWidth="1"/>
    <col min="7" max="7" width="12.33203125" bestFit="1" customWidth="1"/>
  </cols>
  <sheetData>
    <row r="1" spans="1:7" x14ac:dyDescent="0.3">
      <c r="A1" s="63" t="s">
        <v>37</v>
      </c>
      <c r="B1" s="63" t="s">
        <v>38</v>
      </c>
      <c r="C1" s="63" t="s">
        <v>39</v>
      </c>
      <c r="D1" s="63" t="s">
        <v>40</v>
      </c>
      <c r="E1" s="63" t="s">
        <v>41</v>
      </c>
      <c r="F1" s="63" t="s">
        <v>42</v>
      </c>
      <c r="G1" s="63" t="s">
        <v>43</v>
      </c>
    </row>
    <row r="2" spans="1:7" x14ac:dyDescent="0.3">
      <c r="A2" s="33">
        <v>0.24</v>
      </c>
      <c r="B2" s="33">
        <v>0.28789999999999999</v>
      </c>
      <c r="C2" s="33">
        <v>0.81</v>
      </c>
      <c r="D2" s="33">
        <v>0</v>
      </c>
      <c r="E2" s="33">
        <v>3</v>
      </c>
      <c r="F2" s="33">
        <v>13</v>
      </c>
      <c r="G2" s="33">
        <v>16</v>
      </c>
    </row>
    <row r="3" spans="1:7" x14ac:dyDescent="0.3">
      <c r="A3" s="33">
        <v>0.22</v>
      </c>
      <c r="B3" s="33">
        <v>0.2727</v>
      </c>
      <c r="C3" s="33">
        <v>0.8</v>
      </c>
      <c r="D3" s="33">
        <v>0</v>
      </c>
      <c r="E3" s="33">
        <v>8</v>
      </c>
      <c r="F3" s="33">
        <v>32</v>
      </c>
      <c r="G3" s="33">
        <v>40</v>
      </c>
    </row>
    <row r="4" spans="1:7" x14ac:dyDescent="0.3">
      <c r="A4" s="33">
        <v>0.22</v>
      </c>
      <c r="B4" s="33">
        <v>0.2727</v>
      </c>
      <c r="C4" s="33">
        <v>0.8</v>
      </c>
      <c r="D4" s="33">
        <v>0</v>
      </c>
      <c r="E4" s="33">
        <v>5</v>
      </c>
      <c r="F4" s="33">
        <v>27</v>
      </c>
      <c r="G4" s="33">
        <v>32</v>
      </c>
    </row>
    <row r="5" spans="1:7" x14ac:dyDescent="0.3">
      <c r="A5" s="33">
        <v>0.24</v>
      </c>
      <c r="B5" s="33">
        <v>0.28789999999999999</v>
      </c>
      <c r="C5" s="33">
        <v>0.75</v>
      </c>
      <c r="D5" s="33">
        <v>0</v>
      </c>
      <c r="E5" s="33">
        <v>3</v>
      </c>
      <c r="F5" s="33">
        <v>10</v>
      </c>
      <c r="G5" s="33">
        <v>13</v>
      </c>
    </row>
    <row r="6" spans="1:7" x14ac:dyDescent="0.3">
      <c r="A6" s="33">
        <v>0.24</v>
      </c>
      <c r="B6" s="33">
        <v>0.28789999999999999</v>
      </c>
      <c r="C6" s="33">
        <v>0.75</v>
      </c>
      <c r="D6" s="33">
        <v>0</v>
      </c>
      <c r="E6" s="33">
        <v>0</v>
      </c>
      <c r="F6" s="33">
        <v>1</v>
      </c>
      <c r="G6" s="33">
        <v>1</v>
      </c>
    </row>
    <row r="7" spans="1:7" x14ac:dyDescent="0.3">
      <c r="A7" s="33">
        <v>0.24</v>
      </c>
      <c r="B7" s="33">
        <v>0.2576</v>
      </c>
      <c r="C7" s="33">
        <v>0.75</v>
      </c>
      <c r="D7" s="33">
        <v>8.9599999999999999E-2</v>
      </c>
      <c r="E7" s="33">
        <v>0</v>
      </c>
      <c r="F7" s="33">
        <v>1</v>
      </c>
      <c r="G7" s="33">
        <v>1</v>
      </c>
    </row>
    <row r="8" spans="1:7" x14ac:dyDescent="0.3">
      <c r="A8" s="33">
        <v>0.22</v>
      </c>
      <c r="B8" s="33">
        <v>0.2727</v>
      </c>
      <c r="C8" s="33">
        <v>0.8</v>
      </c>
      <c r="D8" s="33">
        <v>0</v>
      </c>
      <c r="E8" s="33">
        <v>2</v>
      </c>
      <c r="F8" s="33">
        <v>0</v>
      </c>
      <c r="G8" s="33">
        <v>2</v>
      </c>
    </row>
    <row r="9" spans="1:7" x14ac:dyDescent="0.3">
      <c r="A9" s="33">
        <v>0.2</v>
      </c>
      <c r="B9" s="33">
        <v>0.2576</v>
      </c>
      <c r="C9" s="33">
        <v>0.86</v>
      </c>
      <c r="D9" s="33">
        <v>0</v>
      </c>
      <c r="E9" s="33">
        <v>1</v>
      </c>
      <c r="F9" s="33">
        <v>2</v>
      </c>
      <c r="G9" s="33">
        <v>3</v>
      </c>
    </row>
    <row r="10" spans="1:7" x14ac:dyDescent="0.3">
      <c r="A10" s="33">
        <v>0.24</v>
      </c>
      <c r="B10" s="33">
        <v>0.19989999999999999</v>
      </c>
      <c r="C10" s="33">
        <v>0.75</v>
      </c>
      <c r="D10" s="33">
        <v>0</v>
      </c>
      <c r="E10" s="33">
        <v>1</v>
      </c>
      <c r="F10" s="33">
        <v>7</v>
      </c>
      <c r="G10" s="33">
        <v>8</v>
      </c>
    </row>
    <row r="11" spans="1:7" x14ac:dyDescent="0.3">
      <c r="A11" s="33">
        <v>0.32</v>
      </c>
      <c r="B11" s="33">
        <v>0.34849999999999998</v>
      </c>
      <c r="C11" s="33">
        <v>0.76</v>
      </c>
      <c r="D11" s="33">
        <v>0</v>
      </c>
      <c r="E11" s="33">
        <v>8</v>
      </c>
      <c r="F11" s="33">
        <v>6</v>
      </c>
      <c r="G11" s="33">
        <v>14</v>
      </c>
    </row>
    <row r="12" spans="1:7" x14ac:dyDescent="0.3">
      <c r="A12" s="33">
        <v>0.38</v>
      </c>
      <c r="B12" s="33">
        <v>0.39389999999999997</v>
      </c>
      <c r="C12" s="33">
        <v>0.76</v>
      </c>
      <c r="D12" s="33">
        <v>0.25369999999999998</v>
      </c>
      <c r="E12" s="33">
        <v>12</v>
      </c>
      <c r="F12" s="33">
        <v>24</v>
      </c>
      <c r="G12" s="33">
        <v>36</v>
      </c>
    </row>
    <row r="13" spans="1:7" x14ac:dyDescent="0.3">
      <c r="A13" s="33">
        <v>0.36</v>
      </c>
      <c r="B13" s="33">
        <v>0.33329999999999999</v>
      </c>
      <c r="C13" s="33">
        <v>0.81</v>
      </c>
      <c r="D13" s="33">
        <v>0.28360000000000002</v>
      </c>
      <c r="E13" s="33">
        <v>26</v>
      </c>
      <c r="F13" s="33">
        <v>30</v>
      </c>
      <c r="G13" s="33">
        <v>56</v>
      </c>
    </row>
    <row r="14" spans="1:7" x14ac:dyDescent="0.3">
      <c r="A14" s="33">
        <v>0.42</v>
      </c>
      <c r="B14" s="33">
        <v>0.42420000000000002</v>
      </c>
      <c r="C14" s="33">
        <v>0.77</v>
      </c>
      <c r="D14" s="33">
        <v>0.28360000000000002</v>
      </c>
      <c r="E14" s="33">
        <v>29</v>
      </c>
      <c r="F14" s="33">
        <v>55</v>
      </c>
      <c r="G14" s="33">
        <v>84</v>
      </c>
    </row>
    <row r="15" spans="1:7" x14ac:dyDescent="0.3">
      <c r="A15" s="33">
        <v>0.46</v>
      </c>
      <c r="B15" s="33">
        <v>0.45450000000000002</v>
      </c>
      <c r="C15" s="33">
        <v>0.72</v>
      </c>
      <c r="D15" s="33">
        <v>0.29849999999999999</v>
      </c>
      <c r="E15" s="33">
        <v>47</v>
      </c>
      <c r="F15" s="33">
        <v>47</v>
      </c>
      <c r="G15" s="33">
        <v>94</v>
      </c>
    </row>
    <row r="16" spans="1:7" x14ac:dyDescent="0.3">
      <c r="A16" s="33">
        <v>0.46</v>
      </c>
      <c r="B16" s="33">
        <v>0.45450000000000002</v>
      </c>
      <c r="C16" s="33">
        <v>0.72</v>
      </c>
      <c r="D16" s="33">
        <v>0.28360000000000002</v>
      </c>
      <c r="E16" s="33">
        <v>35</v>
      </c>
      <c r="F16" s="33">
        <v>71</v>
      </c>
      <c r="G16" s="33">
        <v>106</v>
      </c>
    </row>
    <row r="17" spans="1:7" x14ac:dyDescent="0.3">
      <c r="A17" s="33">
        <v>0.44</v>
      </c>
      <c r="B17" s="33">
        <v>0.43940000000000001</v>
      </c>
      <c r="C17" s="33">
        <v>0.77</v>
      </c>
      <c r="D17" s="33">
        <v>0.29849999999999999</v>
      </c>
      <c r="E17" s="33">
        <v>40</v>
      </c>
      <c r="F17" s="33">
        <v>70</v>
      </c>
      <c r="G17" s="33">
        <v>110</v>
      </c>
    </row>
    <row r="18" spans="1:7" x14ac:dyDescent="0.3">
      <c r="A18" s="33">
        <v>0.42</v>
      </c>
      <c r="B18" s="33">
        <v>0.42420000000000002</v>
      </c>
      <c r="C18" s="33">
        <v>0.82</v>
      </c>
      <c r="D18" s="33">
        <v>0.29849999999999999</v>
      </c>
      <c r="E18" s="33">
        <v>41</v>
      </c>
      <c r="F18" s="33">
        <v>52</v>
      </c>
      <c r="G18" s="33">
        <v>93</v>
      </c>
    </row>
    <row r="19" spans="1:7" x14ac:dyDescent="0.3">
      <c r="A19" s="33">
        <v>0.44</v>
      </c>
      <c r="B19" s="33">
        <v>0.19989999999999999</v>
      </c>
      <c r="C19" s="33">
        <v>0.82</v>
      </c>
      <c r="D19" s="33">
        <v>0.28360000000000002</v>
      </c>
      <c r="E19" s="33">
        <v>15</v>
      </c>
      <c r="F19" s="33">
        <v>52</v>
      </c>
      <c r="G19" s="33">
        <v>67</v>
      </c>
    </row>
    <row r="20" spans="1:7" x14ac:dyDescent="0.3">
      <c r="A20" s="33">
        <v>0.42</v>
      </c>
      <c r="B20" s="33">
        <v>0.42420000000000002</v>
      </c>
      <c r="C20" s="33">
        <v>0.88</v>
      </c>
      <c r="D20" s="33">
        <v>0.25369999999999998</v>
      </c>
      <c r="E20" s="33">
        <v>9</v>
      </c>
      <c r="F20" s="33">
        <v>26</v>
      </c>
      <c r="G20" s="33">
        <v>35</v>
      </c>
    </row>
    <row r="21" spans="1:7" x14ac:dyDescent="0.3">
      <c r="A21" s="33">
        <v>0.42</v>
      </c>
      <c r="B21" s="33">
        <v>0.42420000000000002</v>
      </c>
      <c r="C21" s="33">
        <v>0.88</v>
      </c>
      <c r="D21" s="33">
        <v>0.25369999999999998</v>
      </c>
      <c r="E21" s="33">
        <v>6</v>
      </c>
      <c r="F21" s="33">
        <v>31</v>
      </c>
      <c r="G21" s="33">
        <v>37</v>
      </c>
    </row>
    <row r="22" spans="1:7" x14ac:dyDescent="0.3">
      <c r="A22" s="33">
        <v>0.4</v>
      </c>
      <c r="B22" s="33">
        <v>0.40910000000000002</v>
      </c>
      <c r="C22" s="33">
        <v>0.87</v>
      </c>
      <c r="D22" s="33">
        <v>0.25369999999999998</v>
      </c>
      <c r="E22" s="33">
        <v>11</v>
      </c>
      <c r="F22" s="33">
        <v>25</v>
      </c>
      <c r="G22" s="33">
        <v>36</v>
      </c>
    </row>
    <row r="23" spans="1:7" x14ac:dyDescent="0.3">
      <c r="A23" s="33">
        <v>0.4</v>
      </c>
      <c r="B23" s="33">
        <v>0.40910000000000002</v>
      </c>
      <c r="C23" s="33">
        <v>0.87</v>
      </c>
      <c r="D23" s="33">
        <v>0.19400000000000001</v>
      </c>
      <c r="E23" s="33">
        <v>3</v>
      </c>
      <c r="F23" s="33">
        <v>31</v>
      </c>
      <c r="G23" s="33">
        <v>34</v>
      </c>
    </row>
    <row r="24" spans="1:7" x14ac:dyDescent="0.3">
      <c r="A24" s="33">
        <v>0.4</v>
      </c>
      <c r="B24" s="33">
        <v>0.40910000000000002</v>
      </c>
      <c r="C24" s="33">
        <v>0.94</v>
      </c>
      <c r="D24" s="33">
        <v>0.22389999999999999</v>
      </c>
      <c r="E24" s="33">
        <v>11</v>
      </c>
      <c r="F24" s="33">
        <v>17</v>
      </c>
      <c r="G24" s="33">
        <v>28</v>
      </c>
    </row>
    <row r="25" spans="1:7" x14ac:dyDescent="0.3">
      <c r="A25" s="33">
        <v>0.46</v>
      </c>
      <c r="B25" s="33">
        <v>0.19989999999999999</v>
      </c>
      <c r="C25" s="33">
        <v>0.88</v>
      </c>
      <c r="D25" s="33">
        <v>0.29849999999999999</v>
      </c>
      <c r="E25" s="33">
        <v>15</v>
      </c>
      <c r="F25" s="33">
        <v>24</v>
      </c>
      <c r="G25" s="33">
        <v>39</v>
      </c>
    </row>
    <row r="26" spans="1:7" x14ac:dyDescent="0.3">
      <c r="A26" s="33">
        <v>0.46</v>
      </c>
      <c r="B26" s="33">
        <v>0.45450000000000002</v>
      </c>
      <c r="C26" s="33">
        <v>0.88</v>
      </c>
      <c r="D26" s="33">
        <v>0.29849999999999999</v>
      </c>
      <c r="E26" s="33">
        <v>4</v>
      </c>
      <c r="F26" s="33">
        <v>13</v>
      </c>
      <c r="G26" s="33">
        <v>17</v>
      </c>
    </row>
    <row r="27" spans="1:7" x14ac:dyDescent="0.3">
      <c r="A27" s="33">
        <v>0.44</v>
      </c>
      <c r="B27" s="33">
        <v>0.43940000000000001</v>
      </c>
      <c r="C27" s="33">
        <v>0.94</v>
      </c>
      <c r="D27" s="33">
        <v>0.25369999999999998</v>
      </c>
      <c r="E27" s="33">
        <v>1</v>
      </c>
      <c r="F27" s="33">
        <v>16</v>
      </c>
      <c r="G27" s="33">
        <v>17</v>
      </c>
    </row>
    <row r="28" spans="1:7" x14ac:dyDescent="0.3">
      <c r="A28" s="33">
        <v>0.42</v>
      </c>
      <c r="B28" s="33">
        <v>0.42420000000000002</v>
      </c>
      <c r="C28" s="33">
        <v>1</v>
      </c>
      <c r="D28" s="33">
        <v>0.28360000000000002</v>
      </c>
      <c r="E28" s="33">
        <v>1</v>
      </c>
      <c r="F28" s="33">
        <v>8</v>
      </c>
      <c r="G28" s="33">
        <v>9</v>
      </c>
    </row>
    <row r="29" spans="1:7" x14ac:dyDescent="0.3">
      <c r="A29" s="33">
        <v>0.46</v>
      </c>
      <c r="B29" s="33">
        <v>0.45450000000000002</v>
      </c>
      <c r="C29" s="33">
        <v>0.94</v>
      </c>
      <c r="D29" s="33">
        <v>0.19400000000000001</v>
      </c>
      <c r="E29" s="33">
        <v>2</v>
      </c>
      <c r="F29" s="33">
        <v>4</v>
      </c>
      <c r="G29" s="33">
        <v>6</v>
      </c>
    </row>
    <row r="30" spans="1:7" x14ac:dyDescent="0.3">
      <c r="A30" s="33">
        <v>0.46</v>
      </c>
      <c r="B30" s="33">
        <v>0.19989999999999999</v>
      </c>
      <c r="C30" s="33">
        <v>0.94</v>
      </c>
      <c r="D30" s="33">
        <v>0.19400000000000001</v>
      </c>
      <c r="E30" s="33">
        <v>2</v>
      </c>
      <c r="F30" s="33">
        <v>1</v>
      </c>
      <c r="G30" s="33">
        <v>3</v>
      </c>
    </row>
    <row r="31" spans="1:7" x14ac:dyDescent="0.3">
      <c r="A31" s="33">
        <v>0.42</v>
      </c>
      <c r="B31" s="33">
        <v>0.42420000000000002</v>
      </c>
      <c r="C31" s="33">
        <v>0.77</v>
      </c>
      <c r="D31" s="33">
        <v>0.29849999999999999</v>
      </c>
      <c r="E31" s="33">
        <v>0</v>
      </c>
      <c r="F31" s="33">
        <v>2</v>
      </c>
      <c r="G31" s="33">
        <v>2</v>
      </c>
    </row>
    <row r="32" spans="1:7" x14ac:dyDescent="0.3">
      <c r="A32" s="33">
        <v>0.4</v>
      </c>
      <c r="B32" s="33">
        <v>0.40910000000000002</v>
      </c>
      <c r="C32" s="33">
        <v>0.76</v>
      </c>
      <c r="D32" s="33">
        <v>0.19400000000000001</v>
      </c>
      <c r="E32" s="33">
        <v>0</v>
      </c>
      <c r="F32" s="33">
        <v>1</v>
      </c>
      <c r="G32" s="33">
        <v>1</v>
      </c>
    </row>
    <row r="33" spans="1:7" x14ac:dyDescent="0.3">
      <c r="A33" s="33">
        <v>0.4</v>
      </c>
      <c r="B33" s="33">
        <v>0.40910000000000002</v>
      </c>
      <c r="C33" s="33">
        <v>0.71</v>
      </c>
      <c r="D33" s="33">
        <v>0.22389999999999999</v>
      </c>
      <c r="E33" s="33">
        <v>0</v>
      </c>
      <c r="F33" s="33">
        <v>8</v>
      </c>
      <c r="G33" s="33">
        <v>8</v>
      </c>
    </row>
    <row r="34" spans="1:7" x14ac:dyDescent="0.3">
      <c r="A34" s="33">
        <v>0.38</v>
      </c>
      <c r="B34" s="33">
        <v>0.19989999999999999</v>
      </c>
      <c r="C34" s="33">
        <v>0.76</v>
      </c>
      <c r="D34" s="33">
        <v>0.22389999999999999</v>
      </c>
      <c r="E34" s="33">
        <v>1</v>
      </c>
      <c r="F34" s="33">
        <v>19</v>
      </c>
      <c r="G34" s="33">
        <v>20</v>
      </c>
    </row>
    <row r="35" spans="1:7" x14ac:dyDescent="0.3">
      <c r="A35" s="33">
        <v>0.36</v>
      </c>
      <c r="B35" s="33">
        <v>0.34849999999999998</v>
      </c>
      <c r="C35" s="33">
        <v>0.81</v>
      </c>
      <c r="D35" s="33">
        <v>0.22389999999999999</v>
      </c>
      <c r="E35" s="33">
        <v>7</v>
      </c>
      <c r="F35" s="33">
        <v>46</v>
      </c>
      <c r="G35" s="33">
        <v>53</v>
      </c>
    </row>
    <row r="36" spans="1:7" x14ac:dyDescent="0.3">
      <c r="A36" s="33">
        <v>0.36</v>
      </c>
      <c r="B36" s="33">
        <v>0.33329999999999999</v>
      </c>
      <c r="C36" s="33">
        <v>0.71</v>
      </c>
      <c r="D36" s="33">
        <v>0.25369999999999998</v>
      </c>
      <c r="E36" s="33">
        <v>16</v>
      </c>
      <c r="F36" s="33">
        <v>54</v>
      </c>
      <c r="G36" s="33">
        <v>70</v>
      </c>
    </row>
    <row r="37" spans="1:7" x14ac:dyDescent="0.3">
      <c r="A37" s="33">
        <v>0.36</v>
      </c>
      <c r="B37" s="33">
        <v>0.33329999999999999</v>
      </c>
      <c r="C37" s="33">
        <v>0.66</v>
      </c>
      <c r="D37" s="33">
        <v>0.29849999999999999</v>
      </c>
      <c r="E37" s="33">
        <v>20</v>
      </c>
      <c r="F37" s="33">
        <v>73</v>
      </c>
      <c r="G37" s="33">
        <v>93</v>
      </c>
    </row>
    <row r="38" spans="1:7" x14ac:dyDescent="0.3">
      <c r="A38" s="33">
        <v>0.36</v>
      </c>
      <c r="B38" s="33">
        <v>0.34849999999999998</v>
      </c>
      <c r="C38" s="33">
        <v>0.66</v>
      </c>
      <c r="D38" s="33">
        <v>0.1343</v>
      </c>
      <c r="E38" s="33">
        <v>11</v>
      </c>
      <c r="F38" s="33">
        <v>64</v>
      </c>
      <c r="G38" s="33">
        <v>75</v>
      </c>
    </row>
    <row r="39" spans="1:7" x14ac:dyDescent="0.3">
      <c r="A39" s="33">
        <v>0.36</v>
      </c>
      <c r="B39" s="33">
        <v>0.19989999999999999</v>
      </c>
      <c r="C39" s="33">
        <v>0.76</v>
      </c>
      <c r="D39" s="33">
        <v>0.19400000000000001</v>
      </c>
      <c r="E39" s="33">
        <v>4</v>
      </c>
      <c r="F39" s="33">
        <v>55</v>
      </c>
      <c r="G39" s="33">
        <v>59</v>
      </c>
    </row>
    <row r="40" spans="1:7" x14ac:dyDescent="0.3">
      <c r="A40" s="33">
        <v>0.34</v>
      </c>
      <c r="B40" s="33">
        <v>0.33329999999999999</v>
      </c>
      <c r="C40" s="33">
        <v>0.81</v>
      </c>
      <c r="D40" s="33">
        <v>0.16420000000000001</v>
      </c>
      <c r="E40" s="33">
        <v>19</v>
      </c>
      <c r="F40" s="33">
        <v>55</v>
      </c>
      <c r="G40" s="33">
        <v>74</v>
      </c>
    </row>
    <row r="41" spans="1:7" x14ac:dyDescent="0.3">
      <c r="A41" s="33">
        <v>0.34</v>
      </c>
      <c r="B41" s="33">
        <v>0.33329999999999999</v>
      </c>
      <c r="C41" s="33">
        <v>0.71</v>
      </c>
      <c r="D41" s="33">
        <v>0.16420000000000001</v>
      </c>
      <c r="E41" s="33">
        <v>9</v>
      </c>
      <c r="F41" s="33">
        <v>67</v>
      </c>
      <c r="G41" s="33">
        <v>76</v>
      </c>
    </row>
    <row r="42" spans="1:7" x14ac:dyDescent="0.3">
      <c r="A42" s="33">
        <v>0.34</v>
      </c>
      <c r="B42" s="33">
        <v>0.33329999999999999</v>
      </c>
      <c r="C42" s="33">
        <v>0.56999999999999995</v>
      </c>
      <c r="D42" s="33">
        <v>0.19400000000000001</v>
      </c>
      <c r="E42" s="33">
        <v>7</v>
      </c>
      <c r="F42" s="33">
        <v>58</v>
      </c>
      <c r="G42" s="33">
        <v>65</v>
      </c>
    </row>
    <row r="43" spans="1:7" x14ac:dyDescent="0.3">
      <c r="A43" s="33">
        <v>0.36</v>
      </c>
      <c r="B43" s="33">
        <v>0.33329999999999999</v>
      </c>
      <c r="C43" s="33">
        <v>0.46</v>
      </c>
      <c r="D43" s="33">
        <v>0.32840000000000003</v>
      </c>
      <c r="E43" s="33">
        <v>10</v>
      </c>
      <c r="F43" s="33">
        <v>43</v>
      </c>
      <c r="G43" s="33">
        <v>53</v>
      </c>
    </row>
    <row r="44" spans="1:7" x14ac:dyDescent="0.3">
      <c r="A44" s="33">
        <v>0.32</v>
      </c>
      <c r="B44" s="33">
        <v>0.28789999999999999</v>
      </c>
      <c r="C44" s="33">
        <v>0.42</v>
      </c>
      <c r="D44" s="33">
        <v>0.44779999999999998</v>
      </c>
      <c r="E44" s="33">
        <v>1</v>
      </c>
      <c r="F44" s="33">
        <v>29</v>
      </c>
      <c r="G44" s="33">
        <v>30</v>
      </c>
    </row>
    <row r="45" spans="1:7" x14ac:dyDescent="0.3">
      <c r="A45" s="33">
        <v>0.3</v>
      </c>
      <c r="B45" s="33">
        <v>0.19989999999999999</v>
      </c>
      <c r="C45" s="33">
        <v>0.39</v>
      </c>
      <c r="D45" s="33">
        <v>0.35820000000000002</v>
      </c>
      <c r="E45" s="33">
        <v>5</v>
      </c>
      <c r="F45" s="33">
        <v>17</v>
      </c>
      <c r="G45" s="33">
        <v>22</v>
      </c>
    </row>
    <row r="46" spans="1:7" x14ac:dyDescent="0.3">
      <c r="A46" s="33">
        <v>0.26</v>
      </c>
      <c r="B46" s="33">
        <v>0.2273</v>
      </c>
      <c r="C46" s="33">
        <v>0.44</v>
      </c>
      <c r="D46" s="33">
        <v>0.32840000000000003</v>
      </c>
      <c r="E46" s="33">
        <v>11</v>
      </c>
      <c r="F46" s="33">
        <v>20</v>
      </c>
      <c r="G46" s="33">
        <v>31</v>
      </c>
    </row>
    <row r="47" spans="1:7" x14ac:dyDescent="0.3">
      <c r="A47" s="33">
        <v>0.24</v>
      </c>
      <c r="B47" s="33">
        <v>0.21210000000000001</v>
      </c>
      <c r="C47" s="33">
        <v>0.44</v>
      </c>
      <c r="D47" s="33">
        <v>0.29849999999999999</v>
      </c>
      <c r="E47" s="33">
        <v>0</v>
      </c>
      <c r="F47" s="33">
        <v>9</v>
      </c>
      <c r="G47" s="33">
        <v>9</v>
      </c>
    </row>
    <row r="48" spans="1:7" x14ac:dyDescent="0.3">
      <c r="A48" s="33">
        <v>0.22</v>
      </c>
      <c r="B48" s="33">
        <v>0.2273</v>
      </c>
      <c r="C48" s="33">
        <v>0.47</v>
      </c>
      <c r="D48" s="33">
        <v>0.16420000000000001</v>
      </c>
      <c r="E48" s="33">
        <v>0</v>
      </c>
      <c r="F48" s="33">
        <v>8</v>
      </c>
      <c r="G48" s="33">
        <v>8</v>
      </c>
    </row>
    <row r="49" spans="1:7" x14ac:dyDescent="0.3">
      <c r="A49" s="33">
        <v>0.22</v>
      </c>
      <c r="B49" s="33">
        <v>0.19700000000000001</v>
      </c>
      <c r="C49" s="33">
        <v>0.44</v>
      </c>
      <c r="D49" s="33">
        <v>0.35820000000000002</v>
      </c>
      <c r="E49" s="33">
        <v>0</v>
      </c>
      <c r="F49" s="33">
        <v>5</v>
      </c>
      <c r="G49" s="33">
        <v>5</v>
      </c>
    </row>
    <row r="50" spans="1:7" x14ac:dyDescent="0.3">
      <c r="A50" s="33">
        <v>0.2</v>
      </c>
      <c r="B50" s="33">
        <v>0.19989999999999999</v>
      </c>
      <c r="C50" s="33">
        <v>0.44</v>
      </c>
      <c r="D50" s="33">
        <v>0.41789999999999999</v>
      </c>
      <c r="E50" s="33">
        <v>0</v>
      </c>
      <c r="F50" s="33">
        <v>2</v>
      </c>
      <c r="G50" s="33">
        <v>2</v>
      </c>
    </row>
    <row r="51" spans="1:7" x14ac:dyDescent="0.3">
      <c r="A51" s="33">
        <v>0.16</v>
      </c>
      <c r="B51" s="33">
        <v>0.13639999999999999</v>
      </c>
      <c r="C51" s="33">
        <v>0.47</v>
      </c>
      <c r="D51" s="33">
        <v>0.3881</v>
      </c>
      <c r="E51" s="33">
        <v>0</v>
      </c>
      <c r="F51" s="33">
        <v>1</v>
      </c>
      <c r="G51" s="33">
        <v>1</v>
      </c>
    </row>
    <row r="52" spans="1:7" x14ac:dyDescent="0.3">
      <c r="A52" s="33">
        <v>0.16</v>
      </c>
      <c r="B52" s="33">
        <v>0.13639999999999999</v>
      </c>
      <c r="C52" s="33">
        <v>0.47</v>
      </c>
      <c r="D52" s="33">
        <v>0.28360000000000002</v>
      </c>
      <c r="E52" s="33">
        <v>0</v>
      </c>
      <c r="F52" s="33">
        <v>3</v>
      </c>
      <c r="G52" s="33">
        <v>3</v>
      </c>
    </row>
    <row r="53" spans="1:7" x14ac:dyDescent="0.3">
      <c r="A53" s="33">
        <v>0.14000000000000001</v>
      </c>
      <c r="B53" s="33">
        <v>0.1061</v>
      </c>
      <c r="C53" s="33">
        <v>0.5</v>
      </c>
      <c r="D53" s="33">
        <v>0.3881</v>
      </c>
      <c r="E53" s="33">
        <v>0</v>
      </c>
      <c r="F53" s="33">
        <v>30</v>
      </c>
      <c r="G53" s="33">
        <v>30</v>
      </c>
    </row>
    <row r="54" spans="1:7" x14ac:dyDescent="0.3">
      <c r="A54" s="33">
        <v>0.14000000000000001</v>
      </c>
      <c r="B54" s="33">
        <v>0.13639999999999999</v>
      </c>
      <c r="C54" s="33">
        <v>0.5</v>
      </c>
      <c r="D54" s="33">
        <v>0.19400000000000001</v>
      </c>
      <c r="E54" s="33">
        <v>1</v>
      </c>
      <c r="F54" s="33">
        <v>63</v>
      </c>
      <c r="G54" s="33">
        <v>64</v>
      </c>
    </row>
    <row r="55" spans="1:7" x14ac:dyDescent="0.3">
      <c r="A55" s="33">
        <v>0.14000000000000001</v>
      </c>
      <c r="B55" s="33">
        <v>0.1212</v>
      </c>
      <c r="C55" s="33">
        <v>0.5</v>
      </c>
      <c r="D55" s="33">
        <v>0.28360000000000002</v>
      </c>
      <c r="E55" s="33">
        <v>1</v>
      </c>
      <c r="F55" s="33">
        <v>153</v>
      </c>
      <c r="G55" s="33">
        <v>154</v>
      </c>
    </row>
    <row r="56" spans="1:7" x14ac:dyDescent="0.3">
      <c r="A56" s="33">
        <v>0.16</v>
      </c>
      <c r="B56" s="33">
        <v>0.13639999999999999</v>
      </c>
      <c r="C56" s="33">
        <v>0.43</v>
      </c>
      <c r="D56" s="33">
        <v>0.3881</v>
      </c>
      <c r="E56" s="33">
        <v>7</v>
      </c>
      <c r="F56" s="33">
        <v>81</v>
      </c>
      <c r="G56" s="33">
        <v>88</v>
      </c>
    </row>
    <row r="57" spans="1:7" x14ac:dyDescent="0.3">
      <c r="A57" s="33">
        <v>0.18</v>
      </c>
      <c r="B57" s="33">
        <v>0.16669999999999999</v>
      </c>
      <c r="C57" s="33">
        <v>0.43</v>
      </c>
      <c r="D57" s="33">
        <v>0.25369999999999998</v>
      </c>
      <c r="E57" s="33">
        <v>11</v>
      </c>
      <c r="F57" s="33">
        <v>33</v>
      </c>
      <c r="G57" s="33">
        <v>44</v>
      </c>
    </row>
    <row r="58" spans="1:7" x14ac:dyDescent="0.3">
      <c r="A58" s="33">
        <v>0.2</v>
      </c>
      <c r="B58" s="33">
        <v>0.18179999999999999</v>
      </c>
      <c r="C58" s="33">
        <v>0.4</v>
      </c>
      <c r="D58" s="33">
        <v>0.32840000000000003</v>
      </c>
      <c r="E58" s="33">
        <v>10</v>
      </c>
      <c r="F58" s="33">
        <v>41</v>
      </c>
      <c r="G58" s="33">
        <v>51</v>
      </c>
    </row>
    <row r="59" spans="1:7" x14ac:dyDescent="0.3">
      <c r="A59" s="33">
        <v>0.22</v>
      </c>
      <c r="B59" s="33">
        <v>0.21210000000000001</v>
      </c>
      <c r="C59" s="33">
        <v>0.35</v>
      </c>
      <c r="D59" s="33">
        <v>0.29849999999999999</v>
      </c>
      <c r="E59" s="33">
        <v>13</v>
      </c>
      <c r="F59" s="33">
        <v>48</v>
      </c>
      <c r="G59" s="33">
        <v>61</v>
      </c>
    </row>
    <row r="60" spans="1:7" x14ac:dyDescent="0.3">
      <c r="A60" s="33">
        <v>0.24</v>
      </c>
      <c r="B60" s="33">
        <v>0.19989999999999999</v>
      </c>
      <c r="C60" s="33">
        <v>0.35</v>
      </c>
      <c r="D60" s="33">
        <v>0.28360000000000002</v>
      </c>
      <c r="E60" s="33">
        <v>8</v>
      </c>
      <c r="F60" s="33">
        <v>53</v>
      </c>
      <c r="G60" s="33">
        <v>61</v>
      </c>
    </row>
    <row r="61" spans="1:7" x14ac:dyDescent="0.3">
      <c r="A61" s="33">
        <v>0.26</v>
      </c>
      <c r="B61" s="33">
        <v>0.2424</v>
      </c>
      <c r="C61" s="33">
        <v>0.3</v>
      </c>
      <c r="D61" s="33">
        <v>0.28360000000000002</v>
      </c>
      <c r="E61" s="33">
        <v>11</v>
      </c>
      <c r="F61" s="33">
        <v>66</v>
      </c>
      <c r="G61" s="33">
        <v>77</v>
      </c>
    </row>
    <row r="62" spans="1:7" x14ac:dyDescent="0.3">
      <c r="A62" s="33">
        <v>0.26</v>
      </c>
      <c r="B62" s="33">
        <v>0.2424</v>
      </c>
      <c r="C62" s="33">
        <v>0.3</v>
      </c>
      <c r="D62" s="33">
        <v>0.25369999999999998</v>
      </c>
      <c r="E62" s="33">
        <v>14</v>
      </c>
      <c r="F62" s="33">
        <v>58</v>
      </c>
      <c r="G62" s="33">
        <v>72</v>
      </c>
    </row>
    <row r="63" spans="1:7" x14ac:dyDescent="0.3">
      <c r="A63" s="33">
        <v>0.26</v>
      </c>
      <c r="B63" s="33">
        <v>0.2424</v>
      </c>
      <c r="C63" s="33">
        <v>0.3</v>
      </c>
      <c r="D63" s="33">
        <v>0.25369999999999998</v>
      </c>
      <c r="E63" s="33">
        <v>9</v>
      </c>
      <c r="F63" s="33">
        <v>67</v>
      </c>
      <c r="G63" s="33">
        <v>76</v>
      </c>
    </row>
    <row r="64" spans="1:7" x14ac:dyDescent="0.3">
      <c r="A64" s="33">
        <v>0.24</v>
      </c>
      <c r="B64" s="33">
        <v>0.2273</v>
      </c>
      <c r="C64" s="33">
        <v>0.3</v>
      </c>
      <c r="D64" s="33">
        <v>0.22389999999999999</v>
      </c>
      <c r="E64" s="33">
        <v>11</v>
      </c>
      <c r="F64" s="33">
        <v>146</v>
      </c>
      <c r="G64" s="33">
        <v>157</v>
      </c>
    </row>
    <row r="65" spans="1:7" x14ac:dyDescent="0.3">
      <c r="A65" s="33">
        <v>0.24</v>
      </c>
      <c r="B65" s="33">
        <v>0.2576</v>
      </c>
      <c r="C65" s="33">
        <v>0.32</v>
      </c>
      <c r="D65" s="33">
        <v>0.1045</v>
      </c>
      <c r="E65" s="33">
        <v>9</v>
      </c>
      <c r="F65" s="33">
        <v>148</v>
      </c>
      <c r="G65" s="33">
        <v>157</v>
      </c>
    </row>
    <row r="66" spans="1:7" x14ac:dyDescent="0.3">
      <c r="A66" s="33">
        <v>0.2</v>
      </c>
      <c r="B66" s="33">
        <v>0.2576</v>
      </c>
      <c r="C66" s="33">
        <v>0.47</v>
      </c>
      <c r="D66" s="33">
        <v>0</v>
      </c>
      <c r="E66" s="33">
        <v>8</v>
      </c>
      <c r="F66" s="33">
        <v>102</v>
      </c>
      <c r="G66" s="33">
        <v>110</v>
      </c>
    </row>
    <row r="67" spans="1:7" x14ac:dyDescent="0.3">
      <c r="A67" s="33">
        <v>0.2</v>
      </c>
      <c r="B67" s="33">
        <v>0.19989999999999999</v>
      </c>
      <c r="C67" s="33">
        <v>0.47</v>
      </c>
      <c r="D67" s="33">
        <v>0.1045</v>
      </c>
      <c r="E67" s="33">
        <v>3</v>
      </c>
      <c r="F67" s="33">
        <v>49</v>
      </c>
      <c r="G67" s="33">
        <v>52</v>
      </c>
    </row>
    <row r="68" spans="1:7" x14ac:dyDescent="0.3">
      <c r="A68" s="33">
        <v>0.18</v>
      </c>
      <c r="B68" s="33">
        <v>0.19700000000000001</v>
      </c>
      <c r="C68" s="33">
        <v>0.64</v>
      </c>
      <c r="D68" s="33">
        <v>0.1343</v>
      </c>
      <c r="E68" s="33">
        <v>3</v>
      </c>
      <c r="F68" s="33">
        <v>49</v>
      </c>
      <c r="G68" s="33">
        <v>52</v>
      </c>
    </row>
    <row r="69" spans="1:7" x14ac:dyDescent="0.3">
      <c r="A69" s="33">
        <v>0.14000000000000001</v>
      </c>
      <c r="B69" s="33">
        <v>0.1515</v>
      </c>
      <c r="C69" s="33">
        <v>0.69</v>
      </c>
      <c r="D69" s="33">
        <v>0.1343</v>
      </c>
      <c r="E69" s="33">
        <v>0</v>
      </c>
      <c r="F69" s="33">
        <v>20</v>
      </c>
      <c r="G69" s="33">
        <v>20</v>
      </c>
    </row>
    <row r="70" spans="1:7" x14ac:dyDescent="0.3">
      <c r="A70" s="33">
        <v>0.18</v>
      </c>
      <c r="B70" s="33">
        <v>0.21210000000000001</v>
      </c>
      <c r="C70" s="33">
        <v>0.55000000000000004</v>
      </c>
      <c r="D70" s="33">
        <v>0.1045</v>
      </c>
      <c r="E70" s="33">
        <v>1</v>
      </c>
      <c r="F70" s="33">
        <v>11</v>
      </c>
      <c r="G70" s="33">
        <v>12</v>
      </c>
    </row>
    <row r="71" spans="1:7" x14ac:dyDescent="0.3">
      <c r="A71" s="33">
        <v>0.16</v>
      </c>
      <c r="B71" s="33">
        <v>0.19989999999999999</v>
      </c>
      <c r="C71" s="33">
        <v>0.55000000000000004</v>
      </c>
      <c r="D71" s="33">
        <v>0.1045</v>
      </c>
      <c r="E71" s="33">
        <v>0</v>
      </c>
      <c r="F71" s="33">
        <v>5</v>
      </c>
      <c r="G71" s="33">
        <v>5</v>
      </c>
    </row>
    <row r="72" spans="1:7" x14ac:dyDescent="0.3">
      <c r="A72" s="33">
        <v>0.16</v>
      </c>
      <c r="B72" s="33">
        <v>0.18179999999999999</v>
      </c>
      <c r="C72" s="33">
        <v>0.59</v>
      </c>
      <c r="D72" s="33">
        <v>0.1045</v>
      </c>
      <c r="E72" s="33">
        <v>0</v>
      </c>
      <c r="F72" s="33">
        <v>2</v>
      </c>
      <c r="G72" s="33">
        <v>2</v>
      </c>
    </row>
    <row r="73" spans="1:7" x14ac:dyDescent="0.3">
      <c r="A73" s="33">
        <v>0.14000000000000001</v>
      </c>
      <c r="B73" s="33">
        <v>0.1515</v>
      </c>
      <c r="C73" s="33">
        <v>0.63</v>
      </c>
      <c r="D73" s="33">
        <v>0.1343</v>
      </c>
      <c r="E73" s="33">
        <v>0</v>
      </c>
      <c r="F73" s="33">
        <v>1</v>
      </c>
      <c r="G73" s="33">
        <v>1</v>
      </c>
    </row>
    <row r="74" spans="1:7" x14ac:dyDescent="0.3">
      <c r="A74" s="33">
        <v>0.14000000000000001</v>
      </c>
      <c r="B74" s="33">
        <v>0.18179999999999999</v>
      </c>
      <c r="C74" s="33">
        <v>0.63</v>
      </c>
      <c r="D74" s="33">
        <v>8.9599999999999999E-2</v>
      </c>
      <c r="E74" s="33">
        <v>0</v>
      </c>
      <c r="F74" s="33">
        <v>2</v>
      </c>
      <c r="G74" s="33">
        <v>2</v>
      </c>
    </row>
    <row r="75" spans="1:7" x14ac:dyDescent="0.3">
      <c r="A75" s="33">
        <v>0.12</v>
      </c>
      <c r="B75" s="33">
        <v>0.1515</v>
      </c>
      <c r="C75" s="33">
        <v>0.68</v>
      </c>
      <c r="D75" s="33">
        <v>0.1045</v>
      </c>
      <c r="E75" s="33">
        <v>0</v>
      </c>
      <c r="F75" s="33">
        <v>4</v>
      </c>
      <c r="G75" s="33">
        <v>4</v>
      </c>
    </row>
    <row r="76" spans="1:7" x14ac:dyDescent="0.3">
      <c r="A76" s="33">
        <v>0.12</v>
      </c>
      <c r="B76" s="33">
        <v>0.1515</v>
      </c>
      <c r="C76" s="33">
        <v>0.74</v>
      </c>
      <c r="D76" s="33">
        <v>0.1045</v>
      </c>
      <c r="E76" s="33">
        <v>0</v>
      </c>
      <c r="F76" s="33">
        <v>36</v>
      </c>
      <c r="G76" s="33">
        <v>36</v>
      </c>
    </row>
    <row r="77" spans="1:7" x14ac:dyDescent="0.3">
      <c r="A77" s="33">
        <v>0.12</v>
      </c>
      <c r="B77" s="33">
        <v>0.1515</v>
      </c>
      <c r="C77" s="33">
        <v>0.74</v>
      </c>
      <c r="D77" s="33">
        <v>0.1343</v>
      </c>
      <c r="E77" s="33">
        <v>2</v>
      </c>
      <c r="F77" s="33">
        <v>92</v>
      </c>
      <c r="G77" s="33">
        <v>94</v>
      </c>
    </row>
    <row r="78" spans="1:7" x14ac:dyDescent="0.3">
      <c r="A78" s="33">
        <v>0.14000000000000001</v>
      </c>
      <c r="B78" s="33">
        <v>0.1515</v>
      </c>
      <c r="C78" s="33">
        <v>0.69</v>
      </c>
      <c r="D78" s="33">
        <v>0.16420000000000001</v>
      </c>
      <c r="E78" s="33">
        <v>2</v>
      </c>
      <c r="F78" s="33">
        <v>177</v>
      </c>
      <c r="G78" s="33">
        <v>179</v>
      </c>
    </row>
    <row r="79" spans="1:7" x14ac:dyDescent="0.3">
      <c r="A79" s="33">
        <v>0.16</v>
      </c>
      <c r="B79" s="33">
        <v>0.1515</v>
      </c>
      <c r="C79" s="33">
        <v>0.64</v>
      </c>
      <c r="D79" s="33">
        <v>0.22389999999999999</v>
      </c>
      <c r="E79" s="33">
        <v>2</v>
      </c>
      <c r="F79" s="33">
        <v>98</v>
      </c>
      <c r="G79" s="33">
        <v>100</v>
      </c>
    </row>
    <row r="80" spans="1:7" x14ac:dyDescent="0.3">
      <c r="A80" s="33">
        <v>0.16</v>
      </c>
      <c r="B80" s="33">
        <v>0.13639999999999999</v>
      </c>
      <c r="C80" s="33">
        <v>0.69</v>
      </c>
      <c r="D80" s="33">
        <v>0.32840000000000003</v>
      </c>
      <c r="E80" s="33">
        <v>5</v>
      </c>
      <c r="F80" s="33">
        <v>37</v>
      </c>
      <c r="G80" s="33">
        <v>42</v>
      </c>
    </row>
    <row r="81" spans="1:7" x14ac:dyDescent="0.3">
      <c r="A81" s="33">
        <v>0.22</v>
      </c>
      <c r="B81" s="33">
        <v>0.21210000000000001</v>
      </c>
      <c r="C81" s="33">
        <v>0.51</v>
      </c>
      <c r="D81" s="33">
        <v>0.29849999999999999</v>
      </c>
      <c r="E81" s="33">
        <v>7</v>
      </c>
      <c r="F81" s="33">
        <v>50</v>
      </c>
      <c r="G81" s="33">
        <v>57</v>
      </c>
    </row>
    <row r="82" spans="1:7" x14ac:dyDescent="0.3">
      <c r="A82" s="33">
        <v>0.22</v>
      </c>
      <c r="B82" s="33">
        <v>0.2273</v>
      </c>
      <c r="C82" s="33">
        <v>0.51</v>
      </c>
      <c r="D82" s="33">
        <v>0.16420000000000001</v>
      </c>
      <c r="E82" s="33">
        <v>12</v>
      </c>
      <c r="F82" s="33">
        <v>66</v>
      </c>
      <c r="G82" s="33">
        <v>78</v>
      </c>
    </row>
    <row r="83" spans="1:7" x14ac:dyDescent="0.3">
      <c r="A83" s="33">
        <v>0.24</v>
      </c>
      <c r="B83" s="33">
        <v>0.2273</v>
      </c>
      <c r="C83" s="33">
        <v>0.56000000000000005</v>
      </c>
      <c r="D83" s="33">
        <v>0.19400000000000001</v>
      </c>
      <c r="E83" s="33">
        <v>18</v>
      </c>
      <c r="F83" s="33">
        <v>79</v>
      </c>
      <c r="G83" s="33">
        <v>97</v>
      </c>
    </row>
    <row r="84" spans="1:7" x14ac:dyDescent="0.3">
      <c r="A84" s="33">
        <v>0.26</v>
      </c>
      <c r="B84" s="33">
        <v>0.2576</v>
      </c>
      <c r="C84" s="33">
        <v>0.52</v>
      </c>
      <c r="D84" s="33">
        <v>0.22389999999999999</v>
      </c>
      <c r="E84" s="33">
        <v>9</v>
      </c>
      <c r="F84" s="33">
        <v>54</v>
      </c>
      <c r="G84" s="33">
        <v>63</v>
      </c>
    </row>
    <row r="85" spans="1:7" x14ac:dyDescent="0.3">
      <c r="A85" s="33">
        <v>0.28000000000000003</v>
      </c>
      <c r="B85" s="33">
        <v>0.2727</v>
      </c>
      <c r="C85" s="33">
        <v>0.52</v>
      </c>
      <c r="D85" s="33">
        <v>0.25369999999999998</v>
      </c>
      <c r="E85" s="33">
        <v>17</v>
      </c>
      <c r="F85" s="33">
        <v>48</v>
      </c>
      <c r="G85" s="33">
        <v>65</v>
      </c>
    </row>
    <row r="86" spans="1:7" x14ac:dyDescent="0.3">
      <c r="A86" s="33">
        <v>0.3</v>
      </c>
      <c r="B86" s="33">
        <v>0.28789999999999999</v>
      </c>
      <c r="C86" s="33">
        <v>0.49</v>
      </c>
      <c r="D86" s="33">
        <v>0.25369999999999998</v>
      </c>
      <c r="E86" s="33">
        <v>15</v>
      </c>
      <c r="F86" s="33">
        <v>68</v>
      </c>
      <c r="G86" s="33">
        <v>83</v>
      </c>
    </row>
    <row r="87" spans="1:7" x14ac:dyDescent="0.3">
      <c r="A87" s="33">
        <v>0.28000000000000003</v>
      </c>
      <c r="B87" s="33">
        <v>0.2727</v>
      </c>
      <c r="C87" s="33">
        <v>0.48</v>
      </c>
      <c r="D87" s="33">
        <v>0.22389999999999999</v>
      </c>
      <c r="E87" s="33">
        <v>10</v>
      </c>
      <c r="F87" s="33">
        <v>202</v>
      </c>
      <c r="G87" s="33">
        <v>212</v>
      </c>
    </row>
    <row r="88" spans="1:7" x14ac:dyDescent="0.3">
      <c r="A88" s="33">
        <v>0.26</v>
      </c>
      <c r="B88" s="33">
        <v>0.2576</v>
      </c>
      <c r="C88" s="33">
        <v>0.48</v>
      </c>
      <c r="D88" s="33">
        <v>0.19400000000000001</v>
      </c>
      <c r="E88" s="33">
        <v>3</v>
      </c>
      <c r="F88" s="33">
        <v>179</v>
      </c>
      <c r="G88" s="33">
        <v>182</v>
      </c>
    </row>
    <row r="89" spans="1:7" x14ac:dyDescent="0.3">
      <c r="A89" s="33">
        <v>0.24</v>
      </c>
      <c r="B89" s="33">
        <v>0.2576</v>
      </c>
      <c r="C89" s="33">
        <v>0.48</v>
      </c>
      <c r="D89" s="33">
        <v>0.1045</v>
      </c>
      <c r="E89" s="33">
        <v>2</v>
      </c>
      <c r="F89" s="33">
        <v>110</v>
      </c>
      <c r="G89" s="33">
        <v>112</v>
      </c>
    </row>
    <row r="90" spans="1:7" x14ac:dyDescent="0.3">
      <c r="A90" s="33">
        <v>0.24</v>
      </c>
      <c r="B90" s="33">
        <v>0.2576</v>
      </c>
      <c r="C90" s="33">
        <v>0.48</v>
      </c>
      <c r="D90" s="33">
        <v>0.1045</v>
      </c>
      <c r="E90" s="33">
        <v>1</v>
      </c>
      <c r="F90" s="33">
        <v>53</v>
      </c>
      <c r="G90" s="33">
        <v>54</v>
      </c>
    </row>
    <row r="91" spans="1:7" x14ac:dyDescent="0.3">
      <c r="A91" s="33">
        <v>0.22</v>
      </c>
      <c r="B91" s="33">
        <v>0.2727</v>
      </c>
      <c r="C91" s="33">
        <v>0.64</v>
      </c>
      <c r="D91" s="33">
        <v>0</v>
      </c>
      <c r="E91" s="33">
        <v>0</v>
      </c>
      <c r="F91" s="33">
        <v>48</v>
      </c>
      <c r="G91" s="33">
        <v>48</v>
      </c>
    </row>
    <row r="92" spans="1:7" x14ac:dyDescent="0.3">
      <c r="A92" s="33">
        <v>0.22</v>
      </c>
      <c r="B92" s="33">
        <v>0.2576</v>
      </c>
      <c r="C92" s="33">
        <v>0.64</v>
      </c>
      <c r="D92" s="33">
        <v>8.9599999999999999E-2</v>
      </c>
      <c r="E92" s="33">
        <v>1</v>
      </c>
      <c r="F92" s="33">
        <v>34</v>
      </c>
      <c r="G92" s="33">
        <v>35</v>
      </c>
    </row>
    <row r="93" spans="1:7" x14ac:dyDescent="0.3">
      <c r="A93" s="33">
        <v>0.2</v>
      </c>
      <c r="B93" s="33">
        <v>0.2273</v>
      </c>
      <c r="C93" s="33">
        <v>0.69</v>
      </c>
      <c r="D93" s="33">
        <v>8.9599999999999999E-2</v>
      </c>
      <c r="E93" s="33">
        <v>2</v>
      </c>
      <c r="F93" s="33">
        <v>9</v>
      </c>
      <c r="G93" s="33">
        <v>11</v>
      </c>
    </row>
    <row r="94" spans="1:7" x14ac:dyDescent="0.3">
      <c r="A94" s="33">
        <v>0.2</v>
      </c>
      <c r="B94" s="33">
        <v>0.2576</v>
      </c>
      <c r="C94" s="33">
        <v>0.64</v>
      </c>
      <c r="D94" s="33">
        <v>0</v>
      </c>
      <c r="E94" s="33">
        <v>0</v>
      </c>
      <c r="F94" s="33">
        <v>6</v>
      </c>
      <c r="G94" s="33">
        <v>6</v>
      </c>
    </row>
    <row r="95" spans="1:7" x14ac:dyDescent="0.3">
      <c r="A95" s="33">
        <v>0.16</v>
      </c>
      <c r="B95" s="33">
        <v>0.19700000000000001</v>
      </c>
      <c r="C95" s="33">
        <v>0.74</v>
      </c>
      <c r="D95" s="33">
        <v>8.9599999999999999E-2</v>
      </c>
      <c r="E95" s="33">
        <v>0</v>
      </c>
      <c r="F95" s="33">
        <v>6</v>
      </c>
      <c r="G95" s="33">
        <v>6</v>
      </c>
    </row>
    <row r="96" spans="1:7" x14ac:dyDescent="0.3">
      <c r="A96" s="33">
        <v>0.16</v>
      </c>
      <c r="B96" s="33">
        <v>0.19700000000000001</v>
      </c>
      <c r="C96" s="33">
        <v>0.74</v>
      </c>
      <c r="D96" s="33">
        <v>8.9599999999999999E-2</v>
      </c>
      <c r="E96" s="33">
        <v>0</v>
      </c>
      <c r="F96" s="33">
        <v>2</v>
      </c>
      <c r="G96" s="33">
        <v>2</v>
      </c>
    </row>
    <row r="97" spans="1:7" x14ac:dyDescent="0.3">
      <c r="A97" s="33">
        <v>0.24</v>
      </c>
      <c r="B97" s="33">
        <v>0.2273</v>
      </c>
      <c r="C97" s="33">
        <v>0.48</v>
      </c>
      <c r="D97" s="33">
        <v>0.22389999999999999</v>
      </c>
      <c r="E97" s="33">
        <v>0</v>
      </c>
      <c r="F97" s="33">
        <v>2</v>
      </c>
      <c r="G97" s="33">
        <v>2</v>
      </c>
    </row>
    <row r="98" spans="1:7" x14ac:dyDescent="0.3">
      <c r="A98" s="33">
        <v>0.22</v>
      </c>
      <c r="B98" s="33">
        <v>0.2273</v>
      </c>
      <c r="C98" s="33">
        <v>0.47</v>
      </c>
      <c r="D98" s="33">
        <v>0.16420000000000001</v>
      </c>
      <c r="E98" s="33">
        <v>0</v>
      </c>
      <c r="F98" s="33">
        <v>3</v>
      </c>
      <c r="G98" s="33">
        <v>3</v>
      </c>
    </row>
    <row r="99" spans="1:7" x14ac:dyDescent="0.3">
      <c r="A99" s="33">
        <v>0.2</v>
      </c>
      <c r="B99" s="33">
        <v>0.19700000000000001</v>
      </c>
      <c r="C99" s="33">
        <v>0.47</v>
      </c>
      <c r="D99" s="33">
        <v>0.22389999999999999</v>
      </c>
      <c r="E99" s="33">
        <v>0</v>
      </c>
      <c r="F99" s="33">
        <v>33</v>
      </c>
      <c r="G99" s="33">
        <v>33</v>
      </c>
    </row>
    <row r="100" spans="1:7" x14ac:dyDescent="0.3">
      <c r="A100" s="33">
        <v>0.18</v>
      </c>
      <c r="B100" s="33">
        <v>0.18179999999999999</v>
      </c>
      <c r="C100" s="33">
        <v>0.43</v>
      </c>
      <c r="D100" s="33">
        <v>0.19400000000000001</v>
      </c>
      <c r="E100" s="33">
        <v>1</v>
      </c>
      <c r="F100" s="33">
        <v>87</v>
      </c>
      <c r="G100" s="33">
        <v>88</v>
      </c>
    </row>
    <row r="101" spans="1:7" x14ac:dyDescent="0.3">
      <c r="A101" s="33">
        <v>0.2</v>
      </c>
      <c r="B101" s="33">
        <v>0.18179999999999999</v>
      </c>
      <c r="C101" s="33">
        <v>0.4</v>
      </c>
      <c r="D101" s="33">
        <v>0.29849999999999999</v>
      </c>
      <c r="E101" s="33">
        <v>3</v>
      </c>
      <c r="F101" s="33">
        <v>192</v>
      </c>
      <c r="G101" s="33">
        <v>195</v>
      </c>
    </row>
    <row r="102" spans="1:7" x14ac:dyDescent="0.3">
      <c r="A102" s="33">
        <v>0.22</v>
      </c>
      <c r="B102" s="33">
        <v>0.19700000000000001</v>
      </c>
      <c r="C102" s="33">
        <v>0.37</v>
      </c>
      <c r="D102" s="33">
        <v>0.32840000000000003</v>
      </c>
      <c r="E102" s="33">
        <v>6</v>
      </c>
      <c r="F102" s="33">
        <v>109</v>
      </c>
      <c r="G102" s="33">
        <v>115</v>
      </c>
    </row>
    <row r="103" spans="1:7" x14ac:dyDescent="0.3">
      <c r="A103" s="33">
        <v>0.22</v>
      </c>
      <c r="B103" s="33">
        <v>0.19700000000000001</v>
      </c>
      <c r="C103" s="33">
        <v>0.37</v>
      </c>
      <c r="D103" s="33">
        <v>0.32840000000000003</v>
      </c>
      <c r="E103" s="33">
        <v>4</v>
      </c>
      <c r="F103" s="33">
        <v>53</v>
      </c>
      <c r="G103" s="33">
        <v>57</v>
      </c>
    </row>
    <row r="104" spans="1:7" x14ac:dyDescent="0.3">
      <c r="A104" s="33">
        <v>0.26</v>
      </c>
      <c r="B104" s="33">
        <v>0.2273</v>
      </c>
      <c r="C104" s="33">
        <v>0.33</v>
      </c>
      <c r="D104" s="33">
        <v>0.32840000000000003</v>
      </c>
      <c r="E104" s="33">
        <v>12</v>
      </c>
      <c r="F104" s="33">
        <v>34</v>
      </c>
      <c r="G104" s="33">
        <v>46</v>
      </c>
    </row>
    <row r="105" spans="1:7" x14ac:dyDescent="0.3">
      <c r="A105" s="33">
        <v>0.26</v>
      </c>
      <c r="B105" s="33">
        <v>0.2273</v>
      </c>
      <c r="C105" s="33">
        <v>0.33</v>
      </c>
      <c r="D105" s="33">
        <v>0.32840000000000003</v>
      </c>
      <c r="E105" s="33">
        <v>5</v>
      </c>
      <c r="F105" s="33">
        <v>74</v>
      </c>
      <c r="G105" s="33">
        <v>79</v>
      </c>
    </row>
    <row r="106" spans="1:7" x14ac:dyDescent="0.3">
      <c r="A106" s="33">
        <v>0.28000000000000003</v>
      </c>
      <c r="B106" s="33">
        <v>0.2576</v>
      </c>
      <c r="C106" s="33">
        <v>0.3</v>
      </c>
      <c r="D106" s="33">
        <v>0.29849999999999999</v>
      </c>
      <c r="E106" s="33">
        <v>6</v>
      </c>
      <c r="F106" s="33">
        <v>65</v>
      </c>
      <c r="G106" s="33">
        <v>71</v>
      </c>
    </row>
    <row r="107" spans="1:7" x14ac:dyDescent="0.3">
      <c r="A107" s="33">
        <v>0.3</v>
      </c>
      <c r="B107" s="33">
        <v>0.28789999999999999</v>
      </c>
      <c r="C107" s="33">
        <v>0.28000000000000003</v>
      </c>
      <c r="D107" s="33">
        <v>0.19400000000000001</v>
      </c>
      <c r="E107" s="33">
        <v>10</v>
      </c>
      <c r="F107" s="33">
        <v>52</v>
      </c>
      <c r="G107" s="33">
        <v>62</v>
      </c>
    </row>
    <row r="108" spans="1:7" x14ac:dyDescent="0.3">
      <c r="A108" s="33">
        <v>0.3</v>
      </c>
      <c r="B108" s="33">
        <v>0.28789999999999999</v>
      </c>
      <c r="C108" s="33">
        <v>0.28000000000000003</v>
      </c>
      <c r="D108" s="33">
        <v>0.19400000000000001</v>
      </c>
      <c r="E108" s="33">
        <v>7</v>
      </c>
      <c r="F108" s="33">
        <v>55</v>
      </c>
      <c r="G108" s="33">
        <v>62</v>
      </c>
    </row>
    <row r="109" spans="1:7" x14ac:dyDescent="0.3">
      <c r="A109" s="33">
        <v>0.3</v>
      </c>
      <c r="B109" s="33">
        <v>0.31819999999999998</v>
      </c>
      <c r="C109" s="33">
        <v>0.28000000000000003</v>
      </c>
      <c r="D109" s="33">
        <v>8.9599999999999999E-2</v>
      </c>
      <c r="E109" s="33">
        <v>4</v>
      </c>
      <c r="F109" s="33">
        <v>85</v>
      </c>
      <c r="G109" s="33">
        <v>89</v>
      </c>
    </row>
    <row r="110" spans="1:7" x14ac:dyDescent="0.3">
      <c r="A110" s="33">
        <v>0.24</v>
      </c>
      <c r="B110" s="33">
        <v>0.2273</v>
      </c>
      <c r="C110" s="33">
        <v>0.38</v>
      </c>
      <c r="D110" s="33">
        <v>0.19400000000000001</v>
      </c>
      <c r="E110" s="33">
        <v>4</v>
      </c>
      <c r="F110" s="33">
        <v>186</v>
      </c>
      <c r="G110" s="33">
        <v>190</v>
      </c>
    </row>
    <row r="111" spans="1:7" x14ac:dyDescent="0.3">
      <c r="A111" s="33">
        <v>0.24</v>
      </c>
      <c r="B111" s="33">
        <v>0.2424</v>
      </c>
      <c r="C111" s="33">
        <v>0.38</v>
      </c>
      <c r="D111" s="33">
        <v>0.1343</v>
      </c>
      <c r="E111" s="33">
        <v>3</v>
      </c>
      <c r="F111" s="33">
        <v>166</v>
      </c>
      <c r="G111" s="33">
        <v>169</v>
      </c>
    </row>
    <row r="112" spans="1:7" x14ac:dyDescent="0.3">
      <c r="A112" s="33">
        <v>0.24</v>
      </c>
      <c r="B112" s="33">
        <v>0.2576</v>
      </c>
      <c r="C112" s="33">
        <v>0.38</v>
      </c>
      <c r="D112" s="33">
        <v>0.1045</v>
      </c>
      <c r="E112" s="33">
        <v>5</v>
      </c>
      <c r="F112" s="33">
        <v>127</v>
      </c>
      <c r="G112" s="33">
        <v>132</v>
      </c>
    </row>
    <row r="113" spans="1:7" x14ac:dyDescent="0.3">
      <c r="A113" s="33">
        <v>0.22</v>
      </c>
      <c r="B113" s="33">
        <v>0.2273</v>
      </c>
      <c r="C113" s="33">
        <v>0.47</v>
      </c>
      <c r="D113" s="33">
        <v>0.16420000000000001</v>
      </c>
      <c r="E113" s="33">
        <v>7</v>
      </c>
      <c r="F113" s="33">
        <v>82</v>
      </c>
      <c r="G113" s="33">
        <v>89</v>
      </c>
    </row>
    <row r="114" spans="1:7" x14ac:dyDescent="0.3">
      <c r="A114" s="33">
        <v>0.2</v>
      </c>
      <c r="B114" s="33">
        <v>0.19700000000000001</v>
      </c>
      <c r="C114" s="33">
        <v>0.51</v>
      </c>
      <c r="D114" s="33">
        <v>0.19400000000000001</v>
      </c>
      <c r="E114" s="33">
        <v>3</v>
      </c>
      <c r="F114" s="33">
        <v>40</v>
      </c>
      <c r="G114" s="33">
        <v>43</v>
      </c>
    </row>
    <row r="115" spans="1:7" x14ac:dyDescent="0.3">
      <c r="A115" s="33">
        <v>0.18</v>
      </c>
      <c r="B115" s="33">
        <v>0.19700000000000001</v>
      </c>
      <c r="C115" s="33">
        <v>0.55000000000000004</v>
      </c>
      <c r="D115" s="33">
        <v>0.1343</v>
      </c>
      <c r="E115" s="33">
        <v>1</v>
      </c>
      <c r="F115" s="33">
        <v>41</v>
      </c>
      <c r="G115" s="33">
        <v>42</v>
      </c>
    </row>
    <row r="116" spans="1:7" x14ac:dyDescent="0.3">
      <c r="A116" s="33">
        <v>0.2</v>
      </c>
      <c r="B116" s="33">
        <v>0.2576</v>
      </c>
      <c r="C116" s="33">
        <v>0.47</v>
      </c>
      <c r="D116" s="33">
        <v>0</v>
      </c>
      <c r="E116" s="33">
        <v>1</v>
      </c>
      <c r="F116" s="33">
        <v>18</v>
      </c>
      <c r="G116" s="33">
        <v>19</v>
      </c>
    </row>
    <row r="117" spans="1:7" x14ac:dyDescent="0.3">
      <c r="A117" s="33">
        <v>0.18</v>
      </c>
      <c r="B117" s="33">
        <v>0.2424</v>
      </c>
      <c r="C117" s="33">
        <v>0.55000000000000004</v>
      </c>
      <c r="D117" s="33">
        <v>0</v>
      </c>
      <c r="E117" s="33">
        <v>0</v>
      </c>
      <c r="F117" s="33">
        <v>11</v>
      </c>
      <c r="G117" s="33">
        <v>11</v>
      </c>
    </row>
    <row r="118" spans="1:7" x14ac:dyDescent="0.3">
      <c r="A118" s="33">
        <v>0.16</v>
      </c>
      <c r="B118" s="33">
        <v>0.2273</v>
      </c>
      <c r="C118" s="33">
        <v>0.64</v>
      </c>
      <c r="D118" s="33">
        <v>0</v>
      </c>
      <c r="E118" s="33">
        <v>0</v>
      </c>
      <c r="F118" s="33">
        <v>4</v>
      </c>
      <c r="G118" s="33">
        <v>4</v>
      </c>
    </row>
    <row r="119" spans="1:7" x14ac:dyDescent="0.3">
      <c r="A119" s="33">
        <v>0.16</v>
      </c>
      <c r="B119" s="33">
        <v>0.2273</v>
      </c>
      <c r="C119" s="33">
        <v>0.64</v>
      </c>
      <c r="D119" s="33">
        <v>0</v>
      </c>
      <c r="E119" s="33">
        <v>0</v>
      </c>
      <c r="F119" s="33">
        <v>2</v>
      </c>
      <c r="G119" s="33">
        <v>2</v>
      </c>
    </row>
    <row r="120" spans="1:7" x14ac:dyDescent="0.3">
      <c r="A120" s="33">
        <v>0.16</v>
      </c>
      <c r="B120" s="33">
        <v>0.19700000000000001</v>
      </c>
      <c r="C120" s="33">
        <v>0.64</v>
      </c>
      <c r="D120" s="33">
        <v>8.9599999999999999E-2</v>
      </c>
      <c r="E120" s="33">
        <v>0</v>
      </c>
      <c r="F120" s="33">
        <v>1</v>
      </c>
      <c r="G120" s="33">
        <v>1</v>
      </c>
    </row>
    <row r="121" spans="1:7" x14ac:dyDescent="0.3">
      <c r="A121" s="33">
        <v>0.14000000000000001</v>
      </c>
      <c r="B121" s="33">
        <v>0.18179999999999999</v>
      </c>
      <c r="C121" s="33">
        <v>0.69</v>
      </c>
      <c r="D121" s="33">
        <v>8.9599999999999999E-2</v>
      </c>
      <c r="E121" s="33">
        <v>0</v>
      </c>
      <c r="F121" s="33">
        <v>4</v>
      </c>
      <c r="G121" s="33">
        <v>4</v>
      </c>
    </row>
    <row r="122" spans="1:7" x14ac:dyDescent="0.3">
      <c r="A122" s="33">
        <v>0.14000000000000001</v>
      </c>
      <c r="B122" s="33">
        <v>0.16669999999999999</v>
      </c>
      <c r="C122" s="33">
        <v>0.63</v>
      </c>
      <c r="D122" s="33">
        <v>0.1045</v>
      </c>
      <c r="E122" s="33">
        <v>0</v>
      </c>
      <c r="F122" s="33">
        <v>36</v>
      </c>
      <c r="G122" s="33">
        <v>36</v>
      </c>
    </row>
    <row r="123" spans="1:7" x14ac:dyDescent="0.3">
      <c r="A123" s="33">
        <v>0.16</v>
      </c>
      <c r="B123" s="33">
        <v>0.2273</v>
      </c>
      <c r="C123" s="33">
        <v>0.59</v>
      </c>
      <c r="D123" s="33">
        <v>0</v>
      </c>
      <c r="E123" s="33">
        <v>0</v>
      </c>
      <c r="F123" s="33">
        <v>95</v>
      </c>
      <c r="G123" s="33">
        <v>95</v>
      </c>
    </row>
    <row r="124" spans="1:7" x14ac:dyDescent="0.3">
      <c r="A124" s="33">
        <v>0.16</v>
      </c>
      <c r="B124" s="33">
        <v>0.2273</v>
      </c>
      <c r="C124" s="33">
        <v>0.59</v>
      </c>
      <c r="D124" s="33">
        <v>0</v>
      </c>
      <c r="E124" s="33">
        <v>3</v>
      </c>
      <c r="F124" s="33">
        <v>216</v>
      </c>
      <c r="G124" s="33">
        <v>219</v>
      </c>
    </row>
    <row r="125" spans="1:7" x14ac:dyDescent="0.3">
      <c r="A125" s="33">
        <v>0.18</v>
      </c>
      <c r="B125" s="33">
        <v>0.2424</v>
      </c>
      <c r="C125" s="33">
        <v>0.51</v>
      </c>
      <c r="D125" s="33">
        <v>0</v>
      </c>
      <c r="E125" s="33">
        <v>6</v>
      </c>
      <c r="F125" s="33">
        <v>116</v>
      </c>
      <c r="G125" s="33">
        <v>122</v>
      </c>
    </row>
    <row r="126" spans="1:7" x14ac:dyDescent="0.3">
      <c r="A126" s="33">
        <v>0.2</v>
      </c>
      <c r="B126" s="33">
        <v>0.2576</v>
      </c>
      <c r="C126" s="33">
        <v>0.47</v>
      </c>
      <c r="D126" s="33">
        <v>0</v>
      </c>
      <c r="E126" s="33">
        <v>3</v>
      </c>
      <c r="F126" s="33">
        <v>42</v>
      </c>
      <c r="G126" s="33">
        <v>45</v>
      </c>
    </row>
    <row r="127" spans="1:7" x14ac:dyDescent="0.3">
      <c r="A127" s="33">
        <v>0.22</v>
      </c>
      <c r="B127" s="33">
        <v>0.2576</v>
      </c>
      <c r="C127" s="33">
        <v>0.44</v>
      </c>
      <c r="D127" s="33">
        <v>8.9599999999999999E-2</v>
      </c>
      <c r="E127" s="33">
        <v>2</v>
      </c>
      <c r="F127" s="33">
        <v>57</v>
      </c>
      <c r="G127" s="33">
        <v>59</v>
      </c>
    </row>
    <row r="128" spans="1:7" x14ac:dyDescent="0.3">
      <c r="A128" s="33">
        <v>0.26</v>
      </c>
      <c r="B128" s="33">
        <v>0.28789999999999999</v>
      </c>
      <c r="C128" s="33">
        <v>0.35</v>
      </c>
      <c r="D128" s="33">
        <v>0</v>
      </c>
      <c r="E128" s="33">
        <v>6</v>
      </c>
      <c r="F128" s="33">
        <v>78</v>
      </c>
      <c r="G128" s="33">
        <v>84</v>
      </c>
    </row>
    <row r="129" spans="1:7" x14ac:dyDescent="0.3">
      <c r="A129" s="33">
        <v>0.26</v>
      </c>
      <c r="B129" s="33">
        <v>0.2727</v>
      </c>
      <c r="C129" s="33">
        <v>0.35</v>
      </c>
      <c r="D129" s="33">
        <v>0.1045</v>
      </c>
      <c r="E129" s="33">
        <v>12</v>
      </c>
      <c r="F129" s="33">
        <v>55</v>
      </c>
      <c r="G129" s="33">
        <v>67</v>
      </c>
    </row>
    <row r="130" spans="1:7" x14ac:dyDescent="0.3">
      <c r="A130" s="33">
        <v>0.28000000000000003</v>
      </c>
      <c r="B130" s="33">
        <v>0.2727</v>
      </c>
      <c r="C130" s="33">
        <v>0.36</v>
      </c>
      <c r="D130" s="33">
        <v>0.16420000000000001</v>
      </c>
      <c r="E130" s="33">
        <v>11</v>
      </c>
      <c r="F130" s="33">
        <v>59</v>
      </c>
      <c r="G130" s="33">
        <v>70</v>
      </c>
    </row>
    <row r="131" spans="1:7" x14ac:dyDescent="0.3">
      <c r="A131" s="33">
        <v>0.28000000000000003</v>
      </c>
      <c r="B131" s="33">
        <v>0.2727</v>
      </c>
      <c r="C131" s="33">
        <v>0.36</v>
      </c>
      <c r="D131" s="33">
        <v>0</v>
      </c>
      <c r="E131" s="33">
        <v>8</v>
      </c>
      <c r="F131" s="33">
        <v>54</v>
      </c>
      <c r="G131" s="33">
        <v>62</v>
      </c>
    </row>
    <row r="132" spans="1:7" x14ac:dyDescent="0.3">
      <c r="A132" s="33">
        <v>0.26</v>
      </c>
      <c r="B132" s="33">
        <v>0.2576</v>
      </c>
      <c r="C132" s="33">
        <v>0.38</v>
      </c>
      <c r="D132" s="33">
        <v>0.16420000000000001</v>
      </c>
      <c r="E132" s="33">
        <v>12</v>
      </c>
      <c r="F132" s="33">
        <v>74</v>
      </c>
      <c r="G132" s="33">
        <v>86</v>
      </c>
    </row>
    <row r="133" spans="1:7" x14ac:dyDescent="0.3">
      <c r="A133" s="33">
        <v>0.22</v>
      </c>
      <c r="B133" s="33">
        <v>0.2273</v>
      </c>
      <c r="C133" s="33">
        <v>0.51</v>
      </c>
      <c r="D133" s="33">
        <v>0.16420000000000001</v>
      </c>
      <c r="E133" s="33">
        <v>9</v>
      </c>
      <c r="F133" s="33">
        <v>163</v>
      </c>
      <c r="G133" s="33">
        <v>172</v>
      </c>
    </row>
    <row r="134" spans="1:7" x14ac:dyDescent="0.3">
      <c r="A134" s="33">
        <v>0.22</v>
      </c>
      <c r="B134" s="33">
        <v>0.2273</v>
      </c>
      <c r="C134" s="33">
        <v>0.51</v>
      </c>
      <c r="D134" s="33">
        <v>0.1343</v>
      </c>
      <c r="E134" s="33">
        <v>5</v>
      </c>
      <c r="F134" s="33">
        <v>158</v>
      </c>
      <c r="G134" s="33">
        <v>163</v>
      </c>
    </row>
    <row r="135" spans="1:7" x14ac:dyDescent="0.3">
      <c r="A135" s="33">
        <v>0.22</v>
      </c>
      <c r="B135" s="33">
        <v>0.2576</v>
      </c>
      <c r="C135" s="33">
        <v>0.55000000000000004</v>
      </c>
      <c r="D135" s="33">
        <v>8.9599999999999999E-2</v>
      </c>
      <c r="E135" s="33">
        <v>3</v>
      </c>
      <c r="F135" s="33">
        <v>109</v>
      </c>
      <c r="G135" s="33">
        <v>112</v>
      </c>
    </row>
    <row r="136" spans="1:7" x14ac:dyDescent="0.3">
      <c r="A136" s="33">
        <v>0.2</v>
      </c>
      <c r="B136" s="33">
        <v>0.21210000000000001</v>
      </c>
      <c r="C136" s="33">
        <v>0.51</v>
      </c>
      <c r="D136" s="33">
        <v>0.16420000000000001</v>
      </c>
      <c r="E136" s="33">
        <v>3</v>
      </c>
      <c r="F136" s="33">
        <v>66</v>
      </c>
      <c r="G136" s="33">
        <v>69</v>
      </c>
    </row>
    <row r="137" spans="1:7" x14ac:dyDescent="0.3">
      <c r="A137" s="33">
        <v>0.22</v>
      </c>
      <c r="B137" s="33">
        <v>0.21210000000000001</v>
      </c>
      <c r="C137" s="33">
        <v>0.55000000000000004</v>
      </c>
      <c r="D137" s="33">
        <v>0.22389999999999999</v>
      </c>
      <c r="E137" s="33">
        <v>0</v>
      </c>
      <c r="F137" s="33">
        <v>48</v>
      </c>
      <c r="G137" s="33">
        <v>48</v>
      </c>
    </row>
    <row r="138" spans="1:7" x14ac:dyDescent="0.3">
      <c r="A138" s="33">
        <v>0.22</v>
      </c>
      <c r="B138" s="33">
        <v>0.21210000000000001</v>
      </c>
      <c r="C138" s="33">
        <v>0.51</v>
      </c>
      <c r="D138" s="33">
        <v>0.28360000000000002</v>
      </c>
      <c r="E138" s="33">
        <v>1</v>
      </c>
      <c r="F138" s="33">
        <v>51</v>
      </c>
      <c r="G138" s="33">
        <v>52</v>
      </c>
    </row>
    <row r="139" spans="1:7" x14ac:dyDescent="0.3">
      <c r="A139" s="33">
        <v>0.2</v>
      </c>
      <c r="B139" s="33">
        <v>0.19700000000000001</v>
      </c>
      <c r="C139" s="33">
        <v>0.59</v>
      </c>
      <c r="D139" s="33">
        <v>0.19400000000000001</v>
      </c>
      <c r="E139" s="33">
        <v>4</v>
      </c>
      <c r="F139" s="33">
        <v>19</v>
      </c>
      <c r="G139" s="33">
        <v>23</v>
      </c>
    </row>
    <row r="140" spans="1:7" x14ac:dyDescent="0.3">
      <c r="A140" s="33">
        <v>0.2</v>
      </c>
      <c r="B140" s="33">
        <v>0.19700000000000001</v>
      </c>
      <c r="C140" s="33">
        <v>0.64</v>
      </c>
      <c r="D140" s="33">
        <v>0.19400000000000001</v>
      </c>
      <c r="E140" s="33">
        <v>4</v>
      </c>
      <c r="F140" s="33">
        <v>13</v>
      </c>
      <c r="G140" s="33">
        <v>17</v>
      </c>
    </row>
    <row r="141" spans="1:7" x14ac:dyDescent="0.3">
      <c r="A141" s="33">
        <v>0.2</v>
      </c>
      <c r="B141" s="33">
        <v>0.19700000000000001</v>
      </c>
      <c r="C141" s="33">
        <v>0.69</v>
      </c>
      <c r="D141" s="33">
        <v>0.22389999999999999</v>
      </c>
      <c r="E141" s="33">
        <v>2</v>
      </c>
      <c r="F141" s="33">
        <v>5</v>
      </c>
      <c r="G141" s="33">
        <v>7</v>
      </c>
    </row>
    <row r="142" spans="1:7" x14ac:dyDescent="0.3">
      <c r="A142" s="33">
        <v>0.2</v>
      </c>
      <c r="B142" s="33">
        <v>0.19700000000000001</v>
      </c>
      <c r="C142" s="33">
        <v>0.69</v>
      </c>
      <c r="D142" s="33">
        <v>0.22389999999999999</v>
      </c>
      <c r="E142" s="33">
        <v>0</v>
      </c>
      <c r="F142" s="33">
        <v>1</v>
      </c>
      <c r="G142" s="33">
        <v>1</v>
      </c>
    </row>
    <row r="143" spans="1:7" x14ac:dyDescent="0.3">
      <c r="A143" s="33">
        <v>0.2</v>
      </c>
      <c r="B143" s="33">
        <v>0.21210000000000001</v>
      </c>
      <c r="C143" s="33">
        <v>0.69</v>
      </c>
      <c r="D143" s="33">
        <v>0.1343</v>
      </c>
      <c r="E143" s="33">
        <v>0</v>
      </c>
      <c r="F143" s="33">
        <v>1</v>
      </c>
      <c r="G143" s="33">
        <v>1</v>
      </c>
    </row>
    <row r="144" spans="1:7" x14ac:dyDescent="0.3">
      <c r="A144" s="33">
        <v>0.22</v>
      </c>
      <c r="B144" s="33">
        <v>0.2727</v>
      </c>
      <c r="C144" s="33">
        <v>0.55000000000000004</v>
      </c>
      <c r="D144" s="33">
        <v>0</v>
      </c>
      <c r="E144" s="33">
        <v>0</v>
      </c>
      <c r="F144" s="33">
        <v>5</v>
      </c>
      <c r="G144" s="33">
        <v>5</v>
      </c>
    </row>
    <row r="145" spans="1:7" x14ac:dyDescent="0.3">
      <c r="A145" s="33">
        <v>0.2</v>
      </c>
      <c r="B145" s="33">
        <v>0.2576</v>
      </c>
      <c r="C145" s="33">
        <v>0.69</v>
      </c>
      <c r="D145" s="33">
        <v>0</v>
      </c>
      <c r="E145" s="33">
        <v>8</v>
      </c>
      <c r="F145" s="33">
        <v>26</v>
      </c>
      <c r="G145" s="33">
        <v>34</v>
      </c>
    </row>
    <row r="146" spans="1:7" x14ac:dyDescent="0.3">
      <c r="A146" s="33">
        <v>0.2</v>
      </c>
      <c r="B146" s="33">
        <v>0.21210000000000001</v>
      </c>
      <c r="C146" s="33">
        <v>0.69</v>
      </c>
      <c r="D146" s="33">
        <v>0.1343</v>
      </c>
      <c r="E146" s="33">
        <v>8</v>
      </c>
      <c r="F146" s="33">
        <v>76</v>
      </c>
      <c r="G146" s="33">
        <v>84</v>
      </c>
    </row>
    <row r="147" spans="1:7" x14ac:dyDescent="0.3">
      <c r="A147" s="33">
        <v>0.2</v>
      </c>
      <c r="B147" s="33">
        <v>0.19700000000000001</v>
      </c>
      <c r="C147" s="33">
        <v>0.51</v>
      </c>
      <c r="D147" s="33">
        <v>0.25369999999999998</v>
      </c>
      <c r="E147" s="33">
        <v>20</v>
      </c>
      <c r="F147" s="33">
        <v>190</v>
      </c>
      <c r="G147" s="33">
        <v>210</v>
      </c>
    </row>
    <row r="148" spans="1:7" x14ac:dyDescent="0.3">
      <c r="A148" s="33">
        <v>0.2</v>
      </c>
      <c r="B148" s="33">
        <v>0.18179999999999999</v>
      </c>
      <c r="C148" s="33">
        <v>0.47</v>
      </c>
      <c r="D148" s="33">
        <v>0.29849999999999999</v>
      </c>
      <c r="E148" s="33">
        <v>9</v>
      </c>
      <c r="F148" s="33">
        <v>125</v>
      </c>
      <c r="G148" s="33">
        <v>134</v>
      </c>
    </row>
    <row r="149" spans="1:7" x14ac:dyDescent="0.3">
      <c r="A149" s="33">
        <v>0.22</v>
      </c>
      <c r="B149" s="33">
        <v>0.19700000000000001</v>
      </c>
      <c r="C149" s="33">
        <v>0.37</v>
      </c>
      <c r="D149" s="33">
        <v>0.32840000000000003</v>
      </c>
      <c r="E149" s="33">
        <v>16</v>
      </c>
      <c r="F149" s="33">
        <v>47</v>
      </c>
      <c r="G149" s="33">
        <v>63</v>
      </c>
    </row>
    <row r="150" spans="1:7" x14ac:dyDescent="0.3">
      <c r="A150" s="33">
        <v>0.2</v>
      </c>
      <c r="B150" s="33">
        <v>0.19700000000000001</v>
      </c>
      <c r="C150" s="33">
        <v>0.4</v>
      </c>
      <c r="D150" s="33">
        <v>0.22389999999999999</v>
      </c>
      <c r="E150" s="33">
        <v>19</v>
      </c>
      <c r="F150" s="33">
        <v>48</v>
      </c>
      <c r="G150" s="33">
        <v>67</v>
      </c>
    </row>
    <row r="151" spans="1:7" x14ac:dyDescent="0.3">
      <c r="A151" s="33">
        <v>0.2</v>
      </c>
      <c r="B151" s="33">
        <v>0.19700000000000001</v>
      </c>
      <c r="C151" s="33">
        <v>0.37</v>
      </c>
      <c r="D151" s="33">
        <v>0.25369999999999998</v>
      </c>
      <c r="E151" s="33">
        <v>9</v>
      </c>
      <c r="F151" s="33">
        <v>50</v>
      </c>
      <c r="G151" s="33">
        <v>59</v>
      </c>
    </row>
    <row r="152" spans="1:7" x14ac:dyDescent="0.3">
      <c r="A152" s="33">
        <v>0.2</v>
      </c>
      <c r="B152" s="33">
        <v>0.18179999999999999</v>
      </c>
      <c r="C152" s="33">
        <v>0.37</v>
      </c>
      <c r="D152" s="33">
        <v>0.28360000000000002</v>
      </c>
      <c r="E152" s="33">
        <v>9</v>
      </c>
      <c r="F152" s="33">
        <v>64</v>
      </c>
      <c r="G152" s="33">
        <v>73</v>
      </c>
    </row>
    <row r="153" spans="1:7" x14ac:dyDescent="0.3">
      <c r="A153" s="33">
        <v>0.2</v>
      </c>
      <c r="B153" s="33">
        <v>0.19700000000000001</v>
      </c>
      <c r="C153" s="33">
        <v>0.4</v>
      </c>
      <c r="D153" s="33">
        <v>0.25369999999999998</v>
      </c>
      <c r="E153" s="33">
        <v>7</v>
      </c>
      <c r="F153" s="33">
        <v>43</v>
      </c>
      <c r="G153" s="33">
        <v>50</v>
      </c>
    </row>
    <row r="154" spans="1:7" x14ac:dyDescent="0.3">
      <c r="A154" s="33">
        <v>0.2</v>
      </c>
      <c r="B154" s="33">
        <v>0.21210000000000001</v>
      </c>
      <c r="C154" s="33">
        <v>0.37</v>
      </c>
      <c r="D154" s="33">
        <v>0.16420000000000001</v>
      </c>
      <c r="E154" s="33">
        <v>9</v>
      </c>
      <c r="F154" s="33">
        <v>63</v>
      </c>
      <c r="G154" s="33">
        <v>72</v>
      </c>
    </row>
    <row r="155" spans="1:7" x14ac:dyDescent="0.3">
      <c r="A155" s="33">
        <v>0.2</v>
      </c>
      <c r="B155" s="33">
        <v>0.21210000000000001</v>
      </c>
      <c r="C155" s="33">
        <v>0.37</v>
      </c>
      <c r="D155" s="33">
        <v>0.16420000000000001</v>
      </c>
      <c r="E155" s="33">
        <v>5</v>
      </c>
      <c r="F155" s="33">
        <v>82</v>
      </c>
      <c r="G155" s="33">
        <v>87</v>
      </c>
    </row>
    <row r="156" spans="1:7" x14ac:dyDescent="0.3">
      <c r="A156" s="33">
        <v>0.2</v>
      </c>
      <c r="B156" s="33">
        <v>0.2576</v>
      </c>
      <c r="C156" s="33">
        <v>0.37</v>
      </c>
      <c r="D156" s="33">
        <v>0</v>
      </c>
      <c r="E156" s="33">
        <v>9</v>
      </c>
      <c r="F156" s="33">
        <v>178</v>
      </c>
      <c r="G156" s="33">
        <v>187</v>
      </c>
    </row>
    <row r="157" spans="1:7" x14ac:dyDescent="0.3">
      <c r="A157" s="33">
        <v>0.2</v>
      </c>
      <c r="B157" s="33">
        <v>0.2273</v>
      </c>
      <c r="C157" s="33">
        <v>0.4</v>
      </c>
      <c r="D157" s="33">
        <v>8.9599999999999999E-2</v>
      </c>
      <c r="E157" s="33">
        <v>7</v>
      </c>
      <c r="F157" s="33">
        <v>116</v>
      </c>
      <c r="G157" s="33">
        <v>123</v>
      </c>
    </row>
    <row r="158" spans="1:7" x14ac:dyDescent="0.3">
      <c r="A158" s="33">
        <v>0.16</v>
      </c>
      <c r="B158" s="33">
        <v>0.19700000000000001</v>
      </c>
      <c r="C158" s="33">
        <v>0.55000000000000004</v>
      </c>
      <c r="D158" s="33">
        <v>8.9599999999999999E-2</v>
      </c>
      <c r="E158" s="33">
        <v>3</v>
      </c>
      <c r="F158" s="33">
        <v>92</v>
      </c>
      <c r="G158" s="33">
        <v>95</v>
      </c>
    </row>
    <row r="159" spans="1:7" x14ac:dyDescent="0.3">
      <c r="A159" s="33">
        <v>0.18</v>
      </c>
      <c r="B159" s="33">
        <v>0.21210000000000001</v>
      </c>
      <c r="C159" s="33">
        <v>0.47</v>
      </c>
      <c r="D159" s="33">
        <v>0.1045</v>
      </c>
      <c r="E159" s="33">
        <v>1</v>
      </c>
      <c r="F159" s="33">
        <v>50</v>
      </c>
      <c r="G159" s="33">
        <v>51</v>
      </c>
    </row>
    <row r="160" spans="1:7" x14ac:dyDescent="0.3">
      <c r="A160" s="33">
        <v>0.18</v>
      </c>
      <c r="B160" s="33">
        <v>0.19700000000000001</v>
      </c>
      <c r="C160" s="33">
        <v>0.47</v>
      </c>
      <c r="D160" s="33">
        <v>0.1343</v>
      </c>
      <c r="E160" s="33">
        <v>0</v>
      </c>
      <c r="F160" s="33">
        <v>39</v>
      </c>
      <c r="G160" s="33">
        <v>39</v>
      </c>
    </row>
    <row r="161" spans="1:7" x14ac:dyDescent="0.3">
      <c r="A161" s="33">
        <v>0.18</v>
      </c>
      <c r="B161" s="33">
        <v>0.19700000000000001</v>
      </c>
      <c r="C161" s="33">
        <v>0.43</v>
      </c>
      <c r="D161" s="33">
        <v>0.16420000000000001</v>
      </c>
      <c r="E161" s="33">
        <v>2</v>
      </c>
      <c r="F161" s="33">
        <v>34</v>
      </c>
      <c r="G161" s="33">
        <v>36</v>
      </c>
    </row>
    <row r="162" spans="1:7" x14ac:dyDescent="0.3">
      <c r="A162" s="33">
        <v>0.18</v>
      </c>
      <c r="B162" s="33">
        <v>0.19700000000000001</v>
      </c>
      <c r="C162" s="33">
        <v>0.51</v>
      </c>
      <c r="D162" s="33">
        <v>0.16420000000000001</v>
      </c>
      <c r="E162" s="33">
        <v>1</v>
      </c>
      <c r="F162" s="33">
        <v>14</v>
      </c>
      <c r="G162" s="33">
        <v>15</v>
      </c>
    </row>
    <row r="163" spans="1:7" x14ac:dyDescent="0.3">
      <c r="A163" s="33">
        <v>0.18</v>
      </c>
      <c r="B163" s="33">
        <v>0.19700000000000001</v>
      </c>
      <c r="C163" s="33">
        <v>0.51</v>
      </c>
      <c r="D163" s="33">
        <v>0.16420000000000001</v>
      </c>
      <c r="E163" s="33">
        <v>1</v>
      </c>
      <c r="F163" s="33">
        <v>24</v>
      </c>
      <c r="G163" s="33">
        <v>25</v>
      </c>
    </row>
    <row r="164" spans="1:7" x14ac:dyDescent="0.3">
      <c r="A164" s="33">
        <v>0.18</v>
      </c>
      <c r="B164" s="33">
        <v>0.21210000000000001</v>
      </c>
      <c r="C164" s="33">
        <v>0.55000000000000004</v>
      </c>
      <c r="D164" s="33">
        <v>8.9599999999999999E-2</v>
      </c>
      <c r="E164" s="33">
        <v>1</v>
      </c>
      <c r="F164" s="33">
        <v>15</v>
      </c>
      <c r="G164" s="33">
        <v>16</v>
      </c>
    </row>
    <row r="165" spans="1:7" x14ac:dyDescent="0.3">
      <c r="A165" s="33">
        <v>0.18</v>
      </c>
      <c r="B165" s="33">
        <v>0.2424</v>
      </c>
      <c r="C165" s="33">
        <v>0.55000000000000004</v>
      </c>
      <c r="D165" s="33">
        <v>0</v>
      </c>
      <c r="E165" s="33">
        <v>3</v>
      </c>
      <c r="F165" s="33">
        <v>13</v>
      </c>
      <c r="G165" s="33">
        <v>16</v>
      </c>
    </row>
    <row r="166" spans="1:7" x14ac:dyDescent="0.3">
      <c r="A166" s="33">
        <v>0.18</v>
      </c>
      <c r="B166" s="33">
        <v>0.19700000000000001</v>
      </c>
      <c r="C166" s="33">
        <v>0.55000000000000004</v>
      </c>
      <c r="D166" s="33">
        <v>0.16420000000000001</v>
      </c>
      <c r="E166" s="33">
        <v>0</v>
      </c>
      <c r="F166" s="33">
        <v>7</v>
      </c>
      <c r="G166" s="33">
        <v>7</v>
      </c>
    </row>
    <row r="167" spans="1:7" x14ac:dyDescent="0.3">
      <c r="A167" s="33">
        <v>0.18</v>
      </c>
      <c r="B167" s="33">
        <v>0.19700000000000001</v>
      </c>
      <c r="C167" s="33">
        <v>0.55000000000000004</v>
      </c>
      <c r="D167" s="33">
        <v>0.16420000000000001</v>
      </c>
      <c r="E167" s="33">
        <v>0</v>
      </c>
      <c r="F167" s="33">
        <v>1</v>
      </c>
      <c r="G167" s="33">
        <v>1</v>
      </c>
    </row>
    <row r="168" spans="1:7" x14ac:dyDescent="0.3">
      <c r="A168" s="33">
        <v>0.16</v>
      </c>
      <c r="B168" s="33">
        <v>0.16669999999999999</v>
      </c>
      <c r="C168" s="33">
        <v>0.74</v>
      </c>
      <c r="D168" s="33">
        <v>0.16420000000000001</v>
      </c>
      <c r="E168" s="33">
        <v>0</v>
      </c>
      <c r="F168" s="33">
        <v>5</v>
      </c>
      <c r="G168" s="33">
        <v>5</v>
      </c>
    </row>
    <row r="169" spans="1:7" x14ac:dyDescent="0.3">
      <c r="A169" s="33">
        <v>0.16</v>
      </c>
      <c r="B169" s="33">
        <v>0.16669999999999999</v>
      </c>
      <c r="C169" s="33">
        <v>0.74</v>
      </c>
      <c r="D169" s="33">
        <v>0.16420000000000001</v>
      </c>
      <c r="E169" s="33">
        <v>0</v>
      </c>
      <c r="F169" s="33">
        <v>2</v>
      </c>
      <c r="G169" s="33">
        <v>2</v>
      </c>
    </row>
    <row r="170" spans="1:7" x14ac:dyDescent="0.3">
      <c r="A170" s="33">
        <v>0.16</v>
      </c>
      <c r="B170" s="33">
        <v>0.18179999999999999</v>
      </c>
      <c r="C170" s="33">
        <v>0.74</v>
      </c>
      <c r="D170" s="33">
        <v>0.1045</v>
      </c>
      <c r="E170" s="33">
        <v>1</v>
      </c>
      <c r="F170" s="33">
        <v>8</v>
      </c>
      <c r="G170" s="33">
        <v>9</v>
      </c>
    </row>
    <row r="171" spans="1:7" x14ac:dyDescent="0.3">
      <c r="A171" s="33">
        <v>0.16</v>
      </c>
      <c r="B171" s="33">
        <v>0.18179999999999999</v>
      </c>
      <c r="C171" s="33">
        <v>0.93</v>
      </c>
      <c r="D171" s="33">
        <v>0.1045</v>
      </c>
      <c r="E171" s="33">
        <v>0</v>
      </c>
      <c r="F171" s="33">
        <v>15</v>
      </c>
      <c r="G171" s="33">
        <v>15</v>
      </c>
    </row>
    <row r="172" spans="1:7" x14ac:dyDescent="0.3">
      <c r="A172" s="33">
        <v>0.16</v>
      </c>
      <c r="B172" s="33">
        <v>0.18179999999999999</v>
      </c>
      <c r="C172" s="33">
        <v>0.93</v>
      </c>
      <c r="D172" s="33">
        <v>0.1045</v>
      </c>
      <c r="E172" s="33">
        <v>0</v>
      </c>
      <c r="F172" s="33">
        <v>20</v>
      </c>
      <c r="G172" s="33">
        <v>20</v>
      </c>
    </row>
    <row r="173" spans="1:7" x14ac:dyDescent="0.3">
      <c r="A173" s="33">
        <v>0.18</v>
      </c>
      <c r="B173" s="33">
        <v>0.19700000000000001</v>
      </c>
      <c r="C173" s="33">
        <v>0.8</v>
      </c>
      <c r="D173" s="33">
        <v>0.16420000000000001</v>
      </c>
      <c r="E173" s="33">
        <v>5</v>
      </c>
      <c r="F173" s="33">
        <v>56</v>
      </c>
      <c r="G173" s="33">
        <v>61</v>
      </c>
    </row>
    <row r="174" spans="1:7" x14ac:dyDescent="0.3">
      <c r="A174" s="33">
        <v>0.2</v>
      </c>
      <c r="B174" s="33">
        <v>0.18179999999999999</v>
      </c>
      <c r="C174" s="33">
        <v>0.69</v>
      </c>
      <c r="D174" s="33">
        <v>0.3881</v>
      </c>
      <c r="E174" s="33">
        <v>2</v>
      </c>
      <c r="F174" s="33">
        <v>60</v>
      </c>
      <c r="G174" s="33">
        <v>62</v>
      </c>
    </row>
    <row r="175" spans="1:7" x14ac:dyDescent="0.3">
      <c r="A175" s="33">
        <v>0.2</v>
      </c>
      <c r="B175" s="33">
        <v>0.18179999999999999</v>
      </c>
      <c r="C175" s="33">
        <v>0.59</v>
      </c>
      <c r="D175" s="33">
        <v>0.35820000000000002</v>
      </c>
      <c r="E175" s="33">
        <v>8</v>
      </c>
      <c r="F175" s="33">
        <v>90</v>
      </c>
      <c r="G175" s="33">
        <v>98</v>
      </c>
    </row>
    <row r="176" spans="1:7" x14ac:dyDescent="0.3">
      <c r="A176" s="33">
        <v>0.2</v>
      </c>
      <c r="B176" s="33">
        <v>0.18179999999999999</v>
      </c>
      <c r="C176" s="33">
        <v>0.44</v>
      </c>
      <c r="D176" s="33">
        <v>0.32840000000000003</v>
      </c>
      <c r="E176" s="33">
        <v>7</v>
      </c>
      <c r="F176" s="33">
        <v>95</v>
      </c>
      <c r="G176" s="33">
        <v>102</v>
      </c>
    </row>
    <row r="177" spans="1:7" x14ac:dyDescent="0.3">
      <c r="A177" s="33">
        <v>0.2</v>
      </c>
      <c r="B177" s="33">
        <v>0.16669999999999999</v>
      </c>
      <c r="C177" s="33">
        <v>0.32</v>
      </c>
      <c r="D177" s="33">
        <v>0.49249999999999999</v>
      </c>
      <c r="E177" s="33">
        <v>12</v>
      </c>
      <c r="F177" s="33">
        <v>83</v>
      </c>
      <c r="G177" s="33">
        <v>95</v>
      </c>
    </row>
    <row r="178" spans="1:7" x14ac:dyDescent="0.3">
      <c r="A178" s="33">
        <v>0.2</v>
      </c>
      <c r="B178" s="33">
        <v>0.16669999999999999</v>
      </c>
      <c r="C178" s="33">
        <v>0.32</v>
      </c>
      <c r="D178" s="33">
        <v>0.44779999999999998</v>
      </c>
      <c r="E178" s="33">
        <v>5</v>
      </c>
      <c r="F178" s="33">
        <v>69</v>
      </c>
      <c r="G178" s="33">
        <v>74</v>
      </c>
    </row>
    <row r="179" spans="1:7" x14ac:dyDescent="0.3">
      <c r="A179" s="33">
        <v>0.18</v>
      </c>
      <c r="B179" s="33">
        <v>0.13639999999999999</v>
      </c>
      <c r="C179" s="33">
        <v>0.28999999999999998</v>
      </c>
      <c r="D179" s="33">
        <v>0.44779999999999998</v>
      </c>
      <c r="E179" s="33">
        <v>8</v>
      </c>
      <c r="F179" s="33">
        <v>68</v>
      </c>
      <c r="G179" s="33">
        <v>76</v>
      </c>
    </row>
    <row r="180" spans="1:7" x14ac:dyDescent="0.3">
      <c r="A180" s="33">
        <v>0.16</v>
      </c>
      <c r="B180" s="33">
        <v>0.1212</v>
      </c>
      <c r="C180" s="33">
        <v>0.37</v>
      </c>
      <c r="D180" s="33">
        <v>0.55220000000000002</v>
      </c>
      <c r="E180" s="33">
        <v>5</v>
      </c>
      <c r="F180" s="33">
        <v>64</v>
      </c>
      <c r="G180" s="33">
        <v>69</v>
      </c>
    </row>
    <row r="181" spans="1:7" x14ac:dyDescent="0.3">
      <c r="A181" s="33">
        <v>0.14000000000000001</v>
      </c>
      <c r="B181" s="33">
        <v>0.1212</v>
      </c>
      <c r="C181" s="33">
        <v>0.39</v>
      </c>
      <c r="D181" s="33">
        <v>0.29849999999999999</v>
      </c>
      <c r="E181" s="33">
        <v>3</v>
      </c>
      <c r="F181" s="33">
        <v>52</v>
      </c>
      <c r="G181" s="33">
        <v>55</v>
      </c>
    </row>
    <row r="182" spans="1:7" x14ac:dyDescent="0.3">
      <c r="A182" s="33">
        <v>0.14000000000000001</v>
      </c>
      <c r="B182" s="33">
        <v>0.1212</v>
      </c>
      <c r="C182" s="33">
        <v>0.36</v>
      </c>
      <c r="D182" s="33">
        <v>0.25369999999999998</v>
      </c>
      <c r="E182" s="33">
        <v>4</v>
      </c>
      <c r="F182" s="33">
        <v>26</v>
      </c>
      <c r="G182" s="33">
        <v>30</v>
      </c>
    </row>
    <row r="183" spans="1:7" x14ac:dyDescent="0.3">
      <c r="A183" s="33">
        <v>0.12</v>
      </c>
      <c r="B183" s="33">
        <v>0.1212</v>
      </c>
      <c r="C183" s="33">
        <v>0.36</v>
      </c>
      <c r="D183" s="33">
        <v>0.25369999999999998</v>
      </c>
      <c r="E183" s="33">
        <v>0</v>
      </c>
      <c r="F183" s="33">
        <v>28</v>
      </c>
      <c r="G183" s="33">
        <v>28</v>
      </c>
    </row>
    <row r="184" spans="1:7" x14ac:dyDescent="0.3">
      <c r="A184" s="33">
        <v>0.12</v>
      </c>
      <c r="B184" s="33">
        <v>0.1061</v>
      </c>
      <c r="C184" s="33">
        <v>0.39</v>
      </c>
      <c r="D184" s="33">
        <v>0.35820000000000002</v>
      </c>
      <c r="E184" s="33">
        <v>2</v>
      </c>
      <c r="F184" s="33">
        <v>35</v>
      </c>
      <c r="G184" s="33">
        <v>37</v>
      </c>
    </row>
    <row r="185" spans="1:7" x14ac:dyDescent="0.3">
      <c r="A185" s="33">
        <v>0.12</v>
      </c>
      <c r="B185" s="33">
        <v>0.1061</v>
      </c>
      <c r="C185" s="33">
        <v>0.36</v>
      </c>
      <c r="D185" s="33">
        <v>0.3881</v>
      </c>
      <c r="E185" s="33">
        <v>1</v>
      </c>
      <c r="F185" s="33">
        <v>33</v>
      </c>
      <c r="G185" s="33">
        <v>34</v>
      </c>
    </row>
    <row r="186" spans="1:7" x14ac:dyDescent="0.3">
      <c r="A186" s="33">
        <v>0.1</v>
      </c>
      <c r="B186" s="33">
        <v>6.0600000000000001E-2</v>
      </c>
      <c r="C186" s="33">
        <v>0.39</v>
      </c>
      <c r="D186" s="33">
        <v>0.44779999999999998</v>
      </c>
      <c r="E186" s="33">
        <v>0</v>
      </c>
      <c r="F186" s="33">
        <v>22</v>
      </c>
      <c r="G186" s="33">
        <v>22</v>
      </c>
    </row>
    <row r="187" spans="1:7" x14ac:dyDescent="0.3">
      <c r="A187" s="33">
        <v>0.1</v>
      </c>
      <c r="B187" s="33">
        <v>7.5800000000000006E-2</v>
      </c>
      <c r="C187" s="33">
        <v>0.42</v>
      </c>
      <c r="D187" s="33">
        <v>0.3881</v>
      </c>
      <c r="E187" s="33">
        <v>1</v>
      </c>
      <c r="F187" s="33">
        <v>24</v>
      </c>
      <c r="G187" s="33">
        <v>25</v>
      </c>
    </row>
    <row r="188" spans="1:7" x14ac:dyDescent="0.3">
      <c r="A188" s="33">
        <v>0.1</v>
      </c>
      <c r="B188" s="33">
        <v>6.0600000000000001E-2</v>
      </c>
      <c r="C188" s="33">
        <v>0.42</v>
      </c>
      <c r="D188" s="33">
        <v>0.4627</v>
      </c>
      <c r="E188" s="33">
        <v>0</v>
      </c>
      <c r="F188" s="33">
        <v>12</v>
      </c>
      <c r="G188" s="33">
        <v>12</v>
      </c>
    </row>
    <row r="189" spans="1:7" x14ac:dyDescent="0.3">
      <c r="A189" s="33">
        <v>0.1</v>
      </c>
      <c r="B189" s="33">
        <v>6.0600000000000001E-2</v>
      </c>
      <c r="C189" s="33">
        <v>0.46</v>
      </c>
      <c r="D189" s="33">
        <v>0.4627</v>
      </c>
      <c r="E189" s="33">
        <v>0</v>
      </c>
      <c r="F189" s="33">
        <v>11</v>
      </c>
      <c r="G189" s="33">
        <v>11</v>
      </c>
    </row>
    <row r="190" spans="1:7" x14ac:dyDescent="0.3">
      <c r="A190" s="33">
        <v>0.1</v>
      </c>
      <c r="B190" s="33">
        <v>7.5800000000000006E-2</v>
      </c>
      <c r="C190" s="33">
        <v>0.46</v>
      </c>
      <c r="D190" s="33">
        <v>0.41789999999999999</v>
      </c>
      <c r="E190" s="33">
        <v>0</v>
      </c>
      <c r="F190" s="33">
        <v>4</v>
      </c>
      <c r="G190" s="33">
        <v>4</v>
      </c>
    </row>
    <row r="191" spans="1:7" x14ac:dyDescent="0.3">
      <c r="A191" s="33">
        <v>0.08</v>
      </c>
      <c r="B191" s="33">
        <v>9.0899999999999995E-2</v>
      </c>
      <c r="C191" s="33">
        <v>0.53</v>
      </c>
      <c r="D191" s="33">
        <v>0.19400000000000001</v>
      </c>
      <c r="E191" s="33">
        <v>0</v>
      </c>
      <c r="F191" s="33">
        <v>1</v>
      </c>
      <c r="G191" s="33">
        <v>1</v>
      </c>
    </row>
    <row r="192" spans="1:7" x14ac:dyDescent="0.3">
      <c r="A192" s="33">
        <v>0.08</v>
      </c>
      <c r="B192" s="33">
        <v>9.0899999999999995E-2</v>
      </c>
      <c r="C192" s="33">
        <v>0.53</v>
      </c>
      <c r="D192" s="33">
        <v>0.19400000000000001</v>
      </c>
      <c r="E192" s="33">
        <v>0</v>
      </c>
      <c r="F192" s="33">
        <v>1</v>
      </c>
      <c r="G192" s="33">
        <v>1</v>
      </c>
    </row>
    <row r="193" spans="1:7" x14ac:dyDescent="0.3">
      <c r="A193" s="33">
        <v>0.1</v>
      </c>
      <c r="B193" s="33">
        <v>9.0899999999999995E-2</v>
      </c>
      <c r="C193" s="33">
        <v>0.49</v>
      </c>
      <c r="D193" s="33">
        <v>0.28360000000000002</v>
      </c>
      <c r="E193" s="33">
        <v>0</v>
      </c>
      <c r="F193" s="33">
        <v>1</v>
      </c>
      <c r="G193" s="33">
        <v>1</v>
      </c>
    </row>
    <row r="194" spans="1:7" x14ac:dyDescent="0.3">
      <c r="A194" s="33">
        <v>0.08</v>
      </c>
      <c r="B194" s="33">
        <v>9.0899999999999995E-2</v>
      </c>
      <c r="C194" s="33">
        <v>0.53</v>
      </c>
      <c r="D194" s="33">
        <v>0.19400000000000001</v>
      </c>
      <c r="E194" s="33">
        <v>1</v>
      </c>
      <c r="F194" s="33">
        <v>5</v>
      </c>
      <c r="G194" s="33">
        <v>6</v>
      </c>
    </row>
    <row r="195" spans="1:7" x14ac:dyDescent="0.3">
      <c r="A195" s="33">
        <v>0.1</v>
      </c>
      <c r="B195" s="33">
        <v>9.0899999999999995E-2</v>
      </c>
      <c r="C195" s="33">
        <v>0.49</v>
      </c>
      <c r="D195" s="33">
        <v>0.28360000000000002</v>
      </c>
      <c r="E195" s="33">
        <v>0</v>
      </c>
      <c r="F195" s="33">
        <v>10</v>
      </c>
      <c r="G195" s="33">
        <v>10</v>
      </c>
    </row>
    <row r="196" spans="1:7" x14ac:dyDescent="0.3">
      <c r="A196" s="33">
        <v>0.12</v>
      </c>
      <c r="B196" s="33">
        <v>7.5800000000000006E-2</v>
      </c>
      <c r="C196" s="33">
        <v>0.46</v>
      </c>
      <c r="D196" s="33">
        <v>0.52239999999999998</v>
      </c>
      <c r="E196" s="33">
        <v>0</v>
      </c>
      <c r="F196" s="33">
        <v>19</v>
      </c>
      <c r="G196" s="33">
        <v>19</v>
      </c>
    </row>
    <row r="197" spans="1:7" x14ac:dyDescent="0.3">
      <c r="A197" s="33">
        <v>0.14000000000000001</v>
      </c>
      <c r="B197" s="33">
        <v>0.1061</v>
      </c>
      <c r="C197" s="33">
        <v>0.43</v>
      </c>
      <c r="D197" s="33">
        <v>0.3881</v>
      </c>
      <c r="E197" s="33">
        <v>0</v>
      </c>
      <c r="F197" s="33">
        <v>49</v>
      </c>
      <c r="G197" s="33">
        <v>49</v>
      </c>
    </row>
    <row r="198" spans="1:7" x14ac:dyDescent="0.3">
      <c r="A198" s="33">
        <v>0.16</v>
      </c>
      <c r="B198" s="33">
        <v>0.1212</v>
      </c>
      <c r="C198" s="33">
        <v>0.4</v>
      </c>
      <c r="D198" s="33">
        <v>0.52239999999999998</v>
      </c>
      <c r="E198" s="33">
        <v>2</v>
      </c>
      <c r="F198" s="33">
        <v>47</v>
      </c>
      <c r="G198" s="33">
        <v>49</v>
      </c>
    </row>
    <row r="199" spans="1:7" x14ac:dyDescent="0.3">
      <c r="A199" s="33">
        <v>0.18</v>
      </c>
      <c r="B199" s="33">
        <v>0.13639999999999999</v>
      </c>
      <c r="C199" s="33">
        <v>0.37</v>
      </c>
      <c r="D199" s="33">
        <v>0.44779999999999998</v>
      </c>
      <c r="E199" s="33">
        <v>4</v>
      </c>
      <c r="F199" s="33">
        <v>79</v>
      </c>
      <c r="G199" s="33">
        <v>83</v>
      </c>
    </row>
    <row r="200" spans="1:7" x14ac:dyDescent="0.3">
      <c r="A200" s="33">
        <v>0.2</v>
      </c>
      <c r="B200" s="33">
        <v>0.16669999999999999</v>
      </c>
      <c r="C200" s="33">
        <v>0.34</v>
      </c>
      <c r="D200" s="33">
        <v>0.44779999999999998</v>
      </c>
      <c r="E200" s="33">
        <v>6</v>
      </c>
      <c r="F200" s="33">
        <v>69</v>
      </c>
      <c r="G200" s="33">
        <v>75</v>
      </c>
    </row>
    <row r="201" spans="1:7" x14ac:dyDescent="0.3">
      <c r="A201" s="33">
        <v>0.22</v>
      </c>
      <c r="B201" s="33">
        <v>0.18179999999999999</v>
      </c>
      <c r="C201" s="33">
        <v>0.32</v>
      </c>
      <c r="D201" s="33">
        <v>0.4627</v>
      </c>
      <c r="E201" s="33">
        <v>8</v>
      </c>
      <c r="F201" s="33">
        <v>64</v>
      </c>
      <c r="G201" s="33">
        <v>72</v>
      </c>
    </row>
    <row r="202" spans="1:7" x14ac:dyDescent="0.3">
      <c r="A202" s="33">
        <v>0.22</v>
      </c>
      <c r="B202" s="33">
        <v>0.19700000000000001</v>
      </c>
      <c r="C202" s="33">
        <v>0.35</v>
      </c>
      <c r="D202" s="33">
        <v>0.35820000000000002</v>
      </c>
      <c r="E202" s="33">
        <v>5</v>
      </c>
      <c r="F202" s="33">
        <v>77</v>
      </c>
      <c r="G202" s="33">
        <v>82</v>
      </c>
    </row>
    <row r="203" spans="1:7" x14ac:dyDescent="0.3">
      <c r="A203" s="33">
        <v>0.2</v>
      </c>
      <c r="B203" s="33">
        <v>0.16669999999999999</v>
      </c>
      <c r="C203" s="33">
        <v>0.34</v>
      </c>
      <c r="D203" s="33">
        <v>0.44779999999999998</v>
      </c>
      <c r="E203" s="33">
        <v>13</v>
      </c>
      <c r="F203" s="33">
        <v>79</v>
      </c>
      <c r="G203" s="33">
        <v>92</v>
      </c>
    </row>
    <row r="204" spans="1:7" x14ac:dyDescent="0.3">
      <c r="A204" s="33">
        <v>0.18</v>
      </c>
      <c r="B204" s="33">
        <v>0.1515</v>
      </c>
      <c r="C204" s="33">
        <v>0.37</v>
      </c>
      <c r="D204" s="33">
        <v>0.3881</v>
      </c>
      <c r="E204" s="33">
        <v>3</v>
      </c>
      <c r="F204" s="33">
        <v>59</v>
      </c>
      <c r="G204" s="33">
        <v>62</v>
      </c>
    </row>
    <row r="205" spans="1:7" x14ac:dyDescent="0.3">
      <c r="A205" s="33">
        <v>0.16</v>
      </c>
      <c r="B205" s="33">
        <v>0.13639999999999999</v>
      </c>
      <c r="C205" s="33">
        <v>0.4</v>
      </c>
      <c r="D205" s="33">
        <v>0.32840000000000003</v>
      </c>
      <c r="E205" s="33">
        <v>4</v>
      </c>
      <c r="F205" s="33">
        <v>44</v>
      </c>
      <c r="G205" s="33">
        <v>48</v>
      </c>
    </row>
    <row r="206" spans="1:7" x14ac:dyDescent="0.3">
      <c r="A206" s="33">
        <v>0.16</v>
      </c>
      <c r="B206" s="33">
        <v>0.13639999999999999</v>
      </c>
      <c r="C206" s="33">
        <v>0.43</v>
      </c>
      <c r="D206" s="33">
        <v>0.32840000000000003</v>
      </c>
      <c r="E206" s="33">
        <v>1</v>
      </c>
      <c r="F206" s="33">
        <v>40</v>
      </c>
      <c r="G206" s="33">
        <v>41</v>
      </c>
    </row>
    <row r="207" spans="1:7" x14ac:dyDescent="0.3">
      <c r="A207" s="33">
        <v>0.14000000000000001</v>
      </c>
      <c r="B207" s="33">
        <v>0.1212</v>
      </c>
      <c r="C207" s="33">
        <v>0.46</v>
      </c>
      <c r="D207" s="33">
        <v>0.25369999999999998</v>
      </c>
      <c r="E207" s="33">
        <v>0</v>
      </c>
      <c r="F207" s="33">
        <v>38</v>
      </c>
      <c r="G207" s="33">
        <v>38</v>
      </c>
    </row>
    <row r="208" spans="1:7" x14ac:dyDescent="0.3">
      <c r="A208" s="33">
        <v>0.14000000000000001</v>
      </c>
      <c r="B208" s="33">
        <v>0.1061</v>
      </c>
      <c r="C208" s="33">
        <v>0.46</v>
      </c>
      <c r="D208" s="33">
        <v>0.41789999999999999</v>
      </c>
      <c r="E208" s="33">
        <v>1</v>
      </c>
      <c r="F208" s="33">
        <v>19</v>
      </c>
      <c r="G208" s="33">
        <v>20</v>
      </c>
    </row>
    <row r="209" spans="1:7" x14ac:dyDescent="0.3">
      <c r="A209" s="33">
        <v>0.14000000000000001</v>
      </c>
      <c r="B209" s="33">
        <v>0.1212</v>
      </c>
      <c r="C209" s="33">
        <v>0.46</v>
      </c>
      <c r="D209" s="33">
        <v>0.29849999999999999</v>
      </c>
      <c r="E209" s="33">
        <v>5</v>
      </c>
      <c r="F209" s="33">
        <v>10</v>
      </c>
      <c r="G209" s="33">
        <v>15</v>
      </c>
    </row>
    <row r="210" spans="1:7" x14ac:dyDescent="0.3">
      <c r="A210" s="33">
        <v>0.12</v>
      </c>
      <c r="B210" s="33">
        <v>0.13639999999999999</v>
      </c>
      <c r="C210" s="33">
        <v>0.5</v>
      </c>
      <c r="D210" s="33">
        <v>0.19400000000000001</v>
      </c>
      <c r="E210" s="33">
        <v>0</v>
      </c>
      <c r="F210" s="33">
        <v>6</v>
      </c>
      <c r="G210" s="33">
        <v>6</v>
      </c>
    </row>
    <row r="211" spans="1:7" x14ac:dyDescent="0.3">
      <c r="A211" s="33">
        <v>0.12</v>
      </c>
      <c r="B211" s="33">
        <v>0.1212</v>
      </c>
      <c r="C211" s="33">
        <v>0.5</v>
      </c>
      <c r="D211" s="33">
        <v>0.28360000000000002</v>
      </c>
      <c r="E211" s="33">
        <v>2</v>
      </c>
      <c r="F211" s="33">
        <v>3</v>
      </c>
      <c r="G211" s="33">
        <v>5</v>
      </c>
    </row>
    <row r="212" spans="1:7" x14ac:dyDescent="0.3">
      <c r="A212" s="33">
        <v>0.12</v>
      </c>
      <c r="B212" s="33">
        <v>0.1212</v>
      </c>
      <c r="C212" s="33">
        <v>0.5</v>
      </c>
      <c r="D212" s="33">
        <v>0.28360000000000002</v>
      </c>
      <c r="E212" s="33">
        <v>1</v>
      </c>
      <c r="F212" s="33">
        <v>0</v>
      </c>
      <c r="G212" s="33">
        <v>1</v>
      </c>
    </row>
    <row r="213" spans="1:7" x14ac:dyDescent="0.3">
      <c r="A213" s="33">
        <v>0.12</v>
      </c>
      <c r="B213" s="33">
        <v>0.1212</v>
      </c>
      <c r="C213" s="33">
        <v>0.5</v>
      </c>
      <c r="D213" s="33">
        <v>0.22389999999999999</v>
      </c>
      <c r="E213" s="33">
        <v>0</v>
      </c>
      <c r="F213" s="33">
        <v>3</v>
      </c>
      <c r="G213" s="33">
        <v>3</v>
      </c>
    </row>
    <row r="214" spans="1:7" x14ac:dyDescent="0.3">
      <c r="A214" s="33">
        <v>0.12</v>
      </c>
      <c r="B214" s="33">
        <v>0.1212</v>
      </c>
      <c r="C214" s="33">
        <v>0.5</v>
      </c>
      <c r="D214" s="33">
        <v>0.22389999999999999</v>
      </c>
      <c r="E214" s="33">
        <v>0</v>
      </c>
      <c r="F214" s="33">
        <v>1</v>
      </c>
      <c r="G214" s="33">
        <v>1</v>
      </c>
    </row>
    <row r="215" spans="1:7" x14ac:dyDescent="0.3">
      <c r="A215" s="33">
        <v>0.1</v>
      </c>
      <c r="B215" s="33">
        <v>0.1212</v>
      </c>
      <c r="C215" s="33">
        <v>0.54</v>
      </c>
      <c r="D215" s="33">
        <v>0.1343</v>
      </c>
      <c r="E215" s="33">
        <v>1</v>
      </c>
      <c r="F215" s="33">
        <v>2</v>
      </c>
      <c r="G215" s="33">
        <v>3</v>
      </c>
    </row>
    <row r="216" spans="1:7" x14ac:dyDescent="0.3">
      <c r="A216" s="33">
        <v>0.1</v>
      </c>
      <c r="B216" s="33">
        <v>0.1061</v>
      </c>
      <c r="C216" s="33">
        <v>0.54</v>
      </c>
      <c r="D216" s="33">
        <v>0.25369999999999998</v>
      </c>
      <c r="E216" s="33">
        <v>0</v>
      </c>
      <c r="F216" s="33">
        <v>3</v>
      </c>
      <c r="G216" s="33">
        <v>3</v>
      </c>
    </row>
    <row r="217" spans="1:7" x14ac:dyDescent="0.3">
      <c r="A217" s="33">
        <v>0.12</v>
      </c>
      <c r="B217" s="33">
        <v>0.1212</v>
      </c>
      <c r="C217" s="33">
        <v>0.5</v>
      </c>
      <c r="D217" s="33">
        <v>0.28360000000000002</v>
      </c>
      <c r="E217" s="33">
        <v>0</v>
      </c>
      <c r="F217" s="33">
        <v>31</v>
      </c>
      <c r="G217" s="33">
        <v>31</v>
      </c>
    </row>
    <row r="218" spans="1:7" x14ac:dyDescent="0.3">
      <c r="A218" s="33">
        <v>0.12</v>
      </c>
      <c r="B218" s="33">
        <v>0.1212</v>
      </c>
      <c r="C218" s="33">
        <v>0.5</v>
      </c>
      <c r="D218" s="33">
        <v>0.22389999999999999</v>
      </c>
      <c r="E218" s="33">
        <v>2</v>
      </c>
      <c r="F218" s="33">
        <v>75</v>
      </c>
      <c r="G218" s="33">
        <v>77</v>
      </c>
    </row>
    <row r="219" spans="1:7" x14ac:dyDescent="0.3">
      <c r="A219" s="33">
        <v>0.12</v>
      </c>
      <c r="B219" s="33">
        <v>0.1212</v>
      </c>
      <c r="C219" s="33">
        <v>0.5</v>
      </c>
      <c r="D219" s="33">
        <v>0.28360000000000002</v>
      </c>
      <c r="E219" s="33">
        <v>4</v>
      </c>
      <c r="F219" s="33">
        <v>184</v>
      </c>
      <c r="G219" s="33">
        <v>188</v>
      </c>
    </row>
    <row r="220" spans="1:7" x14ac:dyDescent="0.3">
      <c r="A220" s="33">
        <v>0.14000000000000001</v>
      </c>
      <c r="B220" s="33">
        <v>0.1212</v>
      </c>
      <c r="C220" s="33">
        <v>0.5</v>
      </c>
      <c r="D220" s="33">
        <v>0.25369999999999998</v>
      </c>
      <c r="E220" s="33">
        <v>2</v>
      </c>
      <c r="F220" s="33">
        <v>92</v>
      </c>
      <c r="G220" s="33">
        <v>94</v>
      </c>
    </row>
    <row r="221" spans="1:7" x14ac:dyDescent="0.3">
      <c r="A221" s="33">
        <v>0.14000000000000001</v>
      </c>
      <c r="B221" s="33">
        <v>0.1212</v>
      </c>
      <c r="C221" s="33">
        <v>0.5</v>
      </c>
      <c r="D221" s="33">
        <v>0.29849999999999999</v>
      </c>
      <c r="E221" s="33">
        <v>0</v>
      </c>
      <c r="F221" s="33">
        <v>31</v>
      </c>
      <c r="G221" s="33">
        <v>31</v>
      </c>
    </row>
    <row r="222" spans="1:7" x14ac:dyDescent="0.3">
      <c r="A222" s="33">
        <v>0.16</v>
      </c>
      <c r="B222" s="33">
        <v>0.13639999999999999</v>
      </c>
      <c r="C222" s="33">
        <v>0.47</v>
      </c>
      <c r="D222" s="33">
        <v>0.28360000000000002</v>
      </c>
      <c r="E222" s="33">
        <v>2</v>
      </c>
      <c r="F222" s="33">
        <v>28</v>
      </c>
      <c r="G222" s="33">
        <v>30</v>
      </c>
    </row>
    <row r="223" spans="1:7" x14ac:dyDescent="0.3">
      <c r="A223" s="33">
        <v>0.2</v>
      </c>
      <c r="B223" s="33">
        <v>0.18179999999999999</v>
      </c>
      <c r="C223" s="33">
        <v>0.4</v>
      </c>
      <c r="D223" s="33">
        <v>0.28360000000000002</v>
      </c>
      <c r="E223" s="33">
        <v>5</v>
      </c>
      <c r="F223" s="33">
        <v>47</v>
      </c>
      <c r="G223" s="33">
        <v>52</v>
      </c>
    </row>
    <row r="224" spans="1:7" x14ac:dyDescent="0.3">
      <c r="A224" s="33">
        <v>0.2</v>
      </c>
      <c r="B224" s="33">
        <v>0.18179999999999999</v>
      </c>
      <c r="C224" s="33">
        <v>0.4</v>
      </c>
      <c r="D224" s="33">
        <v>0.28360000000000002</v>
      </c>
      <c r="E224" s="33">
        <v>4</v>
      </c>
      <c r="F224" s="33">
        <v>50</v>
      </c>
      <c r="G224" s="33">
        <v>54</v>
      </c>
    </row>
    <row r="225" spans="1:7" x14ac:dyDescent="0.3">
      <c r="A225" s="33">
        <v>0.2</v>
      </c>
      <c r="B225" s="33">
        <v>0.19700000000000001</v>
      </c>
      <c r="C225" s="33">
        <v>0.4</v>
      </c>
      <c r="D225" s="33">
        <v>0.22389999999999999</v>
      </c>
      <c r="E225" s="33">
        <v>0</v>
      </c>
      <c r="F225" s="33">
        <v>47</v>
      </c>
      <c r="G225" s="33">
        <v>47</v>
      </c>
    </row>
    <row r="226" spans="1:7" x14ac:dyDescent="0.3">
      <c r="A226" s="33">
        <v>0.2</v>
      </c>
      <c r="B226" s="33">
        <v>0.19700000000000001</v>
      </c>
      <c r="C226" s="33">
        <v>0.4</v>
      </c>
      <c r="D226" s="33">
        <v>0.22389999999999999</v>
      </c>
      <c r="E226" s="33">
        <v>2</v>
      </c>
      <c r="F226" s="33">
        <v>43</v>
      </c>
      <c r="G226" s="33">
        <v>45</v>
      </c>
    </row>
    <row r="227" spans="1:7" x14ac:dyDescent="0.3">
      <c r="A227" s="33">
        <v>0.2</v>
      </c>
      <c r="B227" s="33">
        <v>0.21210000000000001</v>
      </c>
      <c r="C227" s="33">
        <v>0.4</v>
      </c>
      <c r="D227" s="33">
        <v>0.1343</v>
      </c>
      <c r="E227" s="33">
        <v>4</v>
      </c>
      <c r="F227" s="33">
        <v>70</v>
      </c>
      <c r="G227" s="33">
        <v>74</v>
      </c>
    </row>
    <row r="228" spans="1:7" x14ac:dyDescent="0.3">
      <c r="A228" s="33">
        <v>0.2</v>
      </c>
      <c r="B228" s="33">
        <v>0.2273</v>
      </c>
      <c r="C228" s="33">
        <v>0.4</v>
      </c>
      <c r="D228" s="33">
        <v>0.1045</v>
      </c>
      <c r="E228" s="33">
        <v>4</v>
      </c>
      <c r="F228" s="33">
        <v>174</v>
      </c>
      <c r="G228" s="33">
        <v>178</v>
      </c>
    </row>
    <row r="229" spans="1:7" x14ac:dyDescent="0.3">
      <c r="A229" s="33">
        <v>0.2</v>
      </c>
      <c r="B229" s="33">
        <v>0.19700000000000001</v>
      </c>
      <c r="C229" s="33">
        <v>0.4</v>
      </c>
      <c r="D229" s="33">
        <v>0.22389999999999999</v>
      </c>
      <c r="E229" s="33">
        <v>1</v>
      </c>
      <c r="F229" s="33">
        <v>154</v>
      </c>
      <c r="G229" s="33">
        <v>155</v>
      </c>
    </row>
    <row r="230" spans="1:7" x14ac:dyDescent="0.3">
      <c r="A230" s="33">
        <v>0.16</v>
      </c>
      <c r="B230" s="33">
        <v>0.16669999999999999</v>
      </c>
      <c r="C230" s="33">
        <v>0.47</v>
      </c>
      <c r="D230" s="33">
        <v>0.16420000000000001</v>
      </c>
      <c r="E230" s="33">
        <v>3</v>
      </c>
      <c r="F230" s="33">
        <v>92</v>
      </c>
      <c r="G230" s="33">
        <v>95</v>
      </c>
    </row>
    <row r="231" spans="1:7" x14ac:dyDescent="0.3">
      <c r="A231" s="33">
        <v>0.16</v>
      </c>
      <c r="B231" s="33">
        <v>0.16669999999999999</v>
      </c>
      <c r="C231" s="33">
        <v>0.5</v>
      </c>
      <c r="D231" s="33">
        <v>0.16420000000000001</v>
      </c>
      <c r="E231" s="33">
        <v>1</v>
      </c>
      <c r="F231" s="33">
        <v>73</v>
      </c>
      <c r="G231" s="33">
        <v>74</v>
      </c>
    </row>
    <row r="232" spans="1:7" x14ac:dyDescent="0.3">
      <c r="A232" s="33">
        <v>0.14000000000000001</v>
      </c>
      <c r="B232" s="33">
        <v>0.13639999999999999</v>
      </c>
      <c r="C232" s="33">
        <v>0.59</v>
      </c>
      <c r="D232" s="33">
        <v>0.19400000000000001</v>
      </c>
      <c r="E232" s="33">
        <v>1</v>
      </c>
      <c r="F232" s="33">
        <v>37</v>
      </c>
      <c r="G232" s="33">
        <v>38</v>
      </c>
    </row>
    <row r="233" spans="1:7" x14ac:dyDescent="0.3">
      <c r="A233" s="33">
        <v>0.14000000000000001</v>
      </c>
      <c r="B233" s="33">
        <v>0.1515</v>
      </c>
      <c r="C233" s="33">
        <v>0.59</v>
      </c>
      <c r="D233" s="33">
        <v>0.16420000000000001</v>
      </c>
      <c r="E233" s="33">
        <v>2</v>
      </c>
      <c r="F233" s="33">
        <v>22</v>
      </c>
      <c r="G233" s="33">
        <v>24</v>
      </c>
    </row>
    <row r="234" spans="1:7" x14ac:dyDescent="0.3">
      <c r="A234" s="33">
        <v>0.14000000000000001</v>
      </c>
      <c r="B234" s="33">
        <v>0.1515</v>
      </c>
      <c r="C234" s="33">
        <v>0.59</v>
      </c>
      <c r="D234" s="33">
        <v>0.16420000000000001</v>
      </c>
      <c r="E234" s="33">
        <v>0</v>
      </c>
      <c r="F234" s="33">
        <v>18</v>
      </c>
      <c r="G234" s="33">
        <v>18</v>
      </c>
    </row>
    <row r="235" spans="1:7" x14ac:dyDescent="0.3">
      <c r="A235" s="33">
        <v>0.14000000000000001</v>
      </c>
      <c r="B235" s="33">
        <v>0.16669999999999999</v>
      </c>
      <c r="C235" s="33">
        <v>0.59</v>
      </c>
      <c r="D235" s="33">
        <v>0.1045</v>
      </c>
      <c r="E235" s="33">
        <v>2</v>
      </c>
      <c r="F235" s="33">
        <v>10</v>
      </c>
      <c r="G235" s="33">
        <v>12</v>
      </c>
    </row>
    <row r="236" spans="1:7" x14ac:dyDescent="0.3">
      <c r="A236" s="33">
        <v>0.14000000000000001</v>
      </c>
      <c r="B236" s="33">
        <v>0.1515</v>
      </c>
      <c r="C236" s="33">
        <v>0.59</v>
      </c>
      <c r="D236" s="33">
        <v>0.16420000000000001</v>
      </c>
      <c r="E236" s="33">
        <v>0</v>
      </c>
      <c r="F236" s="33">
        <v>3</v>
      </c>
      <c r="G236" s="33">
        <v>3</v>
      </c>
    </row>
    <row r="237" spans="1:7" x14ac:dyDescent="0.3">
      <c r="A237" s="33">
        <v>0.16</v>
      </c>
      <c r="B237" s="33">
        <v>0.1515</v>
      </c>
      <c r="C237" s="33">
        <v>0.55000000000000004</v>
      </c>
      <c r="D237" s="33">
        <v>0.19400000000000001</v>
      </c>
      <c r="E237" s="33">
        <v>0</v>
      </c>
      <c r="F237" s="33">
        <v>3</v>
      </c>
      <c r="G237" s="33">
        <v>3</v>
      </c>
    </row>
    <row r="238" spans="1:7" x14ac:dyDescent="0.3">
      <c r="A238" s="33">
        <v>0.16</v>
      </c>
      <c r="B238" s="33">
        <v>0.18179999999999999</v>
      </c>
      <c r="C238" s="33">
        <v>0.55000000000000004</v>
      </c>
      <c r="D238" s="33">
        <v>0.1343</v>
      </c>
      <c r="E238" s="33">
        <v>0</v>
      </c>
      <c r="F238" s="33">
        <v>6</v>
      </c>
      <c r="G238" s="33">
        <v>6</v>
      </c>
    </row>
    <row r="239" spans="1:7" x14ac:dyDescent="0.3">
      <c r="A239" s="33">
        <v>0.16</v>
      </c>
      <c r="B239" s="33">
        <v>0.18179999999999999</v>
      </c>
      <c r="C239" s="33">
        <v>0.55000000000000004</v>
      </c>
      <c r="D239" s="33">
        <v>0.1343</v>
      </c>
      <c r="E239" s="33">
        <v>0</v>
      </c>
      <c r="F239" s="33">
        <v>27</v>
      </c>
      <c r="G239" s="33">
        <v>27</v>
      </c>
    </row>
    <row r="240" spans="1:7" x14ac:dyDescent="0.3">
      <c r="A240" s="33">
        <v>0.16</v>
      </c>
      <c r="B240" s="33">
        <v>0.2273</v>
      </c>
      <c r="C240" s="33">
        <v>0.55000000000000004</v>
      </c>
      <c r="D240" s="33">
        <v>0</v>
      </c>
      <c r="E240" s="33">
        <v>2</v>
      </c>
      <c r="F240" s="33">
        <v>97</v>
      </c>
      <c r="G240" s="33">
        <v>99</v>
      </c>
    </row>
    <row r="241" spans="1:7" x14ac:dyDescent="0.3">
      <c r="A241" s="33">
        <v>0.18</v>
      </c>
      <c r="B241" s="33">
        <v>0.21210000000000001</v>
      </c>
      <c r="C241" s="33">
        <v>0.51</v>
      </c>
      <c r="D241" s="33">
        <v>8.9599999999999999E-2</v>
      </c>
      <c r="E241" s="33">
        <v>3</v>
      </c>
      <c r="F241" s="33">
        <v>214</v>
      </c>
      <c r="G241" s="33">
        <v>217</v>
      </c>
    </row>
    <row r="242" spans="1:7" x14ac:dyDescent="0.3">
      <c r="A242" s="33">
        <v>0.18</v>
      </c>
      <c r="B242" s="33">
        <v>0.19700000000000001</v>
      </c>
      <c r="C242" s="33">
        <v>0.51</v>
      </c>
      <c r="D242" s="33">
        <v>0.16420000000000001</v>
      </c>
      <c r="E242" s="33">
        <v>3</v>
      </c>
      <c r="F242" s="33">
        <v>127</v>
      </c>
      <c r="G242" s="33">
        <v>130</v>
      </c>
    </row>
    <row r="243" spans="1:7" x14ac:dyDescent="0.3">
      <c r="A243" s="33">
        <v>0.2</v>
      </c>
      <c r="B243" s="33">
        <v>0.21210000000000001</v>
      </c>
      <c r="C243" s="33">
        <v>0.51</v>
      </c>
      <c r="D243" s="33">
        <v>0.16420000000000001</v>
      </c>
      <c r="E243" s="33">
        <v>3</v>
      </c>
      <c r="F243" s="33">
        <v>51</v>
      </c>
      <c r="G243" s="33">
        <v>54</v>
      </c>
    </row>
    <row r="244" spans="1:7" x14ac:dyDescent="0.3">
      <c r="A244" s="33">
        <v>0.2</v>
      </c>
      <c r="B244" s="33">
        <v>0.21210000000000001</v>
      </c>
      <c r="C244" s="33">
        <v>0.47</v>
      </c>
      <c r="D244" s="33">
        <v>0.1343</v>
      </c>
      <c r="E244" s="33">
        <v>4</v>
      </c>
      <c r="F244" s="33">
        <v>31</v>
      </c>
      <c r="G244" s="33">
        <v>35</v>
      </c>
    </row>
    <row r="245" spans="1:7" x14ac:dyDescent="0.3">
      <c r="A245" s="33">
        <v>0.2</v>
      </c>
      <c r="B245" s="33">
        <v>0.2273</v>
      </c>
      <c r="C245" s="33">
        <v>0.51</v>
      </c>
      <c r="D245" s="33">
        <v>0.1045</v>
      </c>
      <c r="E245" s="33">
        <v>2</v>
      </c>
      <c r="F245" s="33">
        <v>55</v>
      </c>
      <c r="G245" s="33">
        <v>57</v>
      </c>
    </row>
    <row r="246" spans="1:7" x14ac:dyDescent="0.3">
      <c r="A246" s="33">
        <v>0.2</v>
      </c>
      <c r="B246" s="33">
        <v>0.2273</v>
      </c>
      <c r="C246" s="33">
        <v>0.59</v>
      </c>
      <c r="D246" s="33">
        <v>8.9599999999999999E-2</v>
      </c>
      <c r="E246" s="33">
        <v>6</v>
      </c>
      <c r="F246" s="33">
        <v>46</v>
      </c>
      <c r="G246" s="33">
        <v>52</v>
      </c>
    </row>
    <row r="247" spans="1:7" x14ac:dyDescent="0.3">
      <c r="A247" s="33">
        <v>0.2</v>
      </c>
      <c r="B247" s="33">
        <v>0.2273</v>
      </c>
      <c r="C247" s="33">
        <v>0.59</v>
      </c>
      <c r="D247" s="33">
        <v>8.9599999999999999E-2</v>
      </c>
      <c r="E247" s="33">
        <v>3</v>
      </c>
      <c r="F247" s="33">
        <v>60</v>
      </c>
      <c r="G247" s="33">
        <v>63</v>
      </c>
    </row>
    <row r="248" spans="1:7" x14ac:dyDescent="0.3">
      <c r="A248" s="33">
        <v>0.16</v>
      </c>
      <c r="B248" s="33">
        <v>0.19700000000000001</v>
      </c>
      <c r="C248" s="33">
        <v>0.8</v>
      </c>
      <c r="D248" s="33">
        <v>8.9599999999999999E-2</v>
      </c>
      <c r="E248" s="33">
        <v>2</v>
      </c>
      <c r="F248" s="33">
        <v>45</v>
      </c>
      <c r="G248" s="33">
        <v>47</v>
      </c>
    </row>
    <row r="249" spans="1:7" x14ac:dyDescent="0.3">
      <c r="A249" s="33">
        <v>0.16</v>
      </c>
      <c r="B249" s="33">
        <v>0.1515</v>
      </c>
      <c r="C249" s="33">
        <v>0.86</v>
      </c>
      <c r="D249" s="33">
        <v>0.22389999999999999</v>
      </c>
      <c r="E249" s="33">
        <v>4</v>
      </c>
      <c r="F249" s="33">
        <v>72</v>
      </c>
      <c r="G249" s="33">
        <v>76</v>
      </c>
    </row>
    <row r="250" spans="1:7" x14ac:dyDescent="0.3">
      <c r="A250" s="33">
        <v>0.16</v>
      </c>
      <c r="B250" s="33">
        <v>0.1515</v>
      </c>
      <c r="C250" s="33">
        <v>0.86</v>
      </c>
      <c r="D250" s="33">
        <v>0.22389999999999999</v>
      </c>
      <c r="E250" s="33">
        <v>6</v>
      </c>
      <c r="F250" s="33">
        <v>130</v>
      </c>
      <c r="G250" s="33">
        <v>136</v>
      </c>
    </row>
    <row r="251" spans="1:7" x14ac:dyDescent="0.3">
      <c r="A251" s="33">
        <v>0.16</v>
      </c>
      <c r="B251" s="33">
        <v>0.18179999999999999</v>
      </c>
      <c r="C251" s="33">
        <v>0.93</v>
      </c>
      <c r="D251" s="33">
        <v>0.1045</v>
      </c>
      <c r="E251" s="33">
        <v>1</v>
      </c>
      <c r="F251" s="33">
        <v>94</v>
      </c>
      <c r="G251" s="33">
        <v>95</v>
      </c>
    </row>
    <row r="252" spans="1:7" x14ac:dyDescent="0.3">
      <c r="A252" s="33">
        <v>0.16</v>
      </c>
      <c r="B252" s="33">
        <v>0.2273</v>
      </c>
      <c r="C252" s="33">
        <v>0.93</v>
      </c>
      <c r="D252" s="33">
        <v>0</v>
      </c>
      <c r="E252" s="33">
        <v>0</v>
      </c>
      <c r="F252" s="33">
        <v>51</v>
      </c>
      <c r="G252" s="33">
        <v>51</v>
      </c>
    </row>
    <row r="253" spans="1:7" x14ac:dyDescent="0.3">
      <c r="A253" s="33">
        <v>0.16</v>
      </c>
      <c r="B253" s="33">
        <v>0.1515</v>
      </c>
      <c r="C253" s="33">
        <v>0.93</v>
      </c>
      <c r="D253" s="33">
        <v>0.19400000000000001</v>
      </c>
      <c r="E253" s="33">
        <v>0</v>
      </c>
      <c r="F253" s="33">
        <v>32</v>
      </c>
      <c r="G253" s="33">
        <v>32</v>
      </c>
    </row>
    <row r="254" spans="1:7" x14ac:dyDescent="0.3">
      <c r="A254" s="33">
        <v>0.16</v>
      </c>
      <c r="B254" s="33">
        <v>0.19700000000000001</v>
      </c>
      <c r="C254" s="33">
        <v>0.86</v>
      </c>
      <c r="D254" s="33">
        <v>8.9599999999999999E-2</v>
      </c>
      <c r="E254" s="33">
        <v>0</v>
      </c>
      <c r="F254" s="33">
        <v>20</v>
      </c>
      <c r="G254" s="33">
        <v>20</v>
      </c>
    </row>
    <row r="255" spans="1:7" x14ac:dyDescent="0.3">
      <c r="A255" s="33">
        <v>0.16</v>
      </c>
      <c r="B255" s="33">
        <v>0.18179999999999999</v>
      </c>
      <c r="C255" s="33">
        <v>0.93</v>
      </c>
      <c r="D255" s="33">
        <v>0.1045</v>
      </c>
      <c r="E255" s="33">
        <v>1</v>
      </c>
      <c r="F255" s="33">
        <v>28</v>
      </c>
      <c r="G255" s="33">
        <v>29</v>
      </c>
    </row>
    <row r="256" spans="1:7" x14ac:dyDescent="0.3">
      <c r="A256" s="33">
        <v>0.16</v>
      </c>
      <c r="B256" s="33">
        <v>0.19700000000000001</v>
      </c>
      <c r="C256" s="33">
        <v>0.93</v>
      </c>
      <c r="D256" s="33">
        <v>8.9599999999999999E-2</v>
      </c>
      <c r="E256" s="33">
        <v>1</v>
      </c>
      <c r="F256" s="33">
        <v>18</v>
      </c>
      <c r="G256" s="33">
        <v>19</v>
      </c>
    </row>
    <row r="257" spans="1:7" x14ac:dyDescent="0.3">
      <c r="A257" s="33">
        <v>0.16</v>
      </c>
      <c r="B257" s="33">
        <v>0.19700000000000001</v>
      </c>
      <c r="C257" s="33">
        <v>0.86</v>
      </c>
      <c r="D257" s="33">
        <v>8.9599999999999999E-2</v>
      </c>
      <c r="E257" s="33">
        <v>0</v>
      </c>
      <c r="F257" s="33">
        <v>7</v>
      </c>
      <c r="G257" s="33">
        <v>7</v>
      </c>
    </row>
    <row r="258" spans="1:7" x14ac:dyDescent="0.3">
      <c r="A258" s="33">
        <v>0.16</v>
      </c>
      <c r="B258" s="33">
        <v>0.18179999999999999</v>
      </c>
      <c r="C258" s="33">
        <v>0.86</v>
      </c>
      <c r="D258" s="33">
        <v>0.1045</v>
      </c>
      <c r="E258" s="33">
        <v>0</v>
      </c>
      <c r="F258" s="33">
        <v>6</v>
      </c>
      <c r="G258" s="33">
        <v>6</v>
      </c>
    </row>
    <row r="259" spans="1:7" x14ac:dyDescent="0.3">
      <c r="A259" s="33">
        <v>0.14000000000000001</v>
      </c>
      <c r="B259" s="33">
        <v>0.1515</v>
      </c>
      <c r="C259" s="33">
        <v>0.86</v>
      </c>
      <c r="D259" s="33">
        <v>0.1343</v>
      </c>
      <c r="E259" s="33">
        <v>0</v>
      </c>
      <c r="F259" s="33">
        <v>1</v>
      </c>
      <c r="G259" s="33">
        <v>1</v>
      </c>
    </row>
    <row r="260" spans="1:7" x14ac:dyDescent="0.3">
      <c r="A260" s="33">
        <v>0.14000000000000001</v>
      </c>
      <c r="B260" s="33">
        <v>0.1515</v>
      </c>
      <c r="C260" s="33">
        <v>0.86</v>
      </c>
      <c r="D260" s="33">
        <v>0.16420000000000001</v>
      </c>
      <c r="E260" s="33">
        <v>0</v>
      </c>
      <c r="F260" s="33">
        <v>5</v>
      </c>
      <c r="G260" s="33">
        <v>5</v>
      </c>
    </row>
    <row r="261" spans="1:7" x14ac:dyDescent="0.3">
      <c r="A261" s="33">
        <v>0.12</v>
      </c>
      <c r="B261" s="33">
        <v>0.1515</v>
      </c>
      <c r="C261" s="33">
        <v>0.93</v>
      </c>
      <c r="D261" s="33">
        <v>0.1343</v>
      </c>
      <c r="E261" s="33">
        <v>0</v>
      </c>
      <c r="F261" s="33">
        <v>16</v>
      </c>
      <c r="G261" s="33">
        <v>16</v>
      </c>
    </row>
    <row r="262" spans="1:7" x14ac:dyDescent="0.3">
      <c r="A262" s="33">
        <v>0.14000000000000001</v>
      </c>
      <c r="B262" s="33">
        <v>0.1515</v>
      </c>
      <c r="C262" s="33">
        <v>0.69</v>
      </c>
      <c r="D262" s="33">
        <v>0.1343</v>
      </c>
      <c r="E262" s="33">
        <v>0</v>
      </c>
      <c r="F262" s="33">
        <v>54</v>
      </c>
      <c r="G262" s="33">
        <v>54</v>
      </c>
    </row>
    <row r="263" spans="1:7" x14ac:dyDescent="0.3">
      <c r="A263" s="33">
        <v>0.16</v>
      </c>
      <c r="B263" s="33">
        <v>0.16669999999999999</v>
      </c>
      <c r="C263" s="33">
        <v>0.59</v>
      </c>
      <c r="D263" s="33">
        <v>0.16420000000000001</v>
      </c>
      <c r="E263" s="33">
        <v>3</v>
      </c>
      <c r="F263" s="33">
        <v>125</v>
      </c>
      <c r="G263" s="33">
        <v>128</v>
      </c>
    </row>
    <row r="264" spans="1:7" x14ac:dyDescent="0.3">
      <c r="A264" s="33">
        <v>0.16</v>
      </c>
      <c r="B264" s="33">
        <v>0.13639999999999999</v>
      </c>
      <c r="C264" s="33">
        <v>0.59</v>
      </c>
      <c r="D264" s="33">
        <v>0.32840000000000003</v>
      </c>
      <c r="E264" s="33">
        <v>3</v>
      </c>
      <c r="F264" s="33">
        <v>78</v>
      </c>
      <c r="G264" s="33">
        <v>81</v>
      </c>
    </row>
    <row r="265" spans="1:7" x14ac:dyDescent="0.3">
      <c r="A265" s="33">
        <v>0.18</v>
      </c>
      <c r="B265" s="33">
        <v>0.18179999999999999</v>
      </c>
      <c r="C265" s="33">
        <v>0.55000000000000004</v>
      </c>
      <c r="D265" s="33">
        <v>0.22389999999999999</v>
      </c>
      <c r="E265" s="33">
        <v>0</v>
      </c>
      <c r="F265" s="33">
        <v>39</v>
      </c>
      <c r="G265" s="33">
        <v>39</v>
      </c>
    </row>
    <row r="266" spans="1:7" x14ac:dyDescent="0.3">
      <c r="A266" s="33">
        <v>0.2</v>
      </c>
      <c r="B266" s="33">
        <v>0.18179999999999999</v>
      </c>
      <c r="C266" s="33">
        <v>0.51</v>
      </c>
      <c r="D266" s="33">
        <v>0.3881</v>
      </c>
      <c r="E266" s="33">
        <v>3</v>
      </c>
      <c r="F266" s="33">
        <v>32</v>
      </c>
      <c r="G266" s="33">
        <v>35</v>
      </c>
    </row>
    <row r="267" spans="1:7" x14ac:dyDescent="0.3">
      <c r="A267" s="33">
        <v>0.2</v>
      </c>
      <c r="B267" s="33">
        <v>0.1515</v>
      </c>
      <c r="C267" s="33">
        <v>0.47</v>
      </c>
      <c r="D267" s="33">
        <v>0.58209999999999995</v>
      </c>
      <c r="E267" s="33">
        <v>3</v>
      </c>
      <c r="F267" s="33">
        <v>52</v>
      </c>
      <c r="G267" s="33">
        <v>55</v>
      </c>
    </row>
    <row r="268" spans="1:7" x14ac:dyDescent="0.3">
      <c r="A268" s="33">
        <v>0.22</v>
      </c>
      <c r="B268" s="33">
        <v>0.19700000000000001</v>
      </c>
      <c r="C268" s="33">
        <v>0.44</v>
      </c>
      <c r="D268" s="33">
        <v>0.35820000000000002</v>
      </c>
      <c r="E268" s="33">
        <v>0</v>
      </c>
      <c r="F268" s="33">
        <v>49</v>
      </c>
      <c r="G268" s="33">
        <v>49</v>
      </c>
    </row>
    <row r="269" spans="1:7" x14ac:dyDescent="0.3">
      <c r="A269" s="33">
        <v>0.2</v>
      </c>
      <c r="B269" s="33">
        <v>0.18179999999999999</v>
      </c>
      <c r="C269" s="33">
        <v>0.47</v>
      </c>
      <c r="D269" s="33">
        <v>0.32840000000000003</v>
      </c>
      <c r="E269" s="33">
        <v>0</v>
      </c>
      <c r="F269" s="33">
        <v>44</v>
      </c>
      <c r="G269" s="33">
        <v>44</v>
      </c>
    </row>
    <row r="270" spans="1:7" x14ac:dyDescent="0.3">
      <c r="A270" s="33">
        <v>0.2</v>
      </c>
      <c r="B270" s="33">
        <v>0.16669999999999999</v>
      </c>
      <c r="C270" s="33">
        <v>0.47</v>
      </c>
      <c r="D270" s="33">
        <v>0.41789999999999999</v>
      </c>
      <c r="E270" s="33">
        <v>1</v>
      </c>
      <c r="F270" s="33">
        <v>48</v>
      </c>
      <c r="G270" s="33">
        <v>49</v>
      </c>
    </row>
    <row r="271" spans="1:7" x14ac:dyDescent="0.3">
      <c r="A271" s="33">
        <v>0.22</v>
      </c>
      <c r="B271" s="33">
        <v>0.19700000000000001</v>
      </c>
      <c r="C271" s="33">
        <v>0.44</v>
      </c>
      <c r="D271" s="33">
        <v>0.32840000000000003</v>
      </c>
      <c r="E271" s="33">
        <v>5</v>
      </c>
      <c r="F271" s="33">
        <v>63</v>
      </c>
      <c r="G271" s="33">
        <v>68</v>
      </c>
    </row>
    <row r="272" spans="1:7" x14ac:dyDescent="0.3">
      <c r="A272" s="33">
        <v>0.2</v>
      </c>
      <c r="B272" s="33">
        <v>0.18179999999999999</v>
      </c>
      <c r="C272" s="33">
        <v>0.47</v>
      </c>
      <c r="D272" s="33">
        <v>0.35820000000000002</v>
      </c>
      <c r="E272" s="33">
        <v>0</v>
      </c>
      <c r="F272" s="33">
        <v>139</v>
      </c>
      <c r="G272" s="33">
        <v>139</v>
      </c>
    </row>
    <row r="273" spans="1:7" x14ac:dyDescent="0.3">
      <c r="A273" s="33">
        <v>0.2</v>
      </c>
      <c r="B273" s="33">
        <v>0.1515</v>
      </c>
      <c r="C273" s="33">
        <v>0.47</v>
      </c>
      <c r="D273" s="33">
        <v>0.52239999999999998</v>
      </c>
      <c r="E273" s="33">
        <v>2</v>
      </c>
      <c r="F273" s="33">
        <v>135</v>
      </c>
      <c r="G273" s="33">
        <v>137</v>
      </c>
    </row>
    <row r="274" spans="1:7" x14ac:dyDescent="0.3">
      <c r="A274" s="33">
        <v>0.18</v>
      </c>
      <c r="B274" s="33">
        <v>0.1515</v>
      </c>
      <c r="C274" s="33">
        <v>0.47</v>
      </c>
      <c r="D274" s="33">
        <v>0.41789999999999999</v>
      </c>
      <c r="E274" s="33">
        <v>1</v>
      </c>
      <c r="F274" s="33">
        <v>82</v>
      </c>
      <c r="G274" s="33">
        <v>83</v>
      </c>
    </row>
    <row r="275" spans="1:7" x14ac:dyDescent="0.3">
      <c r="A275" s="33">
        <v>0.16</v>
      </c>
      <c r="B275" s="33">
        <v>0.13639999999999999</v>
      </c>
      <c r="C275" s="33">
        <v>0.5</v>
      </c>
      <c r="D275" s="33">
        <v>0.32840000000000003</v>
      </c>
      <c r="E275" s="33">
        <v>2</v>
      </c>
      <c r="F275" s="33">
        <v>54</v>
      </c>
      <c r="G275" s="33">
        <v>56</v>
      </c>
    </row>
    <row r="276" spans="1:7" x14ac:dyDescent="0.3">
      <c r="A276" s="33">
        <v>0.16</v>
      </c>
      <c r="B276" s="33">
        <v>0.13639999999999999</v>
      </c>
      <c r="C276" s="33">
        <v>0.55000000000000004</v>
      </c>
      <c r="D276" s="33">
        <v>0.32840000000000003</v>
      </c>
      <c r="E276" s="33">
        <v>0</v>
      </c>
      <c r="F276" s="33">
        <v>57</v>
      </c>
      <c r="G276" s="33">
        <v>57</v>
      </c>
    </row>
    <row r="277" spans="1:7" x14ac:dyDescent="0.3">
      <c r="A277" s="33">
        <v>0.16</v>
      </c>
      <c r="B277" s="33">
        <v>0.1212</v>
      </c>
      <c r="C277" s="33">
        <v>0.55000000000000004</v>
      </c>
      <c r="D277" s="33">
        <v>0.44779999999999998</v>
      </c>
      <c r="E277" s="33">
        <v>1</v>
      </c>
      <c r="F277" s="33">
        <v>32</v>
      </c>
      <c r="G277" s="33">
        <v>33</v>
      </c>
    </row>
    <row r="278" spans="1:7" x14ac:dyDescent="0.3">
      <c r="A278" s="33">
        <v>0.14000000000000001</v>
      </c>
      <c r="B278" s="33">
        <v>0.1061</v>
      </c>
      <c r="C278" s="33">
        <v>0.59</v>
      </c>
      <c r="D278" s="33">
        <v>0.41789999999999999</v>
      </c>
      <c r="E278" s="33">
        <v>1</v>
      </c>
      <c r="F278" s="33">
        <v>19</v>
      </c>
      <c r="G278" s="33">
        <v>20</v>
      </c>
    </row>
    <row r="279" spans="1:7" x14ac:dyDescent="0.3">
      <c r="A279" s="33">
        <v>0.14000000000000001</v>
      </c>
      <c r="B279" s="33">
        <v>0.1212</v>
      </c>
      <c r="C279" s="33">
        <v>0.59</v>
      </c>
      <c r="D279" s="33">
        <v>0.28360000000000002</v>
      </c>
      <c r="E279" s="33">
        <v>1</v>
      </c>
      <c r="F279" s="33">
        <v>6</v>
      </c>
      <c r="G279" s="33">
        <v>7</v>
      </c>
    </row>
    <row r="280" spans="1:7" x14ac:dyDescent="0.3">
      <c r="A280" s="33">
        <v>0.14000000000000001</v>
      </c>
      <c r="B280" s="33">
        <v>0.1212</v>
      </c>
      <c r="C280" s="33">
        <v>0.5</v>
      </c>
      <c r="D280" s="33">
        <v>0.28360000000000002</v>
      </c>
      <c r="E280" s="33">
        <v>0</v>
      </c>
      <c r="F280" s="33">
        <v>2</v>
      </c>
      <c r="G280" s="33">
        <v>2</v>
      </c>
    </row>
    <row r="281" spans="1:7" x14ac:dyDescent="0.3">
      <c r="A281" s="33">
        <v>0.14000000000000001</v>
      </c>
      <c r="B281" s="33">
        <v>0.1212</v>
      </c>
      <c r="C281" s="33">
        <v>0.5</v>
      </c>
      <c r="D281" s="33">
        <v>0.35820000000000002</v>
      </c>
      <c r="E281" s="33">
        <v>0</v>
      </c>
      <c r="F281" s="33">
        <v>2</v>
      </c>
      <c r="G281" s="33">
        <v>2</v>
      </c>
    </row>
    <row r="282" spans="1:7" x14ac:dyDescent="0.3">
      <c r="A282" s="33">
        <v>0.14000000000000001</v>
      </c>
      <c r="B282" s="33">
        <v>0.1212</v>
      </c>
      <c r="C282" s="33">
        <v>0.5</v>
      </c>
      <c r="D282" s="33">
        <v>0.32840000000000003</v>
      </c>
      <c r="E282" s="33">
        <v>0</v>
      </c>
      <c r="F282" s="33">
        <v>3</v>
      </c>
      <c r="G282" s="33">
        <v>3</v>
      </c>
    </row>
    <row r="283" spans="1:7" x14ac:dyDescent="0.3">
      <c r="A283" s="33">
        <v>0.14000000000000001</v>
      </c>
      <c r="B283" s="33">
        <v>0.1212</v>
      </c>
      <c r="C283" s="33">
        <v>0.5</v>
      </c>
      <c r="D283" s="33">
        <v>0.25369999999999998</v>
      </c>
      <c r="E283" s="33">
        <v>0</v>
      </c>
      <c r="F283" s="33">
        <v>4</v>
      </c>
      <c r="G283" s="33">
        <v>4</v>
      </c>
    </row>
    <row r="284" spans="1:7" x14ac:dyDescent="0.3">
      <c r="A284" s="33">
        <v>0.14000000000000001</v>
      </c>
      <c r="B284" s="33">
        <v>0.1212</v>
      </c>
      <c r="C284" s="33">
        <v>0.5</v>
      </c>
      <c r="D284" s="33">
        <v>0.29849999999999999</v>
      </c>
      <c r="E284" s="33">
        <v>0</v>
      </c>
      <c r="F284" s="33">
        <v>3</v>
      </c>
      <c r="G284" s="33">
        <v>3</v>
      </c>
    </row>
    <row r="285" spans="1:7" x14ac:dyDescent="0.3">
      <c r="A285" s="33">
        <v>0.12</v>
      </c>
      <c r="B285" s="33">
        <v>0.1515</v>
      </c>
      <c r="C285" s="33">
        <v>0.54</v>
      </c>
      <c r="D285" s="33">
        <v>0.1343</v>
      </c>
      <c r="E285" s="33">
        <v>0</v>
      </c>
      <c r="F285" s="33">
        <v>28</v>
      </c>
      <c r="G285" s="33">
        <v>28</v>
      </c>
    </row>
    <row r="286" spans="1:7" x14ac:dyDescent="0.3">
      <c r="A286" s="33">
        <v>0.12</v>
      </c>
      <c r="B286" s="33">
        <v>0.1515</v>
      </c>
      <c r="C286" s="33">
        <v>0.54</v>
      </c>
      <c r="D286" s="33">
        <v>0.1343</v>
      </c>
      <c r="E286" s="33">
        <v>0</v>
      </c>
      <c r="F286" s="33">
        <v>72</v>
      </c>
      <c r="G286" s="33">
        <v>72</v>
      </c>
    </row>
    <row r="287" spans="1:7" x14ac:dyDescent="0.3">
      <c r="A287" s="33">
        <v>0.14000000000000001</v>
      </c>
      <c r="B287" s="33">
        <v>0.13639999999999999</v>
      </c>
      <c r="C287" s="33">
        <v>0.5</v>
      </c>
      <c r="D287" s="33">
        <v>0.19400000000000001</v>
      </c>
      <c r="E287" s="33">
        <v>5</v>
      </c>
      <c r="F287" s="33">
        <v>197</v>
      </c>
      <c r="G287" s="33">
        <v>202</v>
      </c>
    </row>
    <row r="288" spans="1:7" x14ac:dyDescent="0.3">
      <c r="A288" s="33">
        <v>0.14000000000000001</v>
      </c>
      <c r="B288" s="33">
        <v>0.1212</v>
      </c>
      <c r="C288" s="33">
        <v>0.5</v>
      </c>
      <c r="D288" s="33">
        <v>0.32840000000000003</v>
      </c>
      <c r="E288" s="33">
        <v>2</v>
      </c>
      <c r="F288" s="33">
        <v>137</v>
      </c>
      <c r="G288" s="33">
        <v>139</v>
      </c>
    </row>
    <row r="289" spans="1:7" x14ac:dyDescent="0.3">
      <c r="A289" s="33">
        <v>0.16</v>
      </c>
      <c r="B289" s="33">
        <v>0.13639999999999999</v>
      </c>
      <c r="C289" s="33">
        <v>0.5</v>
      </c>
      <c r="D289" s="33">
        <v>0.35820000000000002</v>
      </c>
      <c r="E289" s="33">
        <v>2</v>
      </c>
      <c r="F289" s="33">
        <v>36</v>
      </c>
      <c r="G289" s="33">
        <v>38</v>
      </c>
    </row>
    <row r="290" spans="1:7" x14ac:dyDescent="0.3">
      <c r="A290" s="33">
        <v>0.2</v>
      </c>
      <c r="B290" s="33">
        <v>0.16669999999999999</v>
      </c>
      <c r="C290" s="33">
        <v>0.44</v>
      </c>
      <c r="D290" s="33">
        <v>0.44779999999999998</v>
      </c>
      <c r="E290" s="33">
        <v>4</v>
      </c>
      <c r="F290" s="33">
        <v>33</v>
      </c>
      <c r="G290" s="33">
        <v>37</v>
      </c>
    </row>
    <row r="291" spans="1:7" x14ac:dyDescent="0.3">
      <c r="A291" s="33">
        <v>0.2</v>
      </c>
      <c r="B291" s="33">
        <v>0.16669999999999999</v>
      </c>
      <c r="C291" s="33">
        <v>0.44</v>
      </c>
      <c r="D291" s="33">
        <v>0.41789999999999999</v>
      </c>
      <c r="E291" s="33">
        <v>3</v>
      </c>
      <c r="F291" s="33">
        <v>49</v>
      </c>
      <c r="G291" s="33">
        <v>52</v>
      </c>
    </row>
    <row r="292" spans="1:7" x14ac:dyDescent="0.3">
      <c r="A292" s="33">
        <v>0.22</v>
      </c>
      <c r="B292" s="33">
        <v>0.19700000000000001</v>
      </c>
      <c r="C292" s="33">
        <v>0.41</v>
      </c>
      <c r="D292" s="33">
        <v>0.44779999999999998</v>
      </c>
      <c r="E292" s="33">
        <v>2</v>
      </c>
      <c r="F292" s="33">
        <v>81</v>
      </c>
      <c r="G292" s="33">
        <v>83</v>
      </c>
    </row>
    <row r="293" spans="1:7" x14ac:dyDescent="0.3">
      <c r="A293" s="33">
        <v>0.22</v>
      </c>
      <c r="B293" s="33">
        <v>0.19700000000000001</v>
      </c>
      <c r="C293" s="33">
        <v>0.41</v>
      </c>
      <c r="D293" s="33">
        <v>0.3881</v>
      </c>
      <c r="E293" s="33">
        <v>3</v>
      </c>
      <c r="F293" s="33">
        <v>39</v>
      </c>
      <c r="G293" s="33">
        <v>42</v>
      </c>
    </row>
    <row r="294" spans="1:7" x14ac:dyDescent="0.3">
      <c r="A294" s="33">
        <v>0.24</v>
      </c>
      <c r="B294" s="33">
        <v>0.21210000000000001</v>
      </c>
      <c r="C294" s="33">
        <v>0.38</v>
      </c>
      <c r="D294" s="33">
        <v>0.29849999999999999</v>
      </c>
      <c r="E294" s="33">
        <v>5</v>
      </c>
      <c r="F294" s="33">
        <v>55</v>
      </c>
      <c r="G294" s="33">
        <v>60</v>
      </c>
    </row>
    <row r="295" spans="1:7" x14ac:dyDescent="0.3">
      <c r="A295" s="33">
        <v>0.24</v>
      </c>
      <c r="B295" s="33">
        <v>0.21210000000000001</v>
      </c>
      <c r="C295" s="33">
        <v>0.38</v>
      </c>
      <c r="D295" s="33">
        <v>0.35820000000000002</v>
      </c>
      <c r="E295" s="33">
        <v>2</v>
      </c>
      <c r="F295" s="33">
        <v>76</v>
      </c>
      <c r="G295" s="33">
        <v>78</v>
      </c>
    </row>
    <row r="296" spans="1:7" x14ac:dyDescent="0.3">
      <c r="A296" s="33">
        <v>0.2</v>
      </c>
      <c r="B296" s="33">
        <v>0.18179999999999999</v>
      </c>
      <c r="C296" s="33">
        <v>0.4</v>
      </c>
      <c r="D296" s="33">
        <v>0.28360000000000002</v>
      </c>
      <c r="E296" s="33">
        <v>4</v>
      </c>
      <c r="F296" s="33">
        <v>158</v>
      </c>
      <c r="G296" s="33">
        <v>162</v>
      </c>
    </row>
    <row r="297" spans="1:7" x14ac:dyDescent="0.3">
      <c r="A297" s="33">
        <v>0.2</v>
      </c>
      <c r="B297" s="33">
        <v>0.18179999999999999</v>
      </c>
      <c r="C297" s="33">
        <v>0.4</v>
      </c>
      <c r="D297" s="33">
        <v>0.32840000000000003</v>
      </c>
      <c r="E297" s="33">
        <v>3</v>
      </c>
      <c r="F297" s="33">
        <v>141</v>
      </c>
      <c r="G297" s="33">
        <v>144</v>
      </c>
    </row>
    <row r="298" spans="1:7" x14ac:dyDescent="0.3">
      <c r="A298" s="33">
        <v>0.16</v>
      </c>
      <c r="B298" s="33">
        <v>0.1515</v>
      </c>
      <c r="C298" s="33">
        <v>0.47</v>
      </c>
      <c r="D298" s="33">
        <v>0.25369999999999998</v>
      </c>
      <c r="E298" s="33">
        <v>1</v>
      </c>
      <c r="F298" s="33">
        <v>98</v>
      </c>
      <c r="G298" s="33">
        <v>99</v>
      </c>
    </row>
    <row r="299" spans="1:7" x14ac:dyDescent="0.3">
      <c r="A299" s="33">
        <v>0.16</v>
      </c>
      <c r="B299" s="33">
        <v>0.1515</v>
      </c>
      <c r="C299" s="33">
        <v>0.47</v>
      </c>
      <c r="D299" s="33">
        <v>0.22389999999999999</v>
      </c>
      <c r="E299" s="33">
        <v>0</v>
      </c>
      <c r="F299" s="33">
        <v>64</v>
      </c>
      <c r="G299" s="33">
        <v>64</v>
      </c>
    </row>
    <row r="300" spans="1:7" x14ac:dyDescent="0.3">
      <c r="A300" s="33">
        <v>0.14000000000000001</v>
      </c>
      <c r="B300" s="33">
        <v>0.1212</v>
      </c>
      <c r="C300" s="33">
        <v>0.46</v>
      </c>
      <c r="D300" s="33">
        <v>0.29849999999999999</v>
      </c>
      <c r="E300" s="33">
        <v>0</v>
      </c>
      <c r="F300" s="33">
        <v>40</v>
      </c>
      <c r="G300" s="33">
        <v>40</v>
      </c>
    </row>
    <row r="301" spans="1:7" x14ac:dyDescent="0.3">
      <c r="A301" s="33">
        <v>0.14000000000000001</v>
      </c>
      <c r="B301" s="33">
        <v>0.1212</v>
      </c>
      <c r="C301" s="33">
        <v>0.46</v>
      </c>
      <c r="D301" s="33">
        <v>0.32840000000000003</v>
      </c>
      <c r="E301" s="33">
        <v>0</v>
      </c>
      <c r="F301" s="33">
        <v>30</v>
      </c>
      <c r="G301" s="33">
        <v>30</v>
      </c>
    </row>
    <row r="302" spans="1:7" x14ac:dyDescent="0.3">
      <c r="A302" s="33">
        <v>0.12</v>
      </c>
      <c r="B302" s="33">
        <v>0.13639999999999999</v>
      </c>
      <c r="C302" s="33">
        <v>0.5</v>
      </c>
      <c r="D302" s="33">
        <v>0.19400000000000001</v>
      </c>
      <c r="E302" s="33">
        <v>1</v>
      </c>
      <c r="F302" s="33">
        <v>14</v>
      </c>
      <c r="G302" s="33">
        <v>15</v>
      </c>
    </row>
    <row r="303" spans="1:7" x14ac:dyDescent="0.3">
      <c r="A303" s="33">
        <v>0.12</v>
      </c>
      <c r="B303" s="33">
        <v>0.13639999999999999</v>
      </c>
      <c r="C303" s="33">
        <v>0.5</v>
      </c>
      <c r="D303" s="33">
        <v>0.19400000000000001</v>
      </c>
      <c r="E303" s="33">
        <v>0</v>
      </c>
      <c r="F303" s="33">
        <v>14</v>
      </c>
      <c r="G303" s="33">
        <v>14</v>
      </c>
    </row>
    <row r="304" spans="1:7" x14ac:dyDescent="0.3">
      <c r="A304" s="33">
        <v>0.1</v>
      </c>
      <c r="B304" s="33">
        <v>0.1212</v>
      </c>
      <c r="C304" s="33">
        <v>0.54</v>
      </c>
      <c r="D304" s="33">
        <v>0.16420000000000001</v>
      </c>
      <c r="E304" s="33">
        <v>0</v>
      </c>
      <c r="F304" s="33">
        <v>5</v>
      </c>
      <c r="G304" s="33">
        <v>5</v>
      </c>
    </row>
    <row r="305" spans="1:7" x14ac:dyDescent="0.3">
      <c r="A305" s="33">
        <v>0.1</v>
      </c>
      <c r="B305" s="33">
        <v>0.1212</v>
      </c>
      <c r="C305" s="33">
        <v>0.54</v>
      </c>
      <c r="D305" s="33">
        <v>0.1343</v>
      </c>
      <c r="E305" s="33">
        <v>0</v>
      </c>
      <c r="F305" s="33">
        <v>1</v>
      </c>
      <c r="G305" s="33">
        <v>1</v>
      </c>
    </row>
    <row r="306" spans="1:7" x14ac:dyDescent="0.3">
      <c r="A306" s="33">
        <v>0.1</v>
      </c>
      <c r="B306" s="33">
        <v>0.13639999999999999</v>
      </c>
      <c r="C306" s="33">
        <v>0.54</v>
      </c>
      <c r="D306" s="33">
        <v>0.1045</v>
      </c>
      <c r="E306" s="33">
        <v>0</v>
      </c>
      <c r="F306" s="33">
        <v>1</v>
      </c>
      <c r="G306" s="33">
        <v>1</v>
      </c>
    </row>
    <row r="307" spans="1:7" x14ac:dyDescent="0.3">
      <c r="A307" s="33">
        <v>0.1</v>
      </c>
      <c r="B307" s="33">
        <v>0.13639999999999999</v>
      </c>
      <c r="C307" s="33">
        <v>0.54</v>
      </c>
      <c r="D307" s="33">
        <v>8.9599999999999999E-2</v>
      </c>
      <c r="E307" s="33">
        <v>0</v>
      </c>
      <c r="F307" s="33">
        <v>8</v>
      </c>
      <c r="G307" s="33">
        <v>8</v>
      </c>
    </row>
    <row r="308" spans="1:7" x14ac:dyDescent="0.3">
      <c r="A308" s="33">
        <v>0.1</v>
      </c>
      <c r="B308" s="33">
        <v>0.18179999999999999</v>
      </c>
      <c r="C308" s="33">
        <v>0.54</v>
      </c>
      <c r="D308" s="33">
        <v>0</v>
      </c>
      <c r="E308" s="33">
        <v>0</v>
      </c>
      <c r="F308" s="33">
        <v>17</v>
      </c>
      <c r="G308" s="33">
        <v>17</v>
      </c>
    </row>
    <row r="309" spans="1:7" x14ac:dyDescent="0.3">
      <c r="A309" s="33">
        <v>0.1</v>
      </c>
      <c r="B309" s="33">
        <v>0.1212</v>
      </c>
      <c r="C309" s="33">
        <v>0.74</v>
      </c>
      <c r="D309" s="33">
        <v>0.16420000000000001</v>
      </c>
      <c r="E309" s="33">
        <v>0</v>
      </c>
      <c r="F309" s="33">
        <v>70</v>
      </c>
      <c r="G309" s="33">
        <v>70</v>
      </c>
    </row>
    <row r="310" spans="1:7" x14ac:dyDescent="0.3">
      <c r="A310" s="33">
        <v>0.12</v>
      </c>
      <c r="B310" s="33">
        <v>0.16669999999999999</v>
      </c>
      <c r="C310" s="33">
        <v>0.68</v>
      </c>
      <c r="D310" s="33">
        <v>0</v>
      </c>
      <c r="E310" s="33">
        <v>2</v>
      </c>
      <c r="F310" s="33">
        <v>156</v>
      </c>
      <c r="G310" s="33">
        <v>158</v>
      </c>
    </row>
    <row r="311" spans="1:7" x14ac:dyDescent="0.3">
      <c r="A311" s="33">
        <v>0.14000000000000001</v>
      </c>
      <c r="B311" s="33">
        <v>0.1515</v>
      </c>
      <c r="C311" s="33">
        <v>0.69</v>
      </c>
      <c r="D311" s="33">
        <v>0.1343</v>
      </c>
      <c r="E311" s="33">
        <v>0</v>
      </c>
      <c r="F311" s="33">
        <v>117</v>
      </c>
      <c r="G311" s="33">
        <v>117</v>
      </c>
    </row>
    <row r="312" spans="1:7" x14ac:dyDescent="0.3">
      <c r="A312" s="33">
        <v>0.18</v>
      </c>
      <c r="B312" s="33">
        <v>0.18179999999999999</v>
      </c>
      <c r="C312" s="33">
        <v>0.55000000000000004</v>
      </c>
      <c r="D312" s="33">
        <v>0.19400000000000001</v>
      </c>
      <c r="E312" s="33">
        <v>4</v>
      </c>
      <c r="F312" s="33">
        <v>40</v>
      </c>
      <c r="G312" s="33">
        <v>44</v>
      </c>
    </row>
    <row r="313" spans="1:7" x14ac:dyDescent="0.3">
      <c r="A313" s="33">
        <v>0.18</v>
      </c>
      <c r="B313" s="33">
        <v>0.16669999999999999</v>
      </c>
      <c r="C313" s="33">
        <v>0.51</v>
      </c>
      <c r="D313" s="33">
        <v>0.28360000000000002</v>
      </c>
      <c r="E313" s="33">
        <v>6</v>
      </c>
      <c r="F313" s="33">
        <v>47</v>
      </c>
      <c r="G313" s="33">
        <v>53</v>
      </c>
    </row>
    <row r="314" spans="1:7" x14ac:dyDescent="0.3">
      <c r="A314" s="33">
        <v>0.2</v>
      </c>
      <c r="B314" s="33">
        <v>0.19700000000000001</v>
      </c>
      <c r="C314" s="33">
        <v>0.44</v>
      </c>
      <c r="D314" s="33">
        <v>0.25369999999999998</v>
      </c>
      <c r="E314" s="33">
        <v>2</v>
      </c>
      <c r="F314" s="33">
        <v>59</v>
      </c>
      <c r="G314" s="33">
        <v>61</v>
      </c>
    </row>
    <row r="315" spans="1:7" x14ac:dyDescent="0.3">
      <c r="A315" s="33">
        <v>0.22</v>
      </c>
      <c r="B315" s="33">
        <v>0.19700000000000001</v>
      </c>
      <c r="C315" s="33">
        <v>0.37</v>
      </c>
      <c r="D315" s="33">
        <v>0.3881</v>
      </c>
      <c r="E315" s="33">
        <v>4</v>
      </c>
      <c r="F315" s="33">
        <v>73</v>
      </c>
      <c r="G315" s="33">
        <v>77</v>
      </c>
    </row>
    <row r="316" spans="1:7" x14ac:dyDescent="0.3">
      <c r="A316" s="33">
        <v>0.22</v>
      </c>
      <c r="B316" s="33">
        <v>0.21210000000000001</v>
      </c>
      <c r="C316" s="33">
        <v>0.41</v>
      </c>
      <c r="D316" s="33">
        <v>0.28360000000000002</v>
      </c>
      <c r="E316" s="33">
        <v>5</v>
      </c>
      <c r="F316" s="33">
        <v>59</v>
      </c>
      <c r="G316" s="33">
        <v>64</v>
      </c>
    </row>
    <row r="317" spans="1:7" x14ac:dyDescent="0.3">
      <c r="A317" s="33">
        <v>0.24</v>
      </c>
      <c r="B317" s="33">
        <v>0.2424</v>
      </c>
      <c r="C317" s="33">
        <v>0.38</v>
      </c>
      <c r="D317" s="33">
        <v>0.16420000000000001</v>
      </c>
      <c r="E317" s="33">
        <v>9</v>
      </c>
      <c r="F317" s="33">
        <v>59</v>
      </c>
      <c r="G317" s="33">
        <v>68</v>
      </c>
    </row>
    <row r="318" spans="1:7" x14ac:dyDescent="0.3">
      <c r="A318" s="33">
        <v>0.22</v>
      </c>
      <c r="B318" s="33">
        <v>0.2424</v>
      </c>
      <c r="C318" s="33">
        <v>0.41</v>
      </c>
      <c r="D318" s="33">
        <v>0.1045</v>
      </c>
      <c r="E318" s="33">
        <v>3</v>
      </c>
      <c r="F318" s="33">
        <v>87</v>
      </c>
      <c r="G318" s="33">
        <v>90</v>
      </c>
    </row>
    <row r="319" spans="1:7" x14ac:dyDescent="0.3">
      <c r="A319" s="33">
        <v>0.22</v>
      </c>
      <c r="B319" s="33">
        <v>0.2273</v>
      </c>
      <c r="C319" s="33">
        <v>0.41</v>
      </c>
      <c r="D319" s="33">
        <v>0.16420000000000001</v>
      </c>
      <c r="E319" s="33">
        <v>4</v>
      </c>
      <c r="F319" s="33">
        <v>155</v>
      </c>
      <c r="G319" s="33">
        <v>159</v>
      </c>
    </row>
    <row r="320" spans="1:7" x14ac:dyDescent="0.3">
      <c r="A320" s="33">
        <v>0.2</v>
      </c>
      <c r="B320" s="33">
        <v>0.2576</v>
      </c>
      <c r="C320" s="33">
        <v>0.47</v>
      </c>
      <c r="D320" s="33">
        <v>0</v>
      </c>
      <c r="E320" s="33">
        <v>5</v>
      </c>
      <c r="F320" s="33">
        <v>134</v>
      </c>
      <c r="G320" s="33">
        <v>139</v>
      </c>
    </row>
    <row r="321" spans="1:7" x14ac:dyDescent="0.3">
      <c r="A321" s="33">
        <v>0.16</v>
      </c>
      <c r="B321" s="33">
        <v>0.19700000000000001</v>
      </c>
      <c r="C321" s="33">
        <v>0.59</v>
      </c>
      <c r="D321" s="33">
        <v>8.9599999999999999E-2</v>
      </c>
      <c r="E321" s="33">
        <v>3</v>
      </c>
      <c r="F321" s="33">
        <v>89</v>
      </c>
      <c r="G321" s="33">
        <v>92</v>
      </c>
    </row>
    <row r="322" spans="1:7" x14ac:dyDescent="0.3">
      <c r="A322" s="33">
        <v>0.18</v>
      </c>
      <c r="B322" s="33">
        <v>0.2424</v>
      </c>
      <c r="C322" s="33">
        <v>0.59</v>
      </c>
      <c r="D322" s="33">
        <v>0</v>
      </c>
      <c r="E322" s="33">
        <v>0</v>
      </c>
      <c r="F322" s="33">
        <v>68</v>
      </c>
      <c r="G322" s="33">
        <v>68</v>
      </c>
    </row>
    <row r="323" spans="1:7" x14ac:dyDescent="0.3">
      <c r="A323" s="33">
        <v>0.16</v>
      </c>
      <c r="B323" s="33">
        <v>0.2273</v>
      </c>
      <c r="C323" s="33">
        <v>0.69</v>
      </c>
      <c r="D323" s="33">
        <v>0</v>
      </c>
      <c r="E323" s="33">
        <v>4</v>
      </c>
      <c r="F323" s="33">
        <v>48</v>
      </c>
      <c r="G323" s="33">
        <v>52</v>
      </c>
    </row>
    <row r="324" spans="1:7" x14ac:dyDescent="0.3">
      <c r="A324" s="33">
        <v>0.16</v>
      </c>
      <c r="B324" s="33">
        <v>0.2273</v>
      </c>
      <c r="C324" s="33">
        <v>0.69</v>
      </c>
      <c r="D324" s="33">
        <v>0</v>
      </c>
      <c r="E324" s="33">
        <v>2</v>
      </c>
      <c r="F324" s="33">
        <v>34</v>
      </c>
      <c r="G324" s="33">
        <v>36</v>
      </c>
    </row>
    <row r="325" spans="1:7" x14ac:dyDescent="0.3">
      <c r="A325" s="33">
        <v>0.18</v>
      </c>
      <c r="B325" s="33">
        <v>0.2424</v>
      </c>
      <c r="C325" s="33">
        <v>0.55000000000000004</v>
      </c>
      <c r="D325" s="33">
        <v>0</v>
      </c>
      <c r="E325" s="33">
        <v>1</v>
      </c>
      <c r="F325" s="33">
        <v>26</v>
      </c>
      <c r="G325" s="33">
        <v>27</v>
      </c>
    </row>
    <row r="326" spans="1:7" x14ac:dyDescent="0.3">
      <c r="A326" s="33">
        <v>0.18</v>
      </c>
      <c r="B326" s="33">
        <v>0.2424</v>
      </c>
      <c r="C326" s="33">
        <v>0.55000000000000004</v>
      </c>
      <c r="D326" s="33">
        <v>0</v>
      </c>
      <c r="E326" s="33">
        <v>3</v>
      </c>
      <c r="F326" s="33">
        <v>25</v>
      </c>
      <c r="G326" s="33">
        <v>28</v>
      </c>
    </row>
    <row r="327" spans="1:7" x14ac:dyDescent="0.3">
      <c r="A327" s="33">
        <v>0.16</v>
      </c>
      <c r="B327" s="33">
        <v>0.19700000000000001</v>
      </c>
      <c r="C327" s="33">
        <v>0.59</v>
      </c>
      <c r="D327" s="33">
        <v>8.9599999999999999E-2</v>
      </c>
      <c r="E327" s="33">
        <v>2</v>
      </c>
      <c r="F327" s="33">
        <v>18</v>
      </c>
      <c r="G327" s="33">
        <v>20</v>
      </c>
    </row>
    <row r="328" spans="1:7" x14ac:dyDescent="0.3">
      <c r="A328" s="33">
        <v>0.16</v>
      </c>
      <c r="B328" s="33">
        <v>0.19700000000000001</v>
      </c>
      <c r="C328" s="33">
        <v>0.59</v>
      </c>
      <c r="D328" s="33">
        <v>8.9599999999999999E-2</v>
      </c>
      <c r="E328" s="33">
        <v>0</v>
      </c>
      <c r="F328" s="33">
        <v>12</v>
      </c>
      <c r="G328" s="33">
        <v>12</v>
      </c>
    </row>
    <row r="329" spans="1:7" x14ac:dyDescent="0.3">
      <c r="A329" s="33">
        <v>0.16</v>
      </c>
      <c r="B329" s="33">
        <v>0.2273</v>
      </c>
      <c r="C329" s="33">
        <v>0.59</v>
      </c>
      <c r="D329" s="33">
        <v>0</v>
      </c>
      <c r="E329" s="33">
        <v>1</v>
      </c>
      <c r="F329" s="33">
        <v>7</v>
      </c>
      <c r="G329" s="33">
        <v>8</v>
      </c>
    </row>
    <row r="330" spans="1:7" x14ac:dyDescent="0.3">
      <c r="A330" s="33">
        <v>0.16</v>
      </c>
      <c r="B330" s="33">
        <v>0.2273</v>
      </c>
      <c r="C330" s="33">
        <v>0.59</v>
      </c>
      <c r="D330" s="33">
        <v>0</v>
      </c>
      <c r="E330" s="33">
        <v>0</v>
      </c>
      <c r="F330" s="33">
        <v>5</v>
      </c>
      <c r="G330" s="33">
        <v>5</v>
      </c>
    </row>
    <row r="331" spans="1:7" x14ac:dyDescent="0.3">
      <c r="A331" s="33">
        <v>0.16</v>
      </c>
      <c r="B331" s="33">
        <v>0.2273</v>
      </c>
      <c r="C331" s="33">
        <v>0.59</v>
      </c>
      <c r="D331" s="33">
        <v>0</v>
      </c>
      <c r="E331" s="33">
        <v>0</v>
      </c>
      <c r="F331" s="33">
        <v>1</v>
      </c>
      <c r="G331" s="33">
        <v>1</v>
      </c>
    </row>
    <row r="332" spans="1:7" x14ac:dyDescent="0.3">
      <c r="A332" s="33">
        <v>0.14000000000000001</v>
      </c>
      <c r="B332" s="33">
        <v>0.16669999999999999</v>
      </c>
      <c r="C332" s="33">
        <v>0.63</v>
      </c>
      <c r="D332" s="33">
        <v>0.1045</v>
      </c>
      <c r="E332" s="33">
        <v>1</v>
      </c>
      <c r="F332" s="33">
        <v>2</v>
      </c>
      <c r="G332" s="33">
        <v>3</v>
      </c>
    </row>
    <row r="333" spans="1:7" x14ac:dyDescent="0.3">
      <c r="A333" s="33">
        <v>0.14000000000000001</v>
      </c>
      <c r="B333" s="33">
        <v>0.21210000000000001</v>
      </c>
      <c r="C333" s="33">
        <v>0.63</v>
      </c>
      <c r="D333" s="33">
        <v>0</v>
      </c>
      <c r="E333" s="33">
        <v>1</v>
      </c>
      <c r="F333" s="33">
        <v>9</v>
      </c>
      <c r="G333" s="33">
        <v>10</v>
      </c>
    </row>
    <row r="334" spans="1:7" x14ac:dyDescent="0.3">
      <c r="A334" s="33">
        <v>0.14000000000000001</v>
      </c>
      <c r="B334" s="33">
        <v>0.1515</v>
      </c>
      <c r="C334" s="33">
        <v>0.63</v>
      </c>
      <c r="D334" s="33">
        <v>0.1343</v>
      </c>
      <c r="E334" s="33">
        <v>1</v>
      </c>
      <c r="F334" s="33">
        <v>22</v>
      </c>
      <c r="G334" s="33">
        <v>23</v>
      </c>
    </row>
    <row r="335" spans="1:7" x14ac:dyDescent="0.3">
      <c r="A335" s="33">
        <v>0.16</v>
      </c>
      <c r="B335" s="33">
        <v>0.18179999999999999</v>
      </c>
      <c r="C335" s="33">
        <v>0.64</v>
      </c>
      <c r="D335" s="33">
        <v>0.1343</v>
      </c>
      <c r="E335" s="33">
        <v>2</v>
      </c>
      <c r="F335" s="33">
        <v>31</v>
      </c>
      <c r="G335" s="33">
        <v>33</v>
      </c>
    </row>
    <row r="336" spans="1:7" x14ac:dyDescent="0.3">
      <c r="A336" s="33">
        <v>0.18</v>
      </c>
      <c r="B336" s="33">
        <v>0.19700000000000001</v>
      </c>
      <c r="C336" s="33">
        <v>0.59</v>
      </c>
      <c r="D336" s="33">
        <v>0.16420000000000001</v>
      </c>
      <c r="E336" s="33">
        <v>2</v>
      </c>
      <c r="F336" s="33">
        <v>57</v>
      </c>
      <c r="G336" s="33">
        <v>59</v>
      </c>
    </row>
    <row r="337" spans="1:7" x14ac:dyDescent="0.3">
      <c r="A337" s="33">
        <v>0.2</v>
      </c>
      <c r="B337" s="33">
        <v>0.19700000000000001</v>
      </c>
      <c r="C337" s="33">
        <v>0.55000000000000004</v>
      </c>
      <c r="D337" s="33">
        <v>0.22389999999999999</v>
      </c>
      <c r="E337" s="33">
        <v>18</v>
      </c>
      <c r="F337" s="33">
        <v>54</v>
      </c>
      <c r="G337" s="33">
        <v>72</v>
      </c>
    </row>
    <row r="338" spans="1:7" x14ac:dyDescent="0.3">
      <c r="A338" s="33">
        <v>0.24</v>
      </c>
      <c r="B338" s="33">
        <v>0.2273</v>
      </c>
      <c r="C338" s="33">
        <v>0.48</v>
      </c>
      <c r="D338" s="33">
        <v>0.22389999999999999</v>
      </c>
      <c r="E338" s="33">
        <v>15</v>
      </c>
      <c r="F338" s="33">
        <v>74</v>
      </c>
      <c r="G338" s="33">
        <v>89</v>
      </c>
    </row>
    <row r="339" spans="1:7" x14ac:dyDescent="0.3">
      <c r="A339" s="33">
        <v>0.28000000000000003</v>
      </c>
      <c r="B339" s="33">
        <v>0.2576</v>
      </c>
      <c r="C339" s="33">
        <v>0.38</v>
      </c>
      <c r="D339" s="33">
        <v>0.29849999999999999</v>
      </c>
      <c r="E339" s="33">
        <v>21</v>
      </c>
      <c r="F339" s="33">
        <v>80</v>
      </c>
      <c r="G339" s="33">
        <v>101</v>
      </c>
    </row>
    <row r="340" spans="1:7" x14ac:dyDescent="0.3">
      <c r="A340" s="33">
        <v>0.3</v>
      </c>
      <c r="B340" s="33">
        <v>0.28789999999999999</v>
      </c>
      <c r="C340" s="33">
        <v>0.39</v>
      </c>
      <c r="D340" s="33">
        <v>0.28360000000000002</v>
      </c>
      <c r="E340" s="33">
        <v>26</v>
      </c>
      <c r="F340" s="33">
        <v>92</v>
      </c>
      <c r="G340" s="33">
        <v>118</v>
      </c>
    </row>
    <row r="341" spans="1:7" x14ac:dyDescent="0.3">
      <c r="A341" s="33">
        <v>0.32</v>
      </c>
      <c r="B341" s="33">
        <v>0.31819999999999998</v>
      </c>
      <c r="C341" s="33">
        <v>0.36</v>
      </c>
      <c r="D341" s="33">
        <v>0.19400000000000001</v>
      </c>
      <c r="E341" s="33">
        <v>21</v>
      </c>
      <c r="F341" s="33">
        <v>108</v>
      </c>
      <c r="G341" s="33">
        <v>129</v>
      </c>
    </row>
    <row r="342" spans="1:7" x14ac:dyDescent="0.3">
      <c r="A342" s="33">
        <v>0.34</v>
      </c>
      <c r="B342" s="33">
        <v>0.33329999999999999</v>
      </c>
      <c r="C342" s="33">
        <v>0.34</v>
      </c>
      <c r="D342" s="33">
        <v>0.19400000000000001</v>
      </c>
      <c r="E342" s="33">
        <v>33</v>
      </c>
      <c r="F342" s="33">
        <v>95</v>
      </c>
      <c r="G342" s="33">
        <v>128</v>
      </c>
    </row>
    <row r="343" spans="1:7" x14ac:dyDescent="0.3">
      <c r="A343" s="33">
        <v>0.32</v>
      </c>
      <c r="B343" s="33">
        <v>0.30299999999999999</v>
      </c>
      <c r="C343" s="33">
        <v>0.36</v>
      </c>
      <c r="D343" s="33">
        <v>0.28360000000000002</v>
      </c>
      <c r="E343" s="33">
        <v>29</v>
      </c>
      <c r="F343" s="33">
        <v>54</v>
      </c>
      <c r="G343" s="33">
        <v>83</v>
      </c>
    </row>
    <row r="344" spans="1:7" x14ac:dyDescent="0.3">
      <c r="A344" s="33">
        <v>0.3</v>
      </c>
      <c r="B344" s="33">
        <v>0.28789999999999999</v>
      </c>
      <c r="C344" s="33">
        <v>0.45</v>
      </c>
      <c r="D344" s="33">
        <v>0.25369999999999998</v>
      </c>
      <c r="E344" s="33">
        <v>15</v>
      </c>
      <c r="F344" s="33">
        <v>69</v>
      </c>
      <c r="G344" s="33">
        <v>84</v>
      </c>
    </row>
    <row r="345" spans="1:7" x14ac:dyDescent="0.3">
      <c r="A345" s="33">
        <v>0.32</v>
      </c>
      <c r="B345" s="33">
        <v>0.30299999999999999</v>
      </c>
      <c r="C345" s="33">
        <v>0.39</v>
      </c>
      <c r="D345" s="33">
        <v>0.25369999999999998</v>
      </c>
      <c r="E345" s="33">
        <v>14</v>
      </c>
      <c r="F345" s="33">
        <v>60</v>
      </c>
      <c r="G345" s="33">
        <v>74</v>
      </c>
    </row>
    <row r="346" spans="1:7" x14ac:dyDescent="0.3">
      <c r="A346" s="33">
        <v>0.32</v>
      </c>
      <c r="B346" s="33">
        <v>0.30299999999999999</v>
      </c>
      <c r="C346" s="33">
        <v>0.39</v>
      </c>
      <c r="D346" s="33">
        <v>0.25369999999999998</v>
      </c>
      <c r="E346" s="33">
        <v>6</v>
      </c>
      <c r="F346" s="33">
        <v>35</v>
      </c>
      <c r="G346" s="33">
        <v>41</v>
      </c>
    </row>
    <row r="347" spans="1:7" x14ac:dyDescent="0.3">
      <c r="A347" s="33">
        <v>0.32</v>
      </c>
      <c r="B347" s="33">
        <v>0.30299999999999999</v>
      </c>
      <c r="C347" s="33">
        <v>0.39</v>
      </c>
      <c r="D347" s="33">
        <v>0.22389999999999999</v>
      </c>
      <c r="E347" s="33">
        <v>6</v>
      </c>
      <c r="F347" s="33">
        <v>51</v>
      </c>
      <c r="G347" s="33">
        <v>57</v>
      </c>
    </row>
    <row r="348" spans="1:7" x14ac:dyDescent="0.3">
      <c r="A348" s="33">
        <v>0.3</v>
      </c>
      <c r="B348" s="33">
        <v>0.31819999999999998</v>
      </c>
      <c r="C348" s="33">
        <v>0.42</v>
      </c>
      <c r="D348" s="33">
        <v>0.1045</v>
      </c>
      <c r="E348" s="33">
        <v>0</v>
      </c>
      <c r="F348" s="33">
        <v>26</v>
      </c>
      <c r="G348" s="33">
        <v>26</v>
      </c>
    </row>
    <row r="349" spans="1:7" x14ac:dyDescent="0.3">
      <c r="A349" s="33">
        <v>0.3</v>
      </c>
      <c r="B349" s="33">
        <v>0.28789999999999999</v>
      </c>
      <c r="C349" s="33">
        <v>0.45</v>
      </c>
      <c r="D349" s="33">
        <v>0.28360000000000002</v>
      </c>
      <c r="E349" s="33">
        <v>5</v>
      </c>
      <c r="F349" s="33">
        <v>39</v>
      </c>
      <c r="G349" s="33">
        <v>44</v>
      </c>
    </row>
    <row r="350" spans="1:7" x14ac:dyDescent="0.3">
      <c r="A350" s="33">
        <v>0.26</v>
      </c>
      <c r="B350" s="33">
        <v>0.30299999999999999</v>
      </c>
      <c r="C350" s="33">
        <v>0.56000000000000005</v>
      </c>
      <c r="D350" s="33">
        <v>0</v>
      </c>
      <c r="E350" s="33">
        <v>6</v>
      </c>
      <c r="F350" s="33">
        <v>33</v>
      </c>
      <c r="G350" s="33">
        <v>39</v>
      </c>
    </row>
    <row r="351" spans="1:7" x14ac:dyDescent="0.3">
      <c r="A351" s="33">
        <v>0.26</v>
      </c>
      <c r="B351" s="33">
        <v>0.2727</v>
      </c>
      <c r="C351" s="33">
        <v>0.56000000000000005</v>
      </c>
      <c r="D351" s="33">
        <v>0.1343</v>
      </c>
      <c r="E351" s="33">
        <v>4</v>
      </c>
      <c r="F351" s="33">
        <v>19</v>
      </c>
      <c r="G351" s="33">
        <v>23</v>
      </c>
    </row>
    <row r="352" spans="1:7" x14ac:dyDescent="0.3">
      <c r="A352" s="33">
        <v>0.26</v>
      </c>
      <c r="B352" s="33">
        <v>0.28789999999999999</v>
      </c>
      <c r="C352" s="33">
        <v>0.56000000000000005</v>
      </c>
      <c r="D352" s="33">
        <v>8.9599999999999999E-2</v>
      </c>
      <c r="E352" s="33">
        <v>3</v>
      </c>
      <c r="F352" s="33">
        <v>13</v>
      </c>
      <c r="G352" s="33">
        <v>16</v>
      </c>
    </row>
    <row r="353" spans="1:7" x14ac:dyDescent="0.3">
      <c r="A353" s="33">
        <v>0.22</v>
      </c>
      <c r="B353" s="33">
        <v>0.2727</v>
      </c>
      <c r="C353" s="33">
        <v>0.69</v>
      </c>
      <c r="D353" s="33">
        <v>0</v>
      </c>
      <c r="E353" s="33">
        <v>9</v>
      </c>
      <c r="F353" s="33">
        <v>6</v>
      </c>
      <c r="G353" s="33">
        <v>15</v>
      </c>
    </row>
    <row r="354" spans="1:7" x14ac:dyDescent="0.3">
      <c r="A354" s="33">
        <v>0.26</v>
      </c>
      <c r="B354" s="33">
        <v>0.2576</v>
      </c>
      <c r="C354" s="33">
        <v>0.56000000000000005</v>
      </c>
      <c r="D354" s="33">
        <v>0.16420000000000001</v>
      </c>
      <c r="E354" s="33">
        <v>0</v>
      </c>
      <c r="F354" s="33">
        <v>1</v>
      </c>
      <c r="G354" s="33">
        <v>1</v>
      </c>
    </row>
    <row r="355" spans="1:7" x14ac:dyDescent="0.3">
      <c r="A355" s="33">
        <v>0.26</v>
      </c>
      <c r="B355" s="33">
        <v>0.2576</v>
      </c>
      <c r="C355" s="33">
        <v>0.56000000000000005</v>
      </c>
      <c r="D355" s="33">
        <v>0.16420000000000001</v>
      </c>
      <c r="E355" s="33">
        <v>1</v>
      </c>
      <c r="F355" s="33">
        <v>1</v>
      </c>
      <c r="G355" s="33">
        <v>2</v>
      </c>
    </row>
    <row r="356" spans="1:7" x14ac:dyDescent="0.3">
      <c r="A356" s="33">
        <v>0.26</v>
      </c>
      <c r="B356" s="33">
        <v>0.2576</v>
      </c>
      <c r="C356" s="33">
        <v>0.56000000000000005</v>
      </c>
      <c r="D356" s="33">
        <v>0.16420000000000001</v>
      </c>
      <c r="E356" s="33">
        <v>0</v>
      </c>
      <c r="F356" s="33">
        <v>1</v>
      </c>
      <c r="G356" s="33">
        <v>1</v>
      </c>
    </row>
    <row r="357" spans="1:7" x14ac:dyDescent="0.3">
      <c r="A357" s="33">
        <v>0.24</v>
      </c>
      <c r="B357" s="33">
        <v>0.21210000000000001</v>
      </c>
      <c r="C357" s="33">
        <v>0.56000000000000005</v>
      </c>
      <c r="D357" s="33">
        <v>0.29849999999999999</v>
      </c>
      <c r="E357" s="33">
        <v>0</v>
      </c>
      <c r="F357" s="33">
        <v>3</v>
      </c>
      <c r="G357" s="33">
        <v>3</v>
      </c>
    </row>
    <row r="358" spans="1:7" x14ac:dyDescent="0.3">
      <c r="A358" s="33">
        <v>0.22</v>
      </c>
      <c r="B358" s="33">
        <v>0.21210000000000001</v>
      </c>
      <c r="C358" s="33">
        <v>0.55000000000000004</v>
      </c>
      <c r="D358" s="33">
        <v>0.28360000000000002</v>
      </c>
      <c r="E358" s="33">
        <v>0</v>
      </c>
      <c r="F358" s="33">
        <v>18</v>
      </c>
      <c r="G358" s="33">
        <v>18</v>
      </c>
    </row>
    <row r="359" spans="1:7" x14ac:dyDescent="0.3">
      <c r="A359" s="33">
        <v>0.22</v>
      </c>
      <c r="B359" s="33">
        <v>0.21210000000000001</v>
      </c>
      <c r="C359" s="33">
        <v>0.51</v>
      </c>
      <c r="D359" s="33">
        <v>0.25369999999999998</v>
      </c>
      <c r="E359" s="33">
        <v>3</v>
      </c>
      <c r="F359" s="33">
        <v>29</v>
      </c>
      <c r="G359" s="33">
        <v>32</v>
      </c>
    </row>
    <row r="360" spans="1:7" x14ac:dyDescent="0.3">
      <c r="A360" s="33">
        <v>0.22</v>
      </c>
      <c r="B360" s="33">
        <v>0.21210000000000001</v>
      </c>
      <c r="C360" s="33">
        <v>0.51</v>
      </c>
      <c r="D360" s="33">
        <v>0.28360000000000002</v>
      </c>
      <c r="E360" s="33">
        <v>8</v>
      </c>
      <c r="F360" s="33">
        <v>71</v>
      </c>
      <c r="G360" s="33">
        <v>79</v>
      </c>
    </row>
    <row r="361" spans="1:7" x14ac:dyDescent="0.3">
      <c r="A361" s="33">
        <v>0.24</v>
      </c>
      <c r="B361" s="33">
        <v>0.2273</v>
      </c>
      <c r="C361" s="33">
        <v>0.44</v>
      </c>
      <c r="D361" s="33">
        <v>0.25369999999999998</v>
      </c>
      <c r="E361" s="33">
        <v>23</v>
      </c>
      <c r="F361" s="33">
        <v>70</v>
      </c>
      <c r="G361" s="33">
        <v>93</v>
      </c>
    </row>
    <row r="362" spans="1:7" x14ac:dyDescent="0.3">
      <c r="A362" s="33">
        <v>0.24</v>
      </c>
      <c r="B362" s="33">
        <v>0.21210000000000001</v>
      </c>
      <c r="C362" s="33">
        <v>0.41</v>
      </c>
      <c r="D362" s="33">
        <v>0.28360000000000002</v>
      </c>
      <c r="E362" s="33">
        <v>29</v>
      </c>
      <c r="F362" s="33">
        <v>75</v>
      </c>
      <c r="G362" s="33">
        <v>104</v>
      </c>
    </row>
    <row r="363" spans="1:7" x14ac:dyDescent="0.3">
      <c r="A363" s="33">
        <v>0.26</v>
      </c>
      <c r="B363" s="33">
        <v>0.2273</v>
      </c>
      <c r="C363" s="33">
        <v>0.35</v>
      </c>
      <c r="D363" s="33">
        <v>0.29849999999999999</v>
      </c>
      <c r="E363" s="33">
        <v>23</v>
      </c>
      <c r="F363" s="33">
        <v>95</v>
      </c>
      <c r="G363" s="33">
        <v>118</v>
      </c>
    </row>
    <row r="364" spans="1:7" x14ac:dyDescent="0.3">
      <c r="A364" s="33">
        <v>0.28000000000000003</v>
      </c>
      <c r="B364" s="33">
        <v>0.2727</v>
      </c>
      <c r="C364" s="33">
        <v>0.36</v>
      </c>
      <c r="D364" s="33">
        <v>0.25369999999999998</v>
      </c>
      <c r="E364" s="33">
        <v>22</v>
      </c>
      <c r="F364" s="33">
        <v>69</v>
      </c>
      <c r="G364" s="33">
        <v>91</v>
      </c>
    </row>
    <row r="365" spans="1:7" x14ac:dyDescent="0.3">
      <c r="A365" s="33">
        <v>0.26</v>
      </c>
      <c r="B365" s="33">
        <v>0.2424</v>
      </c>
      <c r="C365" s="33">
        <v>0.38</v>
      </c>
      <c r="D365" s="33">
        <v>0.25369999999999998</v>
      </c>
      <c r="E365" s="33">
        <v>35</v>
      </c>
      <c r="F365" s="33">
        <v>78</v>
      </c>
      <c r="G365" s="33">
        <v>113</v>
      </c>
    </row>
    <row r="366" spans="1:7" x14ac:dyDescent="0.3">
      <c r="A366" s="33">
        <v>0.24</v>
      </c>
      <c r="B366" s="33">
        <v>0.2273</v>
      </c>
      <c r="C366" s="33">
        <v>0.38</v>
      </c>
      <c r="D366" s="33">
        <v>0.22389999999999999</v>
      </c>
      <c r="E366" s="33">
        <v>22</v>
      </c>
      <c r="F366" s="33">
        <v>77</v>
      </c>
      <c r="G366" s="33">
        <v>99</v>
      </c>
    </row>
    <row r="367" spans="1:7" x14ac:dyDescent="0.3">
      <c r="A367" s="33">
        <v>0.22</v>
      </c>
      <c r="B367" s="33">
        <v>0.21210000000000001</v>
      </c>
      <c r="C367" s="33">
        <v>0.37</v>
      </c>
      <c r="D367" s="33">
        <v>0.25369999999999998</v>
      </c>
      <c r="E367" s="33">
        <v>23</v>
      </c>
      <c r="F367" s="33">
        <v>82</v>
      </c>
      <c r="G367" s="33">
        <v>105</v>
      </c>
    </row>
    <row r="368" spans="1:7" x14ac:dyDescent="0.3">
      <c r="A368" s="33">
        <v>0.2</v>
      </c>
      <c r="B368" s="33">
        <v>0.21210000000000001</v>
      </c>
      <c r="C368" s="33">
        <v>0.4</v>
      </c>
      <c r="D368" s="33">
        <v>0.16420000000000001</v>
      </c>
      <c r="E368" s="33">
        <v>11</v>
      </c>
      <c r="F368" s="33">
        <v>56</v>
      </c>
      <c r="G368" s="33">
        <v>67</v>
      </c>
    </row>
    <row r="369" spans="1:7" x14ac:dyDescent="0.3">
      <c r="A369" s="33">
        <v>0.18</v>
      </c>
      <c r="B369" s="33">
        <v>0.19700000000000001</v>
      </c>
      <c r="C369" s="33">
        <v>0.47</v>
      </c>
      <c r="D369" s="33">
        <v>0.1343</v>
      </c>
      <c r="E369" s="33">
        <v>14</v>
      </c>
      <c r="F369" s="33">
        <v>47</v>
      </c>
      <c r="G369" s="33">
        <v>61</v>
      </c>
    </row>
    <row r="370" spans="1:7" x14ac:dyDescent="0.3">
      <c r="A370" s="33">
        <v>0.18</v>
      </c>
      <c r="B370" s="33">
        <v>0.19700000000000001</v>
      </c>
      <c r="C370" s="33">
        <v>0.47</v>
      </c>
      <c r="D370" s="33">
        <v>0.16420000000000001</v>
      </c>
      <c r="E370" s="33">
        <v>7</v>
      </c>
      <c r="F370" s="33">
        <v>50</v>
      </c>
      <c r="G370" s="33">
        <v>57</v>
      </c>
    </row>
    <row r="371" spans="1:7" x14ac:dyDescent="0.3">
      <c r="A371" s="33">
        <v>0.18</v>
      </c>
      <c r="B371" s="33">
        <v>0.19700000000000001</v>
      </c>
      <c r="C371" s="33">
        <v>0.51</v>
      </c>
      <c r="D371" s="33">
        <v>0.16420000000000001</v>
      </c>
      <c r="E371" s="33">
        <v>6</v>
      </c>
      <c r="F371" s="33">
        <v>22</v>
      </c>
      <c r="G371" s="33">
        <v>28</v>
      </c>
    </row>
    <row r="372" spans="1:7" x14ac:dyDescent="0.3">
      <c r="A372" s="33">
        <v>0.2</v>
      </c>
      <c r="B372" s="33">
        <v>0.21210000000000001</v>
      </c>
      <c r="C372" s="33">
        <v>0.49</v>
      </c>
      <c r="D372" s="33">
        <v>0.1343</v>
      </c>
      <c r="E372" s="33">
        <v>2</v>
      </c>
      <c r="F372" s="33">
        <v>19</v>
      </c>
      <c r="G372" s="33">
        <v>21</v>
      </c>
    </row>
    <row r="373" spans="1:7" x14ac:dyDescent="0.3">
      <c r="A373" s="33">
        <v>0.2</v>
      </c>
      <c r="B373" s="33">
        <v>0.2273</v>
      </c>
      <c r="C373" s="33">
        <v>0.4</v>
      </c>
      <c r="D373" s="33">
        <v>0.1045</v>
      </c>
      <c r="E373" s="33">
        <v>0</v>
      </c>
      <c r="F373" s="33">
        <v>18</v>
      </c>
      <c r="G373" s="33">
        <v>18</v>
      </c>
    </row>
    <row r="374" spans="1:7" x14ac:dyDescent="0.3">
      <c r="A374" s="33">
        <v>0.2</v>
      </c>
      <c r="B374" s="33">
        <v>0.19700000000000001</v>
      </c>
      <c r="C374" s="33">
        <v>0.47</v>
      </c>
      <c r="D374" s="33">
        <v>0.22389999999999999</v>
      </c>
      <c r="E374" s="33">
        <v>1</v>
      </c>
      <c r="F374" s="33">
        <v>16</v>
      </c>
      <c r="G374" s="33">
        <v>17</v>
      </c>
    </row>
    <row r="375" spans="1:7" x14ac:dyDescent="0.3">
      <c r="A375" s="33">
        <v>0.2</v>
      </c>
      <c r="B375" s="33">
        <v>0.19700000000000001</v>
      </c>
      <c r="C375" s="33">
        <v>0.44</v>
      </c>
      <c r="D375" s="33">
        <v>0.19400000000000001</v>
      </c>
      <c r="E375" s="33">
        <v>1</v>
      </c>
      <c r="F375" s="33">
        <v>15</v>
      </c>
      <c r="G375" s="33">
        <v>16</v>
      </c>
    </row>
    <row r="376" spans="1:7" x14ac:dyDescent="0.3">
      <c r="A376" s="33">
        <v>0.18</v>
      </c>
      <c r="B376" s="33">
        <v>0.16669999999999999</v>
      </c>
      <c r="C376" s="33">
        <v>0.43</v>
      </c>
      <c r="D376" s="33">
        <v>0.25369999999999998</v>
      </c>
      <c r="E376" s="33">
        <v>0</v>
      </c>
      <c r="F376" s="33">
        <v>8</v>
      </c>
      <c r="G376" s="33">
        <v>8</v>
      </c>
    </row>
    <row r="377" spans="1:7" x14ac:dyDescent="0.3">
      <c r="A377" s="33">
        <v>0.18</v>
      </c>
      <c r="B377" s="33">
        <v>0.18179999999999999</v>
      </c>
      <c r="C377" s="33">
        <v>0.43</v>
      </c>
      <c r="D377" s="33">
        <v>0.19400000000000001</v>
      </c>
      <c r="E377" s="33">
        <v>0</v>
      </c>
      <c r="F377" s="33">
        <v>2</v>
      </c>
      <c r="G377" s="33">
        <v>2</v>
      </c>
    </row>
    <row r="378" spans="1:7" x14ac:dyDescent="0.3">
      <c r="A378" s="33">
        <v>0.18</v>
      </c>
      <c r="B378" s="33">
        <v>0.19700000000000001</v>
      </c>
      <c r="C378" s="33">
        <v>0.43</v>
      </c>
      <c r="D378" s="33">
        <v>0.1343</v>
      </c>
      <c r="E378" s="33">
        <v>1</v>
      </c>
      <c r="F378" s="33">
        <v>2</v>
      </c>
      <c r="G378" s="33">
        <v>3</v>
      </c>
    </row>
    <row r="379" spans="1:7" x14ac:dyDescent="0.3">
      <c r="A379" s="33">
        <v>0.18</v>
      </c>
      <c r="B379" s="33">
        <v>0.19700000000000001</v>
      </c>
      <c r="C379" s="33">
        <v>0.43</v>
      </c>
      <c r="D379" s="33">
        <v>0.16420000000000001</v>
      </c>
      <c r="E379" s="33">
        <v>0</v>
      </c>
      <c r="F379" s="33">
        <v>1</v>
      </c>
      <c r="G379" s="33">
        <v>1</v>
      </c>
    </row>
    <row r="380" spans="1:7" x14ac:dyDescent="0.3">
      <c r="A380" s="33">
        <v>0.18</v>
      </c>
      <c r="B380" s="33">
        <v>0.18179999999999999</v>
      </c>
      <c r="C380" s="33">
        <v>0.43</v>
      </c>
      <c r="D380" s="33">
        <v>0.19400000000000001</v>
      </c>
      <c r="E380" s="33">
        <v>0</v>
      </c>
      <c r="F380" s="33">
        <v>5</v>
      </c>
      <c r="G380" s="33">
        <v>5</v>
      </c>
    </row>
    <row r="381" spans="1:7" x14ac:dyDescent="0.3">
      <c r="A381" s="33">
        <v>0.16</v>
      </c>
      <c r="B381" s="33">
        <v>0.18179999999999999</v>
      </c>
      <c r="C381" s="33">
        <v>0.5</v>
      </c>
      <c r="D381" s="33">
        <v>0.1343</v>
      </c>
      <c r="E381" s="33">
        <v>4</v>
      </c>
      <c r="F381" s="33">
        <v>9</v>
      </c>
      <c r="G381" s="33">
        <v>13</v>
      </c>
    </row>
    <row r="382" spans="1:7" x14ac:dyDescent="0.3">
      <c r="A382" s="33">
        <v>0.16</v>
      </c>
      <c r="B382" s="33">
        <v>0.1515</v>
      </c>
      <c r="C382" s="33">
        <v>0.47</v>
      </c>
      <c r="D382" s="33">
        <v>0.22389999999999999</v>
      </c>
      <c r="E382" s="33">
        <v>3</v>
      </c>
      <c r="F382" s="33">
        <v>30</v>
      </c>
      <c r="G382" s="33">
        <v>33</v>
      </c>
    </row>
    <row r="383" spans="1:7" x14ac:dyDescent="0.3">
      <c r="A383" s="33">
        <v>0.16</v>
      </c>
      <c r="B383" s="33">
        <v>0.1515</v>
      </c>
      <c r="C383" s="33">
        <v>0.47</v>
      </c>
      <c r="D383" s="33">
        <v>0.22389999999999999</v>
      </c>
      <c r="E383" s="33">
        <v>8</v>
      </c>
      <c r="F383" s="33">
        <v>39</v>
      </c>
      <c r="G383" s="33">
        <v>47</v>
      </c>
    </row>
    <row r="384" spans="1:7" x14ac:dyDescent="0.3">
      <c r="A384" s="33">
        <v>0.16</v>
      </c>
      <c r="B384" s="33">
        <v>0.1515</v>
      </c>
      <c r="C384" s="33">
        <v>0.5</v>
      </c>
      <c r="D384" s="33">
        <v>0.25369999999999998</v>
      </c>
      <c r="E384" s="33">
        <v>7</v>
      </c>
      <c r="F384" s="33">
        <v>50</v>
      </c>
      <c r="G384" s="33">
        <v>57</v>
      </c>
    </row>
    <row r="385" spans="1:7" x14ac:dyDescent="0.3">
      <c r="A385" s="33">
        <v>0.16</v>
      </c>
      <c r="B385" s="33">
        <v>0.1515</v>
      </c>
      <c r="C385" s="33">
        <v>0.55000000000000004</v>
      </c>
      <c r="D385" s="33">
        <v>0.19400000000000001</v>
      </c>
      <c r="E385" s="33">
        <v>9</v>
      </c>
      <c r="F385" s="33">
        <v>55</v>
      </c>
      <c r="G385" s="33">
        <v>64</v>
      </c>
    </row>
    <row r="386" spans="1:7" x14ac:dyDescent="0.3">
      <c r="A386" s="33">
        <v>0.18</v>
      </c>
      <c r="B386" s="33">
        <v>0.19700000000000001</v>
      </c>
      <c r="C386" s="33">
        <v>0.47</v>
      </c>
      <c r="D386" s="33">
        <v>0.1343</v>
      </c>
      <c r="E386" s="33">
        <v>10</v>
      </c>
      <c r="F386" s="33">
        <v>70</v>
      </c>
      <c r="G386" s="33">
        <v>80</v>
      </c>
    </row>
    <row r="387" spans="1:7" x14ac:dyDescent="0.3">
      <c r="A387" s="33">
        <v>0.18</v>
      </c>
      <c r="B387" s="33">
        <v>0.19700000000000001</v>
      </c>
      <c r="C387" s="33">
        <v>0.47</v>
      </c>
      <c r="D387" s="33">
        <v>0.1343</v>
      </c>
      <c r="E387" s="33">
        <v>13</v>
      </c>
      <c r="F387" s="33">
        <v>80</v>
      </c>
      <c r="G387" s="33">
        <v>93</v>
      </c>
    </row>
    <row r="388" spans="1:7" x14ac:dyDescent="0.3">
      <c r="A388" s="33">
        <v>0.18</v>
      </c>
      <c r="B388" s="33">
        <v>0.21210000000000001</v>
      </c>
      <c r="C388" s="33">
        <v>0.43</v>
      </c>
      <c r="D388" s="33">
        <v>0.1045</v>
      </c>
      <c r="E388" s="33">
        <v>12</v>
      </c>
      <c r="F388" s="33">
        <v>74</v>
      </c>
      <c r="G388" s="33">
        <v>86</v>
      </c>
    </row>
    <row r="389" spans="1:7" x14ac:dyDescent="0.3">
      <c r="A389" s="33">
        <v>0.2</v>
      </c>
      <c r="B389" s="33">
        <v>0.21210000000000001</v>
      </c>
      <c r="C389" s="33">
        <v>0.47</v>
      </c>
      <c r="D389" s="33">
        <v>0.16420000000000001</v>
      </c>
      <c r="E389" s="33">
        <v>21</v>
      </c>
      <c r="F389" s="33">
        <v>72</v>
      </c>
      <c r="G389" s="33">
        <v>93</v>
      </c>
    </row>
    <row r="390" spans="1:7" x14ac:dyDescent="0.3">
      <c r="A390" s="33">
        <v>0.2</v>
      </c>
      <c r="B390" s="33">
        <v>0.21210000000000001</v>
      </c>
      <c r="C390" s="33">
        <v>0.47</v>
      </c>
      <c r="D390" s="33">
        <v>0.16420000000000001</v>
      </c>
      <c r="E390" s="33">
        <v>6</v>
      </c>
      <c r="F390" s="33">
        <v>76</v>
      </c>
      <c r="G390" s="33">
        <v>82</v>
      </c>
    </row>
    <row r="391" spans="1:7" x14ac:dyDescent="0.3">
      <c r="A391" s="33">
        <v>0.2</v>
      </c>
      <c r="B391" s="33">
        <v>0.19700000000000001</v>
      </c>
      <c r="C391" s="33">
        <v>0.51</v>
      </c>
      <c r="D391" s="33">
        <v>0.19400000000000001</v>
      </c>
      <c r="E391" s="33">
        <v>4</v>
      </c>
      <c r="F391" s="33">
        <v>67</v>
      </c>
      <c r="G391" s="33">
        <v>71</v>
      </c>
    </row>
    <row r="392" spans="1:7" x14ac:dyDescent="0.3">
      <c r="A392" s="33">
        <v>0.18</v>
      </c>
      <c r="B392" s="33">
        <v>0.16669999999999999</v>
      </c>
      <c r="C392" s="33">
        <v>0.55000000000000004</v>
      </c>
      <c r="D392" s="33">
        <v>0.25369999999999998</v>
      </c>
      <c r="E392" s="33">
        <v>7</v>
      </c>
      <c r="F392" s="33">
        <v>85</v>
      </c>
      <c r="G392" s="33">
        <v>92</v>
      </c>
    </row>
    <row r="393" spans="1:7" x14ac:dyDescent="0.3">
      <c r="A393" s="33">
        <v>0.18</v>
      </c>
      <c r="B393" s="33">
        <v>0.18179999999999999</v>
      </c>
      <c r="C393" s="33">
        <v>0.59</v>
      </c>
      <c r="D393" s="33">
        <v>0.19400000000000001</v>
      </c>
      <c r="E393" s="33">
        <v>2</v>
      </c>
      <c r="F393" s="33">
        <v>58</v>
      </c>
      <c r="G393" s="33">
        <v>60</v>
      </c>
    </row>
    <row r="394" spans="1:7" x14ac:dyDescent="0.3">
      <c r="A394" s="33">
        <v>0.16</v>
      </c>
      <c r="B394" s="33">
        <v>0.1515</v>
      </c>
      <c r="C394" s="33">
        <v>0.8</v>
      </c>
      <c r="D394" s="33">
        <v>0.19400000000000001</v>
      </c>
      <c r="E394" s="33">
        <v>4</v>
      </c>
      <c r="F394" s="33">
        <v>29</v>
      </c>
      <c r="G394" s="33">
        <v>33</v>
      </c>
    </row>
    <row r="395" spans="1:7" x14ac:dyDescent="0.3">
      <c r="A395" s="33">
        <v>0.16</v>
      </c>
      <c r="B395" s="33">
        <v>0.1515</v>
      </c>
      <c r="C395" s="33">
        <v>0.8</v>
      </c>
      <c r="D395" s="33">
        <v>0.19400000000000001</v>
      </c>
      <c r="E395" s="33">
        <v>3</v>
      </c>
      <c r="F395" s="33">
        <v>24</v>
      </c>
      <c r="G395" s="33">
        <v>27</v>
      </c>
    </row>
    <row r="396" spans="1:7" x14ac:dyDescent="0.3">
      <c r="A396" s="33">
        <v>0.14000000000000001</v>
      </c>
      <c r="B396" s="33">
        <v>0.1212</v>
      </c>
      <c r="C396" s="33">
        <v>0.93</v>
      </c>
      <c r="D396" s="33">
        <v>0.25369999999999998</v>
      </c>
      <c r="E396" s="33">
        <v>0</v>
      </c>
      <c r="F396" s="33">
        <v>13</v>
      </c>
      <c r="G396" s="33">
        <v>13</v>
      </c>
    </row>
    <row r="397" spans="1:7" x14ac:dyDescent="0.3">
      <c r="A397" s="33">
        <v>0.16</v>
      </c>
      <c r="B397" s="33">
        <v>0.13639999999999999</v>
      </c>
      <c r="C397" s="33">
        <v>0.86</v>
      </c>
      <c r="D397" s="33">
        <v>0.28360000000000002</v>
      </c>
      <c r="E397" s="33">
        <v>1</v>
      </c>
      <c r="F397" s="33">
        <v>3</v>
      </c>
      <c r="G397" s="33">
        <v>4</v>
      </c>
    </row>
    <row r="398" spans="1:7" x14ac:dyDescent="0.3">
      <c r="A398" s="33">
        <v>0.2</v>
      </c>
      <c r="B398" s="33">
        <v>0.18179999999999999</v>
      </c>
      <c r="C398" s="33">
        <v>0.86</v>
      </c>
      <c r="D398" s="33">
        <v>0.32840000000000003</v>
      </c>
      <c r="E398" s="33">
        <v>0</v>
      </c>
      <c r="F398" s="33">
        <v>3</v>
      </c>
      <c r="G398" s="33">
        <v>3</v>
      </c>
    </row>
    <row r="399" spans="1:7" x14ac:dyDescent="0.3">
      <c r="A399" s="33">
        <v>0.2</v>
      </c>
      <c r="B399" s="33">
        <v>0.19700000000000001</v>
      </c>
      <c r="C399" s="33">
        <v>0.86</v>
      </c>
      <c r="D399" s="33">
        <v>0.22389999999999999</v>
      </c>
      <c r="E399" s="33">
        <v>0</v>
      </c>
      <c r="F399" s="33">
        <v>22</v>
      </c>
      <c r="G399" s="33">
        <v>22</v>
      </c>
    </row>
    <row r="400" spans="1:7" x14ac:dyDescent="0.3">
      <c r="A400" s="33">
        <v>0.22</v>
      </c>
      <c r="B400" s="33">
        <v>0.2273</v>
      </c>
      <c r="C400" s="33">
        <v>0.8</v>
      </c>
      <c r="D400" s="33">
        <v>0.16420000000000001</v>
      </c>
      <c r="E400" s="33">
        <v>2</v>
      </c>
      <c r="F400" s="33">
        <v>26</v>
      </c>
      <c r="G400" s="33">
        <v>28</v>
      </c>
    </row>
    <row r="401" spans="1:7" x14ac:dyDescent="0.3">
      <c r="A401" s="33">
        <v>0.22</v>
      </c>
      <c r="B401" s="33">
        <v>0.2273</v>
      </c>
      <c r="C401" s="33">
        <v>0.87</v>
      </c>
      <c r="D401" s="33">
        <v>0.16420000000000001</v>
      </c>
      <c r="E401" s="33">
        <v>3</v>
      </c>
      <c r="F401" s="33">
        <v>32</v>
      </c>
      <c r="G401" s="33">
        <v>35</v>
      </c>
    </row>
    <row r="402" spans="1:7" x14ac:dyDescent="0.3">
      <c r="A402" s="33">
        <v>0.22</v>
      </c>
      <c r="B402" s="33">
        <v>0.2273</v>
      </c>
      <c r="C402" s="33">
        <v>0.87</v>
      </c>
      <c r="D402" s="33">
        <v>0.19400000000000001</v>
      </c>
      <c r="E402" s="33">
        <v>0</v>
      </c>
      <c r="F402" s="33">
        <v>61</v>
      </c>
      <c r="G402" s="33">
        <v>61</v>
      </c>
    </row>
    <row r="403" spans="1:7" x14ac:dyDescent="0.3">
      <c r="A403" s="33">
        <v>0.22</v>
      </c>
      <c r="B403" s="33">
        <v>0.2273</v>
      </c>
      <c r="C403" s="33">
        <v>0.82</v>
      </c>
      <c r="D403" s="33">
        <v>0.19400000000000001</v>
      </c>
      <c r="E403" s="33">
        <v>1</v>
      </c>
      <c r="F403" s="33">
        <v>124</v>
      </c>
      <c r="G403" s="33">
        <v>125</v>
      </c>
    </row>
    <row r="404" spans="1:7" x14ac:dyDescent="0.3">
      <c r="A404" s="33">
        <v>0.22</v>
      </c>
      <c r="B404" s="33">
        <v>0.2273</v>
      </c>
      <c r="C404" s="33">
        <v>0.8</v>
      </c>
      <c r="D404" s="33">
        <v>0.16420000000000001</v>
      </c>
      <c r="E404" s="33">
        <v>1</v>
      </c>
      <c r="F404" s="33">
        <v>132</v>
      </c>
      <c r="G404" s="33">
        <v>133</v>
      </c>
    </row>
    <row r="405" spans="1:7" x14ac:dyDescent="0.3">
      <c r="A405" s="33">
        <v>0.22</v>
      </c>
      <c r="B405" s="33">
        <v>0.2273</v>
      </c>
      <c r="C405" s="33">
        <v>0.8</v>
      </c>
      <c r="D405" s="33">
        <v>0.1343</v>
      </c>
      <c r="E405" s="33">
        <v>1</v>
      </c>
      <c r="F405" s="33">
        <v>98</v>
      </c>
      <c r="G405" s="33">
        <v>99</v>
      </c>
    </row>
    <row r="406" spans="1:7" x14ac:dyDescent="0.3">
      <c r="A406" s="33">
        <v>0.22</v>
      </c>
      <c r="B406" s="33">
        <v>0.2727</v>
      </c>
      <c r="C406" s="33">
        <v>0.87</v>
      </c>
      <c r="D406" s="33">
        <v>0</v>
      </c>
      <c r="E406" s="33">
        <v>0</v>
      </c>
      <c r="F406" s="33">
        <v>83</v>
      </c>
      <c r="G406" s="33">
        <v>83</v>
      </c>
    </row>
    <row r="407" spans="1:7" x14ac:dyDescent="0.3">
      <c r="A407" s="33">
        <v>0.22</v>
      </c>
      <c r="B407" s="33">
        <v>0.2424</v>
      </c>
      <c r="C407" s="33">
        <v>0.93</v>
      </c>
      <c r="D407" s="33">
        <v>0.1045</v>
      </c>
      <c r="E407" s="33">
        <v>0</v>
      </c>
      <c r="F407" s="33">
        <v>41</v>
      </c>
      <c r="G407" s="33">
        <v>41</v>
      </c>
    </row>
    <row r="408" spans="1:7" x14ac:dyDescent="0.3">
      <c r="A408" s="33">
        <v>0.22</v>
      </c>
      <c r="B408" s="33">
        <v>0.2576</v>
      </c>
      <c r="C408" s="33">
        <v>0.93</v>
      </c>
      <c r="D408" s="33">
        <v>8.9599999999999999E-2</v>
      </c>
      <c r="E408" s="33">
        <v>0</v>
      </c>
      <c r="F408" s="33">
        <v>33</v>
      </c>
      <c r="G408" s="33">
        <v>33</v>
      </c>
    </row>
    <row r="409" spans="1:7" x14ac:dyDescent="0.3">
      <c r="A409" s="33">
        <v>0.22</v>
      </c>
      <c r="B409" s="33">
        <v>0.2727</v>
      </c>
      <c r="C409" s="33">
        <v>0.93</v>
      </c>
      <c r="D409" s="33">
        <v>0</v>
      </c>
      <c r="E409" s="33">
        <v>1</v>
      </c>
      <c r="F409" s="33">
        <v>19</v>
      </c>
      <c r="G409" s="33">
        <v>20</v>
      </c>
    </row>
    <row r="410" spans="1:7" x14ac:dyDescent="0.3">
      <c r="A410" s="33">
        <v>0.22</v>
      </c>
      <c r="B410" s="33">
        <v>0.2727</v>
      </c>
      <c r="C410" s="33">
        <v>0.93</v>
      </c>
      <c r="D410" s="33">
        <v>0</v>
      </c>
      <c r="E410" s="33">
        <v>0</v>
      </c>
      <c r="F410" s="33">
        <v>3</v>
      </c>
      <c r="G410" s="33">
        <v>3</v>
      </c>
    </row>
    <row r="411" spans="1:7" x14ac:dyDescent="0.3">
      <c r="A411" s="33">
        <v>0.22</v>
      </c>
      <c r="B411" s="33">
        <v>0.2273</v>
      </c>
      <c r="C411" s="33">
        <v>0.93</v>
      </c>
      <c r="D411" s="33">
        <v>0.1343</v>
      </c>
      <c r="E411" s="33">
        <v>1</v>
      </c>
      <c r="F411" s="33">
        <v>6</v>
      </c>
      <c r="G411" s="33">
        <v>7</v>
      </c>
    </row>
    <row r="412" spans="1:7" x14ac:dyDescent="0.3">
      <c r="A412" s="33">
        <v>0.22</v>
      </c>
      <c r="B412" s="33">
        <v>0.2273</v>
      </c>
      <c r="C412" s="33">
        <v>0.93</v>
      </c>
      <c r="D412" s="33">
        <v>0.1343</v>
      </c>
      <c r="E412" s="33">
        <v>0</v>
      </c>
      <c r="F412" s="33">
        <v>3</v>
      </c>
      <c r="G412" s="33">
        <v>3</v>
      </c>
    </row>
    <row r="413" spans="1:7" x14ac:dyDescent="0.3">
      <c r="A413" s="33">
        <v>0.22</v>
      </c>
      <c r="B413" s="33">
        <v>0.2273</v>
      </c>
      <c r="C413" s="33">
        <v>0.93</v>
      </c>
      <c r="D413" s="33">
        <v>0.1343</v>
      </c>
      <c r="E413" s="33">
        <v>1</v>
      </c>
      <c r="F413" s="33">
        <v>1</v>
      </c>
      <c r="G413" s="33">
        <v>2</v>
      </c>
    </row>
    <row r="414" spans="1:7" x14ac:dyDescent="0.3">
      <c r="A414" s="33">
        <v>0.22</v>
      </c>
      <c r="B414" s="33">
        <v>0.2576</v>
      </c>
      <c r="C414" s="33">
        <v>0.93</v>
      </c>
      <c r="D414" s="33">
        <v>8.9599999999999999E-2</v>
      </c>
      <c r="E414" s="33">
        <v>0</v>
      </c>
      <c r="F414" s="33">
        <v>7</v>
      </c>
      <c r="G414" s="33">
        <v>7</v>
      </c>
    </row>
    <row r="415" spans="1:7" x14ac:dyDescent="0.3">
      <c r="A415" s="33">
        <v>0.22</v>
      </c>
      <c r="B415" s="33">
        <v>0.2576</v>
      </c>
      <c r="C415" s="33">
        <v>0.93</v>
      </c>
      <c r="D415" s="33">
        <v>8.9599999999999999E-2</v>
      </c>
      <c r="E415" s="33">
        <v>0</v>
      </c>
      <c r="F415" s="33">
        <v>32</v>
      </c>
      <c r="G415" s="33">
        <v>32</v>
      </c>
    </row>
    <row r="416" spans="1:7" x14ac:dyDescent="0.3">
      <c r="A416" s="33">
        <v>0.24</v>
      </c>
      <c r="B416" s="33">
        <v>0.2576</v>
      </c>
      <c r="C416" s="33">
        <v>0.92</v>
      </c>
      <c r="D416" s="33">
        <v>0.1045</v>
      </c>
      <c r="E416" s="33">
        <v>1</v>
      </c>
      <c r="F416" s="33">
        <v>89</v>
      </c>
      <c r="G416" s="33">
        <v>90</v>
      </c>
    </row>
    <row r="417" spans="1:7" x14ac:dyDescent="0.3">
      <c r="A417" s="33">
        <v>0.24</v>
      </c>
      <c r="B417" s="33">
        <v>0.2576</v>
      </c>
      <c r="C417" s="33">
        <v>0.93</v>
      </c>
      <c r="D417" s="33">
        <v>0.1045</v>
      </c>
      <c r="E417" s="33">
        <v>1</v>
      </c>
      <c r="F417" s="33">
        <v>196</v>
      </c>
      <c r="G417" s="33">
        <v>197</v>
      </c>
    </row>
    <row r="418" spans="1:7" x14ac:dyDescent="0.3">
      <c r="A418" s="33">
        <v>0.24</v>
      </c>
      <c r="B418" s="33">
        <v>0.2576</v>
      </c>
      <c r="C418" s="33">
        <v>0.93</v>
      </c>
      <c r="D418" s="33">
        <v>0.1045</v>
      </c>
      <c r="E418" s="33">
        <v>2</v>
      </c>
      <c r="F418" s="33">
        <v>107</v>
      </c>
      <c r="G418" s="33">
        <v>109</v>
      </c>
    </row>
    <row r="419" spans="1:7" x14ac:dyDescent="0.3">
      <c r="A419" s="33">
        <v>0.26</v>
      </c>
      <c r="B419" s="33">
        <v>0.2727</v>
      </c>
      <c r="C419" s="33">
        <v>0.93</v>
      </c>
      <c r="D419" s="33">
        <v>0.1343</v>
      </c>
      <c r="E419" s="33">
        <v>1</v>
      </c>
      <c r="F419" s="33">
        <v>46</v>
      </c>
      <c r="G419" s="33">
        <v>47</v>
      </c>
    </row>
    <row r="420" spans="1:7" x14ac:dyDescent="0.3">
      <c r="A420" s="33">
        <v>0.28000000000000003</v>
      </c>
      <c r="B420" s="33">
        <v>0.30299999999999999</v>
      </c>
      <c r="C420" s="33">
        <v>0.87</v>
      </c>
      <c r="D420" s="33">
        <v>8.9599999999999999E-2</v>
      </c>
      <c r="E420" s="33">
        <v>5</v>
      </c>
      <c r="F420" s="33">
        <v>47</v>
      </c>
      <c r="G420" s="33">
        <v>52</v>
      </c>
    </row>
    <row r="421" spans="1:7" x14ac:dyDescent="0.3">
      <c r="A421" s="33">
        <v>0.3</v>
      </c>
      <c r="B421" s="33">
        <v>0.31819999999999998</v>
      </c>
      <c r="C421" s="33">
        <v>0.81</v>
      </c>
      <c r="D421" s="33">
        <v>8.9599999999999999E-2</v>
      </c>
      <c r="E421" s="33">
        <v>5</v>
      </c>
      <c r="F421" s="33">
        <v>65</v>
      </c>
      <c r="G421" s="33">
        <v>70</v>
      </c>
    </row>
    <row r="422" spans="1:7" x14ac:dyDescent="0.3">
      <c r="A422" s="33">
        <v>0.4</v>
      </c>
      <c r="B422" s="33">
        <v>0.40910000000000002</v>
      </c>
      <c r="C422" s="33">
        <v>0.62</v>
      </c>
      <c r="D422" s="33">
        <v>0.28360000000000002</v>
      </c>
      <c r="E422" s="33">
        <v>11</v>
      </c>
      <c r="F422" s="33">
        <v>67</v>
      </c>
      <c r="G422" s="33">
        <v>78</v>
      </c>
    </row>
    <row r="423" spans="1:7" x14ac:dyDescent="0.3">
      <c r="A423" s="33">
        <v>0.4</v>
      </c>
      <c r="B423" s="33">
        <v>0.40910000000000002</v>
      </c>
      <c r="C423" s="33">
        <v>0.57999999999999996</v>
      </c>
      <c r="D423" s="33">
        <v>0.25369999999999998</v>
      </c>
      <c r="E423" s="33">
        <v>7</v>
      </c>
      <c r="F423" s="33">
        <v>68</v>
      </c>
      <c r="G423" s="33">
        <v>75</v>
      </c>
    </row>
    <row r="424" spans="1:7" x14ac:dyDescent="0.3">
      <c r="A424" s="33">
        <v>0.4</v>
      </c>
      <c r="B424" s="33">
        <v>0.40910000000000002</v>
      </c>
      <c r="C424" s="33">
        <v>0.54</v>
      </c>
      <c r="D424" s="33">
        <v>0.28360000000000002</v>
      </c>
      <c r="E424" s="33">
        <v>4</v>
      </c>
      <c r="F424" s="33">
        <v>78</v>
      </c>
      <c r="G424" s="33">
        <v>82</v>
      </c>
    </row>
    <row r="425" spans="1:7" x14ac:dyDescent="0.3">
      <c r="A425" s="33">
        <v>0.38</v>
      </c>
      <c r="B425" s="33">
        <v>0.39389999999999997</v>
      </c>
      <c r="C425" s="33">
        <v>0.57999999999999996</v>
      </c>
      <c r="D425" s="33">
        <v>0.3881</v>
      </c>
      <c r="E425" s="33">
        <v>10</v>
      </c>
      <c r="F425" s="33">
        <v>94</v>
      </c>
      <c r="G425" s="33">
        <v>104</v>
      </c>
    </row>
    <row r="426" spans="1:7" x14ac:dyDescent="0.3">
      <c r="A426" s="33">
        <v>0.36</v>
      </c>
      <c r="B426" s="33">
        <v>0.33329999999999999</v>
      </c>
      <c r="C426" s="33">
        <v>0.56999999999999995</v>
      </c>
      <c r="D426" s="33">
        <v>0.32840000000000003</v>
      </c>
      <c r="E426" s="33">
        <v>7</v>
      </c>
      <c r="F426" s="33">
        <v>190</v>
      </c>
      <c r="G426" s="33">
        <v>197</v>
      </c>
    </row>
    <row r="427" spans="1:7" x14ac:dyDescent="0.3">
      <c r="A427" s="33">
        <v>0.34</v>
      </c>
      <c r="B427" s="33">
        <v>0.31819999999999998</v>
      </c>
      <c r="C427" s="33">
        <v>0.61</v>
      </c>
      <c r="D427" s="33">
        <v>0.28360000000000002</v>
      </c>
      <c r="E427" s="33">
        <v>5</v>
      </c>
      <c r="F427" s="33">
        <v>156</v>
      </c>
      <c r="G427" s="33">
        <v>161</v>
      </c>
    </row>
    <row r="428" spans="1:7" x14ac:dyDescent="0.3">
      <c r="A428" s="33">
        <v>0.32</v>
      </c>
      <c r="B428" s="33">
        <v>0.28789999999999999</v>
      </c>
      <c r="C428" s="33">
        <v>0.56999999999999995</v>
      </c>
      <c r="D428" s="33">
        <v>0.41789999999999999</v>
      </c>
      <c r="E428" s="33">
        <v>4</v>
      </c>
      <c r="F428" s="33">
        <v>108</v>
      </c>
      <c r="G428" s="33">
        <v>112</v>
      </c>
    </row>
    <row r="429" spans="1:7" x14ac:dyDescent="0.3">
      <c r="A429" s="33">
        <v>0.32</v>
      </c>
      <c r="B429" s="33">
        <v>0.30299999999999999</v>
      </c>
      <c r="C429" s="33">
        <v>0.49</v>
      </c>
      <c r="D429" s="33">
        <v>0.29849999999999999</v>
      </c>
      <c r="E429" s="33">
        <v>2</v>
      </c>
      <c r="F429" s="33">
        <v>74</v>
      </c>
      <c r="G429" s="33">
        <v>76</v>
      </c>
    </row>
    <row r="430" spans="1:7" x14ac:dyDescent="0.3">
      <c r="A430" s="33">
        <v>0.32</v>
      </c>
      <c r="B430" s="33">
        <v>0.28789999999999999</v>
      </c>
      <c r="C430" s="33">
        <v>0.49</v>
      </c>
      <c r="D430" s="33">
        <v>0.41789999999999999</v>
      </c>
      <c r="E430" s="33">
        <v>4</v>
      </c>
      <c r="F430" s="33">
        <v>55</v>
      </c>
      <c r="G430" s="33">
        <v>59</v>
      </c>
    </row>
    <row r="431" spans="1:7" x14ac:dyDescent="0.3">
      <c r="A431" s="33">
        <v>0.3</v>
      </c>
      <c r="B431" s="33">
        <v>0.30299999999999999</v>
      </c>
      <c r="C431" s="33">
        <v>0.52</v>
      </c>
      <c r="D431" s="33">
        <v>0.16420000000000001</v>
      </c>
      <c r="E431" s="33">
        <v>6</v>
      </c>
      <c r="F431" s="33">
        <v>53</v>
      </c>
      <c r="G431" s="33">
        <v>59</v>
      </c>
    </row>
    <row r="432" spans="1:7" x14ac:dyDescent="0.3">
      <c r="A432" s="33">
        <v>0.3</v>
      </c>
      <c r="B432" s="33">
        <v>0.2727</v>
      </c>
      <c r="C432" s="33">
        <v>0.52</v>
      </c>
      <c r="D432" s="33">
        <v>0.4627</v>
      </c>
      <c r="E432" s="33">
        <v>1</v>
      </c>
      <c r="F432" s="33">
        <v>27</v>
      </c>
      <c r="G432" s="33">
        <v>28</v>
      </c>
    </row>
    <row r="433" spans="1:7" x14ac:dyDescent="0.3">
      <c r="A433" s="33">
        <v>0.26</v>
      </c>
      <c r="B433" s="33">
        <v>0.2273</v>
      </c>
      <c r="C433" s="33">
        <v>0.56000000000000005</v>
      </c>
      <c r="D433" s="33">
        <v>0.3881</v>
      </c>
      <c r="E433" s="33">
        <v>5</v>
      </c>
      <c r="F433" s="33">
        <v>8</v>
      </c>
      <c r="G433" s="33">
        <v>13</v>
      </c>
    </row>
    <row r="434" spans="1:7" x14ac:dyDescent="0.3">
      <c r="A434" s="33">
        <v>0.26</v>
      </c>
      <c r="B434" s="33">
        <v>0.2727</v>
      </c>
      <c r="C434" s="33">
        <v>0.56000000000000005</v>
      </c>
      <c r="D434" s="33">
        <v>0</v>
      </c>
      <c r="E434" s="33">
        <v>2</v>
      </c>
      <c r="F434" s="33">
        <v>3</v>
      </c>
      <c r="G434" s="33">
        <v>5</v>
      </c>
    </row>
    <row r="435" spans="1:7" x14ac:dyDescent="0.3">
      <c r="A435" s="33">
        <v>0.26</v>
      </c>
      <c r="B435" s="33">
        <v>0.2727</v>
      </c>
      <c r="C435" s="33">
        <v>0.56000000000000005</v>
      </c>
      <c r="D435" s="33">
        <v>0</v>
      </c>
      <c r="E435" s="33">
        <v>0</v>
      </c>
      <c r="F435" s="33">
        <v>2</v>
      </c>
      <c r="G435" s="33">
        <v>2</v>
      </c>
    </row>
    <row r="436" spans="1:7" x14ac:dyDescent="0.3">
      <c r="A436" s="33">
        <v>0.26</v>
      </c>
      <c r="B436" s="33">
        <v>0.2576</v>
      </c>
      <c r="C436" s="33">
        <v>0.56000000000000005</v>
      </c>
      <c r="D436" s="33">
        <v>0.16420000000000001</v>
      </c>
      <c r="E436" s="33">
        <v>0</v>
      </c>
      <c r="F436" s="33">
        <v>1</v>
      </c>
      <c r="G436" s="33">
        <v>1</v>
      </c>
    </row>
    <row r="437" spans="1:7" x14ac:dyDescent="0.3">
      <c r="A437" s="33">
        <v>0.26</v>
      </c>
      <c r="B437" s="33">
        <v>0.2576</v>
      </c>
      <c r="C437" s="33">
        <v>0.56000000000000005</v>
      </c>
      <c r="D437" s="33">
        <v>0.16420000000000001</v>
      </c>
      <c r="E437" s="33">
        <v>0</v>
      </c>
      <c r="F437" s="33">
        <v>1</v>
      </c>
      <c r="G437" s="33">
        <v>1</v>
      </c>
    </row>
    <row r="438" spans="1:7" x14ac:dyDescent="0.3">
      <c r="A438" s="33">
        <v>0.24</v>
      </c>
      <c r="B438" s="33">
        <v>0.2273</v>
      </c>
      <c r="C438" s="33">
        <v>0.6</v>
      </c>
      <c r="D438" s="33">
        <v>0.22389999999999999</v>
      </c>
      <c r="E438" s="33">
        <v>0</v>
      </c>
      <c r="F438" s="33">
        <v>6</v>
      </c>
      <c r="G438" s="33">
        <v>6</v>
      </c>
    </row>
    <row r="439" spans="1:7" x14ac:dyDescent="0.3">
      <c r="A439" s="33">
        <v>0.22</v>
      </c>
      <c r="B439" s="33">
        <v>0.21210000000000001</v>
      </c>
      <c r="C439" s="33">
        <v>0.6</v>
      </c>
      <c r="D439" s="33">
        <v>0.22389999999999999</v>
      </c>
      <c r="E439" s="33">
        <v>0</v>
      </c>
      <c r="F439" s="33">
        <v>35</v>
      </c>
      <c r="G439" s="33">
        <v>35</v>
      </c>
    </row>
    <row r="440" spans="1:7" x14ac:dyDescent="0.3">
      <c r="A440" s="33">
        <v>0.22</v>
      </c>
      <c r="B440" s="33">
        <v>0.21210000000000001</v>
      </c>
      <c r="C440" s="33">
        <v>0.55000000000000004</v>
      </c>
      <c r="D440" s="33">
        <v>0.22389999999999999</v>
      </c>
      <c r="E440" s="33">
        <v>1</v>
      </c>
      <c r="F440" s="33">
        <v>100</v>
      </c>
      <c r="G440" s="33">
        <v>101</v>
      </c>
    </row>
    <row r="441" spans="1:7" x14ac:dyDescent="0.3">
      <c r="A441" s="33">
        <v>0.22</v>
      </c>
      <c r="B441" s="33">
        <v>0.21210000000000001</v>
      </c>
      <c r="C441" s="33">
        <v>0.55000000000000004</v>
      </c>
      <c r="D441" s="33">
        <v>0.28360000000000002</v>
      </c>
      <c r="E441" s="33">
        <v>2</v>
      </c>
      <c r="F441" s="33">
        <v>247</v>
      </c>
      <c r="G441" s="33">
        <v>249</v>
      </c>
    </row>
    <row r="442" spans="1:7" x14ac:dyDescent="0.3">
      <c r="A442" s="33">
        <v>0.24</v>
      </c>
      <c r="B442" s="33">
        <v>0.2273</v>
      </c>
      <c r="C442" s="33">
        <v>0.52</v>
      </c>
      <c r="D442" s="33">
        <v>0.22389999999999999</v>
      </c>
      <c r="E442" s="33">
        <v>3</v>
      </c>
      <c r="F442" s="33">
        <v>140</v>
      </c>
      <c r="G442" s="33">
        <v>143</v>
      </c>
    </row>
    <row r="443" spans="1:7" x14ac:dyDescent="0.3">
      <c r="A443" s="33">
        <v>0.26</v>
      </c>
      <c r="B443" s="33">
        <v>0.2273</v>
      </c>
      <c r="C443" s="33">
        <v>0.48</v>
      </c>
      <c r="D443" s="33">
        <v>0.29849999999999999</v>
      </c>
      <c r="E443" s="33">
        <v>1</v>
      </c>
      <c r="F443" s="33">
        <v>56</v>
      </c>
      <c r="G443" s="33">
        <v>57</v>
      </c>
    </row>
    <row r="444" spans="1:7" x14ac:dyDescent="0.3">
      <c r="A444" s="33">
        <v>0.28000000000000003</v>
      </c>
      <c r="B444" s="33">
        <v>0.2727</v>
      </c>
      <c r="C444" s="33">
        <v>0.45</v>
      </c>
      <c r="D444" s="33">
        <v>0.16420000000000001</v>
      </c>
      <c r="E444" s="33">
        <v>5</v>
      </c>
      <c r="F444" s="33">
        <v>63</v>
      </c>
      <c r="G444" s="33">
        <v>68</v>
      </c>
    </row>
    <row r="445" spans="1:7" x14ac:dyDescent="0.3">
      <c r="A445" s="33">
        <v>0.3</v>
      </c>
      <c r="B445" s="33">
        <v>0.33329999999999999</v>
      </c>
      <c r="C445" s="33">
        <v>0.42</v>
      </c>
      <c r="D445" s="33">
        <v>0</v>
      </c>
      <c r="E445" s="33">
        <v>7</v>
      </c>
      <c r="F445" s="33">
        <v>77</v>
      </c>
      <c r="G445" s="33">
        <v>84</v>
      </c>
    </row>
    <row r="446" spans="1:7" x14ac:dyDescent="0.3">
      <c r="A446" s="33">
        <v>0.28000000000000003</v>
      </c>
      <c r="B446" s="33">
        <v>0.28789999999999999</v>
      </c>
      <c r="C446" s="33">
        <v>0.45</v>
      </c>
      <c r="D446" s="33">
        <v>0.1045</v>
      </c>
      <c r="E446" s="33">
        <v>12</v>
      </c>
      <c r="F446" s="33">
        <v>86</v>
      </c>
      <c r="G446" s="33">
        <v>98</v>
      </c>
    </row>
    <row r="447" spans="1:7" x14ac:dyDescent="0.3">
      <c r="A447" s="33">
        <v>0.3</v>
      </c>
      <c r="B447" s="33">
        <v>0.30299999999999999</v>
      </c>
      <c r="C447" s="33">
        <v>0.45</v>
      </c>
      <c r="D447" s="33">
        <v>0.1343</v>
      </c>
      <c r="E447" s="33">
        <v>6</v>
      </c>
      <c r="F447" s="33">
        <v>75</v>
      </c>
      <c r="G447" s="33">
        <v>81</v>
      </c>
    </row>
    <row r="448" spans="1:7" x14ac:dyDescent="0.3">
      <c r="A448" s="33">
        <v>0.32</v>
      </c>
      <c r="B448" s="33">
        <v>0.31819999999999998</v>
      </c>
      <c r="C448" s="33">
        <v>0.45</v>
      </c>
      <c r="D448" s="33">
        <v>0.19400000000000001</v>
      </c>
      <c r="E448" s="33">
        <v>8</v>
      </c>
      <c r="F448" s="33">
        <v>62</v>
      </c>
      <c r="G448" s="33">
        <v>70</v>
      </c>
    </row>
    <row r="449" spans="1:7" x14ac:dyDescent="0.3">
      <c r="A449" s="33">
        <v>0.3</v>
      </c>
      <c r="B449" s="33">
        <v>0.30299999999999999</v>
      </c>
      <c r="C449" s="33">
        <v>0.49</v>
      </c>
      <c r="D449" s="33">
        <v>0.1343</v>
      </c>
      <c r="E449" s="33">
        <v>8</v>
      </c>
      <c r="F449" s="33">
        <v>83</v>
      </c>
      <c r="G449" s="33">
        <v>91</v>
      </c>
    </row>
    <row r="450" spans="1:7" x14ac:dyDescent="0.3">
      <c r="A450" s="33">
        <v>0.3</v>
      </c>
      <c r="B450" s="33">
        <v>0.31819999999999998</v>
      </c>
      <c r="C450" s="33">
        <v>0.49</v>
      </c>
      <c r="D450" s="33">
        <v>0.1045</v>
      </c>
      <c r="E450" s="33">
        <v>8</v>
      </c>
      <c r="F450" s="33">
        <v>207</v>
      </c>
      <c r="G450" s="33">
        <v>215</v>
      </c>
    </row>
    <row r="451" spans="1:7" x14ac:dyDescent="0.3">
      <c r="A451" s="33">
        <v>0.26</v>
      </c>
      <c r="B451" s="33">
        <v>0.2576</v>
      </c>
      <c r="C451" s="33">
        <v>0.56000000000000005</v>
      </c>
      <c r="D451" s="33">
        <v>0.19400000000000001</v>
      </c>
      <c r="E451" s="33">
        <v>1</v>
      </c>
      <c r="F451" s="33">
        <v>184</v>
      </c>
      <c r="G451" s="33">
        <v>185</v>
      </c>
    </row>
    <row r="452" spans="1:7" x14ac:dyDescent="0.3">
      <c r="A452" s="33">
        <v>0.26</v>
      </c>
      <c r="B452" s="33">
        <v>0.2273</v>
      </c>
      <c r="C452" s="33">
        <v>0.56000000000000005</v>
      </c>
      <c r="D452" s="33">
        <v>0.32840000000000003</v>
      </c>
      <c r="E452" s="33">
        <v>6</v>
      </c>
      <c r="F452" s="33">
        <v>146</v>
      </c>
      <c r="G452" s="33">
        <v>152</v>
      </c>
    </row>
    <row r="453" spans="1:7" x14ac:dyDescent="0.3">
      <c r="A453" s="33">
        <v>0.26</v>
      </c>
      <c r="B453" s="33">
        <v>0.2424</v>
      </c>
      <c r="C453" s="33">
        <v>0.6</v>
      </c>
      <c r="D453" s="33">
        <v>0.28360000000000002</v>
      </c>
      <c r="E453" s="33">
        <v>2</v>
      </c>
      <c r="F453" s="33">
        <v>124</v>
      </c>
      <c r="G453" s="33">
        <v>126</v>
      </c>
    </row>
    <row r="454" spans="1:7" x14ac:dyDescent="0.3">
      <c r="A454" s="33">
        <v>0.24</v>
      </c>
      <c r="B454" s="33">
        <v>0.2273</v>
      </c>
      <c r="C454" s="33">
        <v>0.6</v>
      </c>
      <c r="D454" s="33">
        <v>0.25369999999999998</v>
      </c>
      <c r="E454" s="33">
        <v>3</v>
      </c>
      <c r="F454" s="33">
        <v>54</v>
      </c>
      <c r="G454" s="33">
        <v>57</v>
      </c>
    </row>
    <row r="455" spans="1:7" x14ac:dyDescent="0.3">
      <c r="A455" s="33">
        <v>0.24</v>
      </c>
      <c r="B455" s="33">
        <v>0.21210000000000001</v>
      </c>
      <c r="C455" s="33">
        <v>0.65</v>
      </c>
      <c r="D455" s="33">
        <v>0.28360000000000002</v>
      </c>
      <c r="E455" s="33">
        <v>0</v>
      </c>
      <c r="F455" s="33">
        <v>56</v>
      </c>
      <c r="G455" s="33">
        <v>56</v>
      </c>
    </row>
    <row r="456" spans="1:7" x14ac:dyDescent="0.3">
      <c r="A456" s="33">
        <v>0.24</v>
      </c>
      <c r="B456" s="33">
        <v>0.21210000000000001</v>
      </c>
      <c r="C456" s="33">
        <v>0.65</v>
      </c>
      <c r="D456" s="33">
        <v>0.32840000000000003</v>
      </c>
      <c r="E456" s="33">
        <v>3</v>
      </c>
      <c r="F456" s="33">
        <v>28</v>
      </c>
      <c r="G456" s="33">
        <v>31</v>
      </c>
    </row>
    <row r="457" spans="1:7" x14ac:dyDescent="0.3">
      <c r="A457" s="33">
        <v>0.24</v>
      </c>
      <c r="B457" s="33">
        <v>0.2273</v>
      </c>
      <c r="C457" s="33">
        <v>0.7</v>
      </c>
      <c r="D457" s="33">
        <v>0.25369999999999998</v>
      </c>
      <c r="E457" s="33">
        <v>1</v>
      </c>
      <c r="F457" s="33">
        <v>20</v>
      </c>
      <c r="G457" s="33">
        <v>21</v>
      </c>
    </row>
    <row r="458" spans="1:7" x14ac:dyDescent="0.3">
      <c r="A458" s="33">
        <v>0.24</v>
      </c>
      <c r="B458" s="33">
        <v>0.2273</v>
      </c>
      <c r="C458" s="33">
        <v>0.7</v>
      </c>
      <c r="D458" s="33">
        <v>0.25369999999999998</v>
      </c>
      <c r="E458" s="33">
        <v>0</v>
      </c>
      <c r="F458" s="33">
        <v>6</v>
      </c>
      <c r="G458" s="33">
        <v>6</v>
      </c>
    </row>
    <row r="459" spans="1:7" x14ac:dyDescent="0.3">
      <c r="A459" s="33">
        <v>0.24</v>
      </c>
      <c r="B459" s="33">
        <v>0.2424</v>
      </c>
      <c r="C459" s="33">
        <v>0.75</v>
      </c>
      <c r="D459" s="33">
        <v>0.16420000000000001</v>
      </c>
      <c r="E459" s="33">
        <v>0</v>
      </c>
      <c r="F459" s="33">
        <v>2</v>
      </c>
      <c r="G459" s="33">
        <v>2</v>
      </c>
    </row>
    <row r="460" spans="1:7" x14ac:dyDescent="0.3">
      <c r="A460" s="33">
        <v>0.22</v>
      </c>
      <c r="B460" s="33">
        <v>0.21210000000000001</v>
      </c>
      <c r="C460" s="33">
        <v>0.8</v>
      </c>
      <c r="D460" s="33">
        <v>0.29849999999999999</v>
      </c>
      <c r="E460" s="33">
        <v>0</v>
      </c>
      <c r="F460" s="33">
        <v>1</v>
      </c>
      <c r="G460" s="33">
        <v>1</v>
      </c>
    </row>
    <row r="461" spans="1:7" x14ac:dyDescent="0.3">
      <c r="A461" s="33">
        <v>0.22</v>
      </c>
      <c r="B461" s="33">
        <v>0.2576</v>
      </c>
      <c r="C461" s="33">
        <v>0.87</v>
      </c>
      <c r="D461" s="33">
        <v>8.9599999999999999E-2</v>
      </c>
      <c r="E461" s="33">
        <v>0</v>
      </c>
      <c r="F461" s="33">
        <v>1</v>
      </c>
      <c r="G461" s="33">
        <v>1</v>
      </c>
    </row>
    <row r="462" spans="1:7" x14ac:dyDescent="0.3">
      <c r="A462" s="33">
        <v>0.24</v>
      </c>
      <c r="B462" s="33">
        <v>0.19700000000000001</v>
      </c>
      <c r="C462" s="33">
        <v>0.6</v>
      </c>
      <c r="D462" s="33">
        <v>0.41789999999999999</v>
      </c>
      <c r="E462" s="33">
        <v>1</v>
      </c>
      <c r="F462" s="33">
        <v>4</v>
      </c>
      <c r="G462" s="33">
        <v>5</v>
      </c>
    </row>
    <row r="463" spans="1:7" x14ac:dyDescent="0.3">
      <c r="A463" s="33">
        <v>0.22</v>
      </c>
      <c r="B463" s="33">
        <v>0.21210000000000001</v>
      </c>
      <c r="C463" s="33">
        <v>0.55000000000000004</v>
      </c>
      <c r="D463" s="33">
        <v>0.25369999999999998</v>
      </c>
      <c r="E463" s="33">
        <v>0</v>
      </c>
      <c r="F463" s="33">
        <v>27</v>
      </c>
      <c r="G463" s="33">
        <v>27</v>
      </c>
    </row>
    <row r="464" spans="1:7" x14ac:dyDescent="0.3">
      <c r="A464" s="33">
        <v>0.2</v>
      </c>
      <c r="B464" s="33">
        <v>0.18179999999999999</v>
      </c>
      <c r="C464" s="33">
        <v>0.51</v>
      </c>
      <c r="D464" s="33">
        <v>0.28360000000000002</v>
      </c>
      <c r="E464" s="33">
        <v>2</v>
      </c>
      <c r="F464" s="33">
        <v>66</v>
      </c>
      <c r="G464" s="33">
        <v>68</v>
      </c>
    </row>
    <row r="465" spans="1:7" x14ac:dyDescent="0.3">
      <c r="A465" s="33">
        <v>0.2</v>
      </c>
      <c r="B465" s="33">
        <v>0.18179999999999999</v>
      </c>
      <c r="C465" s="33">
        <v>0.47</v>
      </c>
      <c r="D465" s="33">
        <v>0.32840000000000003</v>
      </c>
      <c r="E465" s="33">
        <v>7</v>
      </c>
      <c r="F465" s="33">
        <v>210</v>
      </c>
      <c r="G465" s="33">
        <v>217</v>
      </c>
    </row>
    <row r="466" spans="1:7" x14ac:dyDescent="0.3">
      <c r="A466" s="33">
        <v>0.2</v>
      </c>
      <c r="B466" s="33">
        <v>0.18179999999999999</v>
      </c>
      <c r="C466" s="33">
        <v>0.51</v>
      </c>
      <c r="D466" s="33">
        <v>0.35820000000000002</v>
      </c>
      <c r="E466" s="33">
        <v>7</v>
      </c>
      <c r="F466" s="33">
        <v>159</v>
      </c>
      <c r="G466" s="33">
        <v>166</v>
      </c>
    </row>
    <row r="467" spans="1:7" x14ac:dyDescent="0.3">
      <c r="A467" s="33">
        <v>0.2</v>
      </c>
      <c r="B467" s="33">
        <v>0.16669999999999999</v>
      </c>
      <c r="C467" s="33">
        <v>0.47</v>
      </c>
      <c r="D467" s="33">
        <v>0.4627</v>
      </c>
      <c r="E467" s="33">
        <v>6</v>
      </c>
      <c r="F467" s="33">
        <v>57</v>
      </c>
      <c r="G467" s="33">
        <v>63</v>
      </c>
    </row>
    <row r="468" spans="1:7" x14ac:dyDescent="0.3">
      <c r="A468" s="33">
        <v>0.22</v>
      </c>
      <c r="B468" s="33">
        <v>0.18179999999999999</v>
      </c>
      <c r="C468" s="33">
        <v>0.41</v>
      </c>
      <c r="D468" s="33">
        <v>0.4627</v>
      </c>
      <c r="E468" s="33">
        <v>6</v>
      </c>
      <c r="F468" s="33">
        <v>53</v>
      </c>
      <c r="G468" s="33">
        <v>59</v>
      </c>
    </row>
    <row r="469" spans="1:7" x14ac:dyDescent="0.3">
      <c r="A469" s="33">
        <v>0.22</v>
      </c>
      <c r="B469" s="33">
        <v>0.18179999999999999</v>
      </c>
      <c r="C469" s="33">
        <v>0.27</v>
      </c>
      <c r="D469" s="33">
        <v>0.58209999999999995</v>
      </c>
      <c r="E469" s="33">
        <v>11</v>
      </c>
      <c r="F469" s="33">
        <v>67</v>
      </c>
      <c r="G469" s="33">
        <v>78</v>
      </c>
    </row>
    <row r="470" spans="1:7" x14ac:dyDescent="0.3">
      <c r="A470" s="33">
        <v>0.2</v>
      </c>
      <c r="B470" s="33">
        <v>0.1515</v>
      </c>
      <c r="C470" s="33">
        <v>0.21</v>
      </c>
      <c r="D470" s="33">
        <v>0.58209999999999995</v>
      </c>
      <c r="E470" s="33">
        <v>8</v>
      </c>
      <c r="F470" s="33">
        <v>65</v>
      </c>
      <c r="G470" s="33">
        <v>73</v>
      </c>
    </row>
    <row r="471" spans="1:7" x14ac:dyDescent="0.3">
      <c r="A471" s="33">
        <v>0.2</v>
      </c>
      <c r="B471" s="33">
        <v>0.1515</v>
      </c>
      <c r="C471" s="33">
        <v>0.25</v>
      </c>
      <c r="D471" s="33">
        <v>0.52239999999999998</v>
      </c>
      <c r="E471" s="33">
        <v>6</v>
      </c>
      <c r="F471" s="33">
        <v>56</v>
      </c>
      <c r="G471" s="33">
        <v>62</v>
      </c>
    </row>
    <row r="472" spans="1:7" x14ac:dyDescent="0.3">
      <c r="A472" s="33">
        <v>0.16</v>
      </c>
      <c r="B472" s="33">
        <v>0.1212</v>
      </c>
      <c r="C472" s="33">
        <v>0.26</v>
      </c>
      <c r="D472" s="33">
        <v>0.44779999999999998</v>
      </c>
      <c r="E472" s="33">
        <v>4</v>
      </c>
      <c r="F472" s="33">
        <v>61</v>
      </c>
      <c r="G472" s="33">
        <v>65</v>
      </c>
    </row>
    <row r="473" spans="1:7" x14ac:dyDescent="0.3">
      <c r="A473" s="33">
        <v>0.16</v>
      </c>
      <c r="B473" s="33">
        <v>0.13639999999999999</v>
      </c>
      <c r="C473" s="33">
        <v>0.26</v>
      </c>
      <c r="D473" s="33">
        <v>0.35820000000000002</v>
      </c>
      <c r="E473" s="33">
        <v>0</v>
      </c>
      <c r="F473" s="33">
        <v>97</v>
      </c>
      <c r="G473" s="33">
        <v>97</v>
      </c>
    </row>
    <row r="474" spans="1:7" x14ac:dyDescent="0.3">
      <c r="A474" s="33">
        <v>0.14000000000000001</v>
      </c>
      <c r="B474" s="33">
        <v>0.1212</v>
      </c>
      <c r="C474" s="33">
        <v>0.28000000000000003</v>
      </c>
      <c r="D474" s="33">
        <v>0.35820000000000002</v>
      </c>
      <c r="E474" s="33">
        <v>10</v>
      </c>
      <c r="F474" s="33">
        <v>151</v>
      </c>
      <c r="G474" s="33">
        <v>161</v>
      </c>
    </row>
    <row r="475" spans="1:7" x14ac:dyDescent="0.3">
      <c r="A475" s="33">
        <v>0.12</v>
      </c>
      <c r="B475" s="33">
        <v>0.1212</v>
      </c>
      <c r="C475" s="33">
        <v>0.3</v>
      </c>
      <c r="D475" s="33">
        <v>0.25369999999999998</v>
      </c>
      <c r="E475" s="33">
        <v>1</v>
      </c>
      <c r="F475" s="33">
        <v>119</v>
      </c>
      <c r="G475" s="33">
        <v>120</v>
      </c>
    </row>
    <row r="476" spans="1:7" x14ac:dyDescent="0.3">
      <c r="A476" s="33">
        <v>0.12</v>
      </c>
      <c r="B476" s="33">
        <v>0.1061</v>
      </c>
      <c r="C476" s="33">
        <v>0.3</v>
      </c>
      <c r="D476" s="33">
        <v>0.32840000000000003</v>
      </c>
      <c r="E476" s="33">
        <v>3</v>
      </c>
      <c r="F476" s="33">
        <v>93</v>
      </c>
      <c r="G476" s="33">
        <v>96</v>
      </c>
    </row>
    <row r="477" spans="1:7" x14ac:dyDescent="0.3">
      <c r="A477" s="33">
        <v>0.1</v>
      </c>
      <c r="B477" s="33">
        <v>7.5800000000000006E-2</v>
      </c>
      <c r="C477" s="33">
        <v>0.33</v>
      </c>
      <c r="D477" s="33">
        <v>0.41789999999999999</v>
      </c>
      <c r="E477" s="33">
        <v>1</v>
      </c>
      <c r="F477" s="33">
        <v>52</v>
      </c>
      <c r="G477" s="33">
        <v>53</v>
      </c>
    </row>
    <row r="478" spans="1:7" x14ac:dyDescent="0.3">
      <c r="A478" s="33">
        <v>0.08</v>
      </c>
      <c r="B478" s="33">
        <v>7.5800000000000006E-2</v>
      </c>
      <c r="C478" s="33">
        <v>0.38</v>
      </c>
      <c r="D478" s="33">
        <v>0.28360000000000002</v>
      </c>
      <c r="E478" s="33">
        <v>0</v>
      </c>
      <c r="F478" s="33">
        <v>41</v>
      </c>
      <c r="G478" s="33">
        <v>41</v>
      </c>
    </row>
    <row r="479" spans="1:7" x14ac:dyDescent="0.3">
      <c r="A479" s="33">
        <v>0.06</v>
      </c>
      <c r="B479" s="33">
        <v>3.0300000000000001E-2</v>
      </c>
      <c r="C479" s="33">
        <v>0.41</v>
      </c>
      <c r="D479" s="33">
        <v>0.3881</v>
      </c>
      <c r="E479" s="33">
        <v>1</v>
      </c>
      <c r="F479" s="33">
        <v>33</v>
      </c>
      <c r="G479" s="33">
        <v>34</v>
      </c>
    </row>
    <row r="480" spans="1:7" x14ac:dyDescent="0.3">
      <c r="A480" s="33">
        <v>0.06</v>
      </c>
      <c r="B480" s="33">
        <v>4.5499999999999999E-2</v>
      </c>
      <c r="C480" s="33">
        <v>0.38</v>
      </c>
      <c r="D480" s="33">
        <v>0.32840000000000003</v>
      </c>
      <c r="E480" s="33">
        <v>0</v>
      </c>
      <c r="F480" s="33">
        <v>27</v>
      </c>
      <c r="G480" s="33">
        <v>27</v>
      </c>
    </row>
    <row r="481" spans="1:7" x14ac:dyDescent="0.3">
      <c r="A481" s="33">
        <v>0.04</v>
      </c>
      <c r="B481" s="33">
        <v>3.0300000000000001E-2</v>
      </c>
      <c r="C481" s="33">
        <v>0.45</v>
      </c>
      <c r="D481" s="33">
        <v>0.25369999999999998</v>
      </c>
      <c r="E481" s="33">
        <v>0</v>
      </c>
      <c r="F481" s="33">
        <v>13</v>
      </c>
      <c r="G481" s="33">
        <v>13</v>
      </c>
    </row>
    <row r="482" spans="1:7" x14ac:dyDescent="0.3">
      <c r="A482" s="33">
        <v>0.04</v>
      </c>
      <c r="B482" s="33">
        <v>0</v>
      </c>
      <c r="C482" s="33">
        <v>0.41</v>
      </c>
      <c r="D482" s="33">
        <v>0.3881</v>
      </c>
      <c r="E482" s="33">
        <v>3</v>
      </c>
      <c r="F482" s="33">
        <v>9</v>
      </c>
      <c r="G482" s="33">
        <v>12</v>
      </c>
    </row>
    <row r="483" spans="1:7" x14ac:dyDescent="0.3">
      <c r="A483" s="33">
        <v>0.04</v>
      </c>
      <c r="B483" s="33">
        <v>3.0300000000000001E-2</v>
      </c>
      <c r="C483" s="33">
        <v>0.41</v>
      </c>
      <c r="D483" s="33">
        <v>0.25369999999999998</v>
      </c>
      <c r="E483" s="33">
        <v>0</v>
      </c>
      <c r="F483" s="33">
        <v>11</v>
      </c>
      <c r="G483" s="33">
        <v>11</v>
      </c>
    </row>
    <row r="484" spans="1:7" x14ac:dyDescent="0.3">
      <c r="A484" s="33">
        <v>0.04</v>
      </c>
      <c r="B484" s="33">
        <v>3.0300000000000001E-2</v>
      </c>
      <c r="C484" s="33">
        <v>0.41</v>
      </c>
      <c r="D484" s="33">
        <v>0.28360000000000002</v>
      </c>
      <c r="E484" s="33">
        <v>1</v>
      </c>
      <c r="F484" s="33">
        <v>6</v>
      </c>
      <c r="G484" s="33">
        <v>7</v>
      </c>
    </row>
    <row r="485" spans="1:7" x14ac:dyDescent="0.3">
      <c r="A485" s="33">
        <v>0.02</v>
      </c>
      <c r="B485" s="33">
        <v>1.52E-2</v>
      </c>
      <c r="C485" s="33">
        <v>0.48</v>
      </c>
      <c r="D485" s="33">
        <v>0.29849999999999999</v>
      </c>
      <c r="E485" s="33">
        <v>0</v>
      </c>
      <c r="F485" s="33">
        <v>3</v>
      </c>
      <c r="G485" s="33">
        <v>3</v>
      </c>
    </row>
    <row r="486" spans="1:7" x14ac:dyDescent="0.3">
      <c r="A486" s="33">
        <v>0.02</v>
      </c>
      <c r="B486" s="33">
        <v>3.0300000000000001E-2</v>
      </c>
      <c r="C486" s="33">
        <v>0.44</v>
      </c>
      <c r="D486" s="33">
        <v>0.22389999999999999</v>
      </c>
      <c r="E486" s="33">
        <v>0</v>
      </c>
      <c r="F486" s="33">
        <v>2</v>
      </c>
      <c r="G486" s="33">
        <v>2</v>
      </c>
    </row>
    <row r="487" spans="1:7" x14ac:dyDescent="0.3">
      <c r="A487" s="33">
        <v>0.02</v>
      </c>
      <c r="B487" s="33">
        <v>1.52E-2</v>
      </c>
      <c r="C487" s="33">
        <v>0.44</v>
      </c>
      <c r="D487" s="33">
        <v>0.28360000000000002</v>
      </c>
      <c r="E487" s="33">
        <v>0</v>
      </c>
      <c r="F487" s="33">
        <v>8</v>
      </c>
      <c r="G487" s="33">
        <v>8</v>
      </c>
    </row>
    <row r="488" spans="1:7" x14ac:dyDescent="0.3">
      <c r="A488" s="33">
        <v>0.02</v>
      </c>
      <c r="B488" s="33">
        <v>0</v>
      </c>
      <c r="C488" s="33">
        <v>0.44</v>
      </c>
      <c r="D488" s="33">
        <v>0.32840000000000003</v>
      </c>
      <c r="E488" s="33">
        <v>1</v>
      </c>
      <c r="F488" s="33">
        <v>26</v>
      </c>
      <c r="G488" s="33">
        <v>27</v>
      </c>
    </row>
    <row r="489" spans="1:7" x14ac:dyDescent="0.3">
      <c r="A489" s="33">
        <v>0.04</v>
      </c>
      <c r="B489" s="33">
        <v>3.0300000000000001E-2</v>
      </c>
      <c r="C489" s="33">
        <v>0.41</v>
      </c>
      <c r="D489" s="33">
        <v>0.25369999999999998</v>
      </c>
      <c r="E489" s="33">
        <v>3</v>
      </c>
      <c r="F489" s="33">
        <v>37</v>
      </c>
      <c r="G489" s="33">
        <v>40</v>
      </c>
    </row>
    <row r="490" spans="1:7" x14ac:dyDescent="0.3">
      <c r="A490" s="33">
        <v>0.04</v>
      </c>
      <c r="B490" s="33">
        <v>6.0600000000000001E-2</v>
      </c>
      <c r="C490" s="33">
        <v>0.41</v>
      </c>
      <c r="D490" s="33">
        <v>0.16420000000000001</v>
      </c>
      <c r="E490" s="33">
        <v>3</v>
      </c>
      <c r="F490" s="33">
        <v>50</v>
      </c>
      <c r="G490" s="33">
        <v>53</v>
      </c>
    </row>
    <row r="491" spans="1:7" x14ac:dyDescent="0.3">
      <c r="A491" s="33">
        <v>0.06</v>
      </c>
      <c r="B491" s="33">
        <v>7.5800000000000006E-2</v>
      </c>
      <c r="C491" s="33">
        <v>0.38</v>
      </c>
      <c r="D491" s="33">
        <v>0.1343</v>
      </c>
      <c r="E491" s="33">
        <v>4</v>
      </c>
      <c r="F491" s="33">
        <v>59</v>
      </c>
      <c r="G491" s="33">
        <v>63</v>
      </c>
    </row>
    <row r="492" spans="1:7" x14ac:dyDescent="0.3">
      <c r="A492" s="33">
        <v>0.06</v>
      </c>
      <c r="B492" s="33">
        <v>0.1061</v>
      </c>
      <c r="C492" s="33">
        <v>0.38</v>
      </c>
      <c r="D492" s="33">
        <v>0.1045</v>
      </c>
      <c r="E492" s="33">
        <v>10</v>
      </c>
      <c r="F492" s="33">
        <v>60</v>
      </c>
      <c r="G492" s="33">
        <v>70</v>
      </c>
    </row>
    <row r="493" spans="1:7" x14ac:dyDescent="0.3">
      <c r="A493" s="33">
        <v>0.08</v>
      </c>
      <c r="B493" s="33">
        <v>0.16669999999999999</v>
      </c>
      <c r="C493" s="33">
        <v>0.35</v>
      </c>
      <c r="D493" s="33">
        <v>0</v>
      </c>
      <c r="E493" s="33">
        <v>12</v>
      </c>
      <c r="F493" s="33">
        <v>72</v>
      </c>
      <c r="G493" s="33">
        <v>84</v>
      </c>
    </row>
    <row r="494" spans="1:7" x14ac:dyDescent="0.3">
      <c r="A494" s="33">
        <v>0.1</v>
      </c>
      <c r="B494" s="33">
        <v>0.13639999999999999</v>
      </c>
      <c r="C494" s="33">
        <v>0.33</v>
      </c>
      <c r="D494" s="33">
        <v>0.1045</v>
      </c>
      <c r="E494" s="33">
        <v>11</v>
      </c>
      <c r="F494" s="33">
        <v>64</v>
      </c>
      <c r="G494" s="33">
        <v>75</v>
      </c>
    </row>
    <row r="495" spans="1:7" x14ac:dyDescent="0.3">
      <c r="A495" s="33">
        <v>0.12</v>
      </c>
      <c r="B495" s="33">
        <v>0.1515</v>
      </c>
      <c r="C495" s="33">
        <v>0.28000000000000003</v>
      </c>
      <c r="D495" s="33">
        <v>0</v>
      </c>
      <c r="E495" s="33">
        <v>10</v>
      </c>
      <c r="F495" s="33">
        <v>93</v>
      </c>
      <c r="G495" s="33">
        <v>103</v>
      </c>
    </row>
    <row r="496" spans="1:7" x14ac:dyDescent="0.3">
      <c r="A496" s="33">
        <v>0.12</v>
      </c>
      <c r="B496" s="33">
        <v>0.13639999999999999</v>
      </c>
      <c r="C496" s="33">
        <v>0.28000000000000003</v>
      </c>
      <c r="D496" s="33">
        <v>0.19400000000000001</v>
      </c>
      <c r="E496" s="33">
        <v>11</v>
      </c>
      <c r="F496" s="33">
        <v>72</v>
      </c>
      <c r="G496" s="33">
        <v>83</v>
      </c>
    </row>
    <row r="497" spans="1:7" x14ac:dyDescent="0.3">
      <c r="A497" s="33">
        <v>0.12</v>
      </c>
      <c r="B497" s="33">
        <v>0.19700000000000001</v>
      </c>
      <c r="C497" s="33">
        <v>0.28000000000000003</v>
      </c>
      <c r="D497" s="33">
        <v>0</v>
      </c>
      <c r="E497" s="33">
        <v>8</v>
      </c>
      <c r="F497" s="33">
        <v>59</v>
      </c>
      <c r="G497" s="33">
        <v>67</v>
      </c>
    </row>
    <row r="498" spans="1:7" x14ac:dyDescent="0.3">
      <c r="A498" s="33">
        <v>0.08</v>
      </c>
      <c r="B498" s="33">
        <v>9.0899999999999995E-2</v>
      </c>
      <c r="C498" s="33">
        <v>0.35</v>
      </c>
      <c r="D498" s="33">
        <v>0.19400000000000001</v>
      </c>
      <c r="E498" s="33">
        <v>0</v>
      </c>
      <c r="F498" s="33">
        <v>54</v>
      </c>
      <c r="G498" s="33">
        <v>54</v>
      </c>
    </row>
    <row r="499" spans="1:7" x14ac:dyDescent="0.3">
      <c r="A499" s="33">
        <v>0.08</v>
      </c>
      <c r="B499" s="33">
        <v>0.1061</v>
      </c>
      <c r="C499" s="33">
        <v>0.35</v>
      </c>
      <c r="D499" s="33">
        <v>0.1343</v>
      </c>
      <c r="E499" s="33">
        <v>6</v>
      </c>
      <c r="F499" s="33">
        <v>53</v>
      </c>
      <c r="G499" s="33">
        <v>59</v>
      </c>
    </row>
    <row r="500" spans="1:7" x14ac:dyDescent="0.3">
      <c r="A500" s="33">
        <v>0.06</v>
      </c>
      <c r="B500" s="33">
        <v>7.5800000000000006E-2</v>
      </c>
      <c r="C500" s="33">
        <v>0.45</v>
      </c>
      <c r="D500" s="33">
        <v>0.16420000000000001</v>
      </c>
      <c r="E500" s="33">
        <v>1</v>
      </c>
      <c r="F500" s="33">
        <v>44</v>
      </c>
      <c r="G500" s="33">
        <v>45</v>
      </c>
    </row>
    <row r="501" spans="1:7" x14ac:dyDescent="0.3">
      <c r="A501" s="33">
        <v>0.06</v>
      </c>
      <c r="B501" s="33">
        <v>0.1061</v>
      </c>
      <c r="C501" s="33">
        <v>0.41</v>
      </c>
      <c r="D501" s="33">
        <v>8.9599999999999999E-2</v>
      </c>
      <c r="E501" s="33">
        <v>0</v>
      </c>
      <c r="F501" s="33">
        <v>39</v>
      </c>
      <c r="G501" s="33">
        <v>39</v>
      </c>
    </row>
    <row r="502" spans="1:7" x14ac:dyDescent="0.3">
      <c r="A502" s="33">
        <v>0.06</v>
      </c>
      <c r="B502" s="33">
        <v>0.1515</v>
      </c>
      <c r="C502" s="33">
        <v>0.49</v>
      </c>
      <c r="D502" s="33">
        <v>0</v>
      </c>
      <c r="E502" s="33">
        <v>7</v>
      </c>
      <c r="F502" s="33">
        <v>23</v>
      </c>
      <c r="G502" s="33">
        <v>30</v>
      </c>
    </row>
    <row r="503" spans="1:7" x14ac:dyDescent="0.3">
      <c r="A503" s="33">
        <v>0.04</v>
      </c>
      <c r="B503" s="33">
        <v>7.5800000000000006E-2</v>
      </c>
      <c r="C503" s="33">
        <v>0.56999999999999995</v>
      </c>
      <c r="D503" s="33">
        <v>0.1045</v>
      </c>
      <c r="E503" s="33">
        <v>2</v>
      </c>
      <c r="F503" s="33">
        <v>31</v>
      </c>
      <c r="G503" s="33">
        <v>33</v>
      </c>
    </row>
    <row r="504" spans="1:7" x14ac:dyDescent="0.3">
      <c r="A504" s="33">
        <v>0.04</v>
      </c>
      <c r="B504" s="33">
        <v>7.5800000000000006E-2</v>
      </c>
      <c r="C504" s="33">
        <v>0.56999999999999995</v>
      </c>
      <c r="D504" s="33">
        <v>0.1045</v>
      </c>
      <c r="E504" s="33">
        <v>2</v>
      </c>
      <c r="F504" s="33">
        <v>20</v>
      </c>
      <c r="G504" s="33">
        <v>22</v>
      </c>
    </row>
    <row r="505" spans="1:7" x14ac:dyDescent="0.3">
      <c r="A505" s="33">
        <v>0.04</v>
      </c>
      <c r="B505" s="33">
        <v>7.5800000000000006E-2</v>
      </c>
      <c r="C505" s="33">
        <v>0.56999999999999995</v>
      </c>
      <c r="D505" s="33">
        <v>0.1045</v>
      </c>
      <c r="E505" s="33">
        <v>1</v>
      </c>
      <c r="F505" s="33">
        <v>12</v>
      </c>
      <c r="G505" s="33">
        <v>13</v>
      </c>
    </row>
    <row r="506" spans="1:7" x14ac:dyDescent="0.3">
      <c r="A506" s="33">
        <v>0.02</v>
      </c>
      <c r="B506" s="33">
        <v>6.0600000000000001E-2</v>
      </c>
      <c r="C506" s="33">
        <v>0.62</v>
      </c>
      <c r="D506" s="33">
        <v>0.1343</v>
      </c>
      <c r="E506" s="33">
        <v>3</v>
      </c>
      <c r="F506" s="33">
        <v>15</v>
      </c>
      <c r="G506" s="33">
        <v>18</v>
      </c>
    </row>
    <row r="507" spans="1:7" x14ac:dyDescent="0.3">
      <c r="A507" s="33">
        <v>0.02</v>
      </c>
      <c r="B507" s="33">
        <v>6.0600000000000001E-2</v>
      </c>
      <c r="C507" s="33">
        <v>0.62</v>
      </c>
      <c r="D507" s="33">
        <v>0.1343</v>
      </c>
      <c r="E507" s="33">
        <v>1</v>
      </c>
      <c r="F507" s="33">
        <v>4</v>
      </c>
      <c r="G507" s="33">
        <v>5</v>
      </c>
    </row>
    <row r="508" spans="1:7" x14ac:dyDescent="0.3">
      <c r="A508" s="33">
        <v>0.04</v>
      </c>
      <c r="B508" s="33">
        <v>7.5800000000000006E-2</v>
      </c>
      <c r="C508" s="33">
        <v>0.56999999999999995</v>
      </c>
      <c r="D508" s="33">
        <v>0.1045</v>
      </c>
      <c r="E508" s="33">
        <v>0</v>
      </c>
      <c r="F508" s="33">
        <v>3</v>
      </c>
      <c r="G508" s="33">
        <v>3</v>
      </c>
    </row>
    <row r="509" spans="1:7" x14ac:dyDescent="0.3">
      <c r="A509" s="33">
        <v>0.04</v>
      </c>
      <c r="B509" s="33">
        <v>7.5800000000000006E-2</v>
      </c>
      <c r="C509" s="33">
        <v>0.56999999999999995</v>
      </c>
      <c r="D509" s="33">
        <v>0.1045</v>
      </c>
      <c r="E509" s="33">
        <v>0</v>
      </c>
      <c r="F509" s="33">
        <v>1</v>
      </c>
      <c r="G509" s="33">
        <v>1</v>
      </c>
    </row>
    <row r="510" spans="1:7" x14ac:dyDescent="0.3">
      <c r="A510" s="33">
        <v>0.08</v>
      </c>
      <c r="B510" s="33">
        <v>0.1061</v>
      </c>
      <c r="C510" s="33">
        <v>0.57999999999999996</v>
      </c>
      <c r="D510" s="33">
        <v>0.16420000000000001</v>
      </c>
      <c r="E510" s="33">
        <v>1</v>
      </c>
      <c r="F510" s="33">
        <v>1</v>
      </c>
      <c r="G510" s="33">
        <v>2</v>
      </c>
    </row>
    <row r="511" spans="1:7" x14ac:dyDescent="0.3">
      <c r="A511" s="33">
        <v>0.06</v>
      </c>
      <c r="B511" s="33">
        <v>7.5800000000000006E-2</v>
      </c>
      <c r="C511" s="33">
        <v>0.62</v>
      </c>
      <c r="D511" s="33">
        <v>0.16420000000000001</v>
      </c>
      <c r="E511" s="33">
        <v>2</v>
      </c>
      <c r="F511" s="33">
        <v>17</v>
      </c>
      <c r="G511" s="33">
        <v>19</v>
      </c>
    </row>
    <row r="512" spans="1:7" x14ac:dyDescent="0.3">
      <c r="A512" s="33">
        <v>0.1</v>
      </c>
      <c r="B512" s="33">
        <v>7.5800000000000006E-2</v>
      </c>
      <c r="C512" s="33">
        <v>0.54</v>
      </c>
      <c r="D512" s="33">
        <v>0.35820000000000002</v>
      </c>
      <c r="E512" s="33">
        <v>3</v>
      </c>
      <c r="F512" s="33">
        <v>25</v>
      </c>
      <c r="G512" s="33">
        <v>28</v>
      </c>
    </row>
    <row r="513" spans="1:7" x14ac:dyDescent="0.3">
      <c r="A513" s="33">
        <v>0.14000000000000001</v>
      </c>
      <c r="B513" s="33">
        <v>0.1061</v>
      </c>
      <c r="C513" s="33">
        <v>0.46</v>
      </c>
      <c r="D513" s="33">
        <v>0.3881</v>
      </c>
      <c r="E513" s="33">
        <v>7</v>
      </c>
      <c r="F513" s="33">
        <v>51</v>
      </c>
      <c r="G513" s="33">
        <v>58</v>
      </c>
    </row>
    <row r="514" spans="1:7" x14ac:dyDescent="0.3">
      <c r="A514" s="33">
        <v>0.14000000000000001</v>
      </c>
      <c r="B514" s="33">
        <v>0.13639999999999999</v>
      </c>
      <c r="C514" s="33">
        <v>0.43</v>
      </c>
      <c r="D514" s="33">
        <v>0.22389999999999999</v>
      </c>
      <c r="E514" s="33">
        <v>22</v>
      </c>
      <c r="F514" s="33">
        <v>77</v>
      </c>
      <c r="G514" s="33">
        <v>99</v>
      </c>
    </row>
    <row r="515" spans="1:7" x14ac:dyDescent="0.3">
      <c r="A515" s="33">
        <v>0.16</v>
      </c>
      <c r="B515" s="33">
        <v>0.1212</v>
      </c>
      <c r="C515" s="33">
        <v>0.37</v>
      </c>
      <c r="D515" s="33">
        <v>0.4627</v>
      </c>
      <c r="E515" s="33">
        <v>24</v>
      </c>
      <c r="F515" s="33">
        <v>92</v>
      </c>
      <c r="G515" s="33">
        <v>116</v>
      </c>
    </row>
    <row r="516" spans="1:7" x14ac:dyDescent="0.3">
      <c r="A516" s="33">
        <v>0.14000000000000001</v>
      </c>
      <c r="B516" s="33">
        <v>0.1061</v>
      </c>
      <c r="C516" s="33">
        <v>0.33</v>
      </c>
      <c r="D516" s="33">
        <v>0.3881</v>
      </c>
      <c r="E516" s="33">
        <v>12</v>
      </c>
      <c r="F516" s="33">
        <v>75</v>
      </c>
      <c r="G516" s="33">
        <v>87</v>
      </c>
    </row>
    <row r="517" spans="1:7" x14ac:dyDescent="0.3">
      <c r="A517" s="33">
        <v>0.16</v>
      </c>
      <c r="B517" s="33">
        <v>0.13639999999999999</v>
      </c>
      <c r="C517" s="33">
        <v>0.28000000000000003</v>
      </c>
      <c r="D517" s="33">
        <v>0.35820000000000002</v>
      </c>
      <c r="E517" s="33">
        <v>17</v>
      </c>
      <c r="F517" s="33">
        <v>93</v>
      </c>
      <c r="G517" s="33">
        <v>110</v>
      </c>
    </row>
    <row r="518" spans="1:7" x14ac:dyDescent="0.3">
      <c r="A518" s="33">
        <v>0.16</v>
      </c>
      <c r="B518" s="33">
        <v>0.13639999999999999</v>
      </c>
      <c r="C518" s="33">
        <v>0.28000000000000003</v>
      </c>
      <c r="D518" s="33">
        <v>0.35820000000000002</v>
      </c>
      <c r="E518" s="33">
        <v>13</v>
      </c>
      <c r="F518" s="33">
        <v>64</v>
      </c>
      <c r="G518" s="33">
        <v>77</v>
      </c>
    </row>
    <row r="519" spans="1:7" x14ac:dyDescent="0.3">
      <c r="A519" s="33">
        <v>0.16</v>
      </c>
      <c r="B519" s="33">
        <v>0.13639999999999999</v>
      </c>
      <c r="C519" s="33">
        <v>0.26</v>
      </c>
      <c r="D519" s="33">
        <v>0.32840000000000003</v>
      </c>
      <c r="E519" s="33">
        <v>9</v>
      </c>
      <c r="F519" s="33">
        <v>56</v>
      </c>
      <c r="G519" s="33">
        <v>65</v>
      </c>
    </row>
    <row r="520" spans="1:7" x14ac:dyDescent="0.3">
      <c r="A520" s="33">
        <v>0.14000000000000001</v>
      </c>
      <c r="B520" s="33">
        <v>0.1061</v>
      </c>
      <c r="C520" s="33">
        <v>0.26</v>
      </c>
      <c r="D520" s="33">
        <v>0.3881</v>
      </c>
      <c r="E520" s="33">
        <v>5</v>
      </c>
      <c r="F520" s="33">
        <v>50</v>
      </c>
      <c r="G520" s="33">
        <v>55</v>
      </c>
    </row>
    <row r="521" spans="1:7" x14ac:dyDescent="0.3">
      <c r="A521" s="33">
        <v>0.12</v>
      </c>
      <c r="B521" s="33">
        <v>0.1212</v>
      </c>
      <c r="C521" s="33">
        <v>0.3</v>
      </c>
      <c r="D521" s="33">
        <v>0.25369999999999998</v>
      </c>
      <c r="E521" s="33">
        <v>5</v>
      </c>
      <c r="F521" s="33">
        <v>44</v>
      </c>
      <c r="G521" s="33">
        <v>49</v>
      </c>
    </row>
    <row r="522" spans="1:7" x14ac:dyDescent="0.3">
      <c r="A522" s="33">
        <v>0.12</v>
      </c>
      <c r="B522" s="33">
        <v>0.1212</v>
      </c>
      <c r="C522" s="33">
        <v>0.3</v>
      </c>
      <c r="D522" s="33">
        <v>0.28360000000000002</v>
      </c>
      <c r="E522" s="33">
        <v>5</v>
      </c>
      <c r="F522" s="33">
        <v>45</v>
      </c>
      <c r="G522" s="33">
        <v>50</v>
      </c>
    </row>
    <row r="523" spans="1:7" x14ac:dyDescent="0.3">
      <c r="A523" s="33">
        <v>0.1</v>
      </c>
      <c r="B523" s="33">
        <v>0.1061</v>
      </c>
      <c r="C523" s="33">
        <v>0.36</v>
      </c>
      <c r="D523" s="33">
        <v>0.25369999999999998</v>
      </c>
      <c r="E523" s="33">
        <v>4</v>
      </c>
      <c r="F523" s="33">
        <v>31</v>
      </c>
      <c r="G523" s="33">
        <v>35</v>
      </c>
    </row>
    <row r="524" spans="1:7" x14ac:dyDescent="0.3">
      <c r="A524" s="33">
        <v>0.1</v>
      </c>
      <c r="B524" s="33">
        <v>0.1061</v>
      </c>
      <c r="C524" s="33">
        <v>0.36</v>
      </c>
      <c r="D524" s="33">
        <v>0.19400000000000001</v>
      </c>
      <c r="E524" s="33">
        <v>5</v>
      </c>
      <c r="F524" s="33">
        <v>20</v>
      </c>
      <c r="G524" s="33">
        <v>25</v>
      </c>
    </row>
    <row r="525" spans="1:7" x14ac:dyDescent="0.3">
      <c r="A525" s="33">
        <v>0.08</v>
      </c>
      <c r="B525" s="33">
        <v>9.0899999999999995E-2</v>
      </c>
      <c r="C525" s="33">
        <v>0.38</v>
      </c>
      <c r="D525" s="33">
        <v>0.19400000000000001</v>
      </c>
      <c r="E525" s="33">
        <v>5</v>
      </c>
      <c r="F525" s="33">
        <v>23</v>
      </c>
      <c r="G525" s="33">
        <v>28</v>
      </c>
    </row>
    <row r="526" spans="1:7" x14ac:dyDescent="0.3">
      <c r="A526" s="33">
        <v>0.06</v>
      </c>
      <c r="B526" s="33">
        <v>6.0600000000000001E-2</v>
      </c>
      <c r="C526" s="33">
        <v>0.41</v>
      </c>
      <c r="D526" s="33">
        <v>0.22389999999999999</v>
      </c>
      <c r="E526" s="33">
        <v>4</v>
      </c>
      <c r="F526" s="33">
        <v>17</v>
      </c>
      <c r="G526" s="33">
        <v>21</v>
      </c>
    </row>
    <row r="527" spans="1:7" x14ac:dyDescent="0.3">
      <c r="A527" s="33">
        <v>0.06</v>
      </c>
      <c r="B527" s="33">
        <v>6.0600000000000001E-2</v>
      </c>
      <c r="C527" s="33">
        <v>0.41</v>
      </c>
      <c r="D527" s="33">
        <v>0.19400000000000001</v>
      </c>
      <c r="E527" s="33">
        <v>0</v>
      </c>
      <c r="F527" s="33">
        <v>7</v>
      </c>
      <c r="G527" s="33">
        <v>7</v>
      </c>
    </row>
    <row r="528" spans="1:7" x14ac:dyDescent="0.3">
      <c r="A528" s="33">
        <v>0.04</v>
      </c>
      <c r="B528" s="33">
        <v>4.5499999999999999E-2</v>
      </c>
      <c r="C528" s="33">
        <v>0.45</v>
      </c>
      <c r="D528" s="33">
        <v>0.19400000000000001</v>
      </c>
      <c r="E528" s="33">
        <v>0</v>
      </c>
      <c r="F528" s="33">
        <v>1</v>
      </c>
      <c r="G528" s="33">
        <v>1</v>
      </c>
    </row>
    <row r="529" spans="1:7" x14ac:dyDescent="0.3">
      <c r="A529" s="33">
        <v>0.04</v>
      </c>
      <c r="B529" s="33">
        <v>3.0300000000000001E-2</v>
      </c>
      <c r="C529" s="33">
        <v>0.45</v>
      </c>
      <c r="D529" s="33">
        <v>0.25369999999999998</v>
      </c>
      <c r="E529" s="33">
        <v>0</v>
      </c>
      <c r="F529" s="33">
        <v>1</v>
      </c>
      <c r="G529" s="33">
        <v>1</v>
      </c>
    </row>
    <row r="530" spans="1:7" x14ac:dyDescent="0.3">
      <c r="A530" s="33">
        <v>0.02</v>
      </c>
      <c r="B530" s="33">
        <v>6.0600000000000001E-2</v>
      </c>
      <c r="C530" s="33">
        <v>0.48</v>
      </c>
      <c r="D530" s="33">
        <v>0.1343</v>
      </c>
      <c r="E530" s="33">
        <v>0</v>
      </c>
      <c r="F530" s="33">
        <v>1</v>
      </c>
      <c r="G530" s="33">
        <v>1</v>
      </c>
    </row>
    <row r="531" spans="1:7" x14ac:dyDescent="0.3">
      <c r="A531" s="33">
        <v>0.02</v>
      </c>
      <c r="B531" s="33">
        <v>6.0600000000000001E-2</v>
      </c>
      <c r="C531" s="33">
        <v>0.48</v>
      </c>
      <c r="D531" s="33">
        <v>0.1343</v>
      </c>
      <c r="E531" s="33">
        <v>0</v>
      </c>
      <c r="F531" s="33">
        <v>5</v>
      </c>
      <c r="G531" s="33">
        <v>5</v>
      </c>
    </row>
    <row r="532" spans="1:7" x14ac:dyDescent="0.3">
      <c r="A532" s="33">
        <v>0.02</v>
      </c>
      <c r="B532" s="33">
        <v>7.5800000000000006E-2</v>
      </c>
      <c r="C532" s="33">
        <v>0.48</v>
      </c>
      <c r="D532" s="33">
        <v>8.9599999999999999E-2</v>
      </c>
      <c r="E532" s="33">
        <v>0</v>
      </c>
      <c r="F532" s="33">
        <v>15</v>
      </c>
      <c r="G532" s="33">
        <v>15</v>
      </c>
    </row>
    <row r="533" spans="1:7" x14ac:dyDescent="0.3">
      <c r="A533" s="33">
        <v>0.02</v>
      </c>
      <c r="B533" s="33">
        <v>0.1212</v>
      </c>
      <c r="C533" s="33">
        <v>0.48</v>
      </c>
      <c r="D533" s="33">
        <v>0</v>
      </c>
      <c r="E533" s="33">
        <v>5</v>
      </c>
      <c r="F533" s="33">
        <v>79</v>
      </c>
      <c r="G533" s="33">
        <v>84</v>
      </c>
    </row>
    <row r="534" spans="1:7" x14ac:dyDescent="0.3">
      <c r="A534" s="33">
        <v>0.04</v>
      </c>
      <c r="B534" s="33">
        <v>0.13639999999999999</v>
      </c>
      <c r="C534" s="33">
        <v>0.49</v>
      </c>
      <c r="D534" s="33">
        <v>0</v>
      </c>
      <c r="E534" s="33">
        <v>6</v>
      </c>
      <c r="F534" s="33">
        <v>171</v>
      </c>
      <c r="G534" s="33">
        <v>177</v>
      </c>
    </row>
    <row r="535" spans="1:7" x14ac:dyDescent="0.3">
      <c r="A535" s="33">
        <v>0.06</v>
      </c>
      <c r="B535" s="33">
        <v>0.1515</v>
      </c>
      <c r="C535" s="33">
        <v>0.41</v>
      </c>
      <c r="D535" s="33">
        <v>0</v>
      </c>
      <c r="E535" s="33">
        <v>4</v>
      </c>
      <c r="F535" s="33">
        <v>98</v>
      </c>
      <c r="G535" s="33">
        <v>102</v>
      </c>
    </row>
    <row r="536" spans="1:7" x14ac:dyDescent="0.3">
      <c r="A536" s="33">
        <v>0.1</v>
      </c>
      <c r="B536" s="33">
        <v>0.13639999999999999</v>
      </c>
      <c r="C536" s="33">
        <v>0.42</v>
      </c>
      <c r="D536" s="33">
        <v>0</v>
      </c>
      <c r="E536" s="33">
        <v>6</v>
      </c>
      <c r="F536" s="33">
        <v>34</v>
      </c>
      <c r="G536" s="33">
        <v>40</v>
      </c>
    </row>
    <row r="537" spans="1:7" x14ac:dyDescent="0.3">
      <c r="A537" s="33">
        <v>0.1</v>
      </c>
      <c r="B537" s="33">
        <v>0.1212</v>
      </c>
      <c r="C537" s="33">
        <v>0.46</v>
      </c>
      <c r="D537" s="33">
        <v>0.1343</v>
      </c>
      <c r="E537" s="33">
        <v>3</v>
      </c>
      <c r="F537" s="33">
        <v>43</v>
      </c>
      <c r="G537" s="33">
        <v>46</v>
      </c>
    </row>
    <row r="538" spans="1:7" x14ac:dyDescent="0.3">
      <c r="A538" s="33">
        <v>0.12</v>
      </c>
      <c r="B538" s="33">
        <v>0.13639999999999999</v>
      </c>
      <c r="C538" s="33">
        <v>0.42</v>
      </c>
      <c r="D538" s="33">
        <v>0.19400000000000001</v>
      </c>
      <c r="E538" s="33">
        <v>11</v>
      </c>
      <c r="F538" s="33">
        <v>52</v>
      </c>
      <c r="G538" s="33">
        <v>63</v>
      </c>
    </row>
    <row r="539" spans="1:7" x14ac:dyDescent="0.3">
      <c r="A539" s="33">
        <v>0.14000000000000001</v>
      </c>
      <c r="B539" s="33">
        <v>0.13639999999999999</v>
      </c>
      <c r="C539" s="33">
        <v>0.43</v>
      </c>
      <c r="D539" s="33">
        <v>0.22389999999999999</v>
      </c>
      <c r="E539" s="33">
        <v>6</v>
      </c>
      <c r="F539" s="33">
        <v>54</v>
      </c>
      <c r="G539" s="33">
        <v>60</v>
      </c>
    </row>
    <row r="540" spans="1:7" x14ac:dyDescent="0.3">
      <c r="A540" s="33">
        <v>0.14000000000000001</v>
      </c>
      <c r="B540" s="33">
        <v>0.13639999999999999</v>
      </c>
      <c r="C540" s="33">
        <v>0.46</v>
      </c>
      <c r="D540" s="33">
        <v>0.22389999999999999</v>
      </c>
      <c r="E540" s="33">
        <v>2</v>
      </c>
      <c r="F540" s="33">
        <v>43</v>
      </c>
      <c r="G540" s="33">
        <v>45</v>
      </c>
    </row>
    <row r="541" spans="1:7" x14ac:dyDescent="0.3">
      <c r="A541" s="33">
        <v>0.16</v>
      </c>
      <c r="B541" s="33">
        <v>0.16669999999999999</v>
      </c>
      <c r="C541" s="33">
        <v>0.4</v>
      </c>
      <c r="D541" s="33">
        <v>0.16420000000000001</v>
      </c>
      <c r="E541" s="33">
        <v>7</v>
      </c>
      <c r="F541" s="33">
        <v>50</v>
      </c>
      <c r="G541" s="33">
        <v>57</v>
      </c>
    </row>
    <row r="542" spans="1:7" x14ac:dyDescent="0.3">
      <c r="A542" s="33">
        <v>0.16</v>
      </c>
      <c r="B542" s="33">
        <v>0.1515</v>
      </c>
      <c r="C542" s="33">
        <v>0.47</v>
      </c>
      <c r="D542" s="33">
        <v>0.25369999999999998</v>
      </c>
      <c r="E542" s="33">
        <v>4</v>
      </c>
      <c r="F542" s="33">
        <v>66</v>
      </c>
      <c r="G542" s="33">
        <v>70</v>
      </c>
    </row>
    <row r="543" spans="1:7" x14ac:dyDescent="0.3">
      <c r="A543" s="33">
        <v>0.14000000000000001</v>
      </c>
      <c r="B543" s="33">
        <v>0.1212</v>
      </c>
      <c r="C543" s="33">
        <v>0.5</v>
      </c>
      <c r="D543" s="33">
        <v>0.25369999999999998</v>
      </c>
      <c r="E543" s="33">
        <v>6</v>
      </c>
      <c r="F543" s="33">
        <v>178</v>
      </c>
      <c r="G543" s="33">
        <v>184</v>
      </c>
    </row>
    <row r="544" spans="1:7" x14ac:dyDescent="0.3">
      <c r="A544" s="33">
        <v>0.14000000000000001</v>
      </c>
      <c r="B544" s="33">
        <v>0.13639999999999999</v>
      </c>
      <c r="C544" s="33">
        <v>0.59</v>
      </c>
      <c r="D544" s="33">
        <v>0.19400000000000001</v>
      </c>
      <c r="E544" s="33">
        <v>8</v>
      </c>
      <c r="F544" s="33">
        <v>145</v>
      </c>
      <c r="G544" s="33">
        <v>153</v>
      </c>
    </row>
    <row r="545" spans="1:7" x14ac:dyDescent="0.3">
      <c r="A545" s="33">
        <v>0.14000000000000001</v>
      </c>
      <c r="B545" s="33">
        <v>0.1515</v>
      </c>
      <c r="C545" s="33">
        <v>0.54</v>
      </c>
      <c r="D545" s="33">
        <v>0.16420000000000001</v>
      </c>
      <c r="E545" s="33">
        <v>5</v>
      </c>
      <c r="F545" s="33">
        <v>101</v>
      </c>
      <c r="G545" s="33">
        <v>106</v>
      </c>
    </row>
    <row r="546" spans="1:7" x14ac:dyDescent="0.3">
      <c r="A546" s="33">
        <v>0.14000000000000001</v>
      </c>
      <c r="B546" s="33">
        <v>0.13639999999999999</v>
      </c>
      <c r="C546" s="33">
        <v>0.59</v>
      </c>
      <c r="D546" s="33">
        <v>0.19400000000000001</v>
      </c>
      <c r="E546" s="33">
        <v>1</v>
      </c>
      <c r="F546" s="33">
        <v>80</v>
      </c>
      <c r="G546" s="33">
        <v>81</v>
      </c>
    </row>
    <row r="547" spans="1:7" x14ac:dyDescent="0.3">
      <c r="A547" s="33">
        <v>0.14000000000000001</v>
      </c>
      <c r="B547" s="33">
        <v>0.1515</v>
      </c>
      <c r="C547" s="33">
        <v>0.63</v>
      </c>
      <c r="D547" s="33">
        <v>0.16420000000000001</v>
      </c>
      <c r="E547" s="33">
        <v>6</v>
      </c>
      <c r="F547" s="33">
        <v>53</v>
      </c>
      <c r="G547" s="33">
        <v>59</v>
      </c>
    </row>
    <row r="548" spans="1:7" x14ac:dyDescent="0.3">
      <c r="A548" s="33">
        <v>0.14000000000000001</v>
      </c>
      <c r="B548" s="33">
        <v>0.13639999999999999</v>
      </c>
      <c r="C548" s="33">
        <v>0.63</v>
      </c>
      <c r="D548" s="33">
        <v>0.22389999999999999</v>
      </c>
      <c r="E548" s="33">
        <v>3</v>
      </c>
      <c r="F548" s="33">
        <v>32</v>
      </c>
      <c r="G548" s="33">
        <v>35</v>
      </c>
    </row>
    <row r="549" spans="1:7" x14ac:dyDescent="0.3">
      <c r="A549" s="33">
        <v>0.16</v>
      </c>
      <c r="B549" s="33">
        <v>0.1515</v>
      </c>
      <c r="C549" s="33">
        <v>0.64</v>
      </c>
      <c r="D549" s="33">
        <v>0.25369999999999998</v>
      </c>
      <c r="E549" s="33">
        <v>3</v>
      </c>
      <c r="F549" s="33">
        <v>21</v>
      </c>
      <c r="G549" s="33">
        <v>24</v>
      </c>
    </row>
    <row r="550" spans="1:7" x14ac:dyDescent="0.3">
      <c r="A550" s="33">
        <v>0.16</v>
      </c>
      <c r="B550" s="33">
        <v>0.13639999999999999</v>
      </c>
      <c r="C550" s="33">
        <v>0.69</v>
      </c>
      <c r="D550" s="33">
        <v>0.28360000000000002</v>
      </c>
      <c r="E550" s="33">
        <v>3</v>
      </c>
      <c r="F550" s="33">
        <v>6</v>
      </c>
      <c r="G550" s="33">
        <v>9</v>
      </c>
    </row>
    <row r="551" spans="1:7" x14ac:dyDescent="0.3">
      <c r="A551" s="33">
        <v>0.16</v>
      </c>
      <c r="B551" s="33">
        <v>0.16669999999999999</v>
      </c>
      <c r="C551" s="33">
        <v>0.69</v>
      </c>
      <c r="D551" s="33">
        <v>0.16420000000000001</v>
      </c>
      <c r="E551" s="33">
        <v>0</v>
      </c>
      <c r="F551" s="33">
        <v>5</v>
      </c>
      <c r="G551" s="33">
        <v>5</v>
      </c>
    </row>
    <row r="552" spans="1:7" x14ac:dyDescent="0.3">
      <c r="A552" s="33">
        <v>0.16</v>
      </c>
      <c r="B552" s="33">
        <v>0.1515</v>
      </c>
      <c r="C552" s="33">
        <v>0.69</v>
      </c>
      <c r="D552" s="33">
        <v>0.22389999999999999</v>
      </c>
      <c r="E552" s="33">
        <v>0</v>
      </c>
      <c r="F552" s="33">
        <v>2</v>
      </c>
      <c r="G552" s="33">
        <v>2</v>
      </c>
    </row>
    <row r="553" spans="1:7" x14ac:dyDescent="0.3">
      <c r="A553" s="33">
        <v>0.14000000000000001</v>
      </c>
      <c r="B553" s="33">
        <v>0.16669999999999999</v>
      </c>
      <c r="C553" s="33">
        <v>0.74</v>
      </c>
      <c r="D553" s="33">
        <v>0.1045</v>
      </c>
      <c r="E553" s="33">
        <v>0</v>
      </c>
      <c r="F553" s="33">
        <v>1</v>
      </c>
      <c r="G553" s="33">
        <v>1</v>
      </c>
    </row>
    <row r="554" spans="1:7" x14ac:dyDescent="0.3">
      <c r="A554" s="33">
        <v>0.14000000000000001</v>
      </c>
      <c r="B554" s="33">
        <v>0.13639999999999999</v>
      </c>
      <c r="C554" s="33">
        <v>0.74</v>
      </c>
      <c r="D554" s="33">
        <v>0.22389999999999999</v>
      </c>
      <c r="E554" s="33">
        <v>0</v>
      </c>
      <c r="F554" s="33">
        <v>9</v>
      </c>
      <c r="G554" s="33">
        <v>9</v>
      </c>
    </row>
    <row r="555" spans="1:7" x14ac:dyDescent="0.3">
      <c r="A555" s="33">
        <v>0.16</v>
      </c>
      <c r="B555" s="33">
        <v>0.18179999999999999</v>
      </c>
      <c r="C555" s="33">
        <v>0.74</v>
      </c>
      <c r="D555" s="33">
        <v>0.1045</v>
      </c>
      <c r="E555" s="33">
        <v>1</v>
      </c>
      <c r="F555" s="33">
        <v>35</v>
      </c>
      <c r="G555" s="33">
        <v>36</v>
      </c>
    </row>
    <row r="556" spans="1:7" x14ac:dyDescent="0.3">
      <c r="A556" s="33">
        <v>0.16</v>
      </c>
      <c r="B556" s="33">
        <v>0.1515</v>
      </c>
      <c r="C556" s="33">
        <v>0.74</v>
      </c>
      <c r="D556" s="33">
        <v>0.22389999999999999</v>
      </c>
      <c r="E556" s="33">
        <v>5</v>
      </c>
      <c r="F556" s="33">
        <v>103</v>
      </c>
      <c r="G556" s="33">
        <v>108</v>
      </c>
    </row>
    <row r="557" spans="1:7" x14ac:dyDescent="0.3">
      <c r="A557" s="33">
        <v>0.16</v>
      </c>
      <c r="B557" s="33">
        <v>0.18179999999999999</v>
      </c>
      <c r="C557" s="33">
        <v>0.74</v>
      </c>
      <c r="D557" s="33">
        <v>0.1343</v>
      </c>
      <c r="E557" s="33">
        <v>5</v>
      </c>
      <c r="F557" s="33">
        <v>233</v>
      </c>
      <c r="G557" s="33">
        <v>238</v>
      </c>
    </row>
    <row r="558" spans="1:7" x14ac:dyDescent="0.3">
      <c r="A558" s="33">
        <v>0.2</v>
      </c>
      <c r="B558" s="33">
        <v>0.2273</v>
      </c>
      <c r="C558" s="33">
        <v>0.64</v>
      </c>
      <c r="D558" s="33">
        <v>8.9599999999999999E-2</v>
      </c>
      <c r="E558" s="33">
        <v>10</v>
      </c>
      <c r="F558" s="33">
        <v>134</v>
      </c>
      <c r="G558" s="33">
        <v>144</v>
      </c>
    </row>
    <row r="559" spans="1:7" x14ac:dyDescent="0.3">
      <c r="A559" s="33">
        <v>0.22</v>
      </c>
      <c r="B559" s="33">
        <v>0.2424</v>
      </c>
      <c r="C559" s="33">
        <v>0.6</v>
      </c>
      <c r="D559" s="33">
        <v>0.1045</v>
      </c>
      <c r="E559" s="33">
        <v>6</v>
      </c>
      <c r="F559" s="33">
        <v>49</v>
      </c>
      <c r="G559" s="33">
        <v>55</v>
      </c>
    </row>
    <row r="560" spans="1:7" x14ac:dyDescent="0.3">
      <c r="A560" s="33">
        <v>0.24</v>
      </c>
      <c r="B560" s="33">
        <v>0.2424</v>
      </c>
      <c r="C560" s="33">
        <v>0.6</v>
      </c>
      <c r="D560" s="33">
        <v>0.1343</v>
      </c>
      <c r="E560" s="33">
        <v>6</v>
      </c>
      <c r="F560" s="33">
        <v>55</v>
      </c>
      <c r="G560" s="33">
        <v>61</v>
      </c>
    </row>
    <row r="561" spans="1:7" x14ac:dyDescent="0.3">
      <c r="A561" s="33">
        <v>0.26</v>
      </c>
      <c r="B561" s="33">
        <v>0.28789999999999999</v>
      </c>
      <c r="C561" s="33">
        <v>0.56000000000000005</v>
      </c>
      <c r="D561" s="33">
        <v>8.9599999999999999E-2</v>
      </c>
      <c r="E561" s="33">
        <v>21</v>
      </c>
      <c r="F561" s="33">
        <v>85</v>
      </c>
      <c r="G561" s="33">
        <v>106</v>
      </c>
    </row>
    <row r="562" spans="1:7" x14ac:dyDescent="0.3">
      <c r="A562" s="33">
        <v>0.26</v>
      </c>
      <c r="B562" s="33">
        <v>0.2727</v>
      </c>
      <c r="C562" s="33">
        <v>0.56000000000000005</v>
      </c>
      <c r="D562" s="33">
        <v>0.1343</v>
      </c>
      <c r="E562" s="33">
        <v>21</v>
      </c>
      <c r="F562" s="33">
        <v>72</v>
      </c>
      <c r="G562" s="33">
        <v>93</v>
      </c>
    </row>
    <row r="563" spans="1:7" x14ac:dyDescent="0.3">
      <c r="A563" s="33">
        <v>0.3</v>
      </c>
      <c r="B563" s="33">
        <v>0.33329999999999999</v>
      </c>
      <c r="C563" s="33">
        <v>0.45</v>
      </c>
      <c r="D563" s="33">
        <v>0</v>
      </c>
      <c r="E563" s="33">
        <v>11</v>
      </c>
      <c r="F563" s="33">
        <v>57</v>
      </c>
      <c r="G563" s="33">
        <v>68</v>
      </c>
    </row>
    <row r="564" spans="1:7" x14ac:dyDescent="0.3">
      <c r="A564" s="33">
        <v>0.32</v>
      </c>
      <c r="B564" s="33">
        <v>0.34849999999999998</v>
      </c>
      <c r="C564" s="33">
        <v>0.42</v>
      </c>
      <c r="D564" s="33">
        <v>0</v>
      </c>
      <c r="E564" s="33">
        <v>21</v>
      </c>
      <c r="F564" s="33">
        <v>63</v>
      </c>
      <c r="G564" s="33">
        <v>84</v>
      </c>
    </row>
    <row r="565" spans="1:7" x14ac:dyDescent="0.3">
      <c r="A565" s="33">
        <v>0.32</v>
      </c>
      <c r="B565" s="33">
        <v>0.34849999999999998</v>
      </c>
      <c r="C565" s="33">
        <v>0.42</v>
      </c>
      <c r="D565" s="33">
        <v>0</v>
      </c>
      <c r="E565" s="33">
        <v>14</v>
      </c>
      <c r="F565" s="33">
        <v>102</v>
      </c>
      <c r="G565" s="33">
        <v>116</v>
      </c>
    </row>
    <row r="566" spans="1:7" x14ac:dyDescent="0.3">
      <c r="A566" s="33">
        <v>0.3</v>
      </c>
      <c r="B566" s="33">
        <v>0.33329999999999999</v>
      </c>
      <c r="C566" s="33">
        <v>0.45</v>
      </c>
      <c r="D566" s="33">
        <v>0</v>
      </c>
      <c r="E566" s="33">
        <v>14</v>
      </c>
      <c r="F566" s="33">
        <v>208</v>
      </c>
      <c r="G566" s="33">
        <v>222</v>
      </c>
    </row>
    <row r="567" spans="1:7" x14ac:dyDescent="0.3">
      <c r="A567" s="33">
        <v>0.3</v>
      </c>
      <c r="B567" s="33">
        <v>0.31819999999999998</v>
      </c>
      <c r="C567" s="33">
        <v>0.49</v>
      </c>
      <c r="D567" s="33">
        <v>8.9599999999999999E-2</v>
      </c>
      <c r="E567" s="33">
        <v>7</v>
      </c>
      <c r="F567" s="33">
        <v>218</v>
      </c>
      <c r="G567" s="33">
        <v>225</v>
      </c>
    </row>
    <row r="568" spans="1:7" x14ac:dyDescent="0.3">
      <c r="A568" s="33">
        <v>0.26</v>
      </c>
      <c r="B568" s="33">
        <v>0.2576</v>
      </c>
      <c r="C568" s="33">
        <v>0.65</v>
      </c>
      <c r="D568" s="33">
        <v>0.16420000000000001</v>
      </c>
      <c r="E568" s="33">
        <v>13</v>
      </c>
      <c r="F568" s="33">
        <v>133</v>
      </c>
      <c r="G568" s="33">
        <v>146</v>
      </c>
    </row>
    <row r="569" spans="1:7" x14ac:dyDescent="0.3">
      <c r="A569" s="33">
        <v>0.24</v>
      </c>
      <c r="B569" s="33">
        <v>0.2273</v>
      </c>
      <c r="C569" s="33">
        <v>0.65</v>
      </c>
      <c r="D569" s="33">
        <v>0.19400000000000001</v>
      </c>
      <c r="E569" s="33">
        <v>16</v>
      </c>
      <c r="F569" s="33">
        <v>103</v>
      </c>
      <c r="G569" s="33">
        <v>119</v>
      </c>
    </row>
    <row r="570" spans="1:7" x14ac:dyDescent="0.3">
      <c r="A570" s="33">
        <v>0.24</v>
      </c>
      <c r="B570" s="33">
        <v>0.2273</v>
      </c>
      <c r="C570" s="33">
        <v>0.65</v>
      </c>
      <c r="D570" s="33">
        <v>0.19400000000000001</v>
      </c>
      <c r="E570" s="33">
        <v>5</v>
      </c>
      <c r="F570" s="33">
        <v>40</v>
      </c>
      <c r="G570" s="33">
        <v>45</v>
      </c>
    </row>
    <row r="571" spans="1:7" x14ac:dyDescent="0.3">
      <c r="A571" s="33">
        <v>0.22</v>
      </c>
      <c r="B571" s="33">
        <v>0.2273</v>
      </c>
      <c r="C571" s="33">
        <v>0.64</v>
      </c>
      <c r="D571" s="33">
        <v>0.16420000000000001</v>
      </c>
      <c r="E571" s="33">
        <v>4</v>
      </c>
      <c r="F571" s="33">
        <v>49</v>
      </c>
      <c r="G571" s="33">
        <v>53</v>
      </c>
    </row>
    <row r="572" spans="1:7" x14ac:dyDescent="0.3">
      <c r="A572" s="33">
        <v>0.22</v>
      </c>
      <c r="B572" s="33">
        <v>0.2273</v>
      </c>
      <c r="C572" s="33">
        <v>0.64</v>
      </c>
      <c r="D572" s="33">
        <v>0.16420000000000001</v>
      </c>
      <c r="E572" s="33">
        <v>3</v>
      </c>
      <c r="F572" s="33">
        <v>37</v>
      </c>
      <c r="G572" s="33">
        <v>40</v>
      </c>
    </row>
    <row r="573" spans="1:7" x14ac:dyDescent="0.3">
      <c r="A573" s="33">
        <v>0.22</v>
      </c>
      <c r="B573" s="33">
        <v>0.2273</v>
      </c>
      <c r="C573" s="33">
        <v>0.69</v>
      </c>
      <c r="D573" s="33">
        <v>0.1343</v>
      </c>
      <c r="E573" s="33">
        <v>3</v>
      </c>
      <c r="F573" s="33">
        <v>14</v>
      </c>
      <c r="G573" s="33">
        <v>17</v>
      </c>
    </row>
    <row r="574" spans="1:7" x14ac:dyDescent="0.3">
      <c r="A574" s="33">
        <v>0.24</v>
      </c>
      <c r="B574" s="33">
        <v>0.2424</v>
      </c>
      <c r="C574" s="33">
        <v>0.65</v>
      </c>
      <c r="D574" s="33">
        <v>0.1343</v>
      </c>
      <c r="E574" s="33">
        <v>0</v>
      </c>
      <c r="F574" s="33">
        <v>5</v>
      </c>
      <c r="G574" s="33">
        <v>5</v>
      </c>
    </row>
    <row r="575" spans="1:7" x14ac:dyDescent="0.3">
      <c r="A575" s="33">
        <v>0.22</v>
      </c>
      <c r="B575" s="33">
        <v>0.2273</v>
      </c>
      <c r="C575" s="33">
        <v>0.69</v>
      </c>
      <c r="D575" s="33">
        <v>0.19400000000000001</v>
      </c>
      <c r="E575" s="33">
        <v>3</v>
      </c>
      <c r="F575" s="33">
        <v>7</v>
      </c>
      <c r="G575" s="33">
        <v>10</v>
      </c>
    </row>
    <row r="576" spans="1:7" x14ac:dyDescent="0.3">
      <c r="A576" s="33">
        <v>0.2</v>
      </c>
      <c r="B576" s="33">
        <v>0.18179999999999999</v>
      </c>
      <c r="C576" s="33">
        <v>0.86</v>
      </c>
      <c r="D576" s="33">
        <v>0.28360000000000002</v>
      </c>
      <c r="E576" s="33">
        <v>0</v>
      </c>
      <c r="F576" s="33">
        <v>1</v>
      </c>
      <c r="G576" s="33">
        <v>1</v>
      </c>
    </row>
    <row r="577" spans="1:7" x14ac:dyDescent="0.3">
      <c r="A577" s="33">
        <v>0.2</v>
      </c>
      <c r="B577" s="33">
        <v>0.18179999999999999</v>
      </c>
      <c r="C577" s="33">
        <v>0.86</v>
      </c>
      <c r="D577" s="33">
        <v>0.28360000000000002</v>
      </c>
      <c r="E577" s="33">
        <v>0</v>
      </c>
      <c r="F577" s="33">
        <v>8</v>
      </c>
      <c r="G577" s="33">
        <v>8</v>
      </c>
    </row>
    <row r="578" spans="1:7" x14ac:dyDescent="0.3">
      <c r="A578" s="33">
        <v>0.22</v>
      </c>
      <c r="B578" s="33">
        <v>0.21210000000000001</v>
      </c>
      <c r="C578" s="33">
        <v>0.87</v>
      </c>
      <c r="D578" s="33">
        <v>0.29849999999999999</v>
      </c>
      <c r="E578" s="33">
        <v>1</v>
      </c>
      <c r="F578" s="33">
        <v>29</v>
      </c>
      <c r="G578" s="33">
        <v>30</v>
      </c>
    </row>
    <row r="579" spans="1:7" x14ac:dyDescent="0.3">
      <c r="A579" s="33">
        <v>0.22</v>
      </c>
      <c r="B579" s="33">
        <v>0.21210000000000001</v>
      </c>
      <c r="C579" s="33">
        <v>0.87</v>
      </c>
      <c r="D579" s="33">
        <v>0.29849999999999999</v>
      </c>
      <c r="E579" s="33">
        <v>3</v>
      </c>
      <c r="F579" s="33">
        <v>69</v>
      </c>
      <c r="G579" s="33">
        <v>72</v>
      </c>
    </row>
    <row r="580" spans="1:7" x14ac:dyDescent="0.3">
      <c r="A580" s="33">
        <v>0.22</v>
      </c>
      <c r="B580" s="33">
        <v>0.21210000000000001</v>
      </c>
      <c r="C580" s="33">
        <v>0.87</v>
      </c>
      <c r="D580" s="33">
        <v>0.29849999999999999</v>
      </c>
      <c r="E580" s="33">
        <v>3</v>
      </c>
      <c r="F580" s="33">
        <v>55</v>
      </c>
      <c r="G580" s="33">
        <v>58</v>
      </c>
    </row>
    <row r="581" spans="1:7" x14ac:dyDescent="0.3">
      <c r="A581" s="33">
        <v>0.22</v>
      </c>
      <c r="B581" s="33">
        <v>0.21210000000000001</v>
      </c>
      <c r="C581" s="33">
        <v>0.93</v>
      </c>
      <c r="D581" s="33">
        <v>0.28360000000000002</v>
      </c>
      <c r="E581" s="33">
        <v>2</v>
      </c>
      <c r="F581" s="33">
        <v>26</v>
      </c>
      <c r="G581" s="33">
        <v>28</v>
      </c>
    </row>
    <row r="582" spans="1:7" x14ac:dyDescent="0.3">
      <c r="A582" s="33">
        <v>0.22</v>
      </c>
      <c r="B582" s="33">
        <v>0.19700000000000001</v>
      </c>
      <c r="C582" s="33">
        <v>0.93</v>
      </c>
      <c r="D582" s="33">
        <v>0.32840000000000003</v>
      </c>
      <c r="E582" s="33">
        <v>6</v>
      </c>
      <c r="F582" s="33">
        <v>35</v>
      </c>
      <c r="G582" s="33">
        <v>41</v>
      </c>
    </row>
    <row r="583" spans="1:7" x14ac:dyDescent="0.3">
      <c r="A583" s="33">
        <v>0.22</v>
      </c>
      <c r="B583" s="33">
        <v>0.19700000000000001</v>
      </c>
      <c r="C583" s="33">
        <v>0.93</v>
      </c>
      <c r="D583" s="33">
        <v>0.32840000000000003</v>
      </c>
      <c r="E583" s="33">
        <v>7</v>
      </c>
      <c r="F583" s="33">
        <v>41</v>
      </c>
      <c r="G583" s="33">
        <v>48</v>
      </c>
    </row>
    <row r="584" spans="1:7" x14ac:dyDescent="0.3">
      <c r="A584" s="33">
        <v>0.22</v>
      </c>
      <c r="B584" s="33">
        <v>0.19700000000000001</v>
      </c>
      <c r="C584" s="33">
        <v>0.93</v>
      </c>
      <c r="D584" s="33">
        <v>0.32840000000000003</v>
      </c>
      <c r="E584" s="33">
        <v>4</v>
      </c>
      <c r="F584" s="33">
        <v>43</v>
      </c>
      <c r="G584" s="33">
        <v>47</v>
      </c>
    </row>
    <row r="585" spans="1:7" x14ac:dyDescent="0.3">
      <c r="A585" s="33">
        <v>0.22</v>
      </c>
      <c r="B585" s="33">
        <v>0.19700000000000001</v>
      </c>
      <c r="C585" s="33">
        <v>0.93</v>
      </c>
      <c r="D585" s="33">
        <v>0.35820000000000002</v>
      </c>
      <c r="E585" s="33">
        <v>0</v>
      </c>
      <c r="F585" s="33">
        <v>36</v>
      </c>
      <c r="G585" s="33">
        <v>36</v>
      </c>
    </row>
    <row r="586" spans="1:7" x14ac:dyDescent="0.3">
      <c r="A586" s="33">
        <v>0.22</v>
      </c>
      <c r="B586" s="33">
        <v>0.18179999999999999</v>
      </c>
      <c r="C586" s="33">
        <v>0.93</v>
      </c>
      <c r="D586" s="33">
        <v>0.4627</v>
      </c>
      <c r="E586" s="33">
        <v>1</v>
      </c>
      <c r="F586" s="33">
        <v>42</v>
      </c>
      <c r="G586" s="33">
        <v>43</v>
      </c>
    </row>
    <row r="587" spans="1:7" x14ac:dyDescent="0.3">
      <c r="A587" s="33">
        <v>0.22</v>
      </c>
      <c r="B587" s="33">
        <v>0.19700000000000001</v>
      </c>
      <c r="C587" s="33">
        <v>0.93</v>
      </c>
      <c r="D587" s="33">
        <v>0.32840000000000003</v>
      </c>
      <c r="E587" s="33">
        <v>1</v>
      </c>
      <c r="F587" s="33">
        <v>35</v>
      </c>
      <c r="G587" s="33">
        <v>36</v>
      </c>
    </row>
    <row r="588" spans="1:7" x14ac:dyDescent="0.3">
      <c r="A588" s="33">
        <v>0.2</v>
      </c>
      <c r="B588" s="33">
        <v>0.18179999999999999</v>
      </c>
      <c r="C588" s="33">
        <v>0.93</v>
      </c>
      <c r="D588" s="33">
        <v>0.35820000000000002</v>
      </c>
      <c r="E588" s="33">
        <v>0</v>
      </c>
      <c r="F588" s="33">
        <v>26</v>
      </c>
      <c r="G588" s="33">
        <v>26</v>
      </c>
    </row>
    <row r="589" spans="1:7" x14ac:dyDescent="0.3">
      <c r="A589" s="33">
        <v>0.22</v>
      </c>
      <c r="B589" s="33">
        <v>0.2273</v>
      </c>
      <c r="C589" s="33">
        <v>0.55000000000000004</v>
      </c>
      <c r="D589" s="33">
        <v>0.19400000000000001</v>
      </c>
      <c r="E589" s="33">
        <v>1</v>
      </c>
      <c r="F589" s="33">
        <v>23</v>
      </c>
      <c r="G589" s="33">
        <v>24</v>
      </c>
    </row>
    <row r="590" spans="1:7" x14ac:dyDescent="0.3">
      <c r="A590" s="33">
        <v>0.22</v>
      </c>
      <c r="B590" s="33">
        <v>0.2424</v>
      </c>
      <c r="C590" s="33">
        <v>0.55000000000000004</v>
      </c>
      <c r="D590" s="33">
        <v>0.1045</v>
      </c>
      <c r="E590" s="33">
        <v>2</v>
      </c>
      <c r="F590" s="33">
        <v>82</v>
      </c>
      <c r="G590" s="33">
        <v>84</v>
      </c>
    </row>
    <row r="591" spans="1:7" x14ac:dyDescent="0.3">
      <c r="A591" s="33">
        <v>0.2</v>
      </c>
      <c r="B591" s="33">
        <v>0.2273</v>
      </c>
      <c r="C591" s="33">
        <v>0.69</v>
      </c>
      <c r="D591" s="33">
        <v>8.9599999999999999E-2</v>
      </c>
      <c r="E591" s="33">
        <v>3</v>
      </c>
      <c r="F591" s="33">
        <v>101</v>
      </c>
      <c r="G591" s="33">
        <v>104</v>
      </c>
    </row>
    <row r="592" spans="1:7" x14ac:dyDescent="0.3">
      <c r="A592" s="33">
        <v>0.2</v>
      </c>
      <c r="B592" s="33">
        <v>0.2273</v>
      </c>
      <c r="C592" s="33">
        <v>0.69</v>
      </c>
      <c r="D592" s="33">
        <v>8.9599999999999999E-2</v>
      </c>
      <c r="E592" s="33">
        <v>3</v>
      </c>
      <c r="F592" s="33">
        <v>76</v>
      </c>
      <c r="G592" s="33">
        <v>79</v>
      </c>
    </row>
    <row r="593" spans="1:7" x14ac:dyDescent="0.3">
      <c r="A593" s="33">
        <v>0.18</v>
      </c>
      <c r="B593" s="33">
        <v>0.21210000000000001</v>
      </c>
      <c r="C593" s="33">
        <v>0.74</v>
      </c>
      <c r="D593" s="33">
        <v>8.9599999999999999E-2</v>
      </c>
      <c r="E593" s="33">
        <v>4</v>
      </c>
      <c r="F593" s="33">
        <v>55</v>
      </c>
      <c r="G593" s="33">
        <v>59</v>
      </c>
    </row>
    <row r="594" spans="1:7" x14ac:dyDescent="0.3">
      <c r="A594" s="33">
        <v>0.18</v>
      </c>
      <c r="B594" s="33">
        <v>0.21210000000000001</v>
      </c>
      <c r="C594" s="33">
        <v>0.74</v>
      </c>
      <c r="D594" s="33">
        <v>8.9599999999999999E-2</v>
      </c>
      <c r="E594" s="33">
        <v>2</v>
      </c>
      <c r="F594" s="33">
        <v>36</v>
      </c>
      <c r="G594" s="33">
        <v>38</v>
      </c>
    </row>
    <row r="595" spans="1:7" x14ac:dyDescent="0.3">
      <c r="A595" s="33">
        <v>0.18</v>
      </c>
      <c r="B595" s="33">
        <v>0.21210000000000001</v>
      </c>
      <c r="C595" s="33">
        <v>0.74</v>
      </c>
      <c r="D595" s="33">
        <v>8.9599999999999999E-2</v>
      </c>
      <c r="E595" s="33">
        <v>0</v>
      </c>
      <c r="F595" s="33">
        <v>27</v>
      </c>
      <c r="G595" s="33">
        <v>27</v>
      </c>
    </row>
    <row r="596" spans="1:7" x14ac:dyDescent="0.3">
      <c r="A596" s="33">
        <v>0.18</v>
      </c>
      <c r="B596" s="33">
        <v>0.19700000000000001</v>
      </c>
      <c r="C596" s="33">
        <v>0.8</v>
      </c>
      <c r="D596" s="33">
        <v>0.16420000000000001</v>
      </c>
      <c r="E596" s="33">
        <v>0</v>
      </c>
      <c r="F596" s="33">
        <v>16</v>
      </c>
      <c r="G596" s="33">
        <v>16</v>
      </c>
    </row>
    <row r="597" spans="1:7" x14ac:dyDescent="0.3">
      <c r="A597" s="33">
        <v>0.2</v>
      </c>
      <c r="B597" s="33">
        <v>0.21210000000000001</v>
      </c>
      <c r="C597" s="33">
        <v>0.75</v>
      </c>
      <c r="D597" s="33">
        <v>0.1343</v>
      </c>
      <c r="E597" s="33">
        <v>0</v>
      </c>
      <c r="F597" s="33">
        <v>9</v>
      </c>
      <c r="G597" s="33">
        <v>9</v>
      </c>
    </row>
    <row r="598" spans="1:7" x14ac:dyDescent="0.3">
      <c r="A598" s="33">
        <v>0.2</v>
      </c>
      <c r="B598" s="33">
        <v>0.21210000000000001</v>
      </c>
      <c r="C598" s="33">
        <v>0.75</v>
      </c>
      <c r="D598" s="33">
        <v>0.1343</v>
      </c>
      <c r="E598" s="33">
        <v>1</v>
      </c>
      <c r="F598" s="33">
        <v>2</v>
      </c>
      <c r="G598" s="33">
        <v>3</v>
      </c>
    </row>
    <row r="599" spans="1:7" x14ac:dyDescent="0.3">
      <c r="A599" s="33">
        <v>0.2</v>
      </c>
      <c r="B599" s="33">
        <v>0.21210000000000001</v>
      </c>
      <c r="C599" s="33">
        <v>0.75</v>
      </c>
      <c r="D599" s="33">
        <v>0.16420000000000001</v>
      </c>
      <c r="E599" s="33">
        <v>0</v>
      </c>
      <c r="F599" s="33">
        <v>2</v>
      </c>
      <c r="G599" s="33">
        <v>2</v>
      </c>
    </row>
    <row r="600" spans="1:7" x14ac:dyDescent="0.3">
      <c r="A600" s="33">
        <v>0.2</v>
      </c>
      <c r="B600" s="33">
        <v>0.2273</v>
      </c>
      <c r="C600" s="33">
        <v>0.75</v>
      </c>
      <c r="D600" s="33">
        <v>0.1045</v>
      </c>
      <c r="E600" s="33">
        <v>1</v>
      </c>
      <c r="F600" s="33">
        <v>0</v>
      </c>
      <c r="G600" s="33">
        <v>1</v>
      </c>
    </row>
    <row r="601" spans="1:7" x14ac:dyDescent="0.3">
      <c r="A601" s="33">
        <v>0.18</v>
      </c>
      <c r="B601" s="33">
        <v>0.21210000000000001</v>
      </c>
      <c r="C601" s="33">
        <v>0.8</v>
      </c>
      <c r="D601" s="33">
        <v>0.1045</v>
      </c>
      <c r="E601" s="33">
        <v>0</v>
      </c>
      <c r="F601" s="33">
        <v>4</v>
      </c>
      <c r="G601" s="33">
        <v>4</v>
      </c>
    </row>
    <row r="602" spans="1:7" x14ac:dyDescent="0.3">
      <c r="A602" s="33">
        <v>0.18</v>
      </c>
      <c r="B602" s="33">
        <v>0.19700000000000001</v>
      </c>
      <c r="C602" s="33">
        <v>0.8</v>
      </c>
      <c r="D602" s="33">
        <v>0.1343</v>
      </c>
      <c r="E602" s="33">
        <v>0</v>
      </c>
      <c r="F602" s="33">
        <v>16</v>
      </c>
      <c r="G602" s="33">
        <v>16</v>
      </c>
    </row>
    <row r="603" spans="1:7" x14ac:dyDescent="0.3">
      <c r="A603" s="33">
        <v>0.16</v>
      </c>
      <c r="B603" s="33">
        <v>0.19700000000000001</v>
      </c>
      <c r="C603" s="33">
        <v>0.86</v>
      </c>
      <c r="D603" s="33">
        <v>8.9599999999999999E-2</v>
      </c>
      <c r="E603" s="33">
        <v>2</v>
      </c>
      <c r="F603" s="33">
        <v>58</v>
      </c>
      <c r="G603" s="33">
        <v>60</v>
      </c>
    </row>
    <row r="604" spans="1:7" x14ac:dyDescent="0.3">
      <c r="A604" s="33">
        <v>0.16</v>
      </c>
      <c r="B604" s="33">
        <v>0.19700000000000001</v>
      </c>
      <c r="C604" s="33">
        <v>0.86</v>
      </c>
      <c r="D604" s="33">
        <v>8.9599999999999999E-2</v>
      </c>
      <c r="E604" s="33">
        <v>2</v>
      </c>
      <c r="F604" s="33">
        <v>155</v>
      </c>
      <c r="G604" s="33">
        <v>157</v>
      </c>
    </row>
    <row r="605" spans="1:7" x14ac:dyDescent="0.3">
      <c r="A605" s="33">
        <v>0.18</v>
      </c>
      <c r="B605" s="33">
        <v>0.21210000000000001</v>
      </c>
      <c r="C605" s="33">
        <v>0.86</v>
      </c>
      <c r="D605" s="33">
        <v>8.9599999999999999E-2</v>
      </c>
      <c r="E605" s="33">
        <v>6</v>
      </c>
      <c r="F605" s="33">
        <v>95</v>
      </c>
      <c r="G605" s="33">
        <v>101</v>
      </c>
    </row>
    <row r="606" spans="1:7" x14ac:dyDescent="0.3">
      <c r="A606" s="33">
        <v>0.18</v>
      </c>
      <c r="B606" s="33">
        <v>0.21210000000000001</v>
      </c>
      <c r="C606" s="33">
        <v>0.86</v>
      </c>
      <c r="D606" s="33">
        <v>0.1045</v>
      </c>
      <c r="E606" s="33">
        <v>0</v>
      </c>
      <c r="F606" s="33">
        <v>49</v>
      </c>
      <c r="G606" s="33">
        <v>49</v>
      </c>
    </row>
    <row r="607" spans="1:7" x14ac:dyDescent="0.3">
      <c r="A607" s="33">
        <v>0.18</v>
      </c>
      <c r="B607" s="33">
        <v>0.21210000000000001</v>
      </c>
      <c r="C607" s="33">
        <v>0.93</v>
      </c>
      <c r="D607" s="33">
        <v>0.1045</v>
      </c>
      <c r="E607" s="33">
        <v>0</v>
      </c>
      <c r="F607" s="33">
        <v>30</v>
      </c>
      <c r="G607" s="33">
        <v>30</v>
      </c>
    </row>
    <row r="608" spans="1:7" x14ac:dyDescent="0.3">
      <c r="A608" s="33">
        <v>0.18</v>
      </c>
      <c r="B608" s="33">
        <v>0.21210000000000001</v>
      </c>
      <c r="C608" s="33">
        <v>0.93</v>
      </c>
      <c r="D608" s="33">
        <v>0.1045</v>
      </c>
      <c r="E608" s="33">
        <v>1</v>
      </c>
      <c r="F608" s="33">
        <v>28</v>
      </c>
      <c r="G608" s="33">
        <v>29</v>
      </c>
    </row>
    <row r="609" spans="1:7" x14ac:dyDescent="0.3">
      <c r="A609" s="33">
        <v>0.18</v>
      </c>
      <c r="B609" s="33">
        <v>0.21210000000000001</v>
      </c>
      <c r="C609" s="33">
        <v>0.93</v>
      </c>
      <c r="D609" s="33">
        <v>0.1045</v>
      </c>
      <c r="E609" s="33">
        <v>0</v>
      </c>
      <c r="F609" s="33">
        <v>31</v>
      </c>
      <c r="G609" s="33">
        <v>31</v>
      </c>
    </row>
    <row r="610" spans="1:7" x14ac:dyDescent="0.3">
      <c r="A610" s="33">
        <v>0.22</v>
      </c>
      <c r="B610" s="33">
        <v>0.2727</v>
      </c>
      <c r="C610" s="33">
        <v>0.8</v>
      </c>
      <c r="D610" s="33">
        <v>0</v>
      </c>
      <c r="E610" s="33">
        <v>2</v>
      </c>
      <c r="F610" s="33">
        <v>36</v>
      </c>
      <c r="G610" s="33">
        <v>38</v>
      </c>
    </row>
    <row r="611" spans="1:7" x14ac:dyDescent="0.3">
      <c r="A611" s="33">
        <v>0.2</v>
      </c>
      <c r="B611" s="33">
        <v>0.2576</v>
      </c>
      <c r="C611" s="33">
        <v>0.86</v>
      </c>
      <c r="D611" s="33">
        <v>0</v>
      </c>
      <c r="E611" s="33">
        <v>1</v>
      </c>
      <c r="F611" s="33">
        <v>40</v>
      </c>
      <c r="G611" s="33">
        <v>41</v>
      </c>
    </row>
    <row r="612" spans="1:7" x14ac:dyDescent="0.3">
      <c r="A612" s="33">
        <v>0.22</v>
      </c>
      <c r="B612" s="33">
        <v>0.2727</v>
      </c>
      <c r="C612" s="33">
        <v>0.8</v>
      </c>
      <c r="D612" s="33">
        <v>0</v>
      </c>
      <c r="E612" s="33">
        <v>10</v>
      </c>
      <c r="F612" s="33">
        <v>70</v>
      </c>
      <c r="G612" s="33">
        <v>80</v>
      </c>
    </row>
    <row r="613" spans="1:7" x14ac:dyDescent="0.3">
      <c r="A613" s="33">
        <v>0.24</v>
      </c>
      <c r="B613" s="33">
        <v>0.2424</v>
      </c>
      <c r="C613" s="33">
        <v>0.75</v>
      </c>
      <c r="D613" s="33">
        <v>0.1343</v>
      </c>
      <c r="E613" s="33">
        <v>2</v>
      </c>
      <c r="F613" s="33">
        <v>147</v>
      </c>
      <c r="G613" s="33">
        <v>149</v>
      </c>
    </row>
    <row r="614" spans="1:7" x14ac:dyDescent="0.3">
      <c r="A614" s="33">
        <v>0.24</v>
      </c>
      <c r="B614" s="33">
        <v>0.2273</v>
      </c>
      <c r="C614" s="33">
        <v>0.75</v>
      </c>
      <c r="D614" s="33">
        <v>0.19400000000000001</v>
      </c>
      <c r="E614" s="33">
        <v>2</v>
      </c>
      <c r="F614" s="33">
        <v>107</v>
      </c>
      <c r="G614" s="33">
        <v>109</v>
      </c>
    </row>
    <row r="615" spans="1:7" x14ac:dyDescent="0.3">
      <c r="A615" s="33">
        <v>0.24</v>
      </c>
      <c r="B615" s="33">
        <v>0.2424</v>
      </c>
      <c r="C615" s="33">
        <v>0.75</v>
      </c>
      <c r="D615" s="33">
        <v>0.1343</v>
      </c>
      <c r="E615" s="33">
        <v>5</v>
      </c>
      <c r="F615" s="33">
        <v>84</v>
      </c>
      <c r="G615" s="33">
        <v>89</v>
      </c>
    </row>
    <row r="616" spans="1:7" x14ac:dyDescent="0.3">
      <c r="A616" s="33">
        <v>0.24</v>
      </c>
      <c r="B616" s="33">
        <v>0.2273</v>
      </c>
      <c r="C616" s="33">
        <v>0.7</v>
      </c>
      <c r="D616" s="33">
        <v>0.19400000000000001</v>
      </c>
      <c r="E616" s="33">
        <v>1</v>
      </c>
      <c r="F616" s="33">
        <v>61</v>
      </c>
      <c r="G616" s="33">
        <v>62</v>
      </c>
    </row>
    <row r="617" spans="1:7" x14ac:dyDescent="0.3">
      <c r="A617" s="33">
        <v>0.22</v>
      </c>
      <c r="B617" s="33">
        <v>0.2273</v>
      </c>
      <c r="C617" s="33">
        <v>0.75</v>
      </c>
      <c r="D617" s="33">
        <v>0.1343</v>
      </c>
      <c r="E617" s="33">
        <v>1</v>
      </c>
      <c r="F617" s="33">
        <v>57</v>
      </c>
      <c r="G617" s="33">
        <v>58</v>
      </c>
    </row>
    <row r="618" spans="1:7" x14ac:dyDescent="0.3">
      <c r="A618" s="33">
        <v>0.24</v>
      </c>
      <c r="B618" s="33">
        <v>0.21210000000000001</v>
      </c>
      <c r="C618" s="33">
        <v>0.65</v>
      </c>
      <c r="D618" s="33">
        <v>0.35820000000000002</v>
      </c>
      <c r="E618" s="33">
        <v>0</v>
      </c>
      <c r="F618" s="33">
        <v>26</v>
      </c>
      <c r="G618" s="33">
        <v>26</v>
      </c>
    </row>
    <row r="619" spans="1:7" x14ac:dyDescent="0.3">
      <c r="A619" s="33">
        <v>0.24</v>
      </c>
      <c r="B619" s="33">
        <v>0.2273</v>
      </c>
      <c r="C619" s="33">
        <v>0.6</v>
      </c>
      <c r="D619" s="33">
        <v>0.22389999999999999</v>
      </c>
      <c r="E619" s="33">
        <v>1</v>
      </c>
      <c r="F619" s="33">
        <v>22</v>
      </c>
      <c r="G619" s="33">
        <v>23</v>
      </c>
    </row>
    <row r="620" spans="1:7" x14ac:dyDescent="0.3">
      <c r="A620" s="33">
        <v>0.22</v>
      </c>
      <c r="B620" s="33">
        <v>0.19700000000000001</v>
      </c>
      <c r="C620" s="33">
        <v>0.64</v>
      </c>
      <c r="D620" s="33">
        <v>0.35820000000000002</v>
      </c>
      <c r="E620" s="33">
        <v>2</v>
      </c>
      <c r="F620" s="33">
        <v>26</v>
      </c>
      <c r="G620" s="33">
        <v>28</v>
      </c>
    </row>
    <row r="621" spans="1:7" x14ac:dyDescent="0.3">
      <c r="A621" s="33">
        <v>0.22</v>
      </c>
      <c r="B621" s="33">
        <v>0.2273</v>
      </c>
      <c r="C621" s="33">
        <v>0.64</v>
      </c>
      <c r="D621" s="33">
        <v>0.19400000000000001</v>
      </c>
      <c r="E621" s="33">
        <v>0</v>
      </c>
      <c r="F621" s="33">
        <v>20</v>
      </c>
      <c r="G621" s="33">
        <v>20</v>
      </c>
    </row>
    <row r="622" spans="1:7" x14ac:dyDescent="0.3">
      <c r="A622" s="33">
        <v>0.22</v>
      </c>
      <c r="B622" s="33">
        <v>0.2273</v>
      </c>
      <c r="C622" s="33">
        <v>0.64</v>
      </c>
      <c r="D622" s="33">
        <v>0.16420000000000001</v>
      </c>
      <c r="E622" s="33">
        <v>0</v>
      </c>
      <c r="F622" s="33">
        <v>15</v>
      </c>
      <c r="G622" s="33">
        <v>15</v>
      </c>
    </row>
    <row r="623" spans="1:7" x14ac:dyDescent="0.3">
      <c r="A623" s="33">
        <v>0.2</v>
      </c>
      <c r="B623" s="33">
        <v>0.21210000000000001</v>
      </c>
      <c r="C623" s="33">
        <v>0.64</v>
      </c>
      <c r="D623" s="33">
        <v>0.1343</v>
      </c>
      <c r="E623" s="33">
        <v>3</v>
      </c>
      <c r="F623" s="33">
        <v>5</v>
      </c>
      <c r="G623" s="33">
        <v>8</v>
      </c>
    </row>
    <row r="624" spans="1:7" x14ac:dyDescent="0.3">
      <c r="A624" s="33">
        <v>0.16</v>
      </c>
      <c r="B624" s="33">
        <v>0.18179999999999999</v>
      </c>
      <c r="C624" s="33">
        <v>0.69</v>
      </c>
      <c r="D624" s="33">
        <v>0.1045</v>
      </c>
      <c r="E624" s="33">
        <v>1</v>
      </c>
      <c r="F624" s="33">
        <v>2</v>
      </c>
      <c r="G624" s="33">
        <v>3</v>
      </c>
    </row>
    <row r="625" spans="1:7" x14ac:dyDescent="0.3">
      <c r="A625" s="33">
        <v>0.16</v>
      </c>
      <c r="B625" s="33">
        <v>0.18179999999999999</v>
      </c>
      <c r="C625" s="33">
        <v>0.64</v>
      </c>
      <c r="D625" s="33">
        <v>0.1343</v>
      </c>
      <c r="E625" s="33">
        <v>0</v>
      </c>
      <c r="F625" s="33">
        <v>2</v>
      </c>
      <c r="G625" s="33">
        <v>2</v>
      </c>
    </row>
    <row r="626" spans="1:7" x14ac:dyDescent="0.3">
      <c r="A626" s="33">
        <v>0.16</v>
      </c>
      <c r="B626" s="33">
        <v>0.18179999999999999</v>
      </c>
      <c r="C626" s="33">
        <v>0.59</v>
      </c>
      <c r="D626" s="33">
        <v>0.1045</v>
      </c>
      <c r="E626" s="33">
        <v>1</v>
      </c>
      <c r="F626" s="33">
        <v>4</v>
      </c>
      <c r="G626" s="33">
        <v>5</v>
      </c>
    </row>
    <row r="627" spans="1:7" x14ac:dyDescent="0.3">
      <c r="A627" s="33">
        <v>0.18</v>
      </c>
      <c r="B627" s="33">
        <v>0.19700000000000001</v>
      </c>
      <c r="C627" s="33">
        <v>0.55000000000000004</v>
      </c>
      <c r="D627" s="33">
        <v>0.16420000000000001</v>
      </c>
      <c r="E627" s="33">
        <v>3</v>
      </c>
      <c r="F627" s="33">
        <v>31</v>
      </c>
      <c r="G627" s="33">
        <v>34</v>
      </c>
    </row>
    <row r="628" spans="1:7" x14ac:dyDescent="0.3">
      <c r="A628" s="33">
        <v>0.18</v>
      </c>
      <c r="B628" s="33">
        <v>0.21210000000000001</v>
      </c>
      <c r="C628" s="33">
        <v>0.59</v>
      </c>
      <c r="D628" s="33">
        <v>8.9599999999999999E-2</v>
      </c>
      <c r="E628" s="33">
        <v>0</v>
      </c>
      <c r="F628" s="33">
        <v>34</v>
      </c>
      <c r="G628" s="33">
        <v>34</v>
      </c>
    </row>
    <row r="629" spans="1:7" x14ac:dyDescent="0.3">
      <c r="A629" s="33">
        <v>0.18</v>
      </c>
      <c r="B629" s="33">
        <v>0.21210000000000001</v>
      </c>
      <c r="C629" s="33">
        <v>0.64</v>
      </c>
      <c r="D629" s="33">
        <v>0.1045</v>
      </c>
      <c r="E629" s="33">
        <v>4</v>
      </c>
      <c r="F629" s="33">
        <v>51</v>
      </c>
      <c r="G629" s="33">
        <v>55</v>
      </c>
    </row>
    <row r="630" spans="1:7" x14ac:dyDescent="0.3">
      <c r="A630" s="33">
        <v>0.18</v>
      </c>
      <c r="B630" s="33">
        <v>0.19700000000000001</v>
      </c>
      <c r="C630" s="33">
        <v>0.64</v>
      </c>
      <c r="D630" s="33">
        <v>0.1343</v>
      </c>
      <c r="E630" s="33">
        <v>4</v>
      </c>
      <c r="F630" s="33">
        <v>60</v>
      </c>
      <c r="G630" s="33">
        <v>64</v>
      </c>
    </row>
    <row r="631" spans="1:7" x14ac:dyDescent="0.3">
      <c r="A631" s="33">
        <v>0.2</v>
      </c>
      <c r="B631" s="33">
        <v>0.19700000000000001</v>
      </c>
      <c r="C631" s="33">
        <v>0.59</v>
      </c>
      <c r="D631" s="33">
        <v>0.19400000000000001</v>
      </c>
      <c r="E631" s="33">
        <v>12</v>
      </c>
      <c r="F631" s="33">
        <v>66</v>
      </c>
      <c r="G631" s="33">
        <v>78</v>
      </c>
    </row>
    <row r="632" spans="1:7" x14ac:dyDescent="0.3">
      <c r="A632" s="33">
        <v>0.22</v>
      </c>
      <c r="B632" s="33">
        <v>0.2273</v>
      </c>
      <c r="C632" s="33">
        <v>0.55000000000000004</v>
      </c>
      <c r="D632" s="33">
        <v>0.16420000000000001</v>
      </c>
      <c r="E632" s="33">
        <v>9</v>
      </c>
      <c r="F632" s="33">
        <v>56</v>
      </c>
      <c r="G632" s="33">
        <v>65</v>
      </c>
    </row>
    <row r="633" spans="1:7" x14ac:dyDescent="0.3">
      <c r="A633" s="33">
        <v>0.22</v>
      </c>
      <c r="B633" s="33">
        <v>0.2273</v>
      </c>
      <c r="C633" s="33">
        <v>0.6</v>
      </c>
      <c r="D633" s="33">
        <v>0.1343</v>
      </c>
      <c r="E633" s="33">
        <v>10</v>
      </c>
      <c r="F633" s="33">
        <v>89</v>
      </c>
      <c r="G633" s="33">
        <v>99</v>
      </c>
    </row>
    <row r="634" spans="1:7" x14ac:dyDescent="0.3">
      <c r="A634" s="33">
        <v>0.22</v>
      </c>
      <c r="B634" s="33">
        <v>0.21210000000000001</v>
      </c>
      <c r="C634" s="33">
        <v>0.69</v>
      </c>
      <c r="D634" s="33">
        <v>0.25369999999999998</v>
      </c>
      <c r="E634" s="33">
        <v>22</v>
      </c>
      <c r="F634" s="33">
        <v>98</v>
      </c>
      <c r="G634" s="33">
        <v>120</v>
      </c>
    </row>
    <row r="635" spans="1:7" x14ac:dyDescent="0.3">
      <c r="A635" s="33">
        <v>0.24</v>
      </c>
      <c r="B635" s="33">
        <v>0.2424</v>
      </c>
      <c r="C635" s="33">
        <v>0.6</v>
      </c>
      <c r="D635" s="33">
        <v>0.16420000000000001</v>
      </c>
      <c r="E635" s="33">
        <v>19</v>
      </c>
      <c r="F635" s="33">
        <v>88</v>
      </c>
      <c r="G635" s="33">
        <v>107</v>
      </c>
    </row>
    <row r="636" spans="1:7" x14ac:dyDescent="0.3">
      <c r="A636" s="33">
        <v>0.24</v>
      </c>
      <c r="B636" s="33">
        <v>0.28789999999999999</v>
      </c>
      <c r="C636" s="33">
        <v>0.6</v>
      </c>
      <c r="D636" s="33">
        <v>0</v>
      </c>
      <c r="E636" s="33">
        <v>9</v>
      </c>
      <c r="F636" s="33">
        <v>82</v>
      </c>
      <c r="G636" s="33">
        <v>91</v>
      </c>
    </row>
    <row r="637" spans="1:7" x14ac:dyDescent="0.3">
      <c r="A637" s="33">
        <v>0.22</v>
      </c>
      <c r="B637" s="33">
        <v>0.2273</v>
      </c>
      <c r="C637" s="33">
        <v>0.69</v>
      </c>
      <c r="D637" s="33">
        <v>0.1343</v>
      </c>
      <c r="E637" s="33">
        <v>9</v>
      </c>
      <c r="F637" s="33">
        <v>59</v>
      </c>
      <c r="G637" s="33">
        <v>68</v>
      </c>
    </row>
    <row r="638" spans="1:7" x14ac:dyDescent="0.3">
      <c r="A638" s="33">
        <v>0.22</v>
      </c>
      <c r="B638" s="33">
        <v>0.21210000000000001</v>
      </c>
      <c r="C638" s="33">
        <v>0.69</v>
      </c>
      <c r="D638" s="33">
        <v>0.25369999999999998</v>
      </c>
      <c r="E638" s="33">
        <v>6</v>
      </c>
      <c r="F638" s="33">
        <v>52</v>
      </c>
      <c r="G638" s="33">
        <v>58</v>
      </c>
    </row>
    <row r="639" spans="1:7" x14ac:dyDescent="0.3">
      <c r="A639" s="33">
        <v>0.18</v>
      </c>
      <c r="B639" s="33">
        <v>0.21210000000000001</v>
      </c>
      <c r="C639" s="33">
        <v>0.74</v>
      </c>
      <c r="D639" s="33">
        <v>8.9599999999999999E-2</v>
      </c>
      <c r="E639" s="33">
        <v>1</v>
      </c>
      <c r="F639" s="33">
        <v>42</v>
      </c>
      <c r="G639" s="33">
        <v>43</v>
      </c>
    </row>
    <row r="640" spans="1:7" x14ac:dyDescent="0.3">
      <c r="A640" s="33">
        <v>0.18</v>
      </c>
      <c r="B640" s="33">
        <v>0.21210000000000001</v>
      </c>
      <c r="C640" s="33">
        <v>0.74</v>
      </c>
      <c r="D640" s="33">
        <v>8.9599999999999999E-2</v>
      </c>
      <c r="E640" s="33">
        <v>1</v>
      </c>
      <c r="F640" s="33">
        <v>35</v>
      </c>
      <c r="G640" s="33">
        <v>36</v>
      </c>
    </row>
    <row r="641" spans="1:7" x14ac:dyDescent="0.3">
      <c r="A641" s="33">
        <v>0.16</v>
      </c>
      <c r="B641" s="33">
        <v>0.19700000000000001</v>
      </c>
      <c r="C641" s="33">
        <v>0.8</v>
      </c>
      <c r="D641" s="33">
        <v>8.9599999999999999E-2</v>
      </c>
      <c r="E641" s="33">
        <v>4</v>
      </c>
      <c r="F641" s="33">
        <v>28</v>
      </c>
      <c r="G641" s="33">
        <v>32</v>
      </c>
    </row>
    <row r="642" spans="1:7" x14ac:dyDescent="0.3">
      <c r="A642" s="33">
        <v>0.16</v>
      </c>
      <c r="B642" s="33">
        <v>0.19700000000000001</v>
      </c>
      <c r="C642" s="33">
        <v>0.8</v>
      </c>
      <c r="D642" s="33">
        <v>8.9599999999999999E-2</v>
      </c>
      <c r="E642" s="33">
        <v>3</v>
      </c>
      <c r="F642" s="33">
        <v>30</v>
      </c>
      <c r="G642" s="33">
        <v>33</v>
      </c>
    </row>
    <row r="643" spans="1:7" x14ac:dyDescent="0.3">
      <c r="A643" s="33">
        <v>0.16</v>
      </c>
      <c r="B643" s="33">
        <v>0.18179999999999999</v>
      </c>
      <c r="C643" s="33">
        <v>0.8</v>
      </c>
      <c r="D643" s="33">
        <v>0.1045</v>
      </c>
      <c r="E643" s="33">
        <v>0</v>
      </c>
      <c r="F643" s="33">
        <v>33</v>
      </c>
      <c r="G643" s="33">
        <v>33</v>
      </c>
    </row>
    <row r="644" spans="1:7" x14ac:dyDescent="0.3">
      <c r="A644" s="33">
        <v>0.14000000000000001</v>
      </c>
      <c r="B644" s="33">
        <v>0.21210000000000001</v>
      </c>
      <c r="C644" s="33">
        <v>0.8</v>
      </c>
      <c r="D644" s="33">
        <v>0</v>
      </c>
      <c r="E644" s="33">
        <v>7</v>
      </c>
      <c r="F644" s="33">
        <v>22</v>
      </c>
      <c r="G644" s="33">
        <v>29</v>
      </c>
    </row>
    <row r="645" spans="1:7" x14ac:dyDescent="0.3">
      <c r="A645" s="33">
        <v>0.16</v>
      </c>
      <c r="B645" s="33">
        <v>0.2273</v>
      </c>
      <c r="C645" s="33">
        <v>0.8</v>
      </c>
      <c r="D645" s="33">
        <v>0</v>
      </c>
      <c r="E645" s="33">
        <v>1</v>
      </c>
      <c r="F645" s="33">
        <v>10</v>
      </c>
      <c r="G645" s="33">
        <v>11</v>
      </c>
    </row>
    <row r="646" spans="1:7" x14ac:dyDescent="0.3">
      <c r="A646" s="33">
        <v>0.14000000000000001</v>
      </c>
      <c r="B646" s="33">
        <v>0.21210000000000001</v>
      </c>
      <c r="C646" s="33">
        <v>0.93</v>
      </c>
      <c r="D646" s="33">
        <v>0</v>
      </c>
      <c r="E646" s="33">
        <v>1</v>
      </c>
      <c r="F646" s="33">
        <v>7</v>
      </c>
      <c r="G646" s="33">
        <v>8</v>
      </c>
    </row>
    <row r="647" spans="1:7" x14ac:dyDescent="0.3">
      <c r="A647" s="33">
        <v>0.14000000000000001</v>
      </c>
      <c r="B647" s="33">
        <v>0.21210000000000001</v>
      </c>
      <c r="C647" s="33">
        <v>0.93</v>
      </c>
      <c r="D647" s="33">
        <v>0</v>
      </c>
      <c r="E647" s="33">
        <v>0</v>
      </c>
      <c r="F647" s="33">
        <v>1</v>
      </c>
      <c r="G647" s="33">
        <v>1</v>
      </c>
    </row>
    <row r="648" spans="1:7" x14ac:dyDescent="0.3">
      <c r="A648" s="33">
        <v>0.14000000000000001</v>
      </c>
      <c r="B648" s="33">
        <v>0.21210000000000001</v>
      </c>
      <c r="C648" s="33">
        <v>0.86</v>
      </c>
      <c r="D648" s="33">
        <v>0</v>
      </c>
      <c r="E648" s="33">
        <v>0</v>
      </c>
      <c r="F648" s="33">
        <v>3</v>
      </c>
      <c r="G648" s="33">
        <v>3</v>
      </c>
    </row>
    <row r="649" spans="1:7" x14ac:dyDescent="0.3">
      <c r="A649" s="33">
        <v>0.14000000000000001</v>
      </c>
      <c r="B649" s="33">
        <v>0.21210000000000001</v>
      </c>
      <c r="C649" s="33">
        <v>0.86</v>
      </c>
      <c r="D649" s="33">
        <v>0</v>
      </c>
      <c r="E649" s="33">
        <v>0</v>
      </c>
      <c r="F649" s="33">
        <v>3</v>
      </c>
      <c r="G649" s="33">
        <v>3</v>
      </c>
    </row>
    <row r="650" spans="1:7" x14ac:dyDescent="0.3">
      <c r="A650" s="33">
        <v>0.14000000000000001</v>
      </c>
      <c r="B650" s="33">
        <v>0.21210000000000001</v>
      </c>
      <c r="C650" s="33">
        <v>0.86</v>
      </c>
      <c r="D650" s="33">
        <v>0</v>
      </c>
      <c r="E650" s="33">
        <v>1</v>
      </c>
      <c r="F650" s="33">
        <v>11</v>
      </c>
      <c r="G650" s="33">
        <v>12</v>
      </c>
    </row>
    <row r="651" spans="1:7" x14ac:dyDescent="0.3">
      <c r="A651" s="33">
        <v>0.16</v>
      </c>
      <c r="B651" s="33">
        <v>0.2273</v>
      </c>
      <c r="C651" s="33">
        <v>0.8</v>
      </c>
      <c r="D651" s="33">
        <v>0</v>
      </c>
      <c r="E651" s="33">
        <v>4</v>
      </c>
      <c r="F651" s="33">
        <v>34</v>
      </c>
      <c r="G651" s="33">
        <v>38</v>
      </c>
    </row>
    <row r="652" spans="1:7" x14ac:dyDescent="0.3">
      <c r="A652" s="33">
        <v>0.18</v>
      </c>
      <c r="B652" s="33">
        <v>0.2424</v>
      </c>
      <c r="C652" s="33">
        <v>0.8</v>
      </c>
      <c r="D652" s="33">
        <v>0</v>
      </c>
      <c r="E652" s="33">
        <v>7</v>
      </c>
      <c r="F652" s="33">
        <v>57</v>
      </c>
      <c r="G652" s="33">
        <v>64</v>
      </c>
    </row>
    <row r="653" spans="1:7" x14ac:dyDescent="0.3">
      <c r="A653" s="33">
        <v>0.22</v>
      </c>
      <c r="B653" s="33">
        <v>0.2727</v>
      </c>
      <c r="C653" s="33">
        <v>0.75</v>
      </c>
      <c r="D653" s="33">
        <v>0</v>
      </c>
      <c r="E653" s="33">
        <v>9</v>
      </c>
      <c r="F653" s="33">
        <v>50</v>
      </c>
      <c r="G653" s="33">
        <v>59</v>
      </c>
    </row>
    <row r="654" spans="1:7" x14ac:dyDescent="0.3">
      <c r="A654" s="33">
        <v>0.3</v>
      </c>
      <c r="B654" s="33">
        <v>0.31819999999999998</v>
      </c>
      <c r="C654" s="33">
        <v>0.52</v>
      </c>
      <c r="D654" s="33">
        <v>0.1045</v>
      </c>
      <c r="E654" s="33">
        <v>10</v>
      </c>
      <c r="F654" s="33">
        <v>87</v>
      </c>
      <c r="G654" s="33">
        <v>97</v>
      </c>
    </row>
    <row r="655" spans="1:7" x14ac:dyDescent="0.3">
      <c r="A655" s="33">
        <v>0.28000000000000003</v>
      </c>
      <c r="B655" s="33">
        <v>0.28789999999999999</v>
      </c>
      <c r="C655" s="33">
        <v>0.61</v>
      </c>
      <c r="D655" s="33">
        <v>0.1045</v>
      </c>
      <c r="E655" s="33">
        <v>13</v>
      </c>
      <c r="F655" s="33">
        <v>71</v>
      </c>
      <c r="G655" s="33">
        <v>84</v>
      </c>
    </row>
    <row r="656" spans="1:7" x14ac:dyDescent="0.3">
      <c r="A656" s="33">
        <v>0.28000000000000003</v>
      </c>
      <c r="B656" s="33">
        <v>0.30299999999999999</v>
      </c>
      <c r="C656" s="33">
        <v>0.61</v>
      </c>
      <c r="D656" s="33">
        <v>8.9599999999999999E-2</v>
      </c>
      <c r="E656" s="33">
        <v>18</v>
      </c>
      <c r="F656" s="33">
        <v>104</v>
      </c>
      <c r="G656" s="33">
        <v>122</v>
      </c>
    </row>
    <row r="657" spans="1:7" x14ac:dyDescent="0.3">
      <c r="A657" s="33">
        <v>0.3</v>
      </c>
      <c r="B657" s="33">
        <v>0.33329999999999999</v>
      </c>
      <c r="C657" s="33">
        <v>0.56000000000000005</v>
      </c>
      <c r="D657" s="33">
        <v>0</v>
      </c>
      <c r="E657" s="33">
        <v>14</v>
      </c>
      <c r="F657" s="33">
        <v>95</v>
      </c>
      <c r="G657" s="33">
        <v>109</v>
      </c>
    </row>
    <row r="658" spans="1:7" x14ac:dyDescent="0.3">
      <c r="A658" s="33">
        <v>0.3</v>
      </c>
      <c r="B658" s="33">
        <v>0.33329999999999999</v>
      </c>
      <c r="C658" s="33">
        <v>0.56000000000000005</v>
      </c>
      <c r="D658" s="33">
        <v>0</v>
      </c>
      <c r="E658" s="33">
        <v>19</v>
      </c>
      <c r="F658" s="33">
        <v>104</v>
      </c>
      <c r="G658" s="33">
        <v>123</v>
      </c>
    </row>
    <row r="659" spans="1:7" x14ac:dyDescent="0.3">
      <c r="A659" s="33">
        <v>0.3</v>
      </c>
      <c r="B659" s="33">
        <v>0.28789999999999999</v>
      </c>
      <c r="C659" s="33">
        <v>0.56000000000000005</v>
      </c>
      <c r="D659" s="33">
        <v>0.19400000000000001</v>
      </c>
      <c r="E659" s="33">
        <v>6</v>
      </c>
      <c r="F659" s="33">
        <v>71</v>
      </c>
      <c r="G659" s="33">
        <v>77</v>
      </c>
    </row>
    <row r="660" spans="1:7" x14ac:dyDescent="0.3">
      <c r="A660" s="33">
        <v>0.26</v>
      </c>
      <c r="B660" s="33">
        <v>0.2576</v>
      </c>
      <c r="C660" s="33">
        <v>0.65</v>
      </c>
      <c r="D660" s="33">
        <v>0.16420000000000001</v>
      </c>
      <c r="E660" s="33">
        <v>8</v>
      </c>
      <c r="F660" s="33">
        <v>57</v>
      </c>
      <c r="G660" s="33">
        <v>65</v>
      </c>
    </row>
    <row r="661" spans="1:7" x14ac:dyDescent="0.3">
      <c r="A661" s="33">
        <v>0.26</v>
      </c>
      <c r="B661" s="33">
        <v>0.2576</v>
      </c>
      <c r="C661" s="33">
        <v>0.65</v>
      </c>
      <c r="D661" s="33">
        <v>0.19400000000000001</v>
      </c>
      <c r="E661" s="33">
        <v>9</v>
      </c>
      <c r="F661" s="33">
        <v>46</v>
      </c>
      <c r="G661" s="33">
        <v>55</v>
      </c>
    </row>
    <row r="662" spans="1:7" x14ac:dyDescent="0.3">
      <c r="A662" s="33">
        <v>0.26</v>
      </c>
      <c r="B662" s="33">
        <v>0.2727</v>
      </c>
      <c r="C662" s="33">
        <v>0.65</v>
      </c>
      <c r="D662" s="33">
        <v>0.1045</v>
      </c>
      <c r="E662" s="33">
        <v>3</v>
      </c>
      <c r="F662" s="33">
        <v>30</v>
      </c>
      <c r="G662" s="33">
        <v>33</v>
      </c>
    </row>
    <row r="663" spans="1:7" x14ac:dyDescent="0.3">
      <c r="A663" s="33">
        <v>0.24</v>
      </c>
      <c r="B663" s="33">
        <v>0.2424</v>
      </c>
      <c r="C663" s="33">
        <v>0.7</v>
      </c>
      <c r="D663" s="33">
        <v>0.16420000000000001</v>
      </c>
      <c r="E663" s="33">
        <v>3</v>
      </c>
      <c r="F663" s="33">
        <v>25</v>
      </c>
      <c r="G663" s="33">
        <v>28</v>
      </c>
    </row>
    <row r="664" spans="1:7" x14ac:dyDescent="0.3">
      <c r="A664" s="33">
        <v>0.24</v>
      </c>
      <c r="B664" s="33">
        <v>0.2273</v>
      </c>
      <c r="C664" s="33">
        <v>0.7</v>
      </c>
      <c r="D664" s="33">
        <v>0.19400000000000001</v>
      </c>
      <c r="E664" s="33">
        <v>2</v>
      </c>
      <c r="F664" s="33">
        <v>19</v>
      </c>
      <c r="G664" s="33">
        <v>21</v>
      </c>
    </row>
    <row r="665" spans="1:7" x14ac:dyDescent="0.3">
      <c r="A665" s="33">
        <v>0.24</v>
      </c>
      <c r="B665" s="33">
        <v>0.21210000000000001</v>
      </c>
      <c r="C665" s="33">
        <v>0.65</v>
      </c>
      <c r="D665" s="33">
        <v>0.28360000000000002</v>
      </c>
      <c r="E665" s="33">
        <v>5</v>
      </c>
      <c r="F665" s="33">
        <v>16</v>
      </c>
      <c r="G665" s="33">
        <v>21</v>
      </c>
    </row>
    <row r="666" spans="1:7" x14ac:dyDescent="0.3">
      <c r="A666" s="33">
        <v>0.24</v>
      </c>
      <c r="B666" s="33">
        <v>0.2273</v>
      </c>
      <c r="C666" s="33">
        <v>0.65</v>
      </c>
      <c r="D666" s="33">
        <v>0.22389999999999999</v>
      </c>
      <c r="E666" s="33">
        <v>1</v>
      </c>
      <c r="F666" s="33">
        <v>6</v>
      </c>
      <c r="G666" s="33">
        <v>7</v>
      </c>
    </row>
    <row r="667" spans="1:7" x14ac:dyDescent="0.3">
      <c r="A667" s="33">
        <v>0.22</v>
      </c>
      <c r="B667" s="33">
        <v>0.21210000000000001</v>
      </c>
      <c r="C667" s="33">
        <v>0.64</v>
      </c>
      <c r="D667" s="33">
        <v>0.25369999999999998</v>
      </c>
      <c r="E667" s="33">
        <v>2</v>
      </c>
      <c r="F667" s="33">
        <v>5</v>
      </c>
      <c r="G667" s="33">
        <v>7</v>
      </c>
    </row>
    <row r="668" spans="1:7" x14ac:dyDescent="0.3">
      <c r="A668" s="33">
        <v>0.22</v>
      </c>
      <c r="B668" s="33">
        <v>0.2273</v>
      </c>
      <c r="C668" s="33">
        <v>0.64</v>
      </c>
      <c r="D668" s="33">
        <v>0.19400000000000001</v>
      </c>
      <c r="E668" s="33">
        <v>0</v>
      </c>
      <c r="F668" s="33">
        <v>1</v>
      </c>
      <c r="G668" s="33">
        <v>1</v>
      </c>
    </row>
    <row r="669" spans="1:7" x14ac:dyDescent="0.3">
      <c r="A669" s="33">
        <v>0.22</v>
      </c>
      <c r="B669" s="33">
        <v>0.2273</v>
      </c>
      <c r="C669" s="33">
        <v>0.64</v>
      </c>
      <c r="D669" s="33">
        <v>0.19400000000000001</v>
      </c>
      <c r="E669" s="33">
        <v>0</v>
      </c>
      <c r="F669" s="33">
        <v>2</v>
      </c>
      <c r="G669" s="33">
        <v>2</v>
      </c>
    </row>
    <row r="670" spans="1:7" x14ac:dyDescent="0.3">
      <c r="A670" s="33">
        <v>0.2</v>
      </c>
      <c r="B670" s="33">
        <v>0.19700000000000001</v>
      </c>
      <c r="C670" s="33">
        <v>0.59</v>
      </c>
      <c r="D670" s="33">
        <v>0.22389999999999999</v>
      </c>
      <c r="E670" s="33">
        <v>0</v>
      </c>
      <c r="F670" s="33">
        <v>2</v>
      </c>
      <c r="G670" s="33">
        <v>2</v>
      </c>
    </row>
    <row r="671" spans="1:7" x14ac:dyDescent="0.3">
      <c r="A671" s="33">
        <v>0.18</v>
      </c>
      <c r="B671" s="33">
        <v>0.16669999999999999</v>
      </c>
      <c r="C671" s="33">
        <v>0.64</v>
      </c>
      <c r="D671" s="33">
        <v>0.28360000000000002</v>
      </c>
      <c r="E671" s="33">
        <v>0</v>
      </c>
      <c r="F671" s="33">
        <v>8</v>
      </c>
      <c r="G671" s="33">
        <v>8</v>
      </c>
    </row>
    <row r="672" spans="1:7" x14ac:dyDescent="0.3">
      <c r="A672" s="33">
        <v>0.16</v>
      </c>
      <c r="B672" s="33">
        <v>0.13639999999999999</v>
      </c>
      <c r="C672" s="33">
        <v>0.69</v>
      </c>
      <c r="D672" s="33">
        <v>0.32840000000000003</v>
      </c>
      <c r="E672" s="33">
        <v>0</v>
      </c>
      <c r="F672" s="33">
        <v>37</v>
      </c>
      <c r="G672" s="33">
        <v>37</v>
      </c>
    </row>
    <row r="673" spans="1:7" x14ac:dyDescent="0.3">
      <c r="A673" s="33">
        <v>0.16</v>
      </c>
      <c r="B673" s="33">
        <v>0.13639999999999999</v>
      </c>
      <c r="C673" s="33">
        <v>0.64</v>
      </c>
      <c r="D673" s="33">
        <v>0.28360000000000002</v>
      </c>
      <c r="E673" s="33">
        <v>1</v>
      </c>
      <c r="F673" s="33">
        <v>71</v>
      </c>
      <c r="G673" s="33">
        <v>72</v>
      </c>
    </row>
    <row r="674" spans="1:7" x14ac:dyDescent="0.3">
      <c r="A674" s="33">
        <v>0.16</v>
      </c>
      <c r="B674" s="33">
        <v>0.13639999999999999</v>
      </c>
      <c r="C674" s="33">
        <v>0.59</v>
      </c>
      <c r="D674" s="33">
        <v>0.28360000000000002</v>
      </c>
      <c r="E674" s="33">
        <v>3</v>
      </c>
      <c r="F674" s="33">
        <v>182</v>
      </c>
      <c r="G674" s="33">
        <v>185</v>
      </c>
    </row>
    <row r="675" spans="1:7" x14ac:dyDescent="0.3">
      <c r="A675" s="33">
        <v>0.16</v>
      </c>
      <c r="B675" s="33">
        <v>0.13639999999999999</v>
      </c>
      <c r="C675" s="33">
        <v>0.59</v>
      </c>
      <c r="D675" s="33">
        <v>0.29849999999999999</v>
      </c>
      <c r="E675" s="33">
        <v>0</v>
      </c>
      <c r="F675" s="33">
        <v>112</v>
      </c>
      <c r="G675" s="33">
        <v>112</v>
      </c>
    </row>
    <row r="676" spans="1:7" x14ac:dyDescent="0.3">
      <c r="A676" s="33">
        <v>0.16</v>
      </c>
      <c r="B676" s="33">
        <v>0.1515</v>
      </c>
      <c r="C676" s="33">
        <v>0.59</v>
      </c>
      <c r="D676" s="33">
        <v>0.19400000000000001</v>
      </c>
      <c r="E676" s="33">
        <v>1</v>
      </c>
      <c r="F676" s="33">
        <v>68</v>
      </c>
      <c r="G676" s="33">
        <v>69</v>
      </c>
    </row>
    <row r="677" spans="1:7" x14ac:dyDescent="0.3">
      <c r="A677" s="33">
        <v>0.16</v>
      </c>
      <c r="B677" s="33">
        <v>0.1515</v>
      </c>
      <c r="C677" s="33">
        <v>0.59</v>
      </c>
      <c r="D677" s="33">
        <v>0.19400000000000001</v>
      </c>
      <c r="E677" s="33">
        <v>2</v>
      </c>
      <c r="F677" s="33">
        <v>46</v>
      </c>
      <c r="G677" s="33">
        <v>48</v>
      </c>
    </row>
    <row r="678" spans="1:7" x14ac:dyDescent="0.3">
      <c r="A678" s="33">
        <v>0.18</v>
      </c>
      <c r="B678" s="33">
        <v>0.21210000000000001</v>
      </c>
      <c r="C678" s="33">
        <v>0.55000000000000004</v>
      </c>
      <c r="D678" s="33">
        <v>0.1045</v>
      </c>
      <c r="E678" s="33">
        <v>6</v>
      </c>
      <c r="F678" s="33">
        <v>62</v>
      </c>
      <c r="G678" s="33">
        <v>68</v>
      </c>
    </row>
    <row r="679" spans="1:7" x14ac:dyDescent="0.3">
      <c r="A679" s="33">
        <v>0.16</v>
      </c>
      <c r="B679" s="33">
        <v>0.2273</v>
      </c>
      <c r="C679" s="33">
        <v>0.59</v>
      </c>
      <c r="D679" s="33">
        <v>0</v>
      </c>
      <c r="E679" s="33">
        <v>2</v>
      </c>
      <c r="F679" s="33">
        <v>52</v>
      </c>
      <c r="G679" s="33">
        <v>54</v>
      </c>
    </row>
    <row r="680" spans="1:7" x14ac:dyDescent="0.3">
      <c r="A680" s="33">
        <v>0.18</v>
      </c>
      <c r="B680" s="33">
        <v>0.19700000000000001</v>
      </c>
      <c r="C680" s="33">
        <v>0.55000000000000004</v>
      </c>
      <c r="D680" s="33">
        <v>0.1343</v>
      </c>
      <c r="E680" s="33">
        <v>1</v>
      </c>
      <c r="F680" s="33">
        <v>85</v>
      </c>
      <c r="G680" s="33">
        <v>86</v>
      </c>
    </row>
    <row r="681" spans="1:7" x14ac:dyDescent="0.3">
      <c r="A681" s="33">
        <v>0.16</v>
      </c>
      <c r="B681" s="33">
        <v>0.18179999999999999</v>
      </c>
      <c r="C681" s="33">
        <v>0.59</v>
      </c>
      <c r="D681" s="33">
        <v>0.1343</v>
      </c>
      <c r="E681" s="33">
        <v>3</v>
      </c>
      <c r="F681" s="33">
        <v>41</v>
      </c>
      <c r="G681" s="33">
        <v>44</v>
      </c>
    </row>
    <row r="682" spans="1:7" x14ac:dyDescent="0.3">
      <c r="A682" s="33">
        <v>0.16</v>
      </c>
      <c r="B682" s="33">
        <v>0.18179999999999999</v>
      </c>
      <c r="C682" s="33">
        <v>0.56000000000000005</v>
      </c>
      <c r="D682" s="33">
        <v>0.19400000000000001</v>
      </c>
      <c r="E682" s="33">
        <v>3</v>
      </c>
      <c r="F682" s="33">
        <v>83</v>
      </c>
      <c r="G682" s="33">
        <v>86</v>
      </c>
    </row>
    <row r="683" spans="1:7" x14ac:dyDescent="0.3">
      <c r="A683" s="33">
        <v>0.16</v>
      </c>
      <c r="B683" s="33">
        <v>0.1515</v>
      </c>
      <c r="C683" s="33">
        <v>0.59</v>
      </c>
      <c r="D683" s="33">
        <v>0.19400000000000001</v>
      </c>
      <c r="E683" s="33">
        <v>6</v>
      </c>
      <c r="F683" s="33">
        <v>155</v>
      </c>
      <c r="G683" s="33">
        <v>161</v>
      </c>
    </row>
    <row r="684" spans="1:7" x14ac:dyDescent="0.3">
      <c r="A684" s="33">
        <v>0.16</v>
      </c>
      <c r="B684" s="33">
        <v>0.1515</v>
      </c>
      <c r="C684" s="33">
        <v>0.55000000000000004</v>
      </c>
      <c r="D684" s="33">
        <v>0.22389999999999999</v>
      </c>
      <c r="E684" s="33">
        <v>3</v>
      </c>
      <c r="F684" s="33">
        <v>153</v>
      </c>
      <c r="G684" s="33">
        <v>156</v>
      </c>
    </row>
    <row r="685" spans="1:7" x14ac:dyDescent="0.3">
      <c r="A685" s="33">
        <v>0.3</v>
      </c>
      <c r="B685" s="33">
        <v>0.31819999999999998</v>
      </c>
      <c r="C685" s="33">
        <v>0.61</v>
      </c>
      <c r="D685" s="33">
        <v>0.1045</v>
      </c>
      <c r="E685" s="33">
        <v>3</v>
      </c>
      <c r="F685" s="33">
        <v>108</v>
      </c>
      <c r="G685" s="33">
        <v>111</v>
      </c>
    </row>
    <row r="686" spans="1:7" x14ac:dyDescent="0.3">
      <c r="A686" s="33">
        <v>0.16</v>
      </c>
      <c r="B686" s="33">
        <v>0.16669999999999999</v>
      </c>
      <c r="C686" s="33">
        <v>0.59</v>
      </c>
      <c r="D686" s="33">
        <v>0.16420000000000001</v>
      </c>
      <c r="E686" s="33">
        <v>0</v>
      </c>
      <c r="F686" s="33">
        <v>78</v>
      </c>
      <c r="G686" s="33">
        <v>78</v>
      </c>
    </row>
    <row r="687" spans="1:7" x14ac:dyDescent="0.3">
      <c r="A687" s="33">
        <v>0.16</v>
      </c>
      <c r="B687" s="33">
        <v>0.19700000000000001</v>
      </c>
      <c r="C687" s="33">
        <v>0.59</v>
      </c>
      <c r="D687" s="33">
        <v>8.9599999999999999E-2</v>
      </c>
      <c r="E687" s="33">
        <v>3</v>
      </c>
      <c r="F687" s="33">
        <v>53</v>
      </c>
      <c r="G687" s="33">
        <v>56</v>
      </c>
    </row>
    <row r="688" spans="1:7" x14ac:dyDescent="0.3">
      <c r="A688" s="33">
        <v>0.16</v>
      </c>
      <c r="B688" s="33">
        <v>0.18179999999999999</v>
      </c>
      <c r="C688" s="33">
        <v>0.59</v>
      </c>
      <c r="D688" s="33">
        <v>0.1045</v>
      </c>
      <c r="E688" s="33">
        <v>0</v>
      </c>
      <c r="F688" s="33">
        <v>34</v>
      </c>
      <c r="G688" s="33">
        <v>34</v>
      </c>
    </row>
    <row r="689" spans="1:7" x14ac:dyDescent="0.3">
      <c r="A689" s="33">
        <v>0.16</v>
      </c>
      <c r="B689" s="33">
        <v>0.19700000000000001</v>
      </c>
      <c r="C689" s="33">
        <v>0.64</v>
      </c>
      <c r="D689" s="33">
        <v>8.9599999999999999E-2</v>
      </c>
      <c r="E689" s="33">
        <v>2</v>
      </c>
      <c r="F689" s="33">
        <v>15</v>
      </c>
      <c r="G689" s="33">
        <v>17</v>
      </c>
    </row>
    <row r="690" spans="1:7" x14ac:dyDescent="0.3">
      <c r="A690" s="33">
        <v>0.16</v>
      </c>
      <c r="B690" s="33">
        <v>0.18179999999999999</v>
      </c>
      <c r="C690" s="33">
        <v>0.64</v>
      </c>
      <c r="D690" s="33">
        <v>0.1045</v>
      </c>
      <c r="E690" s="33">
        <v>2</v>
      </c>
      <c r="F690" s="33">
        <v>6</v>
      </c>
      <c r="G690" s="33">
        <v>8</v>
      </c>
    </row>
    <row r="691" spans="1:7" x14ac:dyDescent="0.3">
      <c r="A691" s="33">
        <v>0.16</v>
      </c>
      <c r="B691" s="33">
        <v>0.18179999999999999</v>
      </c>
      <c r="C691" s="33">
        <v>0.69</v>
      </c>
      <c r="D691" s="33">
        <v>0.1045</v>
      </c>
      <c r="E691" s="33">
        <v>0</v>
      </c>
      <c r="F691" s="33">
        <v>3</v>
      </c>
      <c r="G691" s="33">
        <v>3</v>
      </c>
    </row>
    <row r="692" spans="1:7" x14ac:dyDescent="0.3">
      <c r="A692" s="33">
        <v>0.16</v>
      </c>
      <c r="B692" s="33">
        <v>0.2273</v>
      </c>
      <c r="C692" s="33">
        <v>0.69</v>
      </c>
      <c r="D692" s="33">
        <v>0</v>
      </c>
      <c r="E692" s="33">
        <v>0</v>
      </c>
      <c r="F692" s="33">
        <v>2</v>
      </c>
      <c r="G692" s="33">
        <v>2</v>
      </c>
    </row>
    <row r="693" spans="1:7" x14ac:dyDescent="0.3">
      <c r="A693" s="33">
        <v>0.16</v>
      </c>
      <c r="B693" s="33">
        <v>0.2273</v>
      </c>
      <c r="C693" s="33">
        <v>0.69</v>
      </c>
      <c r="D693" s="33">
        <v>0</v>
      </c>
      <c r="E693" s="33">
        <v>0</v>
      </c>
      <c r="F693" s="33">
        <v>2</v>
      </c>
      <c r="G693" s="33">
        <v>2</v>
      </c>
    </row>
    <row r="694" spans="1:7" x14ac:dyDescent="0.3">
      <c r="A694" s="33">
        <v>0.14000000000000001</v>
      </c>
      <c r="B694" s="33">
        <v>0.21210000000000001</v>
      </c>
      <c r="C694" s="33">
        <v>0.93</v>
      </c>
      <c r="D694" s="33">
        <v>0</v>
      </c>
      <c r="E694" s="33">
        <v>0</v>
      </c>
      <c r="F694" s="33">
        <v>3</v>
      </c>
      <c r="G694" s="33">
        <v>3</v>
      </c>
    </row>
    <row r="695" spans="1:7" x14ac:dyDescent="0.3">
      <c r="A695" s="33">
        <v>0.14000000000000001</v>
      </c>
      <c r="B695" s="33">
        <v>0.21210000000000001</v>
      </c>
      <c r="C695" s="33">
        <v>0.93</v>
      </c>
      <c r="D695" s="33">
        <v>0</v>
      </c>
      <c r="E695" s="33">
        <v>0</v>
      </c>
      <c r="F695" s="33">
        <v>22</v>
      </c>
      <c r="G695" s="33">
        <v>22</v>
      </c>
    </row>
    <row r="696" spans="1:7" x14ac:dyDescent="0.3">
      <c r="A696" s="33">
        <v>0.16</v>
      </c>
      <c r="B696" s="33">
        <v>0.2273</v>
      </c>
      <c r="C696" s="33">
        <v>0.93</v>
      </c>
      <c r="D696" s="33">
        <v>0</v>
      </c>
      <c r="E696" s="33">
        <v>0</v>
      </c>
      <c r="F696" s="33">
        <v>52</v>
      </c>
      <c r="G696" s="33">
        <v>52</v>
      </c>
    </row>
    <row r="697" spans="1:7" x14ac:dyDescent="0.3">
      <c r="A697" s="33">
        <v>0.16</v>
      </c>
      <c r="B697" s="33">
        <v>0.2273</v>
      </c>
      <c r="C697" s="33">
        <v>0.93</v>
      </c>
      <c r="D697" s="33">
        <v>0</v>
      </c>
      <c r="E697" s="33">
        <v>3</v>
      </c>
      <c r="F697" s="33">
        <v>132</v>
      </c>
      <c r="G697" s="33">
        <v>135</v>
      </c>
    </row>
    <row r="698" spans="1:7" x14ac:dyDescent="0.3">
      <c r="A698" s="33">
        <v>0.16</v>
      </c>
      <c r="B698" s="33">
        <v>0.2273</v>
      </c>
      <c r="C698" s="33">
        <v>0.93</v>
      </c>
      <c r="D698" s="33">
        <v>0</v>
      </c>
      <c r="E698" s="33">
        <v>2</v>
      </c>
      <c r="F698" s="33">
        <v>114</v>
      </c>
      <c r="G698" s="33">
        <v>116</v>
      </c>
    </row>
    <row r="699" spans="1:7" x14ac:dyDescent="0.3">
      <c r="A699" s="33">
        <v>0.16</v>
      </c>
      <c r="B699" s="33">
        <v>0.2273</v>
      </c>
      <c r="C699" s="33">
        <v>0.93</v>
      </c>
      <c r="D699" s="33">
        <v>0</v>
      </c>
      <c r="E699" s="33">
        <v>0</v>
      </c>
      <c r="F699" s="33">
        <v>47</v>
      </c>
      <c r="G699" s="33">
        <v>47</v>
      </c>
    </row>
    <row r="700" spans="1:7" x14ac:dyDescent="0.3">
      <c r="A700" s="33">
        <v>0.18</v>
      </c>
      <c r="B700" s="33">
        <v>0.2424</v>
      </c>
      <c r="C700" s="33">
        <v>0.86</v>
      </c>
      <c r="D700" s="33">
        <v>0</v>
      </c>
      <c r="E700" s="33">
        <v>2</v>
      </c>
      <c r="F700" s="33">
        <v>49</v>
      </c>
      <c r="G700" s="33">
        <v>51</v>
      </c>
    </row>
    <row r="701" spans="1:7" x14ac:dyDescent="0.3">
      <c r="A701" s="33">
        <v>0.2</v>
      </c>
      <c r="B701" s="33">
        <v>0.2576</v>
      </c>
      <c r="C701" s="33">
        <v>0.86</v>
      </c>
      <c r="D701" s="33">
        <v>0</v>
      </c>
      <c r="E701" s="33">
        <v>2</v>
      </c>
      <c r="F701" s="33">
        <v>53</v>
      </c>
      <c r="G701" s="33">
        <v>55</v>
      </c>
    </row>
    <row r="702" spans="1:7" x14ac:dyDescent="0.3">
      <c r="A702" s="33">
        <v>0.2</v>
      </c>
      <c r="B702" s="33">
        <v>0.2576</v>
      </c>
      <c r="C702" s="33">
        <v>0.86</v>
      </c>
      <c r="D702" s="33">
        <v>0</v>
      </c>
      <c r="E702" s="33">
        <v>3</v>
      </c>
      <c r="F702" s="33">
        <v>49</v>
      </c>
      <c r="G702" s="33">
        <v>52</v>
      </c>
    </row>
    <row r="703" spans="1:7" x14ac:dyDescent="0.3">
      <c r="A703" s="33">
        <v>0.22</v>
      </c>
      <c r="B703" s="33">
        <v>0.2576</v>
      </c>
      <c r="C703" s="33">
        <v>0.8</v>
      </c>
      <c r="D703" s="33">
        <v>8.9599999999999999E-2</v>
      </c>
      <c r="E703" s="33">
        <v>5</v>
      </c>
      <c r="F703" s="33">
        <v>49</v>
      </c>
      <c r="G703" s="33">
        <v>54</v>
      </c>
    </row>
    <row r="704" spans="1:7" x14ac:dyDescent="0.3">
      <c r="A704" s="33">
        <v>0.24</v>
      </c>
      <c r="B704" s="33">
        <v>0.28789999999999999</v>
      </c>
      <c r="C704" s="33">
        <v>0.75</v>
      </c>
      <c r="D704" s="33">
        <v>0</v>
      </c>
      <c r="E704" s="33">
        <v>7</v>
      </c>
      <c r="F704" s="33">
        <v>45</v>
      </c>
      <c r="G704" s="33">
        <v>52</v>
      </c>
    </row>
    <row r="705" spans="1:7" x14ac:dyDescent="0.3">
      <c r="A705" s="33">
        <v>0.24</v>
      </c>
      <c r="B705" s="33">
        <v>0.2424</v>
      </c>
      <c r="C705" s="33">
        <v>0.75</v>
      </c>
      <c r="D705" s="33">
        <v>0.1343</v>
      </c>
      <c r="E705" s="33">
        <v>3</v>
      </c>
      <c r="F705" s="33">
        <v>61</v>
      </c>
      <c r="G705" s="33">
        <v>64</v>
      </c>
    </row>
    <row r="706" spans="1:7" x14ac:dyDescent="0.3">
      <c r="A706" s="33">
        <v>0.24</v>
      </c>
      <c r="B706" s="33">
        <v>0.28789999999999999</v>
      </c>
      <c r="C706" s="33">
        <v>0.75</v>
      </c>
      <c r="D706" s="33">
        <v>0</v>
      </c>
      <c r="E706" s="33">
        <v>4</v>
      </c>
      <c r="F706" s="33">
        <v>172</v>
      </c>
      <c r="G706" s="33">
        <v>176</v>
      </c>
    </row>
    <row r="707" spans="1:7" x14ac:dyDescent="0.3">
      <c r="A707" s="33">
        <v>0.24</v>
      </c>
      <c r="B707" s="33">
        <v>0.2576</v>
      </c>
      <c r="C707" s="33">
        <v>0.81</v>
      </c>
      <c r="D707" s="33">
        <v>0.1045</v>
      </c>
      <c r="E707" s="33">
        <v>3</v>
      </c>
      <c r="F707" s="33">
        <v>165</v>
      </c>
      <c r="G707" s="33">
        <v>168</v>
      </c>
    </row>
    <row r="708" spans="1:7" x14ac:dyDescent="0.3">
      <c r="A708" s="33">
        <v>0.24</v>
      </c>
      <c r="B708" s="33">
        <v>0.2424</v>
      </c>
      <c r="C708" s="33">
        <v>0.81</v>
      </c>
      <c r="D708" s="33">
        <v>0.1343</v>
      </c>
      <c r="E708" s="33">
        <v>3</v>
      </c>
      <c r="F708" s="33">
        <v>105</v>
      </c>
      <c r="G708" s="33">
        <v>108</v>
      </c>
    </row>
    <row r="709" spans="1:7" x14ac:dyDescent="0.3">
      <c r="A709" s="33">
        <v>0.22</v>
      </c>
      <c r="B709" s="33">
        <v>0.2273</v>
      </c>
      <c r="C709" s="33">
        <v>0.87</v>
      </c>
      <c r="D709" s="33">
        <v>0.1343</v>
      </c>
      <c r="E709" s="33">
        <v>5</v>
      </c>
      <c r="F709" s="33">
        <v>69</v>
      </c>
      <c r="G709" s="33">
        <v>74</v>
      </c>
    </row>
    <row r="710" spans="1:7" x14ac:dyDescent="0.3">
      <c r="A710" s="33">
        <v>0.22</v>
      </c>
      <c r="B710" s="33">
        <v>0.2273</v>
      </c>
      <c r="C710" s="33">
        <v>0.87</v>
      </c>
      <c r="D710" s="33">
        <v>0.1343</v>
      </c>
      <c r="E710" s="33">
        <v>0</v>
      </c>
      <c r="F710" s="33">
        <v>64</v>
      </c>
      <c r="G710" s="33">
        <v>64</v>
      </c>
    </row>
    <row r="711" spans="1:7" x14ac:dyDescent="0.3">
      <c r="A711" s="33">
        <v>0.22</v>
      </c>
      <c r="B711" s="33">
        <v>0.2576</v>
      </c>
      <c r="C711" s="33">
        <v>0.87</v>
      </c>
      <c r="D711" s="33">
        <v>8.9599999999999999E-2</v>
      </c>
      <c r="E711" s="33">
        <v>2</v>
      </c>
      <c r="F711" s="33">
        <v>34</v>
      </c>
      <c r="G711" s="33">
        <v>36</v>
      </c>
    </row>
    <row r="712" spans="1:7" x14ac:dyDescent="0.3">
      <c r="A712" s="33">
        <v>0.2</v>
      </c>
      <c r="B712" s="33">
        <v>0.19700000000000001</v>
      </c>
      <c r="C712" s="33">
        <v>0.93</v>
      </c>
      <c r="D712" s="33">
        <v>0.19400000000000001</v>
      </c>
      <c r="E712" s="33">
        <v>1</v>
      </c>
      <c r="F712" s="33">
        <v>15</v>
      </c>
      <c r="G712" s="33">
        <v>16</v>
      </c>
    </row>
    <row r="713" spans="1:7" x14ac:dyDescent="0.3">
      <c r="A713" s="33">
        <v>0.22</v>
      </c>
      <c r="B713" s="33">
        <v>0.2424</v>
      </c>
      <c r="C713" s="33">
        <v>0.93</v>
      </c>
      <c r="D713" s="33">
        <v>0.1045</v>
      </c>
      <c r="E713" s="33">
        <v>0</v>
      </c>
      <c r="F713" s="33">
        <v>2</v>
      </c>
      <c r="G713" s="33">
        <v>2</v>
      </c>
    </row>
    <row r="714" spans="1:7" x14ac:dyDescent="0.3">
      <c r="A714" s="33">
        <v>0.22</v>
      </c>
      <c r="B714" s="33">
        <v>0.2273</v>
      </c>
      <c r="C714" s="33">
        <v>0.93</v>
      </c>
      <c r="D714" s="33">
        <v>0.19400000000000001</v>
      </c>
      <c r="E714" s="33">
        <v>0</v>
      </c>
      <c r="F714" s="33">
        <v>3</v>
      </c>
      <c r="G714" s="33">
        <v>3</v>
      </c>
    </row>
    <row r="715" spans="1:7" x14ac:dyDescent="0.3">
      <c r="A715" s="33">
        <v>0.22</v>
      </c>
      <c r="B715" s="33">
        <v>0.2273</v>
      </c>
      <c r="C715" s="33">
        <v>0.93</v>
      </c>
      <c r="D715" s="33">
        <v>0.1343</v>
      </c>
      <c r="E715" s="33">
        <v>4</v>
      </c>
      <c r="F715" s="33">
        <v>0</v>
      </c>
      <c r="G715" s="33">
        <v>4</v>
      </c>
    </row>
    <row r="716" spans="1:7" x14ac:dyDescent="0.3">
      <c r="A716" s="33">
        <v>0.22</v>
      </c>
      <c r="B716" s="33">
        <v>0.2273</v>
      </c>
      <c r="C716" s="33">
        <v>0.93</v>
      </c>
      <c r="D716" s="33">
        <v>0.1343</v>
      </c>
      <c r="E716" s="33">
        <v>0</v>
      </c>
      <c r="F716" s="33">
        <v>1</v>
      </c>
      <c r="G716" s="33">
        <v>1</v>
      </c>
    </row>
    <row r="717" spans="1:7" x14ac:dyDescent="0.3">
      <c r="A717" s="33">
        <v>0.22</v>
      </c>
      <c r="B717" s="33">
        <v>0.21210000000000001</v>
      </c>
      <c r="C717" s="33">
        <v>0.93</v>
      </c>
      <c r="D717" s="33">
        <v>0.28360000000000002</v>
      </c>
      <c r="E717" s="33">
        <v>0</v>
      </c>
      <c r="F717" s="33">
        <v>1</v>
      </c>
      <c r="G717" s="33">
        <v>1</v>
      </c>
    </row>
    <row r="718" spans="1:7" x14ac:dyDescent="0.3">
      <c r="A718" s="33">
        <v>0.22</v>
      </c>
      <c r="B718" s="33">
        <v>0.2424</v>
      </c>
      <c r="C718" s="33">
        <v>0.93</v>
      </c>
      <c r="D718" s="33">
        <v>0.1045</v>
      </c>
      <c r="E718" s="33">
        <v>0</v>
      </c>
      <c r="F718" s="33">
        <v>3</v>
      </c>
      <c r="G718" s="33">
        <v>3</v>
      </c>
    </row>
    <row r="719" spans="1:7" x14ac:dyDescent="0.3">
      <c r="A719" s="33">
        <v>0.22</v>
      </c>
      <c r="B719" s="33">
        <v>0.2424</v>
      </c>
      <c r="C719" s="33">
        <v>0.93</v>
      </c>
      <c r="D719" s="33">
        <v>0.1045</v>
      </c>
      <c r="E719" s="33">
        <v>1</v>
      </c>
      <c r="F719" s="33">
        <v>17</v>
      </c>
      <c r="G719" s="33">
        <v>18</v>
      </c>
    </row>
    <row r="720" spans="1:7" x14ac:dyDescent="0.3">
      <c r="A720" s="33">
        <v>0.22</v>
      </c>
      <c r="B720" s="33">
        <v>0.21210000000000001</v>
      </c>
      <c r="C720" s="33">
        <v>0.93</v>
      </c>
      <c r="D720" s="33">
        <v>0.22389999999999999</v>
      </c>
      <c r="E720" s="33">
        <v>1</v>
      </c>
      <c r="F720" s="33">
        <v>48</v>
      </c>
      <c r="G720" s="33">
        <v>49</v>
      </c>
    </row>
    <row r="721" spans="1:7" x14ac:dyDescent="0.3">
      <c r="A721" s="33">
        <v>0.22</v>
      </c>
      <c r="B721" s="33">
        <v>0.21210000000000001</v>
      </c>
      <c r="C721" s="33">
        <v>0.93</v>
      </c>
      <c r="D721" s="33">
        <v>0.22389999999999999</v>
      </c>
      <c r="E721" s="33">
        <v>1</v>
      </c>
      <c r="F721" s="33">
        <v>154</v>
      </c>
      <c r="G721" s="33">
        <v>155</v>
      </c>
    </row>
    <row r="722" spans="1:7" x14ac:dyDescent="0.3">
      <c r="A722" s="33">
        <v>0.24</v>
      </c>
      <c r="B722" s="33">
        <v>0.2576</v>
      </c>
      <c r="C722" s="33">
        <v>0.93</v>
      </c>
      <c r="D722" s="33">
        <v>8.9599999999999999E-2</v>
      </c>
      <c r="E722" s="33">
        <v>4</v>
      </c>
      <c r="F722" s="33">
        <v>119</v>
      </c>
      <c r="G722" s="33">
        <v>123</v>
      </c>
    </row>
    <row r="723" spans="1:7" x14ac:dyDescent="0.3">
      <c r="A723" s="33">
        <v>0.22</v>
      </c>
      <c r="B723" s="33">
        <v>0.2727</v>
      </c>
      <c r="C723" s="33">
        <v>1</v>
      </c>
      <c r="D723" s="33">
        <v>0</v>
      </c>
      <c r="E723" s="33">
        <v>2</v>
      </c>
      <c r="F723" s="33">
        <v>59</v>
      </c>
      <c r="G723" s="33">
        <v>61</v>
      </c>
    </row>
    <row r="724" spans="1:7" x14ac:dyDescent="0.3">
      <c r="A724" s="33">
        <v>0.24</v>
      </c>
      <c r="B724" s="33">
        <v>0.2273</v>
      </c>
      <c r="C724" s="33">
        <v>0.93</v>
      </c>
      <c r="D724" s="33">
        <v>0.19400000000000001</v>
      </c>
      <c r="E724" s="33">
        <v>5</v>
      </c>
      <c r="F724" s="33">
        <v>47</v>
      </c>
      <c r="G724" s="33">
        <v>52</v>
      </c>
    </row>
    <row r="725" spans="1:7" x14ac:dyDescent="0.3">
      <c r="A725" s="33">
        <v>0.24</v>
      </c>
      <c r="B725" s="33">
        <v>0.2273</v>
      </c>
      <c r="C725" s="33">
        <v>0.93</v>
      </c>
      <c r="D725" s="33">
        <v>0.22389999999999999</v>
      </c>
      <c r="E725" s="33">
        <v>3</v>
      </c>
      <c r="F725" s="33">
        <v>61</v>
      </c>
      <c r="G725" s="33">
        <v>64</v>
      </c>
    </row>
    <row r="726" spans="1:7" x14ac:dyDescent="0.3">
      <c r="A726" s="33">
        <v>0.34</v>
      </c>
      <c r="B726" s="33">
        <v>0.33329999999999999</v>
      </c>
      <c r="C726" s="33">
        <v>0.93</v>
      </c>
      <c r="D726" s="33">
        <v>0.16420000000000001</v>
      </c>
      <c r="E726" s="33">
        <v>1</v>
      </c>
      <c r="F726" s="33">
        <v>74</v>
      </c>
      <c r="G726" s="33">
        <v>75</v>
      </c>
    </row>
    <row r="727" spans="1:7" x14ac:dyDescent="0.3">
      <c r="A727" s="33">
        <v>0.38</v>
      </c>
      <c r="B727" s="33">
        <v>0.39389999999999997</v>
      </c>
      <c r="C727" s="33">
        <v>0.82</v>
      </c>
      <c r="D727" s="33">
        <v>0.3881</v>
      </c>
      <c r="E727" s="33">
        <v>2</v>
      </c>
      <c r="F727" s="33">
        <v>61</v>
      </c>
      <c r="G727" s="33">
        <v>63</v>
      </c>
    </row>
    <row r="728" spans="1:7" x14ac:dyDescent="0.3">
      <c r="A728" s="33">
        <v>0.38</v>
      </c>
      <c r="B728" s="33">
        <v>0.39389999999999997</v>
      </c>
      <c r="C728" s="33">
        <v>0.76</v>
      </c>
      <c r="D728" s="33">
        <v>0.32840000000000003</v>
      </c>
      <c r="E728" s="33">
        <v>10</v>
      </c>
      <c r="F728" s="33">
        <v>66</v>
      </c>
      <c r="G728" s="33">
        <v>76</v>
      </c>
    </row>
    <row r="729" spans="1:7" x14ac:dyDescent="0.3">
      <c r="A729" s="33">
        <v>0.36</v>
      </c>
      <c r="B729" s="33">
        <v>0.33329999999999999</v>
      </c>
      <c r="C729" s="33">
        <v>0.71</v>
      </c>
      <c r="D729" s="33">
        <v>0.29849999999999999</v>
      </c>
      <c r="E729" s="33">
        <v>8</v>
      </c>
      <c r="F729" s="33">
        <v>95</v>
      </c>
      <c r="G729" s="33">
        <v>103</v>
      </c>
    </row>
    <row r="730" spans="1:7" x14ac:dyDescent="0.3">
      <c r="A730" s="33">
        <v>0.36</v>
      </c>
      <c r="B730" s="33">
        <v>0.31819999999999998</v>
      </c>
      <c r="C730" s="33">
        <v>0.53</v>
      </c>
      <c r="D730" s="33">
        <v>0.52239999999999998</v>
      </c>
      <c r="E730" s="33">
        <v>7</v>
      </c>
      <c r="F730" s="33">
        <v>183</v>
      </c>
      <c r="G730" s="33">
        <v>190</v>
      </c>
    </row>
    <row r="731" spans="1:7" x14ac:dyDescent="0.3">
      <c r="A731" s="33">
        <v>0.34</v>
      </c>
      <c r="B731" s="33">
        <v>0.28789999999999999</v>
      </c>
      <c r="C731" s="33">
        <v>0.42</v>
      </c>
      <c r="D731" s="33">
        <v>0.55220000000000002</v>
      </c>
      <c r="E731" s="33">
        <v>7</v>
      </c>
      <c r="F731" s="33">
        <v>175</v>
      </c>
      <c r="G731" s="33">
        <v>182</v>
      </c>
    </row>
    <row r="732" spans="1:7" x14ac:dyDescent="0.3">
      <c r="A732" s="33">
        <v>0.28000000000000003</v>
      </c>
      <c r="B732" s="33">
        <v>0.2424</v>
      </c>
      <c r="C732" s="33">
        <v>0.45</v>
      </c>
      <c r="D732" s="33">
        <v>0.49249999999999999</v>
      </c>
      <c r="E732" s="33">
        <v>3</v>
      </c>
      <c r="F732" s="33">
        <v>88</v>
      </c>
      <c r="G732" s="33">
        <v>91</v>
      </c>
    </row>
    <row r="733" spans="1:7" x14ac:dyDescent="0.3">
      <c r="A733" s="33">
        <v>0.24</v>
      </c>
      <c r="B733" s="33">
        <v>0.19700000000000001</v>
      </c>
      <c r="C733" s="33">
        <v>0.48</v>
      </c>
      <c r="D733" s="33">
        <v>0.55220000000000002</v>
      </c>
      <c r="E733" s="33">
        <v>4</v>
      </c>
      <c r="F733" s="33">
        <v>71</v>
      </c>
      <c r="G733" s="33">
        <v>75</v>
      </c>
    </row>
    <row r="734" spans="1:7" x14ac:dyDescent="0.3">
      <c r="A734" s="33">
        <v>0.22</v>
      </c>
      <c r="B734" s="33">
        <v>0.19700000000000001</v>
      </c>
      <c r="C734" s="33">
        <v>0.47</v>
      </c>
      <c r="D734" s="33">
        <v>0.32840000000000003</v>
      </c>
      <c r="E734" s="33">
        <v>1</v>
      </c>
      <c r="F734" s="33">
        <v>62</v>
      </c>
      <c r="G734" s="33">
        <v>63</v>
      </c>
    </row>
    <row r="735" spans="1:7" x14ac:dyDescent="0.3">
      <c r="A735" s="33">
        <v>0.22</v>
      </c>
      <c r="B735" s="33">
        <v>0.21210000000000001</v>
      </c>
      <c r="C735" s="33">
        <v>0.44</v>
      </c>
      <c r="D735" s="33">
        <v>0.25369999999999998</v>
      </c>
      <c r="E735" s="33">
        <v>5</v>
      </c>
      <c r="F735" s="33">
        <v>35</v>
      </c>
      <c r="G735" s="33">
        <v>40</v>
      </c>
    </row>
    <row r="736" spans="1:7" x14ac:dyDescent="0.3">
      <c r="A736" s="33">
        <v>0.2</v>
      </c>
      <c r="B736" s="33">
        <v>0.16669999999999999</v>
      </c>
      <c r="C736" s="33">
        <v>0.44</v>
      </c>
      <c r="D736" s="33">
        <v>0.44779999999999998</v>
      </c>
      <c r="E736" s="33">
        <v>3</v>
      </c>
      <c r="F736" s="33">
        <v>29</v>
      </c>
      <c r="G736" s="33">
        <v>32</v>
      </c>
    </row>
    <row r="737" spans="1:7" x14ac:dyDescent="0.3">
      <c r="A737" s="33">
        <v>0.2</v>
      </c>
      <c r="B737" s="33">
        <v>0.16669999999999999</v>
      </c>
      <c r="C737" s="33">
        <v>0.4</v>
      </c>
      <c r="D737" s="33">
        <v>0.44779999999999998</v>
      </c>
      <c r="E737" s="33">
        <v>1</v>
      </c>
      <c r="F737" s="33">
        <v>11</v>
      </c>
      <c r="G737" s="33">
        <v>12</v>
      </c>
    </row>
    <row r="738" spans="1:7" x14ac:dyDescent="0.3">
      <c r="A738" s="33">
        <v>0.2</v>
      </c>
      <c r="B738" s="33">
        <v>0.1515</v>
      </c>
      <c r="C738" s="33">
        <v>0.44</v>
      </c>
      <c r="D738" s="33">
        <v>0.52239999999999998</v>
      </c>
      <c r="E738" s="33">
        <v>0</v>
      </c>
      <c r="F738" s="33">
        <v>5</v>
      </c>
      <c r="G738" s="33">
        <v>5</v>
      </c>
    </row>
    <row r="739" spans="1:7" x14ac:dyDescent="0.3">
      <c r="A739" s="33">
        <v>0.18</v>
      </c>
      <c r="B739" s="33">
        <v>0.16669999999999999</v>
      </c>
      <c r="C739" s="33">
        <v>0.43</v>
      </c>
      <c r="D739" s="33">
        <v>0.25369999999999998</v>
      </c>
      <c r="E739" s="33">
        <v>0</v>
      </c>
      <c r="F739" s="33">
        <v>2</v>
      </c>
      <c r="G739" s="33">
        <v>2</v>
      </c>
    </row>
    <row r="740" spans="1:7" x14ac:dyDescent="0.3">
      <c r="A740" s="33">
        <v>0.18</v>
      </c>
      <c r="B740" s="33">
        <v>0.16669999999999999</v>
      </c>
      <c r="C740" s="33">
        <v>0.43</v>
      </c>
      <c r="D740" s="33">
        <v>0.25369999999999998</v>
      </c>
      <c r="E740" s="33">
        <v>0</v>
      </c>
      <c r="F740" s="33">
        <v>1</v>
      </c>
      <c r="G740" s="33">
        <v>1</v>
      </c>
    </row>
    <row r="741" spans="1:7" x14ac:dyDescent="0.3">
      <c r="A741" s="33">
        <v>0.16</v>
      </c>
      <c r="B741" s="33">
        <v>0.13639999999999999</v>
      </c>
      <c r="C741" s="33">
        <v>0.5</v>
      </c>
      <c r="D741" s="33">
        <v>0.29849999999999999</v>
      </c>
      <c r="E741" s="33">
        <v>0</v>
      </c>
      <c r="F741" s="33">
        <v>2</v>
      </c>
      <c r="G741" s="33">
        <v>2</v>
      </c>
    </row>
    <row r="742" spans="1:7" x14ac:dyDescent="0.3">
      <c r="A742" s="33">
        <v>0.16</v>
      </c>
      <c r="B742" s="33">
        <v>0.13639999999999999</v>
      </c>
      <c r="C742" s="33">
        <v>0.43</v>
      </c>
      <c r="D742" s="33">
        <v>0.35820000000000002</v>
      </c>
      <c r="E742" s="33">
        <v>0</v>
      </c>
      <c r="F742" s="33">
        <v>39</v>
      </c>
      <c r="G742" s="33">
        <v>39</v>
      </c>
    </row>
    <row r="743" spans="1:7" x14ac:dyDescent="0.3">
      <c r="A743" s="33">
        <v>0.14000000000000001</v>
      </c>
      <c r="B743" s="33">
        <v>0.1212</v>
      </c>
      <c r="C743" s="33">
        <v>0.5</v>
      </c>
      <c r="D743" s="33">
        <v>0.32840000000000003</v>
      </c>
      <c r="E743" s="33">
        <v>1</v>
      </c>
      <c r="F743" s="33">
        <v>86</v>
      </c>
      <c r="G743" s="33">
        <v>87</v>
      </c>
    </row>
    <row r="744" spans="1:7" x14ac:dyDescent="0.3">
      <c r="A744" s="33">
        <v>0.14000000000000001</v>
      </c>
      <c r="B744" s="33">
        <v>0.1212</v>
      </c>
      <c r="C744" s="33">
        <v>0.5</v>
      </c>
      <c r="D744" s="33">
        <v>0.35820000000000002</v>
      </c>
      <c r="E744" s="33">
        <v>4</v>
      </c>
      <c r="F744" s="33">
        <v>184</v>
      </c>
      <c r="G744" s="33">
        <v>188</v>
      </c>
    </row>
    <row r="745" spans="1:7" x14ac:dyDescent="0.3">
      <c r="A745" s="33">
        <v>0.16</v>
      </c>
      <c r="B745" s="33">
        <v>0.13639999999999999</v>
      </c>
      <c r="C745" s="33">
        <v>0.47</v>
      </c>
      <c r="D745" s="33">
        <v>0.29849999999999999</v>
      </c>
      <c r="E745" s="33">
        <v>6</v>
      </c>
      <c r="F745" s="33">
        <v>127</v>
      </c>
      <c r="G745" s="33">
        <v>133</v>
      </c>
    </row>
    <row r="746" spans="1:7" x14ac:dyDescent="0.3">
      <c r="A746" s="33">
        <v>0.18</v>
      </c>
      <c r="B746" s="33">
        <v>0.1515</v>
      </c>
      <c r="C746" s="33">
        <v>0.43</v>
      </c>
      <c r="D746" s="33">
        <v>0.32840000000000003</v>
      </c>
      <c r="E746" s="33">
        <v>2</v>
      </c>
      <c r="F746" s="33">
        <v>50</v>
      </c>
      <c r="G746" s="33">
        <v>52</v>
      </c>
    </row>
    <row r="747" spans="1:7" x14ac:dyDescent="0.3">
      <c r="A747" s="33">
        <v>0.18</v>
      </c>
      <c r="B747" s="33">
        <v>0.13639999999999999</v>
      </c>
      <c r="C747" s="33">
        <v>0.43</v>
      </c>
      <c r="D747" s="33">
        <v>0.44779999999999998</v>
      </c>
      <c r="E747" s="33">
        <v>9</v>
      </c>
      <c r="F747" s="33">
        <v>55</v>
      </c>
      <c r="G747" s="33">
        <v>64</v>
      </c>
    </row>
    <row r="748" spans="1:7" x14ac:dyDescent="0.3">
      <c r="A748" s="33">
        <v>0.2</v>
      </c>
      <c r="B748" s="33">
        <v>0.18179999999999999</v>
      </c>
      <c r="C748" s="33">
        <v>0.4</v>
      </c>
      <c r="D748" s="33">
        <v>0.35820000000000002</v>
      </c>
      <c r="E748" s="33">
        <v>2</v>
      </c>
      <c r="F748" s="33">
        <v>67</v>
      </c>
      <c r="G748" s="33">
        <v>69</v>
      </c>
    </row>
    <row r="749" spans="1:7" x14ac:dyDescent="0.3">
      <c r="A749" s="33">
        <v>0.2</v>
      </c>
      <c r="B749" s="33">
        <v>0.16669999999999999</v>
      </c>
      <c r="C749" s="33">
        <v>0.4</v>
      </c>
      <c r="D749" s="33">
        <v>0.41789999999999999</v>
      </c>
      <c r="E749" s="33">
        <v>4</v>
      </c>
      <c r="F749" s="33">
        <v>47</v>
      </c>
      <c r="G749" s="33">
        <v>51</v>
      </c>
    </row>
    <row r="750" spans="1:7" x14ac:dyDescent="0.3">
      <c r="A750" s="33">
        <v>0.22</v>
      </c>
      <c r="B750" s="33">
        <v>0.19700000000000001</v>
      </c>
      <c r="C750" s="33">
        <v>0.37</v>
      </c>
      <c r="D750" s="33">
        <v>0.3881</v>
      </c>
      <c r="E750" s="33">
        <v>4</v>
      </c>
      <c r="F750" s="33">
        <v>43</v>
      </c>
      <c r="G750" s="33">
        <v>47</v>
      </c>
    </row>
    <row r="751" spans="1:7" x14ac:dyDescent="0.3">
      <c r="A751" s="33">
        <v>0.22</v>
      </c>
      <c r="B751" s="33">
        <v>0.19700000000000001</v>
      </c>
      <c r="C751" s="33">
        <v>0.37</v>
      </c>
      <c r="D751" s="33">
        <v>0.32840000000000003</v>
      </c>
      <c r="E751" s="33">
        <v>4</v>
      </c>
      <c r="F751" s="33">
        <v>56</v>
      </c>
      <c r="G751" s="33">
        <v>60</v>
      </c>
    </row>
    <row r="752" spans="1:7" x14ac:dyDescent="0.3">
      <c r="A752" s="33">
        <v>0.22</v>
      </c>
      <c r="B752" s="33">
        <v>0.21210000000000001</v>
      </c>
      <c r="C752" s="33">
        <v>0.37</v>
      </c>
      <c r="D752" s="33">
        <v>0.25369999999999998</v>
      </c>
      <c r="E752" s="33">
        <v>5</v>
      </c>
      <c r="F752" s="33">
        <v>73</v>
      </c>
      <c r="G752" s="33">
        <v>78</v>
      </c>
    </row>
    <row r="753" spans="1:7" x14ac:dyDescent="0.3">
      <c r="A753" s="33">
        <v>0.2</v>
      </c>
      <c r="B753" s="33">
        <v>0.19700000000000001</v>
      </c>
      <c r="C753" s="33">
        <v>0.4</v>
      </c>
      <c r="D753" s="33">
        <v>0.19400000000000001</v>
      </c>
      <c r="E753" s="33">
        <v>5</v>
      </c>
      <c r="F753" s="33">
        <v>170</v>
      </c>
      <c r="G753" s="33">
        <v>175</v>
      </c>
    </row>
    <row r="754" spans="1:7" x14ac:dyDescent="0.3">
      <c r="A754" s="33">
        <v>0.2</v>
      </c>
      <c r="B754" s="33">
        <v>0.21210000000000001</v>
      </c>
      <c r="C754" s="33">
        <v>0.4</v>
      </c>
      <c r="D754" s="33">
        <v>0.16420000000000001</v>
      </c>
      <c r="E754" s="33">
        <v>2</v>
      </c>
      <c r="F754" s="33">
        <v>145</v>
      </c>
      <c r="G754" s="33">
        <v>147</v>
      </c>
    </row>
    <row r="755" spans="1:7" x14ac:dyDescent="0.3">
      <c r="A755" s="33">
        <v>0.2</v>
      </c>
      <c r="B755" s="33">
        <v>0.2576</v>
      </c>
      <c r="C755" s="33">
        <v>0.4</v>
      </c>
      <c r="D755" s="33">
        <v>0</v>
      </c>
      <c r="E755" s="33">
        <v>4</v>
      </c>
      <c r="F755" s="33">
        <v>92</v>
      </c>
      <c r="G755" s="33">
        <v>96</v>
      </c>
    </row>
    <row r="756" spans="1:7" x14ac:dyDescent="0.3">
      <c r="A756" s="33">
        <v>0.2</v>
      </c>
      <c r="B756" s="33">
        <v>0.2273</v>
      </c>
      <c r="C756" s="33">
        <v>0.47</v>
      </c>
      <c r="D756" s="33">
        <v>8.9599999999999999E-2</v>
      </c>
      <c r="E756" s="33">
        <v>1</v>
      </c>
      <c r="F756" s="33">
        <v>108</v>
      </c>
      <c r="G756" s="33">
        <v>109</v>
      </c>
    </row>
    <row r="757" spans="1:7" x14ac:dyDescent="0.3">
      <c r="A757" s="33">
        <v>0.18</v>
      </c>
      <c r="B757" s="33">
        <v>0.21210000000000001</v>
      </c>
      <c r="C757" s="33">
        <v>0.55000000000000004</v>
      </c>
      <c r="D757" s="33">
        <v>0.1045</v>
      </c>
      <c r="E757" s="33">
        <v>1</v>
      </c>
      <c r="F757" s="33">
        <v>53</v>
      </c>
      <c r="G757" s="33">
        <v>54</v>
      </c>
    </row>
    <row r="758" spans="1:7" x14ac:dyDescent="0.3">
      <c r="A758" s="33">
        <v>0.18</v>
      </c>
      <c r="B758" s="33">
        <v>0.21210000000000001</v>
      </c>
      <c r="C758" s="33">
        <v>0.51</v>
      </c>
      <c r="D758" s="33">
        <v>8.9599999999999999E-2</v>
      </c>
      <c r="E758" s="33">
        <v>2</v>
      </c>
      <c r="F758" s="33">
        <v>39</v>
      </c>
      <c r="G758" s="33">
        <v>41</v>
      </c>
    </row>
    <row r="759" spans="1:7" x14ac:dyDescent="0.3">
      <c r="A759" s="33">
        <v>0.2</v>
      </c>
      <c r="B759" s="33">
        <v>0.2273</v>
      </c>
      <c r="C759" s="33">
        <v>0.47</v>
      </c>
      <c r="D759" s="33">
        <v>0.1045</v>
      </c>
      <c r="E759" s="33">
        <v>4</v>
      </c>
      <c r="F759" s="33">
        <v>34</v>
      </c>
      <c r="G759" s="33">
        <v>38</v>
      </c>
    </row>
    <row r="760" spans="1:7" x14ac:dyDescent="0.3">
      <c r="A760" s="33">
        <v>0.2</v>
      </c>
      <c r="B760" s="33">
        <v>0.2576</v>
      </c>
      <c r="C760" s="33">
        <v>0.44</v>
      </c>
      <c r="D760" s="33">
        <v>0</v>
      </c>
      <c r="E760" s="33">
        <v>3</v>
      </c>
      <c r="F760" s="33">
        <v>10</v>
      </c>
      <c r="G760" s="33">
        <v>13</v>
      </c>
    </row>
    <row r="761" spans="1:7" x14ac:dyDescent="0.3">
      <c r="A761" s="33">
        <v>0.16</v>
      </c>
      <c r="B761" s="33">
        <v>0.2273</v>
      </c>
      <c r="C761" s="33">
        <v>0.59</v>
      </c>
      <c r="D761" s="33">
        <v>0</v>
      </c>
      <c r="E761" s="33">
        <v>0</v>
      </c>
      <c r="F761" s="33">
        <v>7</v>
      </c>
      <c r="G761" s="33">
        <v>7</v>
      </c>
    </row>
    <row r="762" spans="1:7" x14ac:dyDescent="0.3">
      <c r="A762" s="33">
        <v>0.14000000000000001</v>
      </c>
      <c r="B762" s="33">
        <v>0.16669999999999999</v>
      </c>
      <c r="C762" s="33">
        <v>0.63</v>
      </c>
      <c r="D762" s="33">
        <v>0.1045</v>
      </c>
      <c r="E762" s="33">
        <v>0</v>
      </c>
      <c r="F762" s="33">
        <v>1</v>
      </c>
      <c r="G762" s="33">
        <v>1</v>
      </c>
    </row>
    <row r="763" spans="1:7" x14ac:dyDescent="0.3">
      <c r="A763" s="33">
        <v>0.14000000000000001</v>
      </c>
      <c r="B763" s="33">
        <v>0.16669999999999999</v>
      </c>
      <c r="C763" s="33">
        <v>0.63</v>
      </c>
      <c r="D763" s="33">
        <v>0.1045</v>
      </c>
      <c r="E763" s="33">
        <v>0</v>
      </c>
      <c r="F763" s="33">
        <v>1</v>
      </c>
      <c r="G763" s="33">
        <v>1</v>
      </c>
    </row>
    <row r="764" spans="1:7" x14ac:dyDescent="0.3">
      <c r="A764" s="33">
        <v>0.14000000000000001</v>
      </c>
      <c r="B764" s="33">
        <v>0.1515</v>
      </c>
      <c r="C764" s="33">
        <v>0.63</v>
      </c>
      <c r="D764" s="33">
        <v>0.1343</v>
      </c>
      <c r="E764" s="33">
        <v>0</v>
      </c>
      <c r="F764" s="33">
        <v>7</v>
      </c>
      <c r="G764" s="33">
        <v>7</v>
      </c>
    </row>
    <row r="765" spans="1:7" x14ac:dyDescent="0.3">
      <c r="A765" s="33">
        <v>0.16</v>
      </c>
      <c r="B765" s="33">
        <v>0.2273</v>
      </c>
      <c r="C765" s="33">
        <v>0.55000000000000004</v>
      </c>
      <c r="D765" s="33">
        <v>0</v>
      </c>
      <c r="E765" s="33">
        <v>2</v>
      </c>
      <c r="F765" s="33">
        <v>26</v>
      </c>
      <c r="G765" s="33">
        <v>28</v>
      </c>
    </row>
    <row r="766" spans="1:7" x14ac:dyDescent="0.3">
      <c r="A766" s="33">
        <v>0.14000000000000001</v>
      </c>
      <c r="B766" s="33">
        <v>0.21210000000000001</v>
      </c>
      <c r="C766" s="33">
        <v>0.59</v>
      </c>
      <c r="D766" s="33">
        <v>0</v>
      </c>
      <c r="E766" s="33">
        <v>0</v>
      </c>
      <c r="F766" s="33">
        <v>87</v>
      </c>
      <c r="G766" s="33">
        <v>87</v>
      </c>
    </row>
    <row r="767" spans="1:7" x14ac:dyDescent="0.3">
      <c r="A767" s="33">
        <v>0.14000000000000001</v>
      </c>
      <c r="B767" s="33">
        <v>0.1515</v>
      </c>
      <c r="C767" s="33">
        <v>0.74</v>
      </c>
      <c r="D767" s="33">
        <v>0.1343</v>
      </c>
      <c r="E767" s="33">
        <v>3</v>
      </c>
      <c r="F767" s="33">
        <v>217</v>
      </c>
      <c r="G767" s="33">
        <v>220</v>
      </c>
    </row>
    <row r="768" spans="1:7" x14ac:dyDescent="0.3">
      <c r="A768" s="33">
        <v>0.16</v>
      </c>
      <c r="B768" s="33">
        <v>0.18179999999999999</v>
      </c>
      <c r="C768" s="33">
        <v>0.8</v>
      </c>
      <c r="D768" s="33">
        <v>0.1343</v>
      </c>
      <c r="E768" s="33">
        <v>3</v>
      </c>
      <c r="F768" s="33">
        <v>124</v>
      </c>
      <c r="G768" s="33">
        <v>127</v>
      </c>
    </row>
    <row r="769" spans="1:7" x14ac:dyDescent="0.3">
      <c r="A769" s="33">
        <v>0.2</v>
      </c>
      <c r="B769" s="33">
        <v>0.21210000000000001</v>
      </c>
      <c r="C769" s="33">
        <v>0.51</v>
      </c>
      <c r="D769" s="33">
        <v>0.1343</v>
      </c>
      <c r="E769" s="33">
        <v>5</v>
      </c>
      <c r="F769" s="33">
        <v>46</v>
      </c>
      <c r="G769" s="33">
        <v>51</v>
      </c>
    </row>
    <row r="770" spans="1:7" x14ac:dyDescent="0.3">
      <c r="A770" s="33">
        <v>0.22</v>
      </c>
      <c r="B770" s="33">
        <v>0.2273</v>
      </c>
      <c r="C770" s="33">
        <v>0.51</v>
      </c>
      <c r="D770" s="33">
        <v>0.16420000000000001</v>
      </c>
      <c r="E770" s="33">
        <v>3</v>
      </c>
      <c r="F770" s="33">
        <v>61</v>
      </c>
      <c r="G770" s="33">
        <v>64</v>
      </c>
    </row>
    <row r="771" spans="1:7" x14ac:dyDescent="0.3">
      <c r="A771" s="33">
        <v>0.24</v>
      </c>
      <c r="B771" s="33">
        <v>0.2424</v>
      </c>
      <c r="C771" s="33">
        <v>0.48</v>
      </c>
      <c r="D771" s="33">
        <v>0.16420000000000001</v>
      </c>
      <c r="E771" s="33">
        <v>8</v>
      </c>
      <c r="F771" s="33">
        <v>78</v>
      </c>
      <c r="G771" s="33">
        <v>86</v>
      </c>
    </row>
    <row r="772" spans="1:7" x14ac:dyDescent="0.3">
      <c r="A772" s="33">
        <v>0.26</v>
      </c>
      <c r="B772" s="33">
        <v>0.2576</v>
      </c>
      <c r="C772" s="33">
        <v>0.5</v>
      </c>
      <c r="D772" s="33">
        <v>0.22389999999999999</v>
      </c>
      <c r="E772" s="33">
        <v>9</v>
      </c>
      <c r="F772" s="33">
        <v>73</v>
      </c>
      <c r="G772" s="33">
        <v>82</v>
      </c>
    </row>
    <row r="773" spans="1:7" x14ac:dyDescent="0.3">
      <c r="A773" s="33">
        <v>0.28000000000000003</v>
      </c>
      <c r="B773" s="33">
        <v>0.2727</v>
      </c>
      <c r="C773" s="33">
        <v>0.45</v>
      </c>
      <c r="D773" s="33">
        <v>0.16420000000000001</v>
      </c>
      <c r="E773" s="33">
        <v>15</v>
      </c>
      <c r="F773" s="33">
        <v>76</v>
      </c>
      <c r="G773" s="33">
        <v>91</v>
      </c>
    </row>
    <row r="774" spans="1:7" x14ac:dyDescent="0.3">
      <c r="A774" s="33">
        <v>0.28000000000000003</v>
      </c>
      <c r="B774" s="33">
        <v>0.2727</v>
      </c>
      <c r="C774" s="33">
        <v>0.48</v>
      </c>
      <c r="D774" s="33">
        <v>0.25369999999999998</v>
      </c>
      <c r="E774" s="33">
        <v>9</v>
      </c>
      <c r="F774" s="33">
        <v>81</v>
      </c>
      <c r="G774" s="33">
        <v>90</v>
      </c>
    </row>
    <row r="775" spans="1:7" x14ac:dyDescent="0.3">
      <c r="A775" s="33">
        <v>0.3</v>
      </c>
      <c r="B775" s="33">
        <v>0.28789999999999999</v>
      </c>
      <c r="C775" s="33">
        <v>0.42</v>
      </c>
      <c r="D775" s="33">
        <v>0.22389999999999999</v>
      </c>
      <c r="E775" s="33">
        <v>8</v>
      </c>
      <c r="F775" s="33">
        <v>91</v>
      </c>
      <c r="G775" s="33">
        <v>99</v>
      </c>
    </row>
    <row r="776" spans="1:7" x14ac:dyDescent="0.3">
      <c r="A776" s="33">
        <v>0.26</v>
      </c>
      <c r="B776" s="33">
        <v>0.2727</v>
      </c>
      <c r="C776" s="33">
        <v>0.56000000000000005</v>
      </c>
      <c r="D776" s="33">
        <v>0.1343</v>
      </c>
      <c r="E776" s="33">
        <v>10</v>
      </c>
      <c r="F776" s="33">
        <v>195</v>
      </c>
      <c r="G776" s="33">
        <v>205</v>
      </c>
    </row>
    <row r="777" spans="1:7" x14ac:dyDescent="0.3">
      <c r="A777" s="33">
        <v>0.24</v>
      </c>
      <c r="B777" s="33">
        <v>0.2576</v>
      </c>
      <c r="C777" s="33">
        <v>0.6</v>
      </c>
      <c r="D777" s="33">
        <v>0.1045</v>
      </c>
      <c r="E777" s="33">
        <v>3</v>
      </c>
      <c r="F777" s="33">
        <v>152</v>
      </c>
      <c r="G777" s="33">
        <v>155</v>
      </c>
    </row>
    <row r="778" spans="1:7" x14ac:dyDescent="0.3">
      <c r="A778" s="33">
        <v>0.24</v>
      </c>
      <c r="B778" s="33">
        <v>0.2424</v>
      </c>
      <c r="C778" s="33">
        <v>0.65</v>
      </c>
      <c r="D778" s="33">
        <v>0.1343</v>
      </c>
      <c r="E778" s="33">
        <v>1</v>
      </c>
      <c r="F778" s="33">
        <v>102</v>
      </c>
      <c r="G778" s="33">
        <v>103</v>
      </c>
    </row>
    <row r="779" spans="1:7" x14ac:dyDescent="0.3">
      <c r="A779" s="33">
        <v>0.24</v>
      </c>
      <c r="B779" s="33">
        <v>0.2424</v>
      </c>
      <c r="C779" s="33">
        <v>0.65</v>
      </c>
      <c r="D779" s="33">
        <v>0.16420000000000001</v>
      </c>
      <c r="E779" s="33">
        <v>2</v>
      </c>
      <c r="F779" s="33">
        <v>69</v>
      </c>
      <c r="G779" s="33">
        <v>71</v>
      </c>
    </row>
    <row r="780" spans="1:7" x14ac:dyDescent="0.3">
      <c r="A780" s="33">
        <v>0.24</v>
      </c>
      <c r="B780" s="33">
        <v>0.2424</v>
      </c>
      <c r="C780" s="33">
        <v>0.7</v>
      </c>
      <c r="D780" s="33">
        <v>0.16420000000000001</v>
      </c>
      <c r="E780" s="33">
        <v>2</v>
      </c>
      <c r="F780" s="33">
        <v>41</v>
      </c>
      <c r="G780" s="33">
        <v>43</v>
      </c>
    </row>
    <row r="781" spans="1:7" x14ac:dyDescent="0.3">
      <c r="A781" s="33">
        <v>0.24</v>
      </c>
      <c r="B781" s="33">
        <v>0.2424</v>
      </c>
      <c r="C781" s="33">
        <v>0.65</v>
      </c>
      <c r="D781" s="33">
        <v>0.16420000000000001</v>
      </c>
      <c r="E781" s="33">
        <v>1</v>
      </c>
      <c r="F781" s="33">
        <v>45</v>
      </c>
      <c r="G781" s="33">
        <v>46</v>
      </c>
    </row>
    <row r="782" spans="1:7" x14ac:dyDescent="0.3">
      <c r="A782" s="33">
        <v>0.24</v>
      </c>
      <c r="B782" s="33">
        <v>0.2424</v>
      </c>
      <c r="C782" s="33">
        <v>0.7</v>
      </c>
      <c r="D782" s="33">
        <v>0.1343</v>
      </c>
      <c r="E782" s="33">
        <v>1</v>
      </c>
      <c r="F782" s="33">
        <v>30</v>
      </c>
      <c r="G782" s="33">
        <v>31</v>
      </c>
    </row>
    <row r="783" spans="1:7" x14ac:dyDescent="0.3">
      <c r="A783" s="33">
        <v>0.24</v>
      </c>
      <c r="B783" s="33">
        <v>0.2424</v>
      </c>
      <c r="C783" s="33">
        <v>0.7</v>
      </c>
      <c r="D783" s="33">
        <v>0.16420000000000001</v>
      </c>
      <c r="E783" s="33">
        <v>3</v>
      </c>
      <c r="F783" s="33">
        <v>36</v>
      </c>
      <c r="G783" s="33">
        <v>39</v>
      </c>
    </row>
    <row r="784" spans="1:7" x14ac:dyDescent="0.3">
      <c r="A784" s="33">
        <v>0.24</v>
      </c>
      <c r="B784" s="33">
        <v>0.2424</v>
      </c>
      <c r="C784" s="33">
        <v>0.65</v>
      </c>
      <c r="D784" s="33">
        <v>0.16420000000000001</v>
      </c>
      <c r="E784" s="33">
        <v>1</v>
      </c>
      <c r="F784" s="33">
        <v>17</v>
      </c>
      <c r="G784" s="33">
        <v>18</v>
      </c>
    </row>
    <row r="785" spans="1:7" x14ac:dyDescent="0.3">
      <c r="A785" s="33">
        <v>0.24</v>
      </c>
      <c r="B785" s="33">
        <v>0.2424</v>
      </c>
      <c r="C785" s="33">
        <v>0.75</v>
      </c>
      <c r="D785" s="33">
        <v>0.16420000000000001</v>
      </c>
      <c r="E785" s="33">
        <v>5</v>
      </c>
      <c r="F785" s="33">
        <v>12</v>
      </c>
      <c r="G785" s="33">
        <v>17</v>
      </c>
    </row>
    <row r="786" spans="1:7" x14ac:dyDescent="0.3">
      <c r="A786" s="33">
        <v>0.24</v>
      </c>
      <c r="B786" s="33">
        <v>0.2424</v>
      </c>
      <c r="C786" s="33">
        <v>0.75</v>
      </c>
      <c r="D786" s="33">
        <v>0.16420000000000001</v>
      </c>
      <c r="E786" s="33">
        <v>1</v>
      </c>
      <c r="F786" s="33">
        <v>10</v>
      </c>
      <c r="G786" s="33">
        <v>11</v>
      </c>
    </row>
    <row r="787" spans="1:7" x14ac:dyDescent="0.3">
      <c r="A787" s="33">
        <v>0.22</v>
      </c>
      <c r="B787" s="33">
        <v>0.2273</v>
      </c>
      <c r="C787" s="33">
        <v>0.93</v>
      </c>
      <c r="D787" s="33">
        <v>0.1343</v>
      </c>
      <c r="E787" s="33">
        <v>0</v>
      </c>
      <c r="F787" s="33">
        <v>8</v>
      </c>
      <c r="G787" s="33">
        <v>8</v>
      </c>
    </row>
    <row r="788" spans="1:7" x14ac:dyDescent="0.3">
      <c r="A788" s="33">
        <v>0.2</v>
      </c>
      <c r="B788" s="33">
        <v>0.2273</v>
      </c>
      <c r="C788" s="33">
        <v>1</v>
      </c>
      <c r="D788" s="33">
        <v>8.9599999999999999E-2</v>
      </c>
      <c r="E788" s="33">
        <v>0</v>
      </c>
      <c r="F788" s="33">
        <v>9</v>
      </c>
      <c r="G788" s="33">
        <v>9</v>
      </c>
    </row>
    <row r="789" spans="1:7" x14ac:dyDescent="0.3">
      <c r="A789" s="33">
        <v>0.2</v>
      </c>
      <c r="B789" s="33">
        <v>0.2576</v>
      </c>
      <c r="C789" s="33">
        <v>1</v>
      </c>
      <c r="D789" s="33">
        <v>0</v>
      </c>
      <c r="E789" s="33">
        <v>0</v>
      </c>
      <c r="F789" s="33">
        <v>4</v>
      </c>
      <c r="G789" s="33">
        <v>4</v>
      </c>
    </row>
    <row r="790" spans="1:7" x14ac:dyDescent="0.3">
      <c r="A790" s="33">
        <v>0.22</v>
      </c>
      <c r="B790" s="33">
        <v>0.2576</v>
      </c>
      <c r="C790" s="33">
        <v>0.93</v>
      </c>
      <c r="D790" s="33">
        <v>8.9599999999999999E-2</v>
      </c>
      <c r="E790" s="33">
        <v>0</v>
      </c>
      <c r="F790" s="33">
        <v>4</v>
      </c>
      <c r="G790" s="33">
        <v>4</v>
      </c>
    </row>
    <row r="791" spans="1:7" x14ac:dyDescent="0.3">
      <c r="A791" s="33">
        <v>0.2</v>
      </c>
      <c r="B791" s="33">
        <v>0.2273</v>
      </c>
      <c r="C791" s="33">
        <v>1</v>
      </c>
      <c r="D791" s="33">
        <v>8.9599999999999999E-2</v>
      </c>
      <c r="E791" s="33">
        <v>0</v>
      </c>
      <c r="F791" s="33">
        <v>10</v>
      </c>
      <c r="G791" s="33">
        <v>10</v>
      </c>
    </row>
    <row r="792" spans="1:7" x14ac:dyDescent="0.3">
      <c r="A792" s="33">
        <v>0.2</v>
      </c>
      <c r="B792" s="33">
        <v>0.2273</v>
      </c>
      <c r="C792" s="33">
        <v>1</v>
      </c>
      <c r="D792" s="33">
        <v>8.9599999999999999E-2</v>
      </c>
      <c r="E792" s="33">
        <v>3</v>
      </c>
      <c r="F792" s="33">
        <v>17</v>
      </c>
      <c r="G792" s="33">
        <v>20</v>
      </c>
    </row>
    <row r="793" spans="1:7" x14ac:dyDescent="0.3">
      <c r="A793" s="33">
        <v>0.2</v>
      </c>
      <c r="B793" s="33">
        <v>0.21210000000000001</v>
      </c>
      <c r="C793" s="33">
        <v>1</v>
      </c>
      <c r="D793" s="33">
        <v>0.1343</v>
      </c>
      <c r="E793" s="33">
        <v>3</v>
      </c>
      <c r="F793" s="33">
        <v>31</v>
      </c>
      <c r="G793" s="33">
        <v>34</v>
      </c>
    </row>
    <row r="794" spans="1:7" x14ac:dyDescent="0.3">
      <c r="A794" s="33">
        <v>0.22</v>
      </c>
      <c r="B794" s="33">
        <v>0.2273</v>
      </c>
      <c r="C794" s="33">
        <v>1</v>
      </c>
      <c r="D794" s="33">
        <v>0.1343</v>
      </c>
      <c r="E794" s="33">
        <v>1</v>
      </c>
      <c r="F794" s="33">
        <v>46</v>
      </c>
      <c r="G794" s="33">
        <v>47</v>
      </c>
    </row>
    <row r="795" spans="1:7" x14ac:dyDescent="0.3">
      <c r="A795" s="33">
        <v>0.22</v>
      </c>
      <c r="B795" s="33">
        <v>0.2273</v>
      </c>
      <c r="C795" s="33">
        <v>1</v>
      </c>
      <c r="D795" s="33">
        <v>0.16420000000000001</v>
      </c>
      <c r="E795" s="33">
        <v>10</v>
      </c>
      <c r="F795" s="33">
        <v>42</v>
      </c>
      <c r="G795" s="33">
        <v>52</v>
      </c>
    </row>
    <row r="796" spans="1:7" x14ac:dyDescent="0.3">
      <c r="A796" s="33">
        <v>0.22</v>
      </c>
      <c r="B796" s="33">
        <v>0.2273</v>
      </c>
      <c r="C796" s="33">
        <v>1</v>
      </c>
      <c r="D796" s="33">
        <v>0.16420000000000001</v>
      </c>
      <c r="E796" s="33">
        <v>10</v>
      </c>
      <c r="F796" s="33">
        <v>62</v>
      </c>
      <c r="G796" s="33">
        <v>72</v>
      </c>
    </row>
    <row r="797" spans="1:7" x14ac:dyDescent="0.3">
      <c r="A797" s="33">
        <v>0.22</v>
      </c>
      <c r="B797" s="33">
        <v>0.2727</v>
      </c>
      <c r="C797" s="33">
        <v>1</v>
      </c>
      <c r="D797" s="33">
        <v>0</v>
      </c>
      <c r="E797" s="33">
        <v>5</v>
      </c>
      <c r="F797" s="33">
        <v>50</v>
      </c>
      <c r="G797" s="33">
        <v>55</v>
      </c>
    </row>
    <row r="798" spans="1:7" x14ac:dyDescent="0.3">
      <c r="A798" s="33">
        <v>0.22</v>
      </c>
      <c r="B798" s="33">
        <v>0.2727</v>
      </c>
      <c r="C798" s="33">
        <v>1</v>
      </c>
      <c r="D798" s="33">
        <v>0</v>
      </c>
      <c r="E798" s="33">
        <v>11</v>
      </c>
      <c r="F798" s="33">
        <v>49</v>
      </c>
      <c r="G798" s="33">
        <v>60</v>
      </c>
    </row>
    <row r="799" spans="1:7" x14ac:dyDescent="0.3">
      <c r="A799" s="33">
        <v>0.22</v>
      </c>
      <c r="B799" s="33">
        <v>0.2273</v>
      </c>
      <c r="C799" s="33">
        <v>1</v>
      </c>
      <c r="D799" s="33">
        <v>0.1343</v>
      </c>
      <c r="E799" s="33">
        <v>8</v>
      </c>
      <c r="F799" s="33">
        <v>63</v>
      </c>
      <c r="G799" s="33">
        <v>71</v>
      </c>
    </row>
    <row r="800" spans="1:7" x14ac:dyDescent="0.3">
      <c r="A800" s="33">
        <v>0.24</v>
      </c>
      <c r="B800" s="33">
        <v>0.21210000000000001</v>
      </c>
      <c r="C800" s="33">
        <v>1</v>
      </c>
      <c r="D800" s="33">
        <v>0.28360000000000002</v>
      </c>
      <c r="E800" s="33">
        <v>14</v>
      </c>
      <c r="F800" s="33">
        <v>64</v>
      </c>
      <c r="G800" s="33">
        <v>78</v>
      </c>
    </row>
    <row r="801" spans="1:7" x14ac:dyDescent="0.3">
      <c r="A801" s="33">
        <v>0.28000000000000003</v>
      </c>
      <c r="B801" s="33">
        <v>0.2424</v>
      </c>
      <c r="C801" s="33">
        <v>0.93</v>
      </c>
      <c r="D801" s="33">
        <v>0.44779999999999998</v>
      </c>
      <c r="E801" s="33">
        <v>2</v>
      </c>
      <c r="F801" s="33">
        <v>81</v>
      </c>
      <c r="G801" s="33">
        <v>83</v>
      </c>
    </row>
    <row r="802" spans="1:7" x14ac:dyDescent="0.3">
      <c r="A802" s="33">
        <v>0.28000000000000003</v>
      </c>
      <c r="B802" s="33">
        <v>0.2424</v>
      </c>
      <c r="C802" s="33">
        <v>0.93</v>
      </c>
      <c r="D802" s="33">
        <v>0.44779999999999998</v>
      </c>
      <c r="E802" s="33">
        <v>6</v>
      </c>
      <c r="F802" s="33">
        <v>78</v>
      </c>
      <c r="G802" s="33">
        <v>84</v>
      </c>
    </row>
    <row r="803" spans="1:7" x14ac:dyDescent="0.3">
      <c r="A803" s="33">
        <v>0.3</v>
      </c>
      <c r="B803" s="33">
        <v>0.28789999999999999</v>
      </c>
      <c r="C803" s="33">
        <v>0.87</v>
      </c>
      <c r="D803" s="33">
        <v>0.25369999999999998</v>
      </c>
      <c r="E803" s="33">
        <v>5</v>
      </c>
      <c r="F803" s="33">
        <v>64</v>
      </c>
      <c r="G803" s="33">
        <v>69</v>
      </c>
    </row>
    <row r="804" spans="1:7" x14ac:dyDescent="0.3">
      <c r="A804" s="33">
        <v>0.26</v>
      </c>
      <c r="B804" s="33">
        <v>0.2576</v>
      </c>
      <c r="C804" s="33">
        <v>1</v>
      </c>
      <c r="D804" s="33">
        <v>0.19400000000000001</v>
      </c>
      <c r="E804" s="33">
        <v>3</v>
      </c>
      <c r="F804" s="33">
        <v>53</v>
      </c>
      <c r="G804" s="33">
        <v>56</v>
      </c>
    </row>
    <row r="805" spans="1:7" x14ac:dyDescent="0.3">
      <c r="A805" s="33">
        <v>0.26</v>
      </c>
      <c r="B805" s="33">
        <v>0.2727</v>
      </c>
      <c r="C805" s="33">
        <v>0.93</v>
      </c>
      <c r="D805" s="33">
        <v>0.1343</v>
      </c>
      <c r="E805" s="33">
        <v>2</v>
      </c>
      <c r="F805" s="33">
        <v>43</v>
      </c>
      <c r="G805" s="33">
        <v>45</v>
      </c>
    </row>
    <row r="806" spans="1:7" x14ac:dyDescent="0.3">
      <c r="A806" s="33">
        <v>0.26</v>
      </c>
      <c r="B806" s="33">
        <v>0.2576</v>
      </c>
      <c r="C806" s="33">
        <v>0.93</v>
      </c>
      <c r="D806" s="33">
        <v>0.22389999999999999</v>
      </c>
      <c r="E806" s="33">
        <v>7</v>
      </c>
      <c r="F806" s="33">
        <v>52</v>
      </c>
      <c r="G806" s="33">
        <v>59</v>
      </c>
    </row>
    <row r="807" spans="1:7" x14ac:dyDescent="0.3">
      <c r="A807" s="33">
        <v>0.26</v>
      </c>
      <c r="B807" s="33">
        <v>0.2576</v>
      </c>
      <c r="C807" s="33">
        <v>0.7</v>
      </c>
      <c r="D807" s="33">
        <v>0.19400000000000001</v>
      </c>
      <c r="E807" s="33">
        <v>2</v>
      </c>
      <c r="F807" s="33">
        <v>37</v>
      </c>
      <c r="G807" s="33">
        <v>39</v>
      </c>
    </row>
    <row r="808" spans="1:7" x14ac:dyDescent="0.3">
      <c r="A808" s="33">
        <v>0.26</v>
      </c>
      <c r="B808" s="33">
        <v>0.2273</v>
      </c>
      <c r="C808" s="33">
        <v>0.65</v>
      </c>
      <c r="D808" s="33">
        <v>0.41789999999999999</v>
      </c>
      <c r="E808" s="33">
        <v>4</v>
      </c>
      <c r="F808" s="33">
        <v>40</v>
      </c>
      <c r="G808" s="33">
        <v>44</v>
      </c>
    </row>
    <row r="809" spans="1:7" x14ac:dyDescent="0.3">
      <c r="A809" s="33">
        <v>0.26</v>
      </c>
      <c r="B809" s="33">
        <v>0.2273</v>
      </c>
      <c r="C809" s="33">
        <v>0.6</v>
      </c>
      <c r="D809" s="33">
        <v>0.32840000000000003</v>
      </c>
      <c r="E809" s="33">
        <v>0</v>
      </c>
      <c r="F809" s="33">
        <v>20</v>
      </c>
      <c r="G809" s="33">
        <v>20</v>
      </c>
    </row>
    <row r="810" spans="1:7" x14ac:dyDescent="0.3">
      <c r="A810" s="33">
        <v>0.26</v>
      </c>
      <c r="B810" s="33">
        <v>0.28789999999999999</v>
      </c>
      <c r="C810" s="33">
        <v>0.6</v>
      </c>
      <c r="D810" s="33">
        <v>8.9599999999999999E-2</v>
      </c>
      <c r="E810" s="33">
        <v>3</v>
      </c>
      <c r="F810" s="33">
        <v>10</v>
      </c>
      <c r="G810" s="33">
        <v>13</v>
      </c>
    </row>
    <row r="811" spans="1:7" x14ac:dyDescent="0.3">
      <c r="A811" s="33">
        <v>0.26</v>
      </c>
      <c r="B811" s="33">
        <v>0.2273</v>
      </c>
      <c r="C811" s="33">
        <v>0.6</v>
      </c>
      <c r="D811" s="33">
        <v>0.35820000000000002</v>
      </c>
      <c r="E811" s="33">
        <v>0</v>
      </c>
      <c r="F811" s="33">
        <v>2</v>
      </c>
      <c r="G811" s="33">
        <v>2</v>
      </c>
    </row>
    <row r="812" spans="1:7" x14ac:dyDescent="0.3">
      <c r="A812" s="33">
        <v>0.26</v>
      </c>
      <c r="B812" s="33">
        <v>0.2576</v>
      </c>
      <c r="C812" s="33">
        <v>0.6</v>
      </c>
      <c r="D812" s="33">
        <v>0.22389999999999999</v>
      </c>
      <c r="E812" s="33">
        <v>0</v>
      </c>
      <c r="F812" s="33">
        <v>1</v>
      </c>
      <c r="G812" s="33">
        <v>1</v>
      </c>
    </row>
    <row r="813" spans="1:7" x14ac:dyDescent="0.3">
      <c r="A813" s="33">
        <v>0.26</v>
      </c>
      <c r="B813" s="33">
        <v>0.2576</v>
      </c>
      <c r="C813" s="33">
        <v>0.6</v>
      </c>
      <c r="D813" s="33">
        <v>0.22389999999999999</v>
      </c>
      <c r="E813" s="33">
        <v>0</v>
      </c>
      <c r="F813" s="33">
        <v>1</v>
      </c>
      <c r="G813" s="33">
        <v>1</v>
      </c>
    </row>
    <row r="814" spans="1:7" x14ac:dyDescent="0.3">
      <c r="A814" s="33">
        <v>0.24</v>
      </c>
      <c r="B814" s="33">
        <v>0.2424</v>
      </c>
      <c r="C814" s="33">
        <v>0.65</v>
      </c>
      <c r="D814" s="33">
        <v>0.16420000000000001</v>
      </c>
      <c r="E814" s="33">
        <v>0</v>
      </c>
      <c r="F814" s="33">
        <v>8</v>
      </c>
      <c r="G814" s="33">
        <v>8</v>
      </c>
    </row>
    <row r="815" spans="1:7" x14ac:dyDescent="0.3">
      <c r="A815" s="33">
        <v>0.24</v>
      </c>
      <c r="B815" s="33">
        <v>0.2576</v>
      </c>
      <c r="C815" s="33">
        <v>0.65</v>
      </c>
      <c r="D815" s="33">
        <v>0.1045</v>
      </c>
      <c r="E815" s="33">
        <v>2</v>
      </c>
      <c r="F815" s="33">
        <v>21</v>
      </c>
      <c r="G815" s="33">
        <v>23</v>
      </c>
    </row>
    <row r="816" spans="1:7" x14ac:dyDescent="0.3">
      <c r="A816" s="33">
        <v>0.28000000000000003</v>
      </c>
      <c r="B816" s="33">
        <v>0.28789999999999999</v>
      </c>
      <c r="C816" s="33">
        <v>0.56000000000000005</v>
      </c>
      <c r="D816" s="33">
        <v>0.1045</v>
      </c>
      <c r="E816" s="33">
        <v>7</v>
      </c>
      <c r="F816" s="33">
        <v>38</v>
      </c>
      <c r="G816" s="33">
        <v>45</v>
      </c>
    </row>
    <row r="817" spans="1:7" x14ac:dyDescent="0.3">
      <c r="A817" s="33">
        <v>0.3</v>
      </c>
      <c r="B817" s="33">
        <v>0.28789999999999999</v>
      </c>
      <c r="C817" s="33">
        <v>0.52</v>
      </c>
      <c r="D817" s="33">
        <v>0.25369999999999998</v>
      </c>
      <c r="E817" s="33">
        <v>15</v>
      </c>
      <c r="F817" s="33">
        <v>74</v>
      </c>
      <c r="G817" s="33">
        <v>89</v>
      </c>
    </row>
    <row r="818" spans="1:7" x14ac:dyDescent="0.3">
      <c r="A818" s="33">
        <v>0.32</v>
      </c>
      <c r="B818" s="33">
        <v>0.30299999999999999</v>
      </c>
      <c r="C818" s="33">
        <v>0.49</v>
      </c>
      <c r="D818" s="33">
        <v>0.25369999999999998</v>
      </c>
      <c r="E818" s="33">
        <v>28</v>
      </c>
      <c r="F818" s="33">
        <v>89</v>
      </c>
      <c r="G818" s="33">
        <v>117</v>
      </c>
    </row>
    <row r="819" spans="1:7" x14ac:dyDescent="0.3">
      <c r="A819" s="33">
        <v>0.34</v>
      </c>
      <c r="B819" s="33">
        <v>0.33329999999999999</v>
      </c>
      <c r="C819" s="33">
        <v>0.46</v>
      </c>
      <c r="D819" s="33">
        <v>0</v>
      </c>
      <c r="E819" s="33">
        <v>48</v>
      </c>
      <c r="F819" s="33">
        <v>126</v>
      </c>
      <c r="G819" s="33">
        <v>174</v>
      </c>
    </row>
    <row r="820" spans="1:7" x14ac:dyDescent="0.3">
      <c r="A820" s="33">
        <v>0.34</v>
      </c>
      <c r="B820" s="33">
        <v>0.36359999999999998</v>
      </c>
      <c r="C820" s="33">
        <v>0.46</v>
      </c>
      <c r="D820" s="33">
        <v>0</v>
      </c>
      <c r="E820" s="33">
        <v>47</v>
      </c>
      <c r="F820" s="33">
        <v>135</v>
      </c>
      <c r="G820" s="33">
        <v>182</v>
      </c>
    </row>
    <row r="821" spans="1:7" x14ac:dyDescent="0.3">
      <c r="A821" s="33">
        <v>0.34</v>
      </c>
      <c r="B821" s="33">
        <v>0.34849999999999998</v>
      </c>
      <c r="C821" s="33">
        <v>0.46</v>
      </c>
      <c r="D821" s="33">
        <v>8.9599999999999999E-2</v>
      </c>
      <c r="E821" s="33">
        <v>47</v>
      </c>
      <c r="F821" s="33">
        <v>114</v>
      </c>
      <c r="G821" s="33">
        <v>161</v>
      </c>
    </row>
    <row r="822" spans="1:7" x14ac:dyDescent="0.3">
      <c r="A822" s="33">
        <v>0.34</v>
      </c>
      <c r="B822" s="33">
        <v>0.34849999999999998</v>
      </c>
      <c r="C822" s="33">
        <v>0.46</v>
      </c>
      <c r="D822" s="33">
        <v>8.9599999999999999E-2</v>
      </c>
      <c r="E822" s="33">
        <v>52</v>
      </c>
      <c r="F822" s="33">
        <v>130</v>
      </c>
      <c r="G822" s="33">
        <v>182</v>
      </c>
    </row>
    <row r="823" spans="1:7" x14ac:dyDescent="0.3">
      <c r="A823" s="33">
        <v>0.34</v>
      </c>
      <c r="B823" s="33">
        <v>0.34849999999999998</v>
      </c>
      <c r="C823" s="33">
        <v>0.49</v>
      </c>
      <c r="D823" s="33">
        <v>0.1045</v>
      </c>
      <c r="E823" s="33">
        <v>42</v>
      </c>
      <c r="F823" s="33">
        <v>115</v>
      </c>
      <c r="G823" s="33">
        <v>157</v>
      </c>
    </row>
    <row r="824" spans="1:7" x14ac:dyDescent="0.3">
      <c r="A824" s="33">
        <v>0.34</v>
      </c>
      <c r="B824" s="33">
        <v>0.36359999999999998</v>
      </c>
      <c r="C824" s="33">
        <v>0.46</v>
      </c>
      <c r="D824" s="33">
        <v>0</v>
      </c>
      <c r="E824" s="33">
        <v>24</v>
      </c>
      <c r="F824" s="33">
        <v>97</v>
      </c>
      <c r="G824" s="33">
        <v>121</v>
      </c>
    </row>
    <row r="825" spans="1:7" x14ac:dyDescent="0.3">
      <c r="A825" s="33">
        <v>0.3</v>
      </c>
      <c r="B825" s="33">
        <v>0.30299999999999999</v>
      </c>
      <c r="C825" s="33">
        <v>0.56000000000000005</v>
      </c>
      <c r="D825" s="33">
        <v>0.16420000000000001</v>
      </c>
      <c r="E825" s="33">
        <v>13</v>
      </c>
      <c r="F825" s="33">
        <v>65</v>
      </c>
      <c r="G825" s="33">
        <v>78</v>
      </c>
    </row>
    <row r="826" spans="1:7" x14ac:dyDescent="0.3">
      <c r="A826" s="33">
        <v>0.28000000000000003</v>
      </c>
      <c r="B826" s="33">
        <v>0.28789999999999999</v>
      </c>
      <c r="C826" s="33">
        <v>0.61</v>
      </c>
      <c r="D826" s="33">
        <v>0.1343</v>
      </c>
      <c r="E826" s="33">
        <v>1</v>
      </c>
      <c r="F826" s="33">
        <v>20</v>
      </c>
      <c r="G826" s="33">
        <v>21</v>
      </c>
    </row>
    <row r="827" spans="1:7" x14ac:dyDescent="0.3">
      <c r="A827" s="33">
        <v>0.28000000000000003</v>
      </c>
      <c r="B827" s="33">
        <v>0.28789999999999999</v>
      </c>
      <c r="C827" s="33">
        <v>0.61</v>
      </c>
      <c r="D827" s="33">
        <v>0.1045</v>
      </c>
      <c r="E827" s="33">
        <v>5</v>
      </c>
      <c r="F827" s="33">
        <v>21</v>
      </c>
      <c r="G827" s="33">
        <v>26</v>
      </c>
    </row>
    <row r="828" spans="1:7" x14ac:dyDescent="0.3">
      <c r="A828" s="33">
        <v>0.26</v>
      </c>
      <c r="B828" s="33">
        <v>0.30299999999999999</v>
      </c>
      <c r="C828" s="33">
        <v>0.6</v>
      </c>
      <c r="D828" s="33">
        <v>0</v>
      </c>
      <c r="E828" s="33">
        <v>5</v>
      </c>
      <c r="F828" s="33">
        <v>22</v>
      </c>
      <c r="G828" s="33">
        <v>27</v>
      </c>
    </row>
    <row r="829" spans="1:7" x14ac:dyDescent="0.3">
      <c r="A829" s="33">
        <v>0.26</v>
      </c>
      <c r="B829" s="33">
        <v>0.30299999999999999</v>
      </c>
      <c r="C829" s="33">
        <v>0.6</v>
      </c>
      <c r="D829" s="33">
        <v>0</v>
      </c>
      <c r="E829" s="33">
        <v>5</v>
      </c>
      <c r="F829" s="33">
        <v>57</v>
      </c>
      <c r="G829" s="33">
        <v>62</v>
      </c>
    </row>
    <row r="830" spans="1:7" x14ac:dyDescent="0.3">
      <c r="A830" s="33">
        <v>0.24</v>
      </c>
      <c r="B830" s="33">
        <v>0.28789999999999999</v>
      </c>
      <c r="C830" s="33">
        <v>0.65</v>
      </c>
      <c r="D830" s="33">
        <v>0</v>
      </c>
      <c r="E830" s="33">
        <v>4</v>
      </c>
      <c r="F830" s="33">
        <v>26</v>
      </c>
      <c r="G830" s="33">
        <v>30</v>
      </c>
    </row>
    <row r="831" spans="1:7" x14ac:dyDescent="0.3">
      <c r="A831" s="33">
        <v>0.24</v>
      </c>
      <c r="B831" s="33">
        <v>0.28789999999999999</v>
      </c>
      <c r="C831" s="33">
        <v>0.65</v>
      </c>
      <c r="D831" s="33">
        <v>0</v>
      </c>
      <c r="E831" s="33">
        <v>1</v>
      </c>
      <c r="F831" s="33">
        <v>14</v>
      </c>
      <c r="G831" s="33">
        <v>15</v>
      </c>
    </row>
    <row r="832" spans="1:7" x14ac:dyDescent="0.3">
      <c r="A832" s="33">
        <v>0.22</v>
      </c>
      <c r="B832" s="33">
        <v>0.2727</v>
      </c>
      <c r="C832" s="33">
        <v>0.75</v>
      </c>
      <c r="D832" s="33">
        <v>0</v>
      </c>
      <c r="E832" s="33">
        <v>1</v>
      </c>
      <c r="F832" s="33">
        <v>4</v>
      </c>
      <c r="G832" s="33">
        <v>5</v>
      </c>
    </row>
    <row r="833" spans="1:7" x14ac:dyDescent="0.3">
      <c r="A833" s="33">
        <v>0.2</v>
      </c>
      <c r="B833" s="33">
        <v>0.2576</v>
      </c>
      <c r="C833" s="33">
        <v>0.8</v>
      </c>
      <c r="D833" s="33">
        <v>0</v>
      </c>
      <c r="E833" s="33">
        <v>0</v>
      </c>
      <c r="F833" s="33">
        <v>3</v>
      </c>
      <c r="G833" s="33">
        <v>3</v>
      </c>
    </row>
    <row r="834" spans="1:7" x14ac:dyDescent="0.3">
      <c r="A834" s="33">
        <v>0.2</v>
      </c>
      <c r="B834" s="33">
        <v>0.2576</v>
      </c>
      <c r="C834" s="33">
        <v>0.86</v>
      </c>
      <c r="D834" s="33">
        <v>0</v>
      </c>
      <c r="E834" s="33">
        <v>0</v>
      </c>
      <c r="F834" s="33">
        <v>1</v>
      </c>
      <c r="G834" s="33">
        <v>1</v>
      </c>
    </row>
    <row r="835" spans="1:7" x14ac:dyDescent="0.3">
      <c r="A835" s="33">
        <v>0.2</v>
      </c>
      <c r="B835" s="33">
        <v>0.2576</v>
      </c>
      <c r="C835" s="33">
        <v>0.86</v>
      </c>
      <c r="D835" s="33">
        <v>0</v>
      </c>
      <c r="E835" s="33">
        <v>1</v>
      </c>
      <c r="F835" s="33">
        <v>1</v>
      </c>
      <c r="G835" s="33">
        <v>2</v>
      </c>
    </row>
    <row r="836" spans="1:7" x14ac:dyDescent="0.3">
      <c r="A836" s="33">
        <v>0.2</v>
      </c>
      <c r="B836" s="33">
        <v>0.2576</v>
      </c>
      <c r="C836" s="33">
        <v>0.86</v>
      </c>
      <c r="D836" s="33">
        <v>0</v>
      </c>
      <c r="E836" s="33">
        <v>1</v>
      </c>
      <c r="F836" s="33">
        <v>9</v>
      </c>
      <c r="G836" s="33">
        <v>10</v>
      </c>
    </row>
    <row r="837" spans="1:7" x14ac:dyDescent="0.3">
      <c r="A837" s="33">
        <v>0.18</v>
      </c>
      <c r="B837" s="33">
        <v>0.2424</v>
      </c>
      <c r="C837" s="33">
        <v>0.93</v>
      </c>
      <c r="D837" s="33">
        <v>0</v>
      </c>
      <c r="E837" s="33">
        <v>1</v>
      </c>
      <c r="F837" s="33">
        <v>29</v>
      </c>
      <c r="G837" s="33">
        <v>30</v>
      </c>
    </row>
    <row r="838" spans="1:7" x14ac:dyDescent="0.3">
      <c r="A838" s="33">
        <v>0.18</v>
      </c>
      <c r="B838" s="33">
        <v>0.2424</v>
      </c>
      <c r="C838" s="33">
        <v>0.86</v>
      </c>
      <c r="D838" s="33">
        <v>0</v>
      </c>
      <c r="E838" s="33">
        <v>6</v>
      </c>
      <c r="F838" s="33">
        <v>89</v>
      </c>
      <c r="G838" s="33">
        <v>95</v>
      </c>
    </row>
    <row r="839" spans="1:7" x14ac:dyDescent="0.3">
      <c r="A839" s="33">
        <v>0.16</v>
      </c>
      <c r="B839" s="33">
        <v>0.2273</v>
      </c>
      <c r="C839" s="33">
        <v>1</v>
      </c>
      <c r="D839" s="33">
        <v>0</v>
      </c>
      <c r="E839" s="33">
        <v>7</v>
      </c>
      <c r="F839" s="33">
        <v>223</v>
      </c>
      <c r="G839" s="33">
        <v>230</v>
      </c>
    </row>
    <row r="840" spans="1:7" x14ac:dyDescent="0.3">
      <c r="A840" s="33">
        <v>0.22</v>
      </c>
      <c r="B840" s="33">
        <v>0.2727</v>
      </c>
      <c r="C840" s="33">
        <v>0.8</v>
      </c>
      <c r="D840" s="33">
        <v>0</v>
      </c>
      <c r="E840" s="33">
        <v>3</v>
      </c>
      <c r="F840" s="33">
        <v>115</v>
      </c>
      <c r="G840" s="33">
        <v>118</v>
      </c>
    </row>
    <row r="841" spans="1:7" x14ac:dyDescent="0.3">
      <c r="A841" s="33">
        <v>0.24</v>
      </c>
      <c r="B841" s="33">
        <v>0.2576</v>
      </c>
      <c r="C841" s="33">
        <v>0.75</v>
      </c>
      <c r="D841" s="33">
        <v>0.1045</v>
      </c>
      <c r="E841" s="33">
        <v>6</v>
      </c>
      <c r="F841" s="33">
        <v>49</v>
      </c>
      <c r="G841" s="33">
        <v>55</v>
      </c>
    </row>
    <row r="842" spans="1:7" x14ac:dyDescent="0.3">
      <c r="A842" s="33">
        <v>0.3</v>
      </c>
      <c r="B842" s="33">
        <v>0.31819999999999998</v>
      </c>
      <c r="C842" s="33">
        <v>0.65</v>
      </c>
      <c r="D842" s="33">
        <v>8.9599999999999999E-2</v>
      </c>
      <c r="E842" s="33">
        <v>11</v>
      </c>
      <c r="F842" s="33">
        <v>36</v>
      </c>
      <c r="G842" s="33">
        <v>47</v>
      </c>
    </row>
    <row r="843" spans="1:7" x14ac:dyDescent="0.3">
      <c r="A843" s="33">
        <v>0.32</v>
      </c>
      <c r="B843" s="33">
        <v>0.34849999999999998</v>
      </c>
      <c r="C843" s="33">
        <v>0.62</v>
      </c>
      <c r="D843" s="33">
        <v>0</v>
      </c>
      <c r="E843" s="33">
        <v>7</v>
      </c>
      <c r="F843" s="33">
        <v>59</v>
      </c>
      <c r="G843" s="33">
        <v>66</v>
      </c>
    </row>
    <row r="844" spans="1:7" x14ac:dyDescent="0.3">
      <c r="A844" s="33">
        <v>0.36</v>
      </c>
      <c r="B844" s="33">
        <v>0.36359999999999998</v>
      </c>
      <c r="C844" s="33">
        <v>0.56999999999999995</v>
      </c>
      <c r="D844" s="33">
        <v>8.9599999999999999E-2</v>
      </c>
      <c r="E844" s="33">
        <v>10</v>
      </c>
      <c r="F844" s="33">
        <v>54</v>
      </c>
      <c r="G844" s="33">
        <v>64</v>
      </c>
    </row>
    <row r="845" spans="1:7" x14ac:dyDescent="0.3">
      <c r="A845" s="33">
        <v>0.36</v>
      </c>
      <c r="B845" s="33">
        <v>0.36359999999999998</v>
      </c>
      <c r="C845" s="33">
        <v>0.56999999999999995</v>
      </c>
      <c r="D845" s="33">
        <v>8.9599999999999999E-2</v>
      </c>
      <c r="E845" s="33">
        <v>8</v>
      </c>
      <c r="F845" s="33">
        <v>52</v>
      </c>
      <c r="G845" s="33">
        <v>60</v>
      </c>
    </row>
    <row r="846" spans="1:7" x14ac:dyDescent="0.3">
      <c r="A846" s="33">
        <v>0.38</v>
      </c>
      <c r="B846" s="33">
        <v>0.39389999999999997</v>
      </c>
      <c r="C846" s="33">
        <v>0.54</v>
      </c>
      <c r="D846" s="33">
        <v>8.9599999999999999E-2</v>
      </c>
      <c r="E846" s="33">
        <v>4</v>
      </c>
      <c r="F846" s="33">
        <v>46</v>
      </c>
      <c r="G846" s="33">
        <v>50</v>
      </c>
    </row>
    <row r="847" spans="1:7" x14ac:dyDescent="0.3">
      <c r="A847" s="33">
        <v>0.36</v>
      </c>
      <c r="B847" s="33">
        <v>0.34849999999999998</v>
      </c>
      <c r="C847" s="33">
        <v>0.56999999999999995</v>
      </c>
      <c r="D847" s="33">
        <v>0.1343</v>
      </c>
      <c r="E847" s="33">
        <v>16</v>
      </c>
      <c r="F847" s="33">
        <v>98</v>
      </c>
      <c r="G847" s="33">
        <v>114</v>
      </c>
    </row>
    <row r="848" spans="1:7" x14ac:dyDescent="0.3">
      <c r="A848" s="33">
        <v>0.32</v>
      </c>
      <c r="B848" s="33">
        <v>0.31819999999999998</v>
      </c>
      <c r="C848" s="33">
        <v>0.7</v>
      </c>
      <c r="D848" s="33">
        <v>0.16420000000000001</v>
      </c>
      <c r="E848" s="33">
        <v>9</v>
      </c>
      <c r="F848" s="33">
        <v>207</v>
      </c>
      <c r="G848" s="33">
        <v>216</v>
      </c>
    </row>
    <row r="849" spans="1:7" x14ac:dyDescent="0.3">
      <c r="A849" s="33">
        <v>0.34</v>
      </c>
      <c r="B849" s="33">
        <v>0.33329999999999999</v>
      </c>
      <c r="C849" s="33">
        <v>0.66</v>
      </c>
      <c r="D849" s="33">
        <v>0.1343</v>
      </c>
      <c r="E849" s="33">
        <v>5</v>
      </c>
      <c r="F849" s="33">
        <v>170</v>
      </c>
      <c r="G849" s="33">
        <v>175</v>
      </c>
    </row>
    <row r="850" spans="1:7" x14ac:dyDescent="0.3">
      <c r="A850" s="33">
        <v>0.32</v>
      </c>
      <c r="B850" s="33">
        <v>0.34849999999999998</v>
      </c>
      <c r="C850" s="33">
        <v>0.7</v>
      </c>
      <c r="D850" s="33">
        <v>0</v>
      </c>
      <c r="E850" s="33">
        <v>5</v>
      </c>
      <c r="F850" s="33">
        <v>123</v>
      </c>
      <c r="G850" s="33">
        <v>128</v>
      </c>
    </row>
    <row r="851" spans="1:7" x14ac:dyDescent="0.3">
      <c r="A851" s="33">
        <v>0.32</v>
      </c>
      <c r="B851" s="33">
        <v>0.33329999999999999</v>
      </c>
      <c r="C851" s="33">
        <v>0.7</v>
      </c>
      <c r="D851" s="33">
        <v>0.1045</v>
      </c>
      <c r="E851" s="33">
        <v>6</v>
      </c>
      <c r="F851" s="33">
        <v>82</v>
      </c>
      <c r="G851" s="33">
        <v>88</v>
      </c>
    </row>
    <row r="852" spans="1:7" x14ac:dyDescent="0.3">
      <c r="A852" s="33">
        <v>0.32</v>
      </c>
      <c r="B852" s="33">
        <v>0.34849999999999998</v>
      </c>
      <c r="C852" s="33">
        <v>0.7</v>
      </c>
      <c r="D852" s="33">
        <v>0</v>
      </c>
      <c r="E852" s="33">
        <v>3</v>
      </c>
      <c r="F852" s="33">
        <v>75</v>
      </c>
      <c r="G852" s="33">
        <v>78</v>
      </c>
    </row>
    <row r="853" spans="1:7" x14ac:dyDescent="0.3">
      <c r="A853" s="33">
        <v>0.28000000000000003</v>
      </c>
      <c r="B853" s="33">
        <v>0.30299999999999999</v>
      </c>
      <c r="C853" s="33">
        <v>0.81</v>
      </c>
      <c r="D853" s="33">
        <v>8.9599999999999999E-2</v>
      </c>
      <c r="E853" s="33">
        <v>3</v>
      </c>
      <c r="F853" s="33">
        <v>34</v>
      </c>
      <c r="G853" s="33">
        <v>37</v>
      </c>
    </row>
    <row r="854" spans="1:7" x14ac:dyDescent="0.3">
      <c r="A854" s="33">
        <v>0.3</v>
      </c>
      <c r="B854" s="33">
        <v>0.33329999999999999</v>
      </c>
      <c r="C854" s="33">
        <v>0.81</v>
      </c>
      <c r="D854" s="33">
        <v>0</v>
      </c>
      <c r="E854" s="33">
        <v>6</v>
      </c>
      <c r="F854" s="33">
        <v>19</v>
      </c>
      <c r="G854" s="33">
        <v>25</v>
      </c>
    </row>
    <row r="855" spans="1:7" x14ac:dyDescent="0.3">
      <c r="A855" s="33">
        <v>0.28000000000000003</v>
      </c>
      <c r="B855" s="33">
        <v>0.31819999999999998</v>
      </c>
      <c r="C855" s="33">
        <v>0.87</v>
      </c>
      <c r="D855" s="33">
        <v>0</v>
      </c>
      <c r="E855" s="33">
        <v>4</v>
      </c>
      <c r="F855" s="33">
        <v>6</v>
      </c>
      <c r="G855" s="33">
        <v>10</v>
      </c>
    </row>
    <row r="856" spans="1:7" x14ac:dyDescent="0.3">
      <c r="A856" s="33">
        <v>0.28000000000000003</v>
      </c>
      <c r="B856" s="33">
        <v>0.31819999999999998</v>
      </c>
      <c r="C856" s="33">
        <v>0.87</v>
      </c>
      <c r="D856" s="33">
        <v>0</v>
      </c>
      <c r="E856" s="33">
        <v>0</v>
      </c>
      <c r="F856" s="33">
        <v>4</v>
      </c>
      <c r="G856" s="33">
        <v>4</v>
      </c>
    </row>
    <row r="857" spans="1:7" x14ac:dyDescent="0.3">
      <c r="A857" s="33">
        <v>0.26</v>
      </c>
      <c r="B857" s="33">
        <v>0.2727</v>
      </c>
      <c r="C857" s="33">
        <v>0.93</v>
      </c>
      <c r="D857" s="33">
        <v>0.1045</v>
      </c>
      <c r="E857" s="33">
        <v>1</v>
      </c>
      <c r="F857" s="33">
        <v>1</v>
      </c>
      <c r="G857" s="33">
        <v>2</v>
      </c>
    </row>
    <row r="858" spans="1:7" x14ac:dyDescent="0.3">
      <c r="A858" s="33">
        <v>0.28000000000000003</v>
      </c>
      <c r="B858" s="33">
        <v>0.2727</v>
      </c>
      <c r="C858" s="33">
        <v>0.93</v>
      </c>
      <c r="D858" s="33">
        <v>0.16420000000000001</v>
      </c>
      <c r="E858" s="33">
        <v>0</v>
      </c>
      <c r="F858" s="33">
        <v>1</v>
      </c>
      <c r="G858" s="33">
        <v>1</v>
      </c>
    </row>
    <row r="859" spans="1:7" x14ac:dyDescent="0.3">
      <c r="A859" s="33">
        <v>0.26</v>
      </c>
      <c r="B859" s="33">
        <v>0.2576</v>
      </c>
      <c r="C859" s="33">
        <v>0.93</v>
      </c>
      <c r="D859" s="33">
        <v>0.16420000000000001</v>
      </c>
      <c r="E859" s="33">
        <v>0</v>
      </c>
      <c r="F859" s="33">
        <v>3</v>
      </c>
      <c r="G859" s="33">
        <v>3</v>
      </c>
    </row>
    <row r="860" spans="1:7" x14ac:dyDescent="0.3">
      <c r="A860" s="33">
        <v>0.26</v>
      </c>
      <c r="B860" s="33">
        <v>0.2273</v>
      </c>
      <c r="C860" s="33">
        <v>0.81</v>
      </c>
      <c r="D860" s="33">
        <v>0.32840000000000003</v>
      </c>
      <c r="E860" s="33">
        <v>0</v>
      </c>
      <c r="F860" s="33">
        <v>2</v>
      </c>
      <c r="G860" s="33">
        <v>2</v>
      </c>
    </row>
    <row r="861" spans="1:7" x14ac:dyDescent="0.3">
      <c r="A861" s="33">
        <v>0.26</v>
      </c>
      <c r="B861" s="33">
        <v>0.2273</v>
      </c>
      <c r="C861" s="33">
        <v>0.7</v>
      </c>
      <c r="D861" s="33">
        <v>0.32840000000000003</v>
      </c>
      <c r="E861" s="33">
        <v>0</v>
      </c>
      <c r="F861" s="33">
        <v>39</v>
      </c>
      <c r="G861" s="33">
        <v>39</v>
      </c>
    </row>
    <row r="862" spans="1:7" x14ac:dyDescent="0.3">
      <c r="A862" s="33">
        <v>0.24</v>
      </c>
      <c r="B862" s="33">
        <v>0.19700000000000001</v>
      </c>
      <c r="C862" s="33">
        <v>0.65</v>
      </c>
      <c r="D862" s="33">
        <v>0.41789999999999999</v>
      </c>
      <c r="E862" s="33">
        <v>3</v>
      </c>
      <c r="F862" s="33">
        <v>97</v>
      </c>
      <c r="G862" s="33">
        <v>100</v>
      </c>
    </row>
    <row r="863" spans="1:7" x14ac:dyDescent="0.3">
      <c r="A863" s="33">
        <v>0.24</v>
      </c>
      <c r="B863" s="33">
        <v>0.19700000000000001</v>
      </c>
      <c r="C863" s="33">
        <v>0.56000000000000005</v>
      </c>
      <c r="D863" s="33">
        <v>0.49249999999999999</v>
      </c>
      <c r="E863" s="33">
        <v>7</v>
      </c>
      <c r="F863" s="33">
        <v>236</v>
      </c>
      <c r="G863" s="33">
        <v>243</v>
      </c>
    </row>
    <row r="864" spans="1:7" x14ac:dyDescent="0.3">
      <c r="A864" s="33">
        <v>0.24</v>
      </c>
      <c r="B864" s="33">
        <v>0.19700000000000001</v>
      </c>
      <c r="C864" s="33">
        <v>0.52</v>
      </c>
      <c r="D864" s="33">
        <v>0.49249999999999999</v>
      </c>
      <c r="E864" s="33">
        <v>7</v>
      </c>
      <c r="F864" s="33">
        <v>128</v>
      </c>
      <c r="G864" s="33">
        <v>135</v>
      </c>
    </row>
    <row r="865" spans="1:7" x14ac:dyDescent="0.3">
      <c r="A865" s="33">
        <v>0.22</v>
      </c>
      <c r="B865" s="33">
        <v>0.18179999999999999</v>
      </c>
      <c r="C865" s="33">
        <v>0.47</v>
      </c>
      <c r="D865" s="33">
        <v>0.55220000000000002</v>
      </c>
      <c r="E865" s="33">
        <v>4</v>
      </c>
      <c r="F865" s="33">
        <v>44</v>
      </c>
      <c r="G865" s="33">
        <v>48</v>
      </c>
    </row>
    <row r="866" spans="1:7" x14ac:dyDescent="0.3">
      <c r="A866" s="33">
        <v>0.22</v>
      </c>
      <c r="B866" s="33">
        <v>0.18179999999999999</v>
      </c>
      <c r="C866" s="33">
        <v>0.47</v>
      </c>
      <c r="D866" s="33">
        <v>0.4627</v>
      </c>
      <c r="E866" s="33">
        <v>1</v>
      </c>
      <c r="F866" s="33">
        <v>49</v>
      </c>
      <c r="G866" s="33">
        <v>50</v>
      </c>
    </row>
    <row r="867" spans="1:7" x14ac:dyDescent="0.3">
      <c r="A867" s="33">
        <v>0.24</v>
      </c>
      <c r="B867" s="33">
        <v>0.19700000000000001</v>
      </c>
      <c r="C867" s="33">
        <v>0.38</v>
      </c>
      <c r="D867" s="33">
        <v>0.49249999999999999</v>
      </c>
      <c r="E867" s="33">
        <v>2</v>
      </c>
      <c r="F867" s="33">
        <v>63</v>
      </c>
      <c r="G867" s="33">
        <v>65</v>
      </c>
    </row>
    <row r="868" spans="1:7" x14ac:dyDescent="0.3">
      <c r="A868" s="33">
        <v>0.24</v>
      </c>
      <c r="B868" s="33">
        <v>0.19700000000000001</v>
      </c>
      <c r="C868" s="33">
        <v>0.32</v>
      </c>
      <c r="D868" s="33">
        <v>0.44779999999999998</v>
      </c>
      <c r="E868" s="33">
        <v>2</v>
      </c>
      <c r="F868" s="33">
        <v>48</v>
      </c>
      <c r="G868" s="33">
        <v>50</v>
      </c>
    </row>
    <row r="869" spans="1:7" x14ac:dyDescent="0.3">
      <c r="A869" s="33">
        <v>0.22</v>
      </c>
      <c r="B869" s="33">
        <v>0.19700000000000001</v>
      </c>
      <c r="C869" s="33">
        <v>0.37</v>
      </c>
      <c r="D869" s="33">
        <v>0.41789999999999999</v>
      </c>
      <c r="E869" s="33">
        <v>3</v>
      </c>
      <c r="F869" s="33">
        <v>61</v>
      </c>
      <c r="G869" s="33">
        <v>64</v>
      </c>
    </row>
    <row r="870" spans="1:7" x14ac:dyDescent="0.3">
      <c r="A870" s="33">
        <v>0.22</v>
      </c>
      <c r="B870" s="33">
        <v>0.19700000000000001</v>
      </c>
      <c r="C870" s="33">
        <v>0.35</v>
      </c>
      <c r="D870" s="33">
        <v>0.3881</v>
      </c>
      <c r="E870" s="33">
        <v>6</v>
      </c>
      <c r="F870" s="33">
        <v>45</v>
      </c>
      <c r="G870" s="33">
        <v>51</v>
      </c>
    </row>
    <row r="871" spans="1:7" x14ac:dyDescent="0.3">
      <c r="A871" s="33">
        <v>0.22</v>
      </c>
      <c r="B871" s="33">
        <v>0.18179999999999999</v>
      </c>
      <c r="C871" s="33">
        <v>0.35</v>
      </c>
      <c r="D871" s="33">
        <v>0.52239999999999998</v>
      </c>
      <c r="E871" s="33">
        <v>4</v>
      </c>
      <c r="F871" s="33">
        <v>79</v>
      </c>
      <c r="G871" s="33">
        <v>83</v>
      </c>
    </row>
    <row r="872" spans="1:7" x14ac:dyDescent="0.3">
      <c r="A872" s="33">
        <v>0.22</v>
      </c>
      <c r="B872" s="33">
        <v>0.18179999999999999</v>
      </c>
      <c r="C872" s="33">
        <v>0.32</v>
      </c>
      <c r="D872" s="33">
        <v>0.58209999999999995</v>
      </c>
      <c r="E872" s="33">
        <v>4</v>
      </c>
      <c r="F872" s="33">
        <v>172</v>
      </c>
      <c r="G872" s="33">
        <v>176</v>
      </c>
    </row>
    <row r="873" spans="1:7" x14ac:dyDescent="0.3">
      <c r="A873" s="33">
        <v>0.2</v>
      </c>
      <c r="B873" s="33">
        <v>0.18179999999999999</v>
      </c>
      <c r="C873" s="33">
        <v>0.32</v>
      </c>
      <c r="D873" s="33">
        <v>0.3881</v>
      </c>
      <c r="E873" s="33">
        <v>1</v>
      </c>
      <c r="F873" s="33">
        <v>151</v>
      </c>
      <c r="G873" s="33">
        <v>152</v>
      </c>
    </row>
    <row r="874" spans="1:7" x14ac:dyDescent="0.3">
      <c r="A874" s="33">
        <v>0.16</v>
      </c>
      <c r="B874" s="33">
        <v>0.1212</v>
      </c>
      <c r="C874" s="33">
        <v>0.4</v>
      </c>
      <c r="D874" s="33">
        <v>0.4627</v>
      </c>
      <c r="E874" s="33">
        <v>1</v>
      </c>
      <c r="F874" s="33">
        <v>100</v>
      </c>
      <c r="G874" s="33">
        <v>101</v>
      </c>
    </row>
    <row r="875" spans="1:7" x14ac:dyDescent="0.3">
      <c r="A875" s="33">
        <v>0.16</v>
      </c>
      <c r="B875" s="33">
        <v>0.13639999999999999</v>
      </c>
      <c r="C875" s="33">
        <v>0.4</v>
      </c>
      <c r="D875" s="33">
        <v>0.32840000000000003</v>
      </c>
      <c r="E875" s="33">
        <v>3</v>
      </c>
      <c r="F875" s="33">
        <v>53</v>
      </c>
      <c r="G875" s="33">
        <v>56</v>
      </c>
    </row>
    <row r="876" spans="1:7" x14ac:dyDescent="0.3">
      <c r="A876" s="33">
        <v>0.14000000000000001</v>
      </c>
      <c r="B876" s="33">
        <v>0.1061</v>
      </c>
      <c r="C876" s="33">
        <v>0.33</v>
      </c>
      <c r="D876" s="33">
        <v>0.4627</v>
      </c>
      <c r="E876" s="33">
        <v>8</v>
      </c>
      <c r="F876" s="33">
        <v>46</v>
      </c>
      <c r="G876" s="33">
        <v>54</v>
      </c>
    </row>
    <row r="877" spans="1:7" x14ac:dyDescent="0.3">
      <c r="A877" s="33">
        <v>0.12</v>
      </c>
      <c r="B877" s="33">
        <v>0.1061</v>
      </c>
      <c r="C877" s="33">
        <v>0.33</v>
      </c>
      <c r="D877" s="33">
        <v>0.35820000000000002</v>
      </c>
      <c r="E877" s="33">
        <v>0</v>
      </c>
      <c r="F877" s="33">
        <v>29</v>
      </c>
      <c r="G877" s="33">
        <v>29</v>
      </c>
    </row>
    <row r="878" spans="1:7" x14ac:dyDescent="0.3">
      <c r="A878" s="33">
        <v>0.12</v>
      </c>
      <c r="B878" s="33">
        <v>0.1061</v>
      </c>
      <c r="C878" s="33">
        <v>0.33</v>
      </c>
      <c r="D878" s="33">
        <v>0.32840000000000003</v>
      </c>
      <c r="E878" s="33">
        <v>3</v>
      </c>
      <c r="F878" s="33">
        <v>9</v>
      </c>
      <c r="G878" s="33">
        <v>12</v>
      </c>
    </row>
    <row r="879" spans="1:7" x14ac:dyDescent="0.3">
      <c r="A879" s="33">
        <v>0.1</v>
      </c>
      <c r="B879" s="33">
        <v>7.5800000000000006E-2</v>
      </c>
      <c r="C879" s="33">
        <v>0.36</v>
      </c>
      <c r="D879" s="33">
        <v>0.35820000000000002</v>
      </c>
      <c r="E879" s="33">
        <v>0</v>
      </c>
      <c r="F879" s="33">
        <v>17</v>
      </c>
      <c r="G879" s="33">
        <v>17</v>
      </c>
    </row>
    <row r="880" spans="1:7" x14ac:dyDescent="0.3">
      <c r="A880" s="33">
        <v>0.1</v>
      </c>
      <c r="B880" s="33">
        <v>0.1061</v>
      </c>
      <c r="C880" s="33">
        <v>0.36</v>
      </c>
      <c r="D880" s="33">
        <v>0.22389999999999999</v>
      </c>
      <c r="E880" s="33">
        <v>0</v>
      </c>
      <c r="F880" s="33">
        <v>7</v>
      </c>
      <c r="G880" s="33">
        <v>7</v>
      </c>
    </row>
    <row r="881" spans="1:7" x14ac:dyDescent="0.3">
      <c r="A881" s="33">
        <v>0.08</v>
      </c>
      <c r="B881" s="33">
        <v>7.5800000000000006E-2</v>
      </c>
      <c r="C881" s="33">
        <v>0.38</v>
      </c>
      <c r="D881" s="33">
        <v>0.28360000000000002</v>
      </c>
      <c r="E881" s="33">
        <v>1</v>
      </c>
      <c r="F881" s="33">
        <v>2</v>
      </c>
      <c r="G881" s="33">
        <v>3</v>
      </c>
    </row>
    <row r="882" spans="1:7" x14ac:dyDescent="0.3">
      <c r="A882" s="33">
        <v>0.06</v>
      </c>
      <c r="B882" s="33">
        <v>7.5800000000000006E-2</v>
      </c>
      <c r="C882" s="33">
        <v>0.45</v>
      </c>
      <c r="D882" s="33">
        <v>0.1343</v>
      </c>
      <c r="E882" s="33">
        <v>0</v>
      </c>
      <c r="F882" s="33">
        <v>2</v>
      </c>
      <c r="G882" s="33">
        <v>2</v>
      </c>
    </row>
    <row r="883" spans="1:7" x14ac:dyDescent="0.3">
      <c r="A883" s="33">
        <v>0.06</v>
      </c>
      <c r="B883" s="33">
        <v>0.1061</v>
      </c>
      <c r="C883" s="33">
        <v>0.45</v>
      </c>
      <c r="D883" s="33">
        <v>0.1045</v>
      </c>
      <c r="E883" s="33">
        <v>0</v>
      </c>
      <c r="F883" s="33">
        <v>7</v>
      </c>
      <c r="G883" s="33">
        <v>7</v>
      </c>
    </row>
    <row r="884" spans="1:7" x14ac:dyDescent="0.3">
      <c r="A884" s="33">
        <v>0.06</v>
      </c>
      <c r="B884" s="33">
        <v>0.1515</v>
      </c>
      <c r="C884" s="33">
        <v>0.45</v>
      </c>
      <c r="D884" s="33">
        <v>0</v>
      </c>
      <c r="E884" s="33">
        <v>0</v>
      </c>
      <c r="F884" s="33">
        <v>43</v>
      </c>
      <c r="G884" s="33">
        <v>43</v>
      </c>
    </row>
    <row r="885" spans="1:7" x14ac:dyDescent="0.3">
      <c r="A885" s="33">
        <v>0.06</v>
      </c>
      <c r="B885" s="33">
        <v>0.1061</v>
      </c>
      <c r="C885" s="33">
        <v>0.49</v>
      </c>
      <c r="D885" s="33">
        <v>0.1045</v>
      </c>
      <c r="E885" s="33">
        <v>4</v>
      </c>
      <c r="F885" s="33">
        <v>95</v>
      </c>
      <c r="G885" s="33">
        <v>99</v>
      </c>
    </row>
    <row r="886" spans="1:7" x14ac:dyDescent="0.3">
      <c r="A886" s="33">
        <v>0.1</v>
      </c>
      <c r="B886" s="33">
        <v>0.13639999999999999</v>
      </c>
      <c r="C886" s="33">
        <v>0.42</v>
      </c>
      <c r="D886" s="33">
        <v>0</v>
      </c>
      <c r="E886" s="33">
        <v>1</v>
      </c>
      <c r="F886" s="33">
        <v>198</v>
      </c>
      <c r="G886" s="33">
        <v>199</v>
      </c>
    </row>
    <row r="887" spans="1:7" x14ac:dyDescent="0.3">
      <c r="A887" s="33">
        <v>0.12</v>
      </c>
      <c r="B887" s="33">
        <v>0.13639999999999999</v>
      </c>
      <c r="C887" s="33">
        <v>0.39</v>
      </c>
      <c r="D887" s="33">
        <v>0.16420000000000001</v>
      </c>
      <c r="E887" s="33">
        <v>4</v>
      </c>
      <c r="F887" s="33">
        <v>119</v>
      </c>
      <c r="G887" s="33">
        <v>123</v>
      </c>
    </row>
    <row r="888" spans="1:7" x14ac:dyDescent="0.3">
      <c r="A888" s="33">
        <v>0.14000000000000001</v>
      </c>
      <c r="B888" s="33">
        <v>0.18179999999999999</v>
      </c>
      <c r="C888" s="33">
        <v>0.36</v>
      </c>
      <c r="D888" s="33">
        <v>0</v>
      </c>
      <c r="E888" s="33">
        <v>8</v>
      </c>
      <c r="F888" s="33">
        <v>51</v>
      </c>
      <c r="G888" s="33">
        <v>59</v>
      </c>
    </row>
    <row r="889" spans="1:7" x14ac:dyDescent="0.3">
      <c r="A889" s="33">
        <v>0.14000000000000001</v>
      </c>
      <c r="B889" s="33">
        <v>0.1515</v>
      </c>
      <c r="C889" s="33">
        <v>0.43</v>
      </c>
      <c r="D889" s="33">
        <v>0.16420000000000001</v>
      </c>
      <c r="E889" s="33">
        <v>1</v>
      </c>
      <c r="F889" s="33">
        <v>40</v>
      </c>
      <c r="G889" s="33">
        <v>41</v>
      </c>
    </row>
    <row r="890" spans="1:7" x14ac:dyDescent="0.3">
      <c r="A890" s="33">
        <v>0.18</v>
      </c>
      <c r="B890" s="33">
        <v>0.18179999999999999</v>
      </c>
      <c r="C890" s="33">
        <v>0.4</v>
      </c>
      <c r="D890" s="33">
        <v>0.22389999999999999</v>
      </c>
      <c r="E890" s="33">
        <v>4</v>
      </c>
      <c r="F890" s="33">
        <v>57</v>
      </c>
      <c r="G890" s="33">
        <v>61</v>
      </c>
    </row>
    <row r="891" spans="1:7" x14ac:dyDescent="0.3">
      <c r="A891" s="33">
        <v>0.18</v>
      </c>
      <c r="B891" s="33">
        <v>0.16669999999999999</v>
      </c>
      <c r="C891" s="33">
        <v>0.4</v>
      </c>
      <c r="D891" s="33">
        <v>0.25369999999999998</v>
      </c>
      <c r="E891" s="33">
        <v>2</v>
      </c>
      <c r="F891" s="33">
        <v>67</v>
      </c>
      <c r="G891" s="33">
        <v>69</v>
      </c>
    </row>
    <row r="892" spans="1:7" x14ac:dyDescent="0.3">
      <c r="A892" s="33">
        <v>0.2</v>
      </c>
      <c r="B892" s="33">
        <v>0.18179999999999999</v>
      </c>
      <c r="C892" s="33">
        <v>0.34</v>
      </c>
      <c r="D892" s="33">
        <v>0.29849999999999999</v>
      </c>
      <c r="E892" s="33">
        <v>2</v>
      </c>
      <c r="F892" s="33">
        <v>56</v>
      </c>
      <c r="G892" s="33">
        <v>58</v>
      </c>
    </row>
    <row r="893" spans="1:7" x14ac:dyDescent="0.3">
      <c r="A893" s="33">
        <v>0.2</v>
      </c>
      <c r="B893" s="33">
        <v>0.18179999999999999</v>
      </c>
      <c r="C893" s="33">
        <v>0.34</v>
      </c>
      <c r="D893" s="33">
        <v>0.28360000000000002</v>
      </c>
      <c r="E893" s="33">
        <v>3</v>
      </c>
      <c r="F893" s="33">
        <v>61</v>
      </c>
      <c r="G893" s="33">
        <v>64</v>
      </c>
    </row>
    <row r="894" spans="1:7" x14ac:dyDescent="0.3">
      <c r="A894" s="33">
        <v>0.2</v>
      </c>
      <c r="B894" s="33">
        <v>0.19700000000000001</v>
      </c>
      <c r="C894" s="33">
        <v>0.37</v>
      </c>
      <c r="D894" s="33">
        <v>0.25369999999999998</v>
      </c>
      <c r="E894" s="33">
        <v>7</v>
      </c>
      <c r="F894" s="33">
        <v>72</v>
      </c>
      <c r="G894" s="33">
        <v>79</v>
      </c>
    </row>
    <row r="895" spans="1:7" x14ac:dyDescent="0.3">
      <c r="A895" s="33">
        <v>0.2</v>
      </c>
      <c r="B895" s="33">
        <v>0.19700000000000001</v>
      </c>
      <c r="C895" s="33">
        <v>0.34</v>
      </c>
      <c r="D895" s="33">
        <v>0.25369999999999998</v>
      </c>
      <c r="E895" s="33">
        <v>9</v>
      </c>
      <c r="F895" s="33">
        <v>157</v>
      </c>
      <c r="G895" s="33">
        <v>166</v>
      </c>
    </row>
    <row r="896" spans="1:7" x14ac:dyDescent="0.3">
      <c r="A896" s="33">
        <v>0.18</v>
      </c>
      <c r="B896" s="33">
        <v>0.16669999999999999</v>
      </c>
      <c r="C896" s="33">
        <v>0.47</v>
      </c>
      <c r="D896" s="33">
        <v>0.29849999999999999</v>
      </c>
      <c r="E896" s="33">
        <v>2</v>
      </c>
      <c r="F896" s="33">
        <v>168</v>
      </c>
      <c r="G896" s="33">
        <v>170</v>
      </c>
    </row>
    <row r="897" spans="1:7" x14ac:dyDescent="0.3">
      <c r="A897" s="33">
        <v>0.14000000000000001</v>
      </c>
      <c r="B897" s="33">
        <v>0.1212</v>
      </c>
      <c r="C897" s="33">
        <v>0.86</v>
      </c>
      <c r="D897" s="33">
        <v>0.25369999999999998</v>
      </c>
      <c r="E897" s="33">
        <v>1</v>
      </c>
      <c r="F897" s="33">
        <v>87</v>
      </c>
      <c r="G897" s="33">
        <v>88</v>
      </c>
    </row>
    <row r="898" spans="1:7" x14ac:dyDescent="0.3">
      <c r="A898" s="33">
        <v>0.14000000000000001</v>
      </c>
      <c r="B898" s="33">
        <v>0.1515</v>
      </c>
      <c r="C898" s="33">
        <v>0.86</v>
      </c>
      <c r="D898" s="33">
        <v>0.16420000000000001</v>
      </c>
      <c r="E898" s="33">
        <v>0</v>
      </c>
      <c r="F898" s="33">
        <v>84</v>
      </c>
      <c r="G898" s="33">
        <v>84</v>
      </c>
    </row>
    <row r="899" spans="1:7" x14ac:dyDescent="0.3">
      <c r="A899" s="33">
        <v>0.14000000000000001</v>
      </c>
      <c r="B899" s="33">
        <v>0.1515</v>
      </c>
      <c r="C899" s="33">
        <v>0.86</v>
      </c>
      <c r="D899" s="33">
        <v>0.16420000000000001</v>
      </c>
      <c r="E899" s="33">
        <v>0</v>
      </c>
      <c r="F899" s="33">
        <v>83</v>
      </c>
      <c r="G899" s="33">
        <v>83</v>
      </c>
    </row>
    <row r="900" spans="1:7" x14ac:dyDescent="0.3">
      <c r="A900" s="33">
        <v>0.16</v>
      </c>
      <c r="B900" s="33">
        <v>0.16669999999999999</v>
      </c>
      <c r="C900" s="33">
        <v>0.8</v>
      </c>
      <c r="D900" s="33">
        <v>0.16420000000000001</v>
      </c>
      <c r="E900" s="33">
        <v>4</v>
      </c>
      <c r="F900" s="33">
        <v>42</v>
      </c>
      <c r="G900" s="33">
        <v>46</v>
      </c>
    </row>
    <row r="901" spans="1:7" x14ac:dyDescent="0.3">
      <c r="A901" s="33">
        <v>0.16</v>
      </c>
      <c r="B901" s="33">
        <v>0.1515</v>
      </c>
      <c r="C901" s="33">
        <v>0.8</v>
      </c>
      <c r="D901" s="33">
        <v>0.19400000000000001</v>
      </c>
      <c r="E901" s="33">
        <v>0</v>
      </c>
      <c r="F901" s="33">
        <v>37</v>
      </c>
      <c r="G901" s="33">
        <v>37</v>
      </c>
    </row>
    <row r="902" spans="1:7" x14ac:dyDescent="0.3">
      <c r="A902" s="33">
        <v>0.14000000000000001</v>
      </c>
      <c r="B902" s="33">
        <v>0.13639999999999999</v>
      </c>
      <c r="C902" s="33">
        <v>0.86</v>
      </c>
      <c r="D902" s="33">
        <v>0.19400000000000001</v>
      </c>
      <c r="E902" s="33">
        <v>0</v>
      </c>
      <c r="F902" s="33">
        <v>16</v>
      </c>
      <c r="G902" s="33">
        <v>16</v>
      </c>
    </row>
    <row r="903" spans="1:7" x14ac:dyDescent="0.3">
      <c r="A903" s="33">
        <v>0.14000000000000001</v>
      </c>
      <c r="B903" s="33">
        <v>0.1515</v>
      </c>
      <c r="C903" s="33">
        <v>0.8</v>
      </c>
      <c r="D903" s="33">
        <v>0.1343</v>
      </c>
      <c r="E903" s="33">
        <v>0</v>
      </c>
      <c r="F903" s="33">
        <v>7</v>
      </c>
      <c r="G903" s="33">
        <v>7</v>
      </c>
    </row>
    <row r="904" spans="1:7" x14ac:dyDescent="0.3">
      <c r="A904" s="33">
        <v>0.14000000000000001</v>
      </c>
      <c r="B904" s="33">
        <v>0.1515</v>
      </c>
      <c r="C904" s="33">
        <v>0.8</v>
      </c>
      <c r="D904" s="33">
        <v>0.1343</v>
      </c>
      <c r="E904" s="33">
        <v>0</v>
      </c>
      <c r="F904" s="33">
        <v>3</v>
      </c>
      <c r="G904" s="33">
        <v>3</v>
      </c>
    </row>
    <row r="905" spans="1:7" x14ac:dyDescent="0.3">
      <c r="A905" s="33">
        <v>0.14000000000000001</v>
      </c>
      <c r="B905" s="33">
        <v>0.13639999999999999</v>
      </c>
      <c r="C905" s="33">
        <v>0.59</v>
      </c>
      <c r="D905" s="33">
        <v>0.22389999999999999</v>
      </c>
      <c r="E905" s="33">
        <v>0</v>
      </c>
      <c r="F905" s="33">
        <v>1</v>
      </c>
      <c r="G905" s="33">
        <v>1</v>
      </c>
    </row>
    <row r="906" spans="1:7" x14ac:dyDescent="0.3">
      <c r="A906" s="33">
        <v>0.12</v>
      </c>
      <c r="B906" s="33">
        <v>0.1212</v>
      </c>
      <c r="C906" s="33">
        <v>0.5</v>
      </c>
      <c r="D906" s="33">
        <v>0.22389999999999999</v>
      </c>
      <c r="E906" s="33">
        <v>0</v>
      </c>
      <c r="F906" s="33">
        <v>6</v>
      </c>
      <c r="G906" s="33">
        <v>6</v>
      </c>
    </row>
    <row r="907" spans="1:7" x14ac:dyDescent="0.3">
      <c r="A907" s="33">
        <v>0.12</v>
      </c>
      <c r="B907" s="33">
        <v>0.1212</v>
      </c>
      <c r="C907" s="33">
        <v>0.54</v>
      </c>
      <c r="D907" s="33">
        <v>0.28360000000000002</v>
      </c>
      <c r="E907" s="33">
        <v>0</v>
      </c>
      <c r="F907" s="33">
        <v>26</v>
      </c>
      <c r="G907" s="33">
        <v>26</v>
      </c>
    </row>
    <row r="908" spans="1:7" x14ac:dyDescent="0.3">
      <c r="A908" s="33">
        <v>0.1</v>
      </c>
      <c r="B908" s="33">
        <v>7.5800000000000006E-2</v>
      </c>
      <c r="C908" s="33">
        <v>0.5</v>
      </c>
      <c r="D908" s="33">
        <v>0.41789999999999999</v>
      </c>
      <c r="E908" s="33">
        <v>0</v>
      </c>
      <c r="F908" s="33">
        <v>99</v>
      </c>
      <c r="G908" s="33">
        <v>99</v>
      </c>
    </row>
    <row r="909" spans="1:7" x14ac:dyDescent="0.3">
      <c r="A909" s="33">
        <v>0.1</v>
      </c>
      <c r="B909" s="33">
        <v>7.5800000000000006E-2</v>
      </c>
      <c r="C909" s="33">
        <v>0.49</v>
      </c>
      <c r="D909" s="33">
        <v>0.32840000000000003</v>
      </c>
      <c r="E909" s="33">
        <v>5</v>
      </c>
      <c r="F909" s="33">
        <v>173</v>
      </c>
      <c r="G909" s="33">
        <v>178</v>
      </c>
    </row>
    <row r="910" spans="1:7" x14ac:dyDescent="0.3">
      <c r="A910" s="33">
        <v>0.12</v>
      </c>
      <c r="B910" s="33">
        <v>0.1061</v>
      </c>
      <c r="C910" s="33">
        <v>0.42</v>
      </c>
      <c r="D910" s="33">
        <v>0.35820000000000002</v>
      </c>
      <c r="E910" s="33">
        <v>1</v>
      </c>
      <c r="F910" s="33">
        <v>121</v>
      </c>
      <c r="G910" s="33">
        <v>122</v>
      </c>
    </row>
    <row r="911" spans="1:7" x14ac:dyDescent="0.3">
      <c r="A911" s="33">
        <v>0.12</v>
      </c>
      <c r="B911" s="33">
        <v>0.1061</v>
      </c>
      <c r="C911" s="33">
        <v>0.42</v>
      </c>
      <c r="D911" s="33">
        <v>0.29849999999999999</v>
      </c>
      <c r="E911" s="33">
        <v>1</v>
      </c>
      <c r="F911" s="33">
        <v>34</v>
      </c>
      <c r="G911" s="33">
        <v>35</v>
      </c>
    </row>
    <row r="912" spans="1:7" x14ac:dyDescent="0.3">
      <c r="A912" s="33">
        <v>0.14000000000000001</v>
      </c>
      <c r="B912" s="33">
        <v>0.1212</v>
      </c>
      <c r="C912" s="33">
        <v>0.39</v>
      </c>
      <c r="D912" s="33">
        <v>0.35820000000000002</v>
      </c>
      <c r="E912" s="33">
        <v>1</v>
      </c>
      <c r="F912" s="33">
        <v>44</v>
      </c>
      <c r="G912" s="33">
        <v>45</v>
      </c>
    </row>
    <row r="913" spans="1:7" x14ac:dyDescent="0.3">
      <c r="A913" s="33">
        <v>0.16</v>
      </c>
      <c r="B913" s="33">
        <v>0.13639999999999999</v>
      </c>
      <c r="C913" s="33">
        <v>0.34</v>
      </c>
      <c r="D913" s="33">
        <v>0.3881</v>
      </c>
      <c r="E913" s="33">
        <v>4</v>
      </c>
      <c r="F913" s="33">
        <v>65</v>
      </c>
      <c r="G913" s="33">
        <v>69</v>
      </c>
    </row>
    <row r="914" spans="1:7" x14ac:dyDescent="0.3">
      <c r="A914" s="33">
        <v>0.18</v>
      </c>
      <c r="B914" s="33">
        <v>0.16669999999999999</v>
      </c>
      <c r="C914" s="33">
        <v>0.28999999999999998</v>
      </c>
      <c r="D914" s="33">
        <v>0.29849999999999999</v>
      </c>
      <c r="E914" s="33">
        <v>3</v>
      </c>
      <c r="F914" s="33">
        <v>59</v>
      </c>
      <c r="G914" s="33">
        <v>62</v>
      </c>
    </row>
    <row r="915" spans="1:7" x14ac:dyDescent="0.3">
      <c r="A915" s="33">
        <v>0.2</v>
      </c>
      <c r="B915" s="33">
        <v>0.18179999999999999</v>
      </c>
      <c r="C915" s="33">
        <v>0.27</v>
      </c>
      <c r="D915" s="33">
        <v>0.28360000000000002</v>
      </c>
      <c r="E915" s="33">
        <v>6</v>
      </c>
      <c r="F915" s="33">
        <v>42</v>
      </c>
      <c r="G915" s="33">
        <v>48</v>
      </c>
    </row>
    <row r="916" spans="1:7" x14ac:dyDescent="0.3">
      <c r="A916" s="33">
        <v>0.2</v>
      </c>
      <c r="B916" s="33">
        <v>0.19700000000000001</v>
      </c>
      <c r="C916" s="33">
        <v>0.25</v>
      </c>
      <c r="D916" s="33">
        <v>0.25369999999999998</v>
      </c>
      <c r="E916" s="33">
        <v>0</v>
      </c>
      <c r="F916" s="33">
        <v>50</v>
      </c>
      <c r="G916" s="33">
        <v>50</v>
      </c>
    </row>
    <row r="917" spans="1:7" x14ac:dyDescent="0.3">
      <c r="A917" s="33">
        <v>0.2</v>
      </c>
      <c r="B917" s="33">
        <v>0.18179999999999999</v>
      </c>
      <c r="C917" s="33">
        <v>0.27</v>
      </c>
      <c r="D917" s="33">
        <v>0.29849999999999999</v>
      </c>
      <c r="E917" s="33">
        <v>4</v>
      </c>
      <c r="F917" s="33">
        <v>76</v>
      </c>
      <c r="G917" s="33">
        <v>80</v>
      </c>
    </row>
    <row r="918" spans="1:7" x14ac:dyDescent="0.3">
      <c r="A918" s="33">
        <v>0.18</v>
      </c>
      <c r="B918" s="33">
        <v>0.18179999999999999</v>
      </c>
      <c r="C918" s="33">
        <v>0.26</v>
      </c>
      <c r="D918" s="33">
        <v>0.19400000000000001</v>
      </c>
      <c r="E918" s="33">
        <v>6</v>
      </c>
      <c r="F918" s="33">
        <v>159</v>
      </c>
      <c r="G918" s="33">
        <v>165</v>
      </c>
    </row>
    <row r="919" spans="1:7" x14ac:dyDescent="0.3">
      <c r="A919" s="33">
        <v>0.16</v>
      </c>
      <c r="B919" s="33">
        <v>0.18179999999999999</v>
      </c>
      <c r="C919" s="33">
        <v>0.28000000000000003</v>
      </c>
      <c r="D919" s="33">
        <v>0.1343</v>
      </c>
      <c r="E919" s="33">
        <v>3</v>
      </c>
      <c r="F919" s="33">
        <v>157</v>
      </c>
      <c r="G919" s="33">
        <v>160</v>
      </c>
    </row>
    <row r="920" spans="1:7" x14ac:dyDescent="0.3">
      <c r="A920" s="33">
        <v>0.14000000000000001</v>
      </c>
      <c r="B920" s="33">
        <v>0.16669999999999999</v>
      </c>
      <c r="C920" s="33">
        <v>0.28000000000000003</v>
      </c>
      <c r="D920" s="33">
        <v>0.1045</v>
      </c>
      <c r="E920" s="33">
        <v>2</v>
      </c>
      <c r="F920" s="33">
        <v>110</v>
      </c>
      <c r="G920" s="33">
        <v>112</v>
      </c>
    </row>
    <row r="921" spans="1:7" x14ac:dyDescent="0.3">
      <c r="A921" s="33">
        <v>0.14000000000000001</v>
      </c>
      <c r="B921" s="33">
        <v>0.18179999999999999</v>
      </c>
      <c r="C921" s="33">
        <v>0.31</v>
      </c>
      <c r="D921" s="33">
        <v>8.9599999999999999E-2</v>
      </c>
      <c r="E921" s="33">
        <v>4</v>
      </c>
      <c r="F921" s="33">
        <v>93</v>
      </c>
      <c r="G921" s="33">
        <v>97</v>
      </c>
    </row>
    <row r="922" spans="1:7" x14ac:dyDescent="0.3">
      <c r="A922" s="33">
        <v>0.14000000000000001</v>
      </c>
      <c r="B922" s="33">
        <v>0.21210000000000001</v>
      </c>
      <c r="C922" s="33">
        <v>0.39</v>
      </c>
      <c r="D922" s="33">
        <v>0</v>
      </c>
      <c r="E922" s="33">
        <v>2</v>
      </c>
      <c r="F922" s="33">
        <v>70</v>
      </c>
      <c r="G922" s="33">
        <v>72</v>
      </c>
    </row>
    <row r="923" spans="1:7" x14ac:dyDescent="0.3">
      <c r="A923" s="33">
        <v>0.12</v>
      </c>
      <c r="B923" s="33">
        <v>0.19700000000000001</v>
      </c>
      <c r="C923" s="33">
        <v>0.39</v>
      </c>
      <c r="D923" s="33">
        <v>0</v>
      </c>
      <c r="E923" s="33">
        <v>4</v>
      </c>
      <c r="F923" s="33">
        <v>47</v>
      </c>
      <c r="G923" s="33">
        <v>51</v>
      </c>
    </row>
    <row r="924" spans="1:7" x14ac:dyDescent="0.3">
      <c r="A924" s="33">
        <v>0.12</v>
      </c>
      <c r="B924" s="33">
        <v>0.1515</v>
      </c>
      <c r="C924" s="33">
        <v>0.42</v>
      </c>
      <c r="D924" s="33">
        <v>0.1045</v>
      </c>
      <c r="E924" s="33">
        <v>1</v>
      </c>
      <c r="F924" s="33">
        <v>33</v>
      </c>
      <c r="G924" s="33">
        <v>34</v>
      </c>
    </row>
    <row r="925" spans="1:7" x14ac:dyDescent="0.3">
      <c r="A925" s="33">
        <v>0.1</v>
      </c>
      <c r="B925" s="33">
        <v>0.13639999999999999</v>
      </c>
      <c r="C925" s="33">
        <v>0.49</v>
      </c>
      <c r="D925" s="33">
        <v>0.1045</v>
      </c>
      <c r="E925" s="33">
        <v>2</v>
      </c>
      <c r="F925" s="33">
        <v>12</v>
      </c>
      <c r="G925" s="33">
        <v>14</v>
      </c>
    </row>
    <row r="926" spans="1:7" x14ac:dyDescent="0.3">
      <c r="A926" s="33">
        <v>0.1</v>
      </c>
      <c r="B926" s="33">
        <v>0.13639999999999999</v>
      </c>
      <c r="C926" s="33">
        <v>0.54</v>
      </c>
      <c r="D926" s="33">
        <v>8.9599999999999999E-2</v>
      </c>
      <c r="E926" s="33">
        <v>1</v>
      </c>
      <c r="F926" s="33">
        <v>6</v>
      </c>
      <c r="G926" s="33">
        <v>7</v>
      </c>
    </row>
    <row r="927" spans="1:7" x14ac:dyDescent="0.3">
      <c r="A927" s="33">
        <v>0.1</v>
      </c>
      <c r="B927" s="33">
        <v>0.13639999999999999</v>
      </c>
      <c r="C927" s="33">
        <v>0.54</v>
      </c>
      <c r="D927" s="33">
        <v>8.9599999999999999E-2</v>
      </c>
      <c r="E927" s="33">
        <v>0</v>
      </c>
      <c r="F927" s="33">
        <v>3</v>
      </c>
      <c r="G927" s="33">
        <v>3</v>
      </c>
    </row>
    <row r="928" spans="1:7" x14ac:dyDescent="0.3">
      <c r="A928" s="33">
        <v>0.08</v>
      </c>
      <c r="B928" s="33">
        <v>0.1212</v>
      </c>
      <c r="C928" s="33">
        <v>0.63</v>
      </c>
      <c r="D928" s="33">
        <v>8.9599999999999999E-2</v>
      </c>
      <c r="E928" s="33">
        <v>0</v>
      </c>
      <c r="F928" s="33">
        <v>4</v>
      </c>
      <c r="G928" s="33">
        <v>4</v>
      </c>
    </row>
    <row r="929" spans="1:7" x14ac:dyDescent="0.3">
      <c r="A929" s="33">
        <v>0.1</v>
      </c>
      <c r="B929" s="33">
        <v>0.18179999999999999</v>
      </c>
      <c r="C929" s="33">
        <v>0.68</v>
      </c>
      <c r="D929" s="33">
        <v>0</v>
      </c>
      <c r="E929" s="33">
        <v>1</v>
      </c>
      <c r="F929" s="33">
        <v>23</v>
      </c>
      <c r="G929" s="33">
        <v>24</v>
      </c>
    </row>
    <row r="930" spans="1:7" x14ac:dyDescent="0.3">
      <c r="A930" s="33">
        <v>0.08</v>
      </c>
      <c r="B930" s="33">
        <v>0.16669999999999999</v>
      </c>
      <c r="C930" s="33">
        <v>0.73</v>
      </c>
      <c r="D930" s="33">
        <v>0</v>
      </c>
      <c r="E930" s="33">
        <v>1</v>
      </c>
      <c r="F930" s="33">
        <v>73</v>
      </c>
      <c r="G930" s="33">
        <v>74</v>
      </c>
    </row>
    <row r="931" spans="1:7" x14ac:dyDescent="0.3">
      <c r="A931" s="33">
        <v>0.1</v>
      </c>
      <c r="B931" s="33">
        <v>0.1212</v>
      </c>
      <c r="C931" s="33">
        <v>0.74</v>
      </c>
      <c r="D931" s="33">
        <v>0.16420000000000001</v>
      </c>
      <c r="E931" s="33">
        <v>4</v>
      </c>
      <c r="F931" s="33">
        <v>212</v>
      </c>
      <c r="G931" s="33">
        <v>216</v>
      </c>
    </row>
    <row r="932" spans="1:7" x14ac:dyDescent="0.3">
      <c r="A932" s="33">
        <v>0.12</v>
      </c>
      <c r="B932" s="33">
        <v>0.1212</v>
      </c>
      <c r="C932" s="33">
        <v>0.74</v>
      </c>
      <c r="D932" s="33">
        <v>0.22389999999999999</v>
      </c>
      <c r="E932" s="33">
        <v>8</v>
      </c>
      <c r="F932" s="33">
        <v>132</v>
      </c>
      <c r="G932" s="33">
        <v>140</v>
      </c>
    </row>
    <row r="933" spans="1:7" x14ac:dyDescent="0.3">
      <c r="A933" s="33">
        <v>0.14000000000000001</v>
      </c>
      <c r="B933" s="33">
        <v>0.13639999999999999</v>
      </c>
      <c r="C933" s="33">
        <v>0.69</v>
      </c>
      <c r="D933" s="33">
        <v>0.19400000000000001</v>
      </c>
      <c r="E933" s="33">
        <v>5</v>
      </c>
      <c r="F933" s="33">
        <v>39</v>
      </c>
      <c r="G933" s="33">
        <v>44</v>
      </c>
    </row>
    <row r="934" spans="1:7" x14ac:dyDescent="0.3">
      <c r="A934" s="33">
        <v>0.22</v>
      </c>
      <c r="B934" s="33">
        <v>0.2273</v>
      </c>
      <c r="C934" s="33">
        <v>0.47</v>
      </c>
      <c r="D934" s="33">
        <v>0.1343</v>
      </c>
      <c r="E934" s="33">
        <v>12</v>
      </c>
      <c r="F934" s="33">
        <v>52</v>
      </c>
      <c r="G934" s="33">
        <v>64</v>
      </c>
    </row>
    <row r="935" spans="1:7" x14ac:dyDescent="0.3">
      <c r="A935" s="33">
        <v>0.22</v>
      </c>
      <c r="B935" s="33">
        <v>0.2273</v>
      </c>
      <c r="C935" s="33">
        <v>0.47</v>
      </c>
      <c r="D935" s="33">
        <v>0.1343</v>
      </c>
      <c r="E935" s="33">
        <v>7</v>
      </c>
      <c r="F935" s="33">
        <v>64</v>
      </c>
      <c r="G935" s="33">
        <v>71</v>
      </c>
    </row>
    <row r="936" spans="1:7" x14ac:dyDescent="0.3">
      <c r="A936" s="33">
        <v>0.24</v>
      </c>
      <c r="B936" s="33">
        <v>0.2273</v>
      </c>
      <c r="C936" s="33">
        <v>0.35</v>
      </c>
      <c r="D936" s="33">
        <v>0.19400000000000001</v>
      </c>
      <c r="E936" s="33">
        <v>21</v>
      </c>
      <c r="F936" s="33">
        <v>89</v>
      </c>
      <c r="G936" s="33">
        <v>110</v>
      </c>
    </row>
    <row r="937" spans="1:7" x14ac:dyDescent="0.3">
      <c r="A937" s="33">
        <v>0.3</v>
      </c>
      <c r="B937" s="33">
        <v>0.28789999999999999</v>
      </c>
      <c r="C937" s="33">
        <v>0.26</v>
      </c>
      <c r="D937" s="33">
        <v>0.25369999999999998</v>
      </c>
      <c r="E937" s="33">
        <v>17</v>
      </c>
      <c r="F937" s="33">
        <v>67</v>
      </c>
      <c r="G937" s="33">
        <v>84</v>
      </c>
    </row>
    <row r="938" spans="1:7" x14ac:dyDescent="0.3">
      <c r="A938" s="33">
        <v>0.32</v>
      </c>
      <c r="B938" s="33">
        <v>0.31819999999999998</v>
      </c>
      <c r="C938" s="33">
        <v>0.21</v>
      </c>
      <c r="D938" s="33">
        <v>0.16420000000000001</v>
      </c>
      <c r="E938" s="33">
        <v>12</v>
      </c>
      <c r="F938" s="33">
        <v>62</v>
      </c>
      <c r="G938" s="33">
        <v>74</v>
      </c>
    </row>
    <row r="939" spans="1:7" x14ac:dyDescent="0.3">
      <c r="A939" s="33">
        <v>0.3</v>
      </c>
      <c r="B939" s="33">
        <v>0.28789999999999999</v>
      </c>
      <c r="C939" s="33">
        <v>0.28000000000000003</v>
      </c>
      <c r="D939" s="33">
        <v>0.19400000000000001</v>
      </c>
      <c r="E939" s="33">
        <v>14</v>
      </c>
      <c r="F939" s="33">
        <v>111</v>
      </c>
      <c r="G939" s="33">
        <v>125</v>
      </c>
    </row>
    <row r="940" spans="1:7" x14ac:dyDescent="0.3">
      <c r="A940" s="33">
        <v>0.3</v>
      </c>
      <c r="B940" s="33">
        <v>0.33329999999999999</v>
      </c>
      <c r="C940" s="33">
        <v>0.24</v>
      </c>
      <c r="D940" s="33">
        <v>0</v>
      </c>
      <c r="E940" s="33">
        <v>18</v>
      </c>
      <c r="F940" s="33">
        <v>193</v>
      </c>
      <c r="G940" s="33">
        <v>211</v>
      </c>
    </row>
    <row r="941" spans="1:7" x14ac:dyDescent="0.3">
      <c r="A941" s="33">
        <v>0.28000000000000003</v>
      </c>
      <c r="B941" s="33">
        <v>0.31819999999999998</v>
      </c>
      <c r="C941" s="33">
        <v>0.28000000000000003</v>
      </c>
      <c r="D941" s="33">
        <v>0</v>
      </c>
      <c r="E941" s="33">
        <v>9</v>
      </c>
      <c r="F941" s="33">
        <v>165</v>
      </c>
      <c r="G941" s="33">
        <v>174</v>
      </c>
    </row>
    <row r="942" spans="1:7" x14ac:dyDescent="0.3">
      <c r="A942" s="33">
        <v>0.26</v>
      </c>
      <c r="B942" s="33">
        <v>0.30299999999999999</v>
      </c>
      <c r="C942" s="33">
        <v>0.33</v>
      </c>
      <c r="D942" s="33">
        <v>0</v>
      </c>
      <c r="E942" s="33">
        <v>7</v>
      </c>
      <c r="F942" s="33">
        <v>94</v>
      </c>
      <c r="G942" s="33">
        <v>101</v>
      </c>
    </row>
    <row r="943" spans="1:7" x14ac:dyDescent="0.3">
      <c r="A943" s="33">
        <v>0.22</v>
      </c>
      <c r="B943" s="33">
        <v>0.2273</v>
      </c>
      <c r="C943" s="33">
        <v>0.55000000000000004</v>
      </c>
      <c r="D943" s="33">
        <v>0.1343</v>
      </c>
      <c r="E943" s="33">
        <v>2</v>
      </c>
      <c r="F943" s="33">
        <v>61</v>
      </c>
      <c r="G943" s="33">
        <v>63</v>
      </c>
    </row>
    <row r="944" spans="1:7" x14ac:dyDescent="0.3">
      <c r="A944" s="33">
        <v>0.2</v>
      </c>
      <c r="B944" s="33">
        <v>0.21210000000000001</v>
      </c>
      <c r="C944" s="33">
        <v>0.59</v>
      </c>
      <c r="D944" s="33">
        <v>0.1343</v>
      </c>
      <c r="E944" s="33">
        <v>1</v>
      </c>
      <c r="F944" s="33">
        <v>46</v>
      </c>
      <c r="G944" s="33">
        <v>47</v>
      </c>
    </row>
    <row r="945" spans="1:7" x14ac:dyDescent="0.3">
      <c r="A945" s="33">
        <v>0.2</v>
      </c>
      <c r="B945" s="33">
        <v>0.2273</v>
      </c>
      <c r="C945" s="33">
        <v>0.64</v>
      </c>
      <c r="D945" s="33">
        <v>8.9599999999999999E-2</v>
      </c>
      <c r="E945" s="33">
        <v>2</v>
      </c>
      <c r="F945" s="33">
        <v>41</v>
      </c>
      <c r="G945" s="33">
        <v>43</v>
      </c>
    </row>
    <row r="946" spans="1:7" x14ac:dyDescent="0.3">
      <c r="A946" s="33">
        <v>0.18</v>
      </c>
      <c r="B946" s="33">
        <v>0.2424</v>
      </c>
      <c r="C946" s="33">
        <v>0.69</v>
      </c>
      <c r="D946" s="33">
        <v>0</v>
      </c>
      <c r="E946" s="33">
        <v>5</v>
      </c>
      <c r="F946" s="33">
        <v>48</v>
      </c>
      <c r="G946" s="33">
        <v>53</v>
      </c>
    </row>
    <row r="947" spans="1:7" x14ac:dyDescent="0.3">
      <c r="A947" s="33">
        <v>0.16</v>
      </c>
      <c r="B947" s="33">
        <v>0.19700000000000001</v>
      </c>
      <c r="C947" s="33">
        <v>0.69</v>
      </c>
      <c r="D947" s="33">
        <v>8.9599999999999999E-2</v>
      </c>
      <c r="E947" s="33">
        <v>3</v>
      </c>
      <c r="F947" s="33">
        <v>27</v>
      </c>
      <c r="G947" s="33">
        <v>30</v>
      </c>
    </row>
    <row r="948" spans="1:7" x14ac:dyDescent="0.3">
      <c r="A948" s="33">
        <v>0.14000000000000001</v>
      </c>
      <c r="B948" s="33">
        <v>0.21210000000000001</v>
      </c>
      <c r="C948" s="33">
        <v>0.86</v>
      </c>
      <c r="D948" s="33">
        <v>0</v>
      </c>
      <c r="E948" s="33">
        <v>2</v>
      </c>
      <c r="F948" s="33">
        <v>22</v>
      </c>
      <c r="G948" s="33">
        <v>24</v>
      </c>
    </row>
    <row r="949" spans="1:7" x14ac:dyDescent="0.3">
      <c r="A949" s="33">
        <v>0.14000000000000001</v>
      </c>
      <c r="B949" s="33">
        <v>0.21210000000000001</v>
      </c>
      <c r="C949" s="33">
        <v>0.8</v>
      </c>
      <c r="D949" s="33">
        <v>0</v>
      </c>
      <c r="E949" s="33">
        <v>2</v>
      </c>
      <c r="F949" s="33">
        <v>13</v>
      </c>
      <c r="G949" s="33">
        <v>15</v>
      </c>
    </row>
    <row r="950" spans="1:7" x14ac:dyDescent="0.3">
      <c r="A950" s="33">
        <v>0.12</v>
      </c>
      <c r="B950" s="33">
        <v>0.19700000000000001</v>
      </c>
      <c r="C950" s="33">
        <v>0.8</v>
      </c>
      <c r="D950" s="33">
        <v>0</v>
      </c>
      <c r="E950" s="33">
        <v>3</v>
      </c>
      <c r="F950" s="33">
        <v>7</v>
      </c>
      <c r="G950" s="33">
        <v>10</v>
      </c>
    </row>
    <row r="951" spans="1:7" x14ac:dyDescent="0.3">
      <c r="A951" s="33">
        <v>0.12</v>
      </c>
      <c r="B951" s="33">
        <v>0.16669999999999999</v>
      </c>
      <c r="C951" s="33">
        <v>0.74</v>
      </c>
      <c r="D951" s="33">
        <v>8.9599999999999999E-2</v>
      </c>
      <c r="E951" s="33">
        <v>0</v>
      </c>
      <c r="F951" s="33">
        <v>4</v>
      </c>
      <c r="G951" s="33">
        <v>4</v>
      </c>
    </row>
    <row r="952" spans="1:7" x14ac:dyDescent="0.3">
      <c r="A952" s="33">
        <v>0.12</v>
      </c>
      <c r="B952" s="33">
        <v>0.16669999999999999</v>
      </c>
      <c r="C952" s="33">
        <v>0.74</v>
      </c>
      <c r="D952" s="33">
        <v>8.9599999999999999E-2</v>
      </c>
      <c r="E952" s="33">
        <v>0</v>
      </c>
      <c r="F952" s="33">
        <v>1</v>
      </c>
      <c r="G952" s="33">
        <v>1</v>
      </c>
    </row>
    <row r="953" spans="1:7" x14ac:dyDescent="0.3">
      <c r="A953" s="33">
        <v>0.12</v>
      </c>
      <c r="B953" s="33">
        <v>0.13639999999999999</v>
      </c>
      <c r="C953" s="33">
        <v>0.93</v>
      </c>
      <c r="D953" s="33">
        <v>0.19400000000000001</v>
      </c>
      <c r="E953" s="33">
        <v>1</v>
      </c>
      <c r="F953" s="33">
        <v>1</v>
      </c>
      <c r="G953" s="33">
        <v>2</v>
      </c>
    </row>
    <row r="954" spans="1:7" x14ac:dyDescent="0.3">
      <c r="A954" s="33">
        <v>0.12</v>
      </c>
      <c r="B954" s="33">
        <v>0.1515</v>
      </c>
      <c r="C954" s="33">
        <v>0.8</v>
      </c>
      <c r="D954" s="33">
        <v>0.1045</v>
      </c>
      <c r="E954" s="33">
        <v>2</v>
      </c>
      <c r="F954" s="33">
        <v>9</v>
      </c>
      <c r="G954" s="33">
        <v>11</v>
      </c>
    </row>
    <row r="955" spans="1:7" x14ac:dyDescent="0.3">
      <c r="A955" s="33">
        <v>0.14000000000000001</v>
      </c>
      <c r="B955" s="33">
        <v>0.1515</v>
      </c>
      <c r="C955" s="33">
        <v>0.86</v>
      </c>
      <c r="D955" s="33">
        <v>0.1343</v>
      </c>
      <c r="E955" s="33">
        <v>2</v>
      </c>
      <c r="F955" s="33">
        <v>28</v>
      </c>
      <c r="G955" s="33">
        <v>30</v>
      </c>
    </row>
    <row r="956" spans="1:7" x14ac:dyDescent="0.3">
      <c r="A956" s="33">
        <v>0.16</v>
      </c>
      <c r="B956" s="33">
        <v>0.18179999999999999</v>
      </c>
      <c r="C956" s="33">
        <v>0.64</v>
      </c>
      <c r="D956" s="33">
        <v>0.1343</v>
      </c>
      <c r="E956" s="33">
        <v>5</v>
      </c>
      <c r="F956" s="33">
        <v>38</v>
      </c>
      <c r="G956" s="33">
        <v>43</v>
      </c>
    </row>
    <row r="957" spans="1:7" x14ac:dyDescent="0.3">
      <c r="A957" s="33">
        <v>0.22</v>
      </c>
      <c r="B957" s="33">
        <v>0.21210000000000001</v>
      </c>
      <c r="C957" s="33">
        <v>0.41</v>
      </c>
      <c r="D957" s="33">
        <v>0.25369999999999998</v>
      </c>
      <c r="E957" s="33">
        <v>13</v>
      </c>
      <c r="F957" s="33">
        <v>71</v>
      </c>
      <c r="G957" s="33">
        <v>84</v>
      </c>
    </row>
    <row r="958" spans="1:7" x14ac:dyDescent="0.3">
      <c r="A958" s="33">
        <v>0.3</v>
      </c>
      <c r="B958" s="33">
        <v>0.2727</v>
      </c>
      <c r="C958" s="33">
        <v>0.28000000000000003</v>
      </c>
      <c r="D958" s="33">
        <v>0.32840000000000003</v>
      </c>
      <c r="E958" s="33">
        <v>30</v>
      </c>
      <c r="F958" s="33">
        <v>84</v>
      </c>
      <c r="G958" s="33">
        <v>114</v>
      </c>
    </row>
    <row r="959" spans="1:7" x14ac:dyDescent="0.3">
      <c r="A959" s="33">
        <v>0.3</v>
      </c>
      <c r="B959" s="33">
        <v>0.2727</v>
      </c>
      <c r="C959" s="33">
        <v>0.39</v>
      </c>
      <c r="D959" s="33">
        <v>0.4627</v>
      </c>
      <c r="E959" s="33">
        <v>27</v>
      </c>
      <c r="F959" s="33">
        <v>93</v>
      </c>
      <c r="G959" s="33">
        <v>120</v>
      </c>
    </row>
    <row r="960" spans="1:7" x14ac:dyDescent="0.3">
      <c r="A960" s="33">
        <v>0.3</v>
      </c>
      <c r="B960" s="33">
        <v>0.2727</v>
      </c>
      <c r="C960" s="33">
        <v>0.39</v>
      </c>
      <c r="D960" s="33">
        <v>0.41789999999999999</v>
      </c>
      <c r="E960" s="33">
        <v>32</v>
      </c>
      <c r="F960" s="33">
        <v>103</v>
      </c>
      <c r="G960" s="33">
        <v>135</v>
      </c>
    </row>
    <row r="961" spans="1:7" x14ac:dyDescent="0.3">
      <c r="A961" s="33">
        <v>0.34</v>
      </c>
      <c r="B961" s="33">
        <v>0.31819999999999998</v>
      </c>
      <c r="C961" s="33">
        <v>0.31</v>
      </c>
      <c r="D961" s="33">
        <v>0.28360000000000002</v>
      </c>
      <c r="E961" s="33">
        <v>30</v>
      </c>
      <c r="F961" s="33">
        <v>90</v>
      </c>
      <c r="G961" s="33">
        <v>120</v>
      </c>
    </row>
    <row r="962" spans="1:7" x14ac:dyDescent="0.3">
      <c r="A962" s="33">
        <v>0.34</v>
      </c>
      <c r="B962" s="33">
        <v>0.30299999999999999</v>
      </c>
      <c r="C962" s="33">
        <v>0.28999999999999998</v>
      </c>
      <c r="D962" s="33">
        <v>0.41789999999999999</v>
      </c>
      <c r="E962" s="33">
        <v>47</v>
      </c>
      <c r="F962" s="33">
        <v>127</v>
      </c>
      <c r="G962" s="33">
        <v>174</v>
      </c>
    </row>
    <row r="963" spans="1:7" x14ac:dyDescent="0.3">
      <c r="A963" s="33">
        <v>0.34</v>
      </c>
      <c r="B963" s="33">
        <v>0.30299999999999999</v>
      </c>
      <c r="C963" s="33">
        <v>0.28999999999999998</v>
      </c>
      <c r="D963" s="33">
        <v>0.41789999999999999</v>
      </c>
      <c r="E963" s="33">
        <v>42</v>
      </c>
      <c r="F963" s="33">
        <v>103</v>
      </c>
      <c r="G963" s="33">
        <v>145</v>
      </c>
    </row>
    <row r="964" spans="1:7" x14ac:dyDescent="0.3">
      <c r="A964" s="33">
        <v>0.32</v>
      </c>
      <c r="B964" s="33">
        <v>0.28789999999999999</v>
      </c>
      <c r="C964" s="33">
        <v>0.31</v>
      </c>
      <c r="D964" s="33">
        <v>0.52239999999999998</v>
      </c>
      <c r="E964" s="33">
        <v>24</v>
      </c>
      <c r="F964" s="33">
        <v>113</v>
      </c>
      <c r="G964" s="33">
        <v>137</v>
      </c>
    </row>
    <row r="965" spans="1:7" x14ac:dyDescent="0.3">
      <c r="A965" s="33">
        <v>0.28000000000000003</v>
      </c>
      <c r="B965" s="33">
        <v>0.2576</v>
      </c>
      <c r="C965" s="33">
        <v>0.38</v>
      </c>
      <c r="D965" s="33">
        <v>0.32840000000000003</v>
      </c>
      <c r="E965" s="33">
        <v>4</v>
      </c>
      <c r="F965" s="33">
        <v>60</v>
      </c>
      <c r="G965" s="33">
        <v>64</v>
      </c>
    </row>
    <row r="966" spans="1:7" x14ac:dyDescent="0.3">
      <c r="A966" s="33">
        <v>0.28000000000000003</v>
      </c>
      <c r="B966" s="33">
        <v>0.2727</v>
      </c>
      <c r="C966" s="33">
        <v>0.38</v>
      </c>
      <c r="D966" s="33">
        <v>0.16420000000000001</v>
      </c>
      <c r="E966" s="33">
        <v>2</v>
      </c>
      <c r="F966" s="33">
        <v>39</v>
      </c>
      <c r="G966" s="33">
        <v>41</v>
      </c>
    </row>
    <row r="967" spans="1:7" x14ac:dyDescent="0.3">
      <c r="A967" s="33">
        <v>0.26</v>
      </c>
      <c r="B967" s="33">
        <v>0.2576</v>
      </c>
      <c r="C967" s="33">
        <v>0.41</v>
      </c>
      <c r="D967" s="33">
        <v>0.22389999999999999</v>
      </c>
      <c r="E967" s="33">
        <v>1</v>
      </c>
      <c r="F967" s="33">
        <v>39</v>
      </c>
      <c r="G967" s="33">
        <v>40</v>
      </c>
    </row>
    <row r="968" spans="1:7" x14ac:dyDescent="0.3">
      <c r="A968" s="33">
        <v>0.26</v>
      </c>
      <c r="B968" s="33">
        <v>0.30299999999999999</v>
      </c>
      <c r="C968" s="33">
        <v>0.41</v>
      </c>
      <c r="D968" s="33">
        <v>0</v>
      </c>
      <c r="E968" s="33">
        <v>9</v>
      </c>
      <c r="F968" s="33">
        <v>42</v>
      </c>
      <c r="G968" s="33">
        <v>51</v>
      </c>
    </row>
    <row r="969" spans="1:7" x14ac:dyDescent="0.3">
      <c r="A969" s="33">
        <v>0.24</v>
      </c>
      <c r="B969" s="33">
        <v>0.2576</v>
      </c>
      <c r="C969" s="33">
        <v>0.44</v>
      </c>
      <c r="D969" s="33">
        <v>8.9599999999999999E-2</v>
      </c>
      <c r="E969" s="33">
        <v>6</v>
      </c>
      <c r="F969" s="33">
        <v>39</v>
      </c>
      <c r="G969" s="33">
        <v>45</v>
      </c>
    </row>
    <row r="970" spans="1:7" x14ac:dyDescent="0.3">
      <c r="A970" s="33">
        <v>0.22</v>
      </c>
      <c r="B970" s="33">
        <v>0.2273</v>
      </c>
      <c r="C970" s="33">
        <v>0.51</v>
      </c>
      <c r="D970" s="33">
        <v>0.1343</v>
      </c>
      <c r="E970" s="33">
        <v>1</v>
      </c>
      <c r="F970" s="33">
        <v>31</v>
      </c>
      <c r="G970" s="33">
        <v>32</v>
      </c>
    </row>
    <row r="971" spans="1:7" x14ac:dyDescent="0.3">
      <c r="A971" s="33">
        <v>0.2</v>
      </c>
      <c r="B971" s="33">
        <v>0.2273</v>
      </c>
      <c r="C971" s="33">
        <v>0.64</v>
      </c>
      <c r="D971" s="33">
        <v>0.1045</v>
      </c>
      <c r="E971" s="33">
        <v>5</v>
      </c>
      <c r="F971" s="33">
        <v>34</v>
      </c>
      <c r="G971" s="33">
        <v>39</v>
      </c>
    </row>
    <row r="972" spans="1:7" x14ac:dyDescent="0.3">
      <c r="A972" s="33">
        <v>0.2</v>
      </c>
      <c r="B972" s="33">
        <v>0.2273</v>
      </c>
      <c r="C972" s="33">
        <v>0.59</v>
      </c>
      <c r="D972" s="33">
        <v>8.9599999999999999E-2</v>
      </c>
      <c r="E972" s="33">
        <v>1</v>
      </c>
      <c r="F972" s="33">
        <v>23</v>
      </c>
      <c r="G972" s="33">
        <v>24</v>
      </c>
    </row>
    <row r="973" spans="1:7" x14ac:dyDescent="0.3">
      <c r="A973" s="33">
        <v>0.2</v>
      </c>
      <c r="B973" s="33">
        <v>0.2273</v>
      </c>
      <c r="C973" s="33">
        <v>0.75</v>
      </c>
      <c r="D973" s="33">
        <v>8.9599999999999999E-2</v>
      </c>
      <c r="E973" s="33">
        <v>1</v>
      </c>
      <c r="F973" s="33">
        <v>19</v>
      </c>
      <c r="G973" s="33">
        <v>20</v>
      </c>
    </row>
    <row r="974" spans="1:7" x14ac:dyDescent="0.3">
      <c r="A974" s="33">
        <v>0.2</v>
      </c>
      <c r="B974" s="33">
        <v>0.2273</v>
      </c>
      <c r="C974" s="33">
        <v>0.69</v>
      </c>
      <c r="D974" s="33">
        <v>0.1045</v>
      </c>
      <c r="E974" s="33">
        <v>4</v>
      </c>
      <c r="F974" s="33">
        <v>8</v>
      </c>
      <c r="G974" s="33">
        <v>12</v>
      </c>
    </row>
    <row r="975" spans="1:7" x14ac:dyDescent="0.3">
      <c r="A975" s="33">
        <v>0.2</v>
      </c>
      <c r="B975" s="33">
        <v>0.21210000000000001</v>
      </c>
      <c r="C975" s="33">
        <v>0.69</v>
      </c>
      <c r="D975" s="33">
        <v>0.16420000000000001</v>
      </c>
      <c r="E975" s="33">
        <v>0</v>
      </c>
      <c r="F975" s="33">
        <v>2</v>
      </c>
      <c r="G975" s="33">
        <v>2</v>
      </c>
    </row>
    <row r="976" spans="1:7" x14ac:dyDescent="0.3">
      <c r="A976" s="33">
        <v>0.2</v>
      </c>
      <c r="B976" s="33">
        <v>0.21210000000000001</v>
      </c>
      <c r="C976" s="33">
        <v>0.69</v>
      </c>
      <c r="D976" s="33">
        <v>0.1343</v>
      </c>
      <c r="E976" s="33">
        <v>2</v>
      </c>
      <c r="F976" s="33">
        <v>3</v>
      </c>
      <c r="G976" s="33">
        <v>5</v>
      </c>
    </row>
    <row r="977" spans="1:7" x14ac:dyDescent="0.3">
      <c r="A977" s="33">
        <v>0.22</v>
      </c>
      <c r="B977" s="33">
        <v>0.2727</v>
      </c>
      <c r="C977" s="33">
        <v>0.55000000000000004</v>
      </c>
      <c r="D977" s="33">
        <v>0</v>
      </c>
      <c r="E977" s="33">
        <v>0</v>
      </c>
      <c r="F977" s="33">
        <v>3</v>
      </c>
      <c r="G977" s="33">
        <v>3</v>
      </c>
    </row>
    <row r="978" spans="1:7" x14ac:dyDescent="0.3">
      <c r="A978" s="33">
        <v>0.22</v>
      </c>
      <c r="B978" s="33">
        <v>0.2273</v>
      </c>
      <c r="C978" s="33">
        <v>0.64</v>
      </c>
      <c r="D978" s="33">
        <v>0.19400000000000001</v>
      </c>
      <c r="E978" s="33">
        <v>1</v>
      </c>
      <c r="F978" s="33">
        <v>11</v>
      </c>
      <c r="G978" s="33">
        <v>12</v>
      </c>
    </row>
    <row r="979" spans="1:7" x14ac:dyDescent="0.3">
      <c r="A979" s="33">
        <v>0.24</v>
      </c>
      <c r="B979" s="33">
        <v>0.2273</v>
      </c>
      <c r="C979" s="33">
        <v>0.6</v>
      </c>
      <c r="D979" s="33">
        <v>0.22389999999999999</v>
      </c>
      <c r="E979" s="33">
        <v>12</v>
      </c>
      <c r="F979" s="33">
        <v>35</v>
      </c>
      <c r="G979" s="33">
        <v>47</v>
      </c>
    </row>
    <row r="980" spans="1:7" x14ac:dyDescent="0.3">
      <c r="A980" s="33">
        <v>0.3</v>
      </c>
      <c r="B980" s="33">
        <v>0.2727</v>
      </c>
      <c r="C980" s="33">
        <v>0.45</v>
      </c>
      <c r="D980" s="33">
        <v>0.32840000000000003</v>
      </c>
      <c r="E980" s="33">
        <v>19</v>
      </c>
      <c r="F980" s="33">
        <v>86</v>
      </c>
      <c r="G980" s="33">
        <v>105</v>
      </c>
    </row>
    <row r="981" spans="1:7" x14ac:dyDescent="0.3">
      <c r="A981" s="33">
        <v>0.32</v>
      </c>
      <c r="B981" s="33">
        <v>0.28789999999999999</v>
      </c>
      <c r="C981" s="33">
        <v>0.39</v>
      </c>
      <c r="D981" s="33">
        <v>0.44779999999999998</v>
      </c>
      <c r="E981" s="33">
        <v>26</v>
      </c>
      <c r="F981" s="33">
        <v>86</v>
      </c>
      <c r="G981" s="33">
        <v>112</v>
      </c>
    </row>
    <row r="982" spans="1:7" x14ac:dyDescent="0.3">
      <c r="A982" s="33">
        <v>0.36</v>
      </c>
      <c r="B982" s="33">
        <v>0.31819999999999998</v>
      </c>
      <c r="C982" s="33">
        <v>0.32</v>
      </c>
      <c r="D982" s="33">
        <v>0.4627</v>
      </c>
      <c r="E982" s="33">
        <v>58</v>
      </c>
      <c r="F982" s="33">
        <v>94</v>
      </c>
      <c r="G982" s="33">
        <v>152</v>
      </c>
    </row>
    <row r="983" spans="1:7" x14ac:dyDescent="0.3">
      <c r="A983" s="33">
        <v>0.38</v>
      </c>
      <c r="B983" s="33">
        <v>0.39389999999999997</v>
      </c>
      <c r="C983" s="33">
        <v>0.28999999999999998</v>
      </c>
      <c r="D983" s="33">
        <v>0.35820000000000002</v>
      </c>
      <c r="E983" s="33">
        <v>62</v>
      </c>
      <c r="F983" s="33">
        <v>92</v>
      </c>
      <c r="G983" s="33">
        <v>154</v>
      </c>
    </row>
    <row r="984" spans="1:7" x14ac:dyDescent="0.3">
      <c r="A984" s="33">
        <v>0.4</v>
      </c>
      <c r="B984" s="33">
        <v>0.40910000000000002</v>
      </c>
      <c r="C984" s="33">
        <v>0.3</v>
      </c>
      <c r="D984" s="33">
        <v>0.41789999999999999</v>
      </c>
      <c r="E984" s="33">
        <v>51</v>
      </c>
      <c r="F984" s="33">
        <v>110</v>
      </c>
      <c r="G984" s="33">
        <v>161</v>
      </c>
    </row>
    <row r="985" spans="1:7" x14ac:dyDescent="0.3">
      <c r="A985" s="33">
        <v>0.4</v>
      </c>
      <c r="B985" s="33">
        <v>0.40910000000000002</v>
      </c>
      <c r="C985" s="33">
        <v>0.3</v>
      </c>
      <c r="D985" s="33">
        <v>0.29849999999999999</v>
      </c>
      <c r="E985" s="33">
        <v>40</v>
      </c>
      <c r="F985" s="33">
        <v>122</v>
      </c>
      <c r="G985" s="33">
        <v>162</v>
      </c>
    </row>
    <row r="986" spans="1:7" x14ac:dyDescent="0.3">
      <c r="A986" s="33">
        <v>0.42</v>
      </c>
      <c r="B986" s="33">
        <v>0.42420000000000002</v>
      </c>
      <c r="C986" s="33">
        <v>0.28000000000000003</v>
      </c>
      <c r="D986" s="33">
        <v>0.32840000000000003</v>
      </c>
      <c r="E986" s="33">
        <v>28</v>
      </c>
      <c r="F986" s="33">
        <v>106</v>
      </c>
      <c r="G986" s="33">
        <v>134</v>
      </c>
    </row>
    <row r="987" spans="1:7" x14ac:dyDescent="0.3">
      <c r="A987" s="33">
        <v>0.42</v>
      </c>
      <c r="B987" s="33">
        <v>0.42420000000000002</v>
      </c>
      <c r="C987" s="33">
        <v>0.28000000000000003</v>
      </c>
      <c r="D987" s="33">
        <v>0.32840000000000003</v>
      </c>
      <c r="E987" s="33">
        <v>30</v>
      </c>
      <c r="F987" s="33">
        <v>95</v>
      </c>
      <c r="G987" s="33">
        <v>125</v>
      </c>
    </row>
    <row r="988" spans="1:7" x14ac:dyDescent="0.3">
      <c r="A988" s="33">
        <v>0.4</v>
      </c>
      <c r="B988" s="33">
        <v>0.40910000000000002</v>
      </c>
      <c r="C988" s="33">
        <v>0.32</v>
      </c>
      <c r="D988" s="33">
        <v>0.29849999999999999</v>
      </c>
      <c r="E988" s="33">
        <v>17</v>
      </c>
      <c r="F988" s="33">
        <v>78</v>
      </c>
      <c r="G988" s="33">
        <v>95</v>
      </c>
    </row>
    <row r="989" spans="1:7" x14ac:dyDescent="0.3">
      <c r="A989" s="33">
        <v>0.4</v>
      </c>
      <c r="B989" s="33">
        <v>0.40910000000000002</v>
      </c>
      <c r="C989" s="33">
        <v>0.35</v>
      </c>
      <c r="D989" s="33">
        <v>0.28360000000000002</v>
      </c>
      <c r="E989" s="33">
        <v>11</v>
      </c>
      <c r="F989" s="33">
        <v>50</v>
      </c>
      <c r="G989" s="33">
        <v>61</v>
      </c>
    </row>
    <row r="990" spans="1:7" x14ac:dyDescent="0.3">
      <c r="A990" s="33">
        <v>0.4</v>
      </c>
      <c r="B990" s="33">
        <v>0.40910000000000002</v>
      </c>
      <c r="C990" s="33">
        <v>0.35</v>
      </c>
      <c r="D990" s="33">
        <v>0.32840000000000003</v>
      </c>
      <c r="E990" s="33">
        <v>15</v>
      </c>
      <c r="F990" s="33">
        <v>32</v>
      </c>
      <c r="G990" s="33">
        <v>47</v>
      </c>
    </row>
    <row r="991" spans="1:7" x14ac:dyDescent="0.3">
      <c r="A991" s="33">
        <v>0.4</v>
      </c>
      <c r="B991" s="33">
        <v>0.40910000000000002</v>
      </c>
      <c r="C991" s="33">
        <v>0.35</v>
      </c>
      <c r="D991" s="33">
        <v>0.35820000000000002</v>
      </c>
      <c r="E991" s="33">
        <v>6</v>
      </c>
      <c r="F991" s="33">
        <v>45</v>
      </c>
      <c r="G991" s="33">
        <v>51</v>
      </c>
    </row>
    <row r="992" spans="1:7" x14ac:dyDescent="0.3">
      <c r="A992" s="33">
        <v>0.4</v>
      </c>
      <c r="B992" s="33">
        <v>0.40910000000000002</v>
      </c>
      <c r="C992" s="33">
        <v>0.35</v>
      </c>
      <c r="D992" s="33">
        <v>0.29849999999999999</v>
      </c>
      <c r="E992" s="33">
        <v>5</v>
      </c>
      <c r="F992" s="33">
        <v>31</v>
      </c>
      <c r="G992" s="33">
        <v>36</v>
      </c>
    </row>
    <row r="993" spans="1:7" x14ac:dyDescent="0.3">
      <c r="A993" s="33">
        <v>0.4</v>
      </c>
      <c r="B993" s="33">
        <v>0.40910000000000002</v>
      </c>
      <c r="C993" s="33">
        <v>0.35</v>
      </c>
      <c r="D993" s="33">
        <v>0.35820000000000002</v>
      </c>
      <c r="E993" s="33">
        <v>3</v>
      </c>
      <c r="F993" s="33">
        <v>27</v>
      </c>
      <c r="G993" s="33">
        <v>30</v>
      </c>
    </row>
    <row r="994" spans="1:7" x14ac:dyDescent="0.3">
      <c r="A994" s="33">
        <v>0.38</v>
      </c>
      <c r="B994" s="33">
        <v>0.39389999999999997</v>
      </c>
      <c r="C994" s="33">
        <v>0.37</v>
      </c>
      <c r="D994" s="33">
        <v>0.35820000000000002</v>
      </c>
      <c r="E994" s="33">
        <v>3</v>
      </c>
      <c r="F994" s="33">
        <v>8</v>
      </c>
      <c r="G994" s="33">
        <v>11</v>
      </c>
    </row>
    <row r="995" spans="1:7" x14ac:dyDescent="0.3">
      <c r="A995" s="33">
        <v>0.38</v>
      </c>
      <c r="B995" s="33">
        <v>0.39389999999999997</v>
      </c>
      <c r="C995" s="33">
        <v>0.37</v>
      </c>
      <c r="D995" s="33">
        <v>0.35820000000000002</v>
      </c>
      <c r="E995" s="33">
        <v>1</v>
      </c>
      <c r="F995" s="33">
        <v>6</v>
      </c>
      <c r="G995" s="33">
        <v>7</v>
      </c>
    </row>
    <row r="996" spans="1:7" x14ac:dyDescent="0.3">
      <c r="A996" s="33">
        <v>0.36</v>
      </c>
      <c r="B996" s="33">
        <v>0.33329999999999999</v>
      </c>
      <c r="C996" s="33">
        <v>0.4</v>
      </c>
      <c r="D996" s="33">
        <v>0.29849999999999999</v>
      </c>
      <c r="E996" s="33">
        <v>0</v>
      </c>
      <c r="F996" s="33">
        <v>2</v>
      </c>
      <c r="G996" s="33">
        <v>2</v>
      </c>
    </row>
    <row r="997" spans="1:7" x14ac:dyDescent="0.3">
      <c r="A997" s="33">
        <v>0.34</v>
      </c>
      <c r="B997" s="33">
        <v>0.31819999999999998</v>
      </c>
      <c r="C997" s="33">
        <v>0.46</v>
      </c>
      <c r="D997" s="33">
        <v>0.22389999999999999</v>
      </c>
      <c r="E997" s="33">
        <v>1</v>
      </c>
      <c r="F997" s="33">
        <v>1</v>
      </c>
      <c r="G997" s="33">
        <v>2</v>
      </c>
    </row>
    <row r="998" spans="1:7" x14ac:dyDescent="0.3">
      <c r="A998" s="33">
        <v>0.32</v>
      </c>
      <c r="B998" s="33">
        <v>0.30299999999999999</v>
      </c>
      <c r="C998" s="33">
        <v>0.53</v>
      </c>
      <c r="D998" s="33">
        <v>0.28360000000000002</v>
      </c>
      <c r="E998" s="33">
        <v>0</v>
      </c>
      <c r="F998" s="33">
        <v>2</v>
      </c>
      <c r="G998" s="33">
        <v>2</v>
      </c>
    </row>
    <row r="999" spans="1:7" x14ac:dyDescent="0.3">
      <c r="A999" s="33">
        <v>0.32</v>
      </c>
      <c r="B999" s="33">
        <v>0.30299999999999999</v>
      </c>
      <c r="C999" s="33">
        <v>0.53</v>
      </c>
      <c r="D999" s="33">
        <v>0.28360000000000002</v>
      </c>
      <c r="E999" s="33">
        <v>0</v>
      </c>
      <c r="F999" s="33">
        <v>3</v>
      </c>
      <c r="G999" s="33">
        <v>3</v>
      </c>
    </row>
    <row r="1000" spans="1:7" x14ac:dyDescent="0.3">
      <c r="A1000" s="33">
        <v>0.34</v>
      </c>
      <c r="B1000" s="33">
        <v>0.30299999999999999</v>
      </c>
      <c r="C1000" s="33">
        <v>0.46</v>
      </c>
      <c r="D1000" s="33">
        <v>0.29849999999999999</v>
      </c>
      <c r="E1000" s="33">
        <v>1</v>
      </c>
      <c r="F1000" s="33">
        <v>25</v>
      </c>
      <c r="G1000" s="33">
        <v>26</v>
      </c>
    </row>
    <row r="1001" spans="1:7" x14ac:dyDescent="0.3">
      <c r="A1001" s="33">
        <v>0.34</v>
      </c>
      <c r="B1001" s="33">
        <v>0.30299999999999999</v>
      </c>
      <c r="C1001" s="33">
        <v>0.46</v>
      </c>
      <c r="D1001" s="33">
        <v>0.29849999999999999</v>
      </c>
      <c r="E1001" s="33">
        <v>2</v>
      </c>
      <c r="F1001" s="33">
        <v>96</v>
      </c>
      <c r="G1001" s="33">
        <v>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93A4C-021C-4343-B382-4B339E463E13}">
  <dimension ref="A1:N15"/>
  <sheetViews>
    <sheetView workbookViewId="0">
      <selection sqref="A1:N15"/>
    </sheetView>
  </sheetViews>
  <sheetFormatPr defaultRowHeight="14.4" x14ac:dyDescent="0.3"/>
  <sheetData>
    <row r="1" spans="1:14" x14ac:dyDescent="0.3">
      <c r="A1" s="65" t="s">
        <v>37</v>
      </c>
      <c r="B1" s="65"/>
      <c r="C1" s="65" t="s">
        <v>38</v>
      </c>
      <c r="D1" s="65"/>
      <c r="E1" s="65" t="s">
        <v>39</v>
      </c>
      <c r="F1" s="65"/>
      <c r="G1" s="65" t="s">
        <v>40</v>
      </c>
      <c r="H1" s="65"/>
      <c r="I1" s="65" t="s">
        <v>41</v>
      </c>
      <c r="J1" s="65"/>
      <c r="K1" s="65" t="s">
        <v>42</v>
      </c>
      <c r="L1" s="65"/>
      <c r="M1" s="65" t="s">
        <v>43</v>
      </c>
      <c r="N1" s="65"/>
    </row>
    <row r="3" spans="1:14" x14ac:dyDescent="0.3">
      <c r="A3" t="s">
        <v>143</v>
      </c>
      <c r="B3">
        <v>0.20589999999999961</v>
      </c>
      <c r="C3" t="s">
        <v>143</v>
      </c>
      <c r="D3">
        <v>0.21182520000000049</v>
      </c>
      <c r="E3" t="s">
        <v>143</v>
      </c>
      <c r="F3">
        <v>0.58248000000000033</v>
      </c>
      <c r="G3" t="s">
        <v>143</v>
      </c>
      <c r="H3">
        <v>0.19493129999999903</v>
      </c>
      <c r="I3" t="s">
        <v>143</v>
      </c>
      <c r="J3">
        <v>4.9210000000000003</v>
      </c>
      <c r="K3" t="s">
        <v>143</v>
      </c>
      <c r="L3">
        <v>53.383000000000003</v>
      </c>
      <c r="M3" t="s">
        <v>143</v>
      </c>
      <c r="N3">
        <v>58.304000000000002</v>
      </c>
    </row>
    <row r="4" spans="1:14" x14ac:dyDescent="0.3">
      <c r="A4" t="s">
        <v>144</v>
      </c>
      <c r="B4">
        <v>2.4974842196553806E-3</v>
      </c>
      <c r="C4" t="s">
        <v>144</v>
      </c>
      <c r="D4">
        <v>2.4124957867073553E-3</v>
      </c>
      <c r="E4" t="s">
        <v>144</v>
      </c>
      <c r="F4">
        <v>5.9443574072378961E-3</v>
      </c>
      <c r="G4" t="s">
        <v>144</v>
      </c>
      <c r="H4">
        <v>4.0833247472252168E-3</v>
      </c>
      <c r="I4" t="s">
        <v>144</v>
      </c>
      <c r="J4">
        <v>0.24172130271903672</v>
      </c>
      <c r="K4" t="s">
        <v>144</v>
      </c>
      <c r="L4">
        <v>1.51454024150669</v>
      </c>
      <c r="M4" t="s">
        <v>144</v>
      </c>
      <c r="N4">
        <v>1.612304906371965</v>
      </c>
    </row>
    <row r="5" spans="1:14" x14ac:dyDescent="0.3">
      <c r="A5" t="s">
        <v>145</v>
      </c>
      <c r="B5">
        <v>0.2</v>
      </c>
      <c r="C5" t="s">
        <v>145</v>
      </c>
      <c r="D5">
        <v>0.21210000000000001</v>
      </c>
      <c r="E5" t="s">
        <v>145</v>
      </c>
      <c r="F5">
        <v>0.55000000000000004</v>
      </c>
      <c r="G5" t="s">
        <v>145</v>
      </c>
      <c r="H5">
        <v>0.16420000000000001</v>
      </c>
      <c r="I5" t="s">
        <v>145</v>
      </c>
      <c r="J5">
        <v>3</v>
      </c>
      <c r="K5" t="s">
        <v>145</v>
      </c>
      <c r="L5">
        <v>46</v>
      </c>
      <c r="M5" t="s">
        <v>145</v>
      </c>
      <c r="N5">
        <v>49</v>
      </c>
    </row>
    <row r="6" spans="1:14" x14ac:dyDescent="0.3">
      <c r="A6" t="s">
        <v>146</v>
      </c>
      <c r="B6">
        <v>0.22</v>
      </c>
      <c r="C6" t="s">
        <v>146</v>
      </c>
      <c r="D6">
        <v>0.2273</v>
      </c>
      <c r="E6" t="s">
        <v>146</v>
      </c>
      <c r="F6">
        <v>0.93</v>
      </c>
      <c r="G6" t="s">
        <v>146</v>
      </c>
      <c r="H6">
        <v>0</v>
      </c>
      <c r="I6" t="s">
        <v>146</v>
      </c>
      <c r="J6">
        <v>0</v>
      </c>
      <c r="K6" t="s">
        <v>146</v>
      </c>
      <c r="L6">
        <v>1</v>
      </c>
      <c r="M6" t="s">
        <v>146</v>
      </c>
      <c r="N6">
        <v>1</v>
      </c>
    </row>
    <row r="7" spans="1:14" x14ac:dyDescent="0.3">
      <c r="A7" t="s">
        <v>147</v>
      </c>
      <c r="B7">
        <v>7.8977385544392681E-2</v>
      </c>
      <c r="C7" t="s">
        <v>147</v>
      </c>
      <c r="D7">
        <v>7.6289815315550083E-2</v>
      </c>
      <c r="E7" t="s">
        <v>147</v>
      </c>
      <c r="F7">
        <v>0.18797708632964827</v>
      </c>
      <c r="G7" t="s">
        <v>147</v>
      </c>
      <c r="H7">
        <v>0.12912606627362996</v>
      </c>
      <c r="I7" t="s">
        <v>147</v>
      </c>
      <c r="J7">
        <v>7.6438987557520797</v>
      </c>
      <c r="K7" t="s">
        <v>147</v>
      </c>
      <c r="L7">
        <v>47.893967711426278</v>
      </c>
      <c r="M7" t="s">
        <v>147</v>
      </c>
      <c r="N7">
        <v>50.985557867999354</v>
      </c>
    </row>
    <row r="8" spans="1:14" x14ac:dyDescent="0.3">
      <c r="A8" t="s">
        <v>148</v>
      </c>
      <c r="B8">
        <v>6.2374274274276456E-3</v>
      </c>
      <c r="C8" t="s">
        <v>148</v>
      </c>
      <c r="D8">
        <v>5.8201359208807403E-3</v>
      </c>
      <c r="E8" t="s">
        <v>148</v>
      </c>
      <c r="F8">
        <v>3.5335384984984043E-2</v>
      </c>
      <c r="G8" t="s">
        <v>148</v>
      </c>
      <c r="H8">
        <v>1.6673540991301875E-2</v>
      </c>
      <c r="I8" t="s">
        <v>148</v>
      </c>
      <c r="J8">
        <v>58.429188188188185</v>
      </c>
      <c r="K8" t="s">
        <v>148</v>
      </c>
      <c r="L8">
        <v>2293.8321431431432</v>
      </c>
      <c r="M8" t="s">
        <v>148</v>
      </c>
      <c r="N8">
        <v>2599.527111111111</v>
      </c>
    </row>
    <row r="9" spans="1:14" x14ac:dyDescent="0.3">
      <c r="A9" t="s">
        <v>149</v>
      </c>
      <c r="B9">
        <v>0.77506113468998628</v>
      </c>
      <c r="C9" t="s">
        <v>149</v>
      </c>
      <c r="D9">
        <v>0.71266886367603854</v>
      </c>
      <c r="E9" t="s">
        <v>149</v>
      </c>
      <c r="F9">
        <v>-0.72312265429044098</v>
      </c>
      <c r="G9" t="s">
        <v>149</v>
      </c>
      <c r="H9">
        <v>-0.2098533612109148</v>
      </c>
      <c r="I9" t="s">
        <v>149</v>
      </c>
      <c r="J9">
        <v>15.097739783279556</v>
      </c>
      <c r="K9" t="s">
        <v>149</v>
      </c>
      <c r="L9">
        <v>1.6425062532387078</v>
      </c>
      <c r="M9" t="s">
        <v>149</v>
      </c>
      <c r="N9">
        <v>1.0266606324511431</v>
      </c>
    </row>
    <row r="10" spans="1:14" x14ac:dyDescent="0.3">
      <c r="A10" t="s">
        <v>150</v>
      </c>
      <c r="B10">
        <v>0.54799688242036793</v>
      </c>
      <c r="C10" t="s">
        <v>150</v>
      </c>
      <c r="D10">
        <v>0.43594027305706817</v>
      </c>
      <c r="E10" t="s">
        <v>150</v>
      </c>
      <c r="F10">
        <v>0.43689346451282174</v>
      </c>
      <c r="G10" t="s">
        <v>150</v>
      </c>
      <c r="H10">
        <v>0.43367506246880855</v>
      </c>
      <c r="I10" t="s">
        <v>150</v>
      </c>
      <c r="J10">
        <v>3.4141050413066441</v>
      </c>
      <c r="K10" t="s">
        <v>150</v>
      </c>
      <c r="L10">
        <v>1.296723304637722</v>
      </c>
      <c r="M10" t="s">
        <v>150</v>
      </c>
      <c r="N10">
        <v>1.1377091237001229</v>
      </c>
    </row>
    <row r="11" spans="1:14" x14ac:dyDescent="0.3">
      <c r="A11" t="s">
        <v>151</v>
      </c>
      <c r="B11">
        <v>0.44</v>
      </c>
      <c r="C11" t="s">
        <v>151</v>
      </c>
      <c r="D11">
        <v>0.45450000000000002</v>
      </c>
      <c r="E11" t="s">
        <v>151</v>
      </c>
      <c r="F11">
        <v>0.79</v>
      </c>
      <c r="G11" t="s">
        <v>151</v>
      </c>
      <c r="H11">
        <v>0.58209999999999995</v>
      </c>
      <c r="I11" t="s">
        <v>151</v>
      </c>
      <c r="J11">
        <v>62</v>
      </c>
      <c r="K11" t="s">
        <v>151</v>
      </c>
      <c r="L11">
        <v>247</v>
      </c>
      <c r="M11" t="s">
        <v>151</v>
      </c>
      <c r="N11">
        <v>248</v>
      </c>
    </row>
    <row r="12" spans="1:14" x14ac:dyDescent="0.3">
      <c r="A12" t="s">
        <v>152</v>
      </c>
      <c r="B12">
        <v>0.02</v>
      </c>
      <c r="C12" t="s">
        <v>152</v>
      </c>
      <c r="D12">
        <v>0</v>
      </c>
      <c r="E12" t="s">
        <v>152</v>
      </c>
      <c r="F12">
        <v>0.21</v>
      </c>
      <c r="G12" t="s">
        <v>152</v>
      </c>
      <c r="H12">
        <v>0</v>
      </c>
      <c r="I12" t="s">
        <v>152</v>
      </c>
      <c r="J12">
        <v>0</v>
      </c>
      <c r="K12" t="s">
        <v>152</v>
      </c>
      <c r="L12">
        <v>0</v>
      </c>
      <c r="M12" t="s">
        <v>152</v>
      </c>
      <c r="N12">
        <v>1</v>
      </c>
    </row>
    <row r="13" spans="1:14" x14ac:dyDescent="0.3">
      <c r="A13" t="s">
        <v>153</v>
      </c>
      <c r="B13">
        <v>0.46</v>
      </c>
      <c r="C13" t="s">
        <v>153</v>
      </c>
      <c r="D13">
        <v>0.45450000000000002</v>
      </c>
      <c r="E13" t="s">
        <v>153</v>
      </c>
      <c r="F13">
        <v>1</v>
      </c>
      <c r="G13" t="s">
        <v>153</v>
      </c>
      <c r="H13">
        <v>0.58209999999999995</v>
      </c>
      <c r="I13" t="s">
        <v>153</v>
      </c>
      <c r="J13">
        <v>62</v>
      </c>
      <c r="K13" t="s">
        <v>153</v>
      </c>
      <c r="L13">
        <v>247</v>
      </c>
      <c r="M13" t="s">
        <v>153</v>
      </c>
      <c r="N13">
        <v>249</v>
      </c>
    </row>
    <row r="14" spans="1:14" x14ac:dyDescent="0.3">
      <c r="A14" t="s">
        <v>154</v>
      </c>
      <c r="B14">
        <v>205.89999999999961</v>
      </c>
      <c r="C14" t="s">
        <v>154</v>
      </c>
      <c r="D14">
        <v>211.82520000000048</v>
      </c>
      <c r="E14" t="s">
        <v>154</v>
      </c>
      <c r="F14">
        <v>582.48000000000036</v>
      </c>
      <c r="G14" t="s">
        <v>154</v>
      </c>
      <c r="H14">
        <v>194.93129999999903</v>
      </c>
      <c r="I14" t="s">
        <v>154</v>
      </c>
      <c r="J14">
        <v>4921</v>
      </c>
      <c r="K14" t="s">
        <v>154</v>
      </c>
      <c r="L14">
        <v>53383</v>
      </c>
      <c r="M14" t="s">
        <v>154</v>
      </c>
      <c r="N14">
        <v>58304</v>
      </c>
    </row>
    <row r="15" spans="1:14" ht="15" thickBot="1" x14ac:dyDescent="0.35">
      <c r="A15" s="64" t="s">
        <v>155</v>
      </c>
      <c r="B15" s="64">
        <v>1000</v>
      </c>
      <c r="C15" s="64" t="s">
        <v>155</v>
      </c>
      <c r="D15" s="64">
        <v>1000</v>
      </c>
      <c r="E15" s="64" t="s">
        <v>155</v>
      </c>
      <c r="F15" s="64">
        <v>1000</v>
      </c>
      <c r="G15" s="64" t="s">
        <v>155</v>
      </c>
      <c r="H15" s="64">
        <v>1000</v>
      </c>
      <c r="I15" s="64" t="s">
        <v>155</v>
      </c>
      <c r="J15" s="64">
        <v>1000</v>
      </c>
      <c r="K15" s="64" t="s">
        <v>155</v>
      </c>
      <c r="L15" s="64">
        <v>1000</v>
      </c>
      <c r="M15" s="64" t="s">
        <v>155</v>
      </c>
      <c r="N15" s="64">
        <v>1000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F698B-F600-4E7D-BB3E-B51E9562CFFF}">
  <dimension ref="A2:K15"/>
  <sheetViews>
    <sheetView workbookViewId="0">
      <selection activeCell="G2" sqref="G2:H7"/>
    </sheetView>
  </sheetViews>
  <sheetFormatPr defaultRowHeight="14.4" x14ac:dyDescent="0.3"/>
  <cols>
    <col min="1" max="1" width="16.5546875" bestFit="1" customWidth="1"/>
    <col min="4" max="4" width="16.5546875" bestFit="1" customWidth="1"/>
    <col min="7" max="7" width="16.5546875" bestFit="1" customWidth="1"/>
    <col min="10" max="10" width="16.5546875" bestFit="1" customWidth="1"/>
  </cols>
  <sheetData>
    <row r="2" spans="1:11" x14ac:dyDescent="0.3">
      <c r="A2" s="133" t="s">
        <v>37</v>
      </c>
      <c r="B2" s="134"/>
      <c r="C2" s="66"/>
      <c r="D2" s="133" t="s">
        <v>38</v>
      </c>
      <c r="E2" s="134"/>
      <c r="F2" s="66"/>
      <c r="G2" s="137" t="s">
        <v>39</v>
      </c>
      <c r="H2" s="137"/>
      <c r="I2" s="66"/>
      <c r="J2" s="133" t="s">
        <v>40</v>
      </c>
      <c r="K2" s="134"/>
    </row>
    <row r="3" spans="1:11" x14ac:dyDescent="0.3">
      <c r="A3" s="135"/>
      <c r="B3" s="136"/>
      <c r="C3" s="66"/>
      <c r="D3" s="135"/>
      <c r="E3" s="136"/>
      <c r="F3" s="66"/>
      <c r="G3" s="137"/>
      <c r="H3" s="137"/>
      <c r="I3" s="66"/>
      <c r="J3" s="135"/>
      <c r="K3" s="136"/>
    </row>
    <row r="4" spans="1:11" x14ac:dyDescent="0.3">
      <c r="A4" s="33" t="s">
        <v>143</v>
      </c>
      <c r="B4" s="68">
        <v>0.20589999999999961</v>
      </c>
      <c r="D4" s="33" t="s">
        <v>143</v>
      </c>
      <c r="E4" s="68">
        <v>0.21182520000000049</v>
      </c>
      <c r="G4" s="33" t="s">
        <v>143</v>
      </c>
      <c r="H4" s="68">
        <v>0.58248000000000033</v>
      </c>
      <c r="J4" s="33" t="s">
        <v>143</v>
      </c>
      <c r="K4" s="68">
        <v>0.19493129999999903</v>
      </c>
    </row>
    <row r="5" spans="1:11" x14ac:dyDescent="0.3">
      <c r="A5" s="33" t="s">
        <v>147</v>
      </c>
      <c r="B5" s="68">
        <v>7.8977385544392681E-2</v>
      </c>
      <c r="D5" s="33" t="s">
        <v>147</v>
      </c>
      <c r="E5" s="68">
        <v>7.6289815315550083E-2</v>
      </c>
      <c r="G5" s="33" t="s">
        <v>147</v>
      </c>
      <c r="H5" s="68">
        <v>0.18797708632964827</v>
      </c>
      <c r="J5" s="33" t="s">
        <v>147</v>
      </c>
      <c r="K5" s="68">
        <v>0.12912606627362996</v>
      </c>
    </row>
    <row r="6" spans="1:11" x14ac:dyDescent="0.3">
      <c r="A6" s="33" t="s">
        <v>152</v>
      </c>
      <c r="B6" s="68">
        <v>0.02</v>
      </c>
      <c r="D6" s="33" t="s">
        <v>152</v>
      </c>
      <c r="E6" s="68">
        <v>0</v>
      </c>
      <c r="G6" s="33" t="s">
        <v>152</v>
      </c>
      <c r="H6" s="68">
        <v>0.21</v>
      </c>
      <c r="J6" s="33" t="s">
        <v>152</v>
      </c>
      <c r="K6" s="68">
        <v>0</v>
      </c>
    </row>
    <row r="7" spans="1:11" x14ac:dyDescent="0.3">
      <c r="A7" s="33" t="s">
        <v>153</v>
      </c>
      <c r="B7" s="68">
        <v>0.46</v>
      </c>
      <c r="D7" s="33" t="s">
        <v>153</v>
      </c>
      <c r="E7" s="68">
        <v>0.45450000000000002</v>
      </c>
      <c r="G7" s="33" t="s">
        <v>153</v>
      </c>
      <c r="H7" s="68">
        <v>1</v>
      </c>
      <c r="J7" s="33" t="s">
        <v>153</v>
      </c>
      <c r="K7" s="68">
        <v>0.58209999999999995</v>
      </c>
    </row>
    <row r="10" spans="1:11" x14ac:dyDescent="0.3">
      <c r="A10" s="133" t="s">
        <v>41</v>
      </c>
      <c r="B10" s="134"/>
      <c r="D10" s="133" t="s">
        <v>42</v>
      </c>
      <c r="E10" s="134"/>
      <c r="G10" s="133" t="s">
        <v>43</v>
      </c>
      <c r="H10" s="134"/>
    </row>
    <row r="11" spans="1:11" x14ac:dyDescent="0.3">
      <c r="A11" s="135"/>
      <c r="B11" s="136"/>
      <c r="D11" s="135"/>
      <c r="E11" s="136"/>
      <c r="G11" s="135"/>
      <c r="H11" s="136"/>
    </row>
    <row r="12" spans="1:11" x14ac:dyDescent="0.3">
      <c r="A12" s="33" t="s">
        <v>143</v>
      </c>
      <c r="B12" s="67">
        <v>4.9210000000000003</v>
      </c>
      <c r="D12" s="33" t="s">
        <v>143</v>
      </c>
      <c r="E12" s="67">
        <v>53.383000000000003</v>
      </c>
      <c r="G12" s="33" t="s">
        <v>143</v>
      </c>
      <c r="H12" s="67">
        <v>58.304000000000002</v>
      </c>
    </row>
    <row r="13" spans="1:11" x14ac:dyDescent="0.3">
      <c r="A13" s="33" t="s">
        <v>147</v>
      </c>
      <c r="B13" s="67">
        <v>7.6438987557520797</v>
      </c>
      <c r="D13" s="33" t="s">
        <v>147</v>
      </c>
      <c r="E13" s="67">
        <v>47.893967711426278</v>
      </c>
      <c r="G13" s="33" t="s">
        <v>147</v>
      </c>
      <c r="H13" s="67">
        <v>50.985557867999354</v>
      </c>
    </row>
    <row r="14" spans="1:11" x14ac:dyDescent="0.3">
      <c r="A14" s="33" t="s">
        <v>152</v>
      </c>
      <c r="B14" s="67">
        <v>0</v>
      </c>
      <c r="D14" s="33" t="s">
        <v>152</v>
      </c>
      <c r="E14" s="67">
        <v>0</v>
      </c>
      <c r="G14" s="33" t="s">
        <v>152</v>
      </c>
      <c r="H14" s="67">
        <v>1</v>
      </c>
    </row>
    <row r="15" spans="1:11" x14ac:dyDescent="0.3">
      <c r="A15" s="33" t="s">
        <v>153</v>
      </c>
      <c r="B15" s="67">
        <v>62</v>
      </c>
      <c r="D15" s="33" t="s">
        <v>153</v>
      </c>
      <c r="E15" s="67">
        <v>247</v>
      </c>
      <c r="G15" s="33" t="s">
        <v>153</v>
      </c>
      <c r="H15" s="67">
        <v>249</v>
      </c>
    </row>
  </sheetData>
  <mergeCells count="7">
    <mergeCell ref="A2:B3"/>
    <mergeCell ref="D2:E3"/>
    <mergeCell ref="G2:H3"/>
    <mergeCell ref="J2:K3"/>
    <mergeCell ref="A10:B11"/>
    <mergeCell ref="D10:E11"/>
    <mergeCell ref="G10:H1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FA416-07FE-4945-B787-F33C5F7EDA16}">
  <sheetPr>
    <tabColor rgb="FF7030A0"/>
  </sheetPr>
  <dimension ref="C9:P88"/>
  <sheetViews>
    <sheetView tabSelected="1" topLeftCell="B1" zoomScale="70" zoomScaleNormal="70" workbookViewId="0">
      <selection activeCell="H28" sqref="H28"/>
    </sheetView>
  </sheetViews>
  <sheetFormatPr defaultColWidth="11.21875" defaultRowHeight="14.4" x14ac:dyDescent="0.3"/>
  <cols>
    <col min="1" max="1" width="11.21875" customWidth="1"/>
    <col min="3" max="3" width="21.44140625" bestFit="1" customWidth="1"/>
    <col min="4" max="4" width="25" bestFit="1" customWidth="1"/>
    <col min="5" max="5" width="19.5546875" bestFit="1" customWidth="1"/>
    <col min="6" max="6" width="13.77734375" bestFit="1" customWidth="1"/>
    <col min="7" max="7" width="23.77734375" bestFit="1" customWidth="1"/>
    <col min="8" max="8" width="19.5546875" bestFit="1" customWidth="1"/>
    <col min="9" max="9" width="19.33203125" bestFit="1" customWidth="1"/>
    <col min="10" max="10" width="23.44140625" bestFit="1" customWidth="1"/>
    <col min="11" max="11" width="24.88671875" bestFit="1" customWidth="1"/>
    <col min="13" max="13" width="18.88671875" bestFit="1" customWidth="1"/>
    <col min="14" max="14" width="24.88671875" bestFit="1" customWidth="1"/>
    <col min="15" max="15" width="11.109375" customWidth="1"/>
    <col min="17" max="17" width="17.44140625" bestFit="1" customWidth="1"/>
    <col min="18" max="18" width="27.77734375" bestFit="1" customWidth="1"/>
  </cols>
  <sheetData>
    <row r="9" spans="3:16" ht="15" thickBot="1" x14ac:dyDescent="0.35"/>
    <row r="10" spans="3:16" ht="26.4" thickBot="1" x14ac:dyDescent="0.55000000000000004">
      <c r="C10" s="102" t="s">
        <v>55</v>
      </c>
      <c r="E10" s="102" t="s">
        <v>68</v>
      </c>
      <c r="G10" s="103" t="s">
        <v>167</v>
      </c>
      <c r="H10" s="103" t="s">
        <v>68</v>
      </c>
      <c r="J10" s="102" t="s">
        <v>169</v>
      </c>
      <c r="K10" s="106" t="s">
        <v>56</v>
      </c>
      <c r="L10" s="72"/>
      <c r="M10" s="102" t="s">
        <v>168</v>
      </c>
      <c r="N10" s="106" t="s">
        <v>56</v>
      </c>
      <c r="O10" s="72"/>
      <c r="P10" s="72"/>
    </row>
    <row r="11" spans="3:16" ht="34.200000000000003" thickBot="1" x14ac:dyDescent="0.7">
      <c r="C11" s="104">
        <v>58304</v>
      </c>
      <c r="D11" s="73"/>
      <c r="E11" s="105">
        <v>58.304000000000002</v>
      </c>
      <c r="G11" s="113" t="s">
        <v>71</v>
      </c>
      <c r="H11" s="114">
        <v>140.20454545454547</v>
      </c>
      <c r="J11" s="113" t="s">
        <v>26</v>
      </c>
      <c r="K11" s="114">
        <v>61.671617161716171</v>
      </c>
      <c r="L11" s="73"/>
      <c r="M11" s="113" t="s">
        <v>51</v>
      </c>
      <c r="N11" s="114">
        <v>109.43103448275862</v>
      </c>
      <c r="O11" s="73"/>
      <c r="P11" s="73"/>
    </row>
    <row r="69" spans="3:7" ht="15" thickBot="1" x14ac:dyDescent="0.35"/>
    <row r="70" spans="3:7" ht="21.6" thickBot="1" x14ac:dyDescent="0.45">
      <c r="C70" s="75" t="s">
        <v>56</v>
      </c>
      <c r="D70" s="75" t="s">
        <v>69</v>
      </c>
      <c r="E70" s="76"/>
      <c r="F70" s="77"/>
      <c r="G70" s="78"/>
    </row>
    <row r="71" spans="3:7" ht="21.6" thickBot="1" x14ac:dyDescent="0.45">
      <c r="C71" s="75" t="s">
        <v>57</v>
      </c>
      <c r="D71" s="76" t="s">
        <v>26</v>
      </c>
      <c r="E71" s="77" t="s">
        <v>27</v>
      </c>
      <c r="F71" s="77" t="s">
        <v>29</v>
      </c>
      <c r="G71" s="78" t="s">
        <v>28</v>
      </c>
    </row>
    <row r="72" spans="3:7" ht="21" x14ac:dyDescent="0.4">
      <c r="C72" s="79" t="s">
        <v>52</v>
      </c>
      <c r="D72" s="80">
        <v>63.075581395348834</v>
      </c>
      <c r="E72" s="81">
        <v>58.333333333333336</v>
      </c>
      <c r="F72" s="81">
        <v>34.43333333333333</v>
      </c>
      <c r="G72" s="82"/>
    </row>
    <row r="73" spans="3:7" ht="21" x14ac:dyDescent="0.4">
      <c r="C73" s="83" t="s">
        <v>50</v>
      </c>
      <c r="D73" s="84">
        <v>84.516129032258064</v>
      </c>
      <c r="E73" s="132">
        <v>71.318181818181813</v>
      </c>
      <c r="F73" s="132">
        <v>49.53846153846154</v>
      </c>
      <c r="G73" s="85"/>
    </row>
    <row r="74" spans="3:7" ht="21" x14ac:dyDescent="0.4">
      <c r="C74" s="83" t="s">
        <v>51</v>
      </c>
      <c r="D74" s="84">
        <v>109.17094017094017</v>
      </c>
      <c r="E74" s="132">
        <v>121.12765957446808</v>
      </c>
      <c r="F74" s="132">
        <v>59.888888888888886</v>
      </c>
      <c r="G74" s="85">
        <v>36</v>
      </c>
    </row>
    <row r="75" spans="3:7" ht="21.6" thickBot="1" x14ac:dyDescent="0.45">
      <c r="C75" s="86" t="s">
        <v>53</v>
      </c>
      <c r="D75" s="87">
        <v>26.299107142857142</v>
      </c>
      <c r="E75" s="88">
        <v>23.169811320754718</v>
      </c>
      <c r="F75" s="88">
        <v>17.90625</v>
      </c>
      <c r="G75" s="89"/>
    </row>
    <row r="79" spans="3:7" ht="15" thickBot="1" x14ac:dyDescent="0.35"/>
    <row r="80" spans="3:7" ht="21.6" thickBot="1" x14ac:dyDescent="0.45">
      <c r="C80" s="97" t="s">
        <v>56</v>
      </c>
      <c r="D80" s="98" t="s">
        <v>57</v>
      </c>
      <c r="E80" s="77"/>
      <c r="F80" s="77"/>
      <c r="G80" s="78"/>
    </row>
    <row r="81" spans="3:7" ht="21.6" thickBot="1" x14ac:dyDescent="0.45">
      <c r="C81" s="90" t="s">
        <v>24</v>
      </c>
      <c r="D81" s="91" t="s">
        <v>52</v>
      </c>
      <c r="E81" s="91" t="s">
        <v>50</v>
      </c>
      <c r="F81" s="91" t="s">
        <v>51</v>
      </c>
      <c r="G81" s="92" t="s">
        <v>53</v>
      </c>
    </row>
    <row r="82" spans="3:7" ht="21" x14ac:dyDescent="0.4">
      <c r="C82" s="99" t="s">
        <v>30</v>
      </c>
      <c r="D82" s="132">
        <v>32.043478260869563</v>
      </c>
      <c r="E82" s="132">
        <v>113.17857142857143</v>
      </c>
      <c r="F82" s="132">
        <v>76.071428571428569</v>
      </c>
      <c r="G82" s="85">
        <v>21.741935483870968</v>
      </c>
    </row>
    <row r="83" spans="3:7" ht="21" x14ac:dyDescent="0.4">
      <c r="C83" s="99" t="s">
        <v>31</v>
      </c>
      <c r="D83" s="132">
        <v>62.666666666666664</v>
      </c>
      <c r="E83" s="132">
        <v>64.083333333333329</v>
      </c>
      <c r="F83" s="132">
        <v>123.625</v>
      </c>
      <c r="G83" s="85">
        <v>20.089285714285715</v>
      </c>
    </row>
    <row r="84" spans="3:7" ht="21" x14ac:dyDescent="0.4">
      <c r="C84" s="99" t="s">
        <v>32</v>
      </c>
      <c r="D84" s="132">
        <v>79.257142857142853</v>
      </c>
      <c r="E84" s="132">
        <v>58.5</v>
      </c>
      <c r="F84" s="132">
        <v>129.25</v>
      </c>
      <c r="G84" s="85">
        <v>25.068181818181817</v>
      </c>
    </row>
    <row r="85" spans="3:7" ht="21" x14ac:dyDescent="0.4">
      <c r="C85" s="99" t="s">
        <v>33</v>
      </c>
      <c r="D85" s="132">
        <v>64.261904761904759</v>
      </c>
      <c r="E85" s="132">
        <v>61.666666666666664</v>
      </c>
      <c r="F85" s="132">
        <v>123.27272727272727</v>
      </c>
      <c r="G85" s="85">
        <v>26.930232558139537</v>
      </c>
    </row>
    <row r="86" spans="3:7" ht="21" x14ac:dyDescent="0.4">
      <c r="C86" s="99" t="s">
        <v>34</v>
      </c>
      <c r="D86" s="132">
        <v>80.971428571428575</v>
      </c>
      <c r="E86" s="132">
        <v>65.45</v>
      </c>
      <c r="F86" s="132">
        <v>123.45833333333333</v>
      </c>
      <c r="G86" s="85">
        <v>29.391304347826086</v>
      </c>
    </row>
    <row r="87" spans="3:7" ht="21" x14ac:dyDescent="0.4">
      <c r="C87" s="99" t="s">
        <v>35</v>
      </c>
      <c r="D87" s="132">
        <v>77.047619047619051</v>
      </c>
      <c r="E87" s="132">
        <v>67.875</v>
      </c>
      <c r="F87" s="132">
        <v>126.91666666666667</v>
      </c>
      <c r="G87" s="85">
        <v>24.666666666666668</v>
      </c>
    </row>
    <row r="88" spans="3:7" ht="21.6" thickBot="1" x14ac:dyDescent="0.45">
      <c r="C88" s="100" t="s">
        <v>36</v>
      </c>
      <c r="D88" s="88">
        <v>27.553191489361701</v>
      </c>
      <c r="E88" s="88">
        <v>95.785714285714292</v>
      </c>
      <c r="F88" s="88">
        <v>75.75</v>
      </c>
      <c r="G88" s="89">
        <v>26.19047619047619</v>
      </c>
    </row>
  </sheetData>
  <conditionalFormatting pivot="1" sqref="D72:G75">
    <cfRule type="colorScale" priority="2">
      <colorScale>
        <cfvo type="min"/>
        <cfvo type="percentile" val="50"/>
        <cfvo type="max"/>
        <color rgb="FFF8696B"/>
        <color rgb="FFFFEB84"/>
        <color rgb="FF63BE7B"/>
      </colorScale>
    </cfRule>
  </conditionalFormatting>
  <conditionalFormatting pivot="1" sqref="D82:G88">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8"/>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8FFE29-EE40-4EEE-AD2E-C8E2DF113E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Notes</vt:lpstr>
      <vt:lpstr>DataSet_3</vt:lpstr>
      <vt:lpstr>DataSet_A</vt:lpstr>
      <vt:lpstr>DataSet_Final</vt:lpstr>
      <vt:lpstr>Mappings</vt:lpstr>
      <vt:lpstr>DS_Final_Reformed</vt:lpstr>
      <vt:lpstr>Rentals_Usage</vt:lpstr>
      <vt:lpstr>DailyTrend</vt:lpstr>
      <vt:lpstr>Forecast_Input</vt:lpstr>
      <vt:lpstr>Forecast_Output</vt:lpstr>
      <vt:lpstr>WeekdayTrend</vt:lpstr>
      <vt:lpstr>TimeSlotBased</vt:lpstr>
      <vt:lpstr>WeatherTypeBased</vt:lpstr>
      <vt:lpstr>Weekends&amp;Holidays</vt:lpstr>
      <vt:lpstr>TimeSlot+Days HeatMap</vt:lpstr>
      <vt:lpstr>Weather+Time HeatMap&amp;Chart</vt:lpstr>
      <vt:lpstr>Weather+Temp Rentals</vt:lpstr>
      <vt:lpstr>Humidy+TimeSlot_Rentals</vt:lpstr>
      <vt:lpstr>ScatterPlots</vt:lpstr>
      <vt:lpstr>Peak Identification</vt:lpstr>
      <vt:lpstr>KPIs</vt:lpstr>
      <vt:lpstr>Correlation_Data</vt:lpstr>
      <vt:lpstr>Correlation_Matrix</vt:lpstr>
      <vt:lpstr>Descriptive_Data</vt:lpstr>
      <vt:lpstr>Descriptive_Analysis</vt:lpstr>
      <vt:lpstr>Refined_Stats</vt:lpstr>
      <vt:lpstr>INTERACTIVE_DASHBOARD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Yousuf Sakkaf</dc:creator>
  <cp:lastModifiedBy>Yousuf Sakkaf</cp:lastModifiedBy>
  <dcterms:created xsi:type="dcterms:W3CDTF">2015-06-05T18:17:20Z</dcterms:created>
  <dcterms:modified xsi:type="dcterms:W3CDTF">2026-03-25T14:14:23Z</dcterms:modified>
</cp:coreProperties>
</file>